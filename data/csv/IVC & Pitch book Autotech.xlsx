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VC Autotech " sheetId="1" r:id="rId5"/>
    <sheet state="visible" name="Autotech Pitchbook " sheetId="2" r:id="rId6"/>
    <sheet state="visible" name="PitchBook Autotech 2" sheetId="3" r:id="rId7"/>
    <sheet state="visible" name="Automotive_Company_Office_Locat" sheetId="4" r:id="rId8"/>
    <sheet state="visible" name="Investment 2020-2025 in auto IS" sheetId="5" r:id="rId9"/>
  </sheets>
  <definedNames>
    <definedName hidden="1" localSheetId="0" name="_xlnm._FilterDatabase">'IVC Autotech '!$A$1:$AD$326</definedName>
    <definedName hidden="1" localSheetId="1" name="_xlnm._FilterDatabase">'Autotech Pitchbook '!$A$2:$EP$345</definedName>
    <definedName hidden="1" localSheetId="2" name="_xlnm._FilterDatabase">'PitchBook Autotech 2'!$B$3:$EV$149</definedName>
    <definedName hidden="1" localSheetId="4" name="_xlnm._FilterDatabase">'Investment 2020-2025 in auto IS'!$A$3:$H$417</definedName>
  </definedNames>
  <calcPr/>
</workbook>
</file>

<file path=xl/sharedStrings.xml><?xml version="1.0" encoding="utf-8"?>
<sst xmlns="http://schemas.openxmlformats.org/spreadsheetml/2006/main" count="42913" uniqueCount="11155">
  <si>
    <t>Short Name</t>
  </si>
  <si>
    <t>Sector</t>
  </si>
  <si>
    <t>Stage</t>
  </si>
  <si>
    <t>Year Established</t>
  </si>
  <si>
    <t>No of Employees</t>
  </si>
  <si>
    <t>Is Public</t>
  </si>
  <si>
    <t>Reg Number</t>
  </si>
  <si>
    <t>Company Description</t>
  </si>
  <si>
    <t>Name</t>
  </si>
  <si>
    <t>Title</t>
  </si>
  <si>
    <t>CEO Mail</t>
  </si>
  <si>
    <t>Website</t>
  </si>
  <si>
    <t>HQ Address</t>
  </si>
  <si>
    <t>HQ City</t>
  </si>
  <si>
    <t>HQ POB</t>
  </si>
  <si>
    <t>HQ Zip</t>
  </si>
  <si>
    <t>HQ State</t>
  </si>
  <si>
    <t>HQ Province</t>
  </si>
  <si>
    <t>HQ Country</t>
  </si>
  <si>
    <t>HQ Company Email</t>
  </si>
  <si>
    <t>HQ Phone</t>
  </si>
  <si>
    <t>Company E-mail</t>
  </si>
  <si>
    <t>Targeted Customers</t>
  </si>
  <si>
    <t>Technology</t>
  </si>
  <si>
    <t>Tech Vertical</t>
  </si>
  <si>
    <t>Received Investment Y/N</t>
  </si>
  <si>
    <t>VC backed Y/N</t>
  </si>
  <si>
    <t>Total Capital Raised ($m)</t>
  </si>
  <si>
    <t>Honorific</t>
  </si>
  <si>
    <t>Pi-Harvest</t>
  </si>
  <si>
    <t>Energy</t>
  </si>
  <si>
    <t>R&amp;D</t>
  </si>
  <si>
    <t>No</t>
  </si>
  <si>
    <t>Pi-Harvest was suggesting a principally new technology based on Piezoelectric Micro Generator (Power Harvester) harnessing natural power from mechanical movement. It suggested no battery and life long device functioning.</t>
  </si>
  <si>
    <t>Avraham Lo</t>
  </si>
  <si>
    <t>CEO &amp; Co-Founder</t>
  </si>
  <si>
    <t>avraham.lorber@pi-harvest.com</t>
  </si>
  <si>
    <t>http://www.pi-harvest.com</t>
  </si>
  <si>
    <t>53 Bar Yehuda Rd.</t>
  </si>
  <si>
    <t>Nesher</t>
  </si>
  <si>
    <t>N/A</t>
  </si>
  <si>
    <t>Israel</t>
  </si>
  <si>
    <t>info@pi-harvest.com</t>
  </si>
  <si>
    <t>972-4-629-2703</t>
  </si>
  <si>
    <t>Automotive, Biomedical, Industrial, Telecommunications, Security, Aerospace and Tourism Companies; Governments, Militaries.</t>
  </si>
  <si>
    <t>A system for harvesting of natural power of the heart movement to be deployed entirely inside or outside human heart. The means and the method for the system deployment/extraction are provided. The system is implemented as storage “satellite” container/housing/carrier unit for piezoelectric power generator, power storage and spare volume for transported cardio stimulator devices. The piezoelectric power generator comprises embedding circuits containing the diode bridge, controller, capacitor and a number of piezo-electric elastic ceramic rods—“leaflets”, originally strained asymmetrically with accordance to the heart 3D geometry in order to obtain high energy conversion efficiency and high sensitivity to the heart movement. The innovative construction of the piezoelectric generator is applied to piezoelectric transformer based on cantilever bending vibrations.</t>
  </si>
  <si>
    <t>Automotive, IoT</t>
  </si>
  <si>
    <t>Yes</t>
  </si>
  <si>
    <t>Dr.</t>
  </si>
  <si>
    <t>MyRouteOnline</t>
  </si>
  <si>
    <t>Enterprise Software &amp; Infrastructure</t>
  </si>
  <si>
    <t>Initial Revenues</t>
  </si>
  <si>
    <t>MyRouteOnline is a web-based Route Planner, for route planning multiple stops online. With 20 years of experience in vehicle routing and scheduling business, the company's algorithm automatically calculates all possible routes and gives an optimized and efficient route for different types of users. Truck drivers, courier deliveries, maintenance, landscaping, real-estates and others who need to turn multiple destinations into a route plan, all benefit from better planning and lower fuel costs.</t>
  </si>
  <si>
    <t>Baruch Axe</t>
  </si>
  <si>
    <t>CEO &amp; Founder</t>
  </si>
  <si>
    <t>baruch.axelrod@myrouteonline.com</t>
  </si>
  <si>
    <t>https://www.myrouteonline.com</t>
  </si>
  <si>
    <t>241 Perkins St., Jamaica Plain</t>
  </si>
  <si>
    <t>Boston</t>
  </si>
  <si>
    <t>MA</t>
  </si>
  <si>
    <t>United States</t>
  </si>
  <si>
    <t>feedback@MyRouteOnline.com</t>
  </si>
  <si>
    <t>1-617-232-3849</t>
  </si>
  <si>
    <t>feedback@myrouteonline.com</t>
  </si>
  <si>
    <t>Enterprises, SOHO, Individuals, Drivers.</t>
  </si>
  <si>
    <t>Our Multi-Route, Multi-Stop Route Planner allows users to upload and map multiple locations, plan their visits and get the most efficient route. Users can use the tools available to enjoy a multiple stops route planner and ensure they don’t spend too much time planning their routes or driving around.
 The optimization engine will calculate the best travel route, being the shortest/minimum time route, display it on a map &amp; email it to the user. 
 The optimizations process is based on a proprietary multiple steps “plan ahead” algorithm which has proved to result in a significant reduction of cost and time in the delivery/service markets in thousands of real life conditions. 
 The content is displayed online, using Google maps API.</t>
  </si>
  <si>
    <t>Automotive</t>
  </si>
  <si>
    <t>Bonshine</t>
  </si>
  <si>
    <t>Consumer-Oriented Software</t>
  </si>
  <si>
    <t>AF Nova Group developed Bonshine, an application that introduces a revolutionary auto cleaning service. The Bonshine waterless car wash brings advanced detailing services straight to the clients - anywhere they park, anytime they choose.</t>
  </si>
  <si>
    <t>David Gelt</t>
  </si>
  <si>
    <t>CEO</t>
  </si>
  <si>
    <t>david.geltman@bonshine.com</t>
  </si>
  <si>
    <t>http://bonshine.com</t>
  </si>
  <si>
    <t>9 Eli Cohen St.</t>
  </si>
  <si>
    <t>Tel Aviv</t>
  </si>
  <si>
    <t>info@bonshine.com</t>
  </si>
  <si>
    <t>972-1-700-70-77-75</t>
  </si>
  <si>
    <t>Car owners</t>
  </si>
  <si>
    <t>A car wash application for the cellular smart phone</t>
  </si>
  <si>
    <t>Mr.</t>
  </si>
  <si>
    <t>RB Systems</t>
  </si>
  <si>
    <t>Hardware &amp; Industrial</t>
  </si>
  <si>
    <t>R.B Systems Ltd. was founded by Mr. Doron Mishor for the development and manufacture of advanced electronic products which have since become well respected in residential and commercial industry. Over the years R.B Systems has gained a worthy reputation in 'state of the art' electronic technology. The company's product reliability and personalized customer service has secured them good standing with their clientele.</t>
  </si>
  <si>
    <t>Doron Mish</t>
  </si>
  <si>
    <t>doron@rb-sys.com</t>
  </si>
  <si>
    <t>http://www.rb-sys.com</t>
  </si>
  <si>
    <t>Tel Mond</t>
  </si>
  <si>
    <t>info@rb-sys.com</t>
  </si>
  <si>
    <t>972-153-9-796-4585</t>
  </si>
  <si>
    <t>Automotive Industry</t>
  </si>
  <si>
    <t>The Signaller is a unique and sophisticated micro-computer device that affords the driver user-friendly and safe control over the vehicle's electrical functions, from a single location. Signaller was developed using advanced "state of the art" micro-technology to ensure a reliability that comes only with quality engineering, meeting the safety requirements outlined by Govt Transportation Standards. Signaller is unique in that is does not interfere with the most advanced safety and/or interior computer technologies (CAN BUS) resident in most modern vehicles today. It is designed specifically to operate with the most sophisticated of current vehicle electronic computer systems. Despite its High-Tec attributes, Signaller maintains the advantage of being easy to install in most vehicles.</t>
  </si>
  <si>
    <t>Mobi</t>
  </si>
  <si>
    <t>MobilityInsight is developing cost effective and innovative end to end solution that includes mesh network of smart edge sensors for detecting RF signals of IOT, video analytics, I2V and other sensing technologies, combined with powerful server side analytics to support realtime multi-modal (private, public, others) transport management in cities. The I2V infrastructure created by mobilityInsight will support management applications as well as safety in the emerging market of V2X. MobilityInsight multi-disciplinary team has 15 years of expertise in fields: mini pc hardware based on ARM/Freescale; embedded software development; traffic data analytics from cellular, crowdsourcing and sensors; and business development for monetizing content in collaboration with mobile network operators MNOs.</t>
  </si>
  <si>
    <t>Dov Ganor</t>
  </si>
  <si>
    <t>dov.ganor@mobilityinsight.net</t>
  </si>
  <si>
    <t>https://www.mobilityinsight.net</t>
  </si>
  <si>
    <t>29 5083 St.</t>
  </si>
  <si>
    <t>Nazareth</t>
  </si>
  <si>
    <t>info@mobilityinsight.net</t>
  </si>
  <si>
    <t>972-4-689-1247</t>
  </si>
  <si>
    <t>sales@mobilityinsight.net</t>
  </si>
  <si>
    <t>Individuals, Retail Businesses</t>
  </si>
  <si>
    <t>Location Based Services, Analytics Engine, Network Sensors-RF signals, Internet of Things (IoT)</t>
  </si>
  <si>
    <t>Artificial Intelligence, Automotive, IoT, Smart City</t>
  </si>
  <si>
    <t>Parknav</t>
  </si>
  <si>
    <t>Parknav's solution offers easy integration and high quality performance for automotive OEMs, fleet management companies, telematics solutions and location based services. It uses artificial intelligence to know where there is open on-street parking in real-time.</t>
  </si>
  <si>
    <t>Eyal Amir</t>
  </si>
  <si>
    <t>eyal@parknav.com</t>
  </si>
  <si>
    <t>https://parknav.com</t>
  </si>
  <si>
    <t>222 West Merchandise Mart Plaza</t>
  </si>
  <si>
    <t>Chicago</t>
  </si>
  <si>
    <t>IL</t>
  </si>
  <si>
    <t>contact@parknav.com</t>
  </si>
  <si>
    <t>Automotive OEMs, Fleet management companies, Telematics solutions, Location based services.</t>
  </si>
  <si>
    <t>Parknav uses artificial intelligence to know where there is open on-street parking in real-time. It is a scalable solution that covers every street in a city, 24 hours a day, 7 days a week, for all types of on-street parking (free, metered and permit).</t>
  </si>
  <si>
    <t>Artificial Intelligence, Automotive, Big Data, Machine Learning</t>
  </si>
  <si>
    <t>Prof.</t>
  </si>
  <si>
    <t>Axilion</t>
  </si>
  <si>
    <t>Revenue Growth</t>
  </si>
  <si>
    <t>Axilion Smart Mobility is an AI Digital Twin company that empowers cities to reduce congestion, reduce pollution, and improve road safety. The company is reimagining what is possible for mobility through unique Digital Twin and AI that merges the physical and virtual worlds to help cities to see, understand, and optimize like never before. Axilion X Way, available through Microsoft Azure, helps cities tackle their mobility-related challenges and has already been proven to reduce traffic-related emissions, eliminate peak-time traffic congestion, prioritize eco-friendly travel modes, and cut journey time by up to 40%.</t>
  </si>
  <si>
    <t>Harel Hers</t>
  </si>
  <si>
    <t>Interim CEO</t>
  </si>
  <si>
    <t>harel@nextgen-biomed.com</t>
  </si>
  <si>
    <t>https://axilion.com</t>
  </si>
  <si>
    <t>Derech Begin 121, Azrieli Sarona Tower – 30th Floor</t>
  </si>
  <si>
    <t>info@axilion.com</t>
  </si>
  <si>
    <t>972-4-834-2360</t>
  </si>
  <si>
    <t>Municipalities &amp; Transit Authority, Concessionaire on BOT/BLT Projects, Traffic Engineering Offices, Smart-city Projects (Jerusalem LRT Tramway)</t>
  </si>
  <si>
    <t>X Way is unique proactive and predictive AI based traffic management solution, focusing on urban multimodal travel, safety and carbon emission reduction.</t>
  </si>
  <si>
    <t>Artificial Intelligence, Automotive, Climate Tech, IoT, SaaS, Smart City</t>
  </si>
  <si>
    <t>EZRaider</t>
  </si>
  <si>
    <t>DSRaider presents the EZRaider – a unique, new, standing-position electricall-terrain vehicle. The EZRaider creates a new category in the field of electrical mobility vehicles. The EZRaider combines powerful, go-anywhere mobility in a variety of off-road scenarios, offering operational simplicity and high reliability and durability - while ensuring the highest level of user safety. EZRaider’s line of products offers outstanding solutions for a variety of audiences, including:
 Extreme powersport and ATV fans, agriculture, tourism, personal mobility, farmers, armed forces, police, security and rescue teams, etc.
 ​</t>
  </si>
  <si>
    <t>Miki Bar</t>
  </si>
  <si>
    <t>miki@dsraider.com</t>
  </si>
  <si>
    <t>https://www.ezraider.com</t>
  </si>
  <si>
    <t>15 Atir Yeda St.</t>
  </si>
  <si>
    <t>Kfar Saba</t>
  </si>
  <si>
    <t>972-50-373-8182</t>
  </si>
  <si>
    <t>Defense &amp; Civilian</t>
  </si>
  <si>
    <t>EZRaider Vehicles: 
 EZRaider LW – An electric, light weight vehicle for fun, extreme &amp; personal mobility, and professional use 
 EZRaider HD2 – Powerful electric vehicle capable of travelling longer distances on a single charge. 
 EZRaider HD4 – Electric 4X4 wheel drive vehicle, intended for navigation under harsh conditions,such as sand dunes and deep mud
 EZRaider E-cart – An electric cart that hitches to the EZRaider. Has its own independent electric motor and battery. Can haul loads of up to 250 kg (550 pounds)</t>
  </si>
  <si>
    <t>Inpris</t>
  </si>
  <si>
    <t>Inpris's specializes in the development of advanced AI applications and human-machine interfaces. Inpris's flagship product, Mobility OS, incorporates several of our patented technologies, such as sightless touch, gesture recognition, and sightless type, to enable drivers to use infotainment and smartphone systems safely while on the road. In recent years, Inpris has been at the forefront of the emergence of Generative AI technology and have developed HumAIns, a "Dialogue to Action"™ technology that is capable of interacting naturally with users and initiating tasks outside of predetermined scenarios. HumAIns™ combines human qualities with AI capabilities, taking Generative AI to the next level and bringing AI to life.
 Inpris technologies has been recognized for their innovation, with several academic research studies finding that they are superior to those of our peers. Inpris has been granted eight patents for our various technologies, and its team of 10 employees continues to push the boundaries of Generative AI and human-machine interface technology. Inpris focuses on creating intuitive, user-friendly solutions has made it a leader in the field.</t>
  </si>
  <si>
    <t>Nissan Yar</t>
  </si>
  <si>
    <t>nissan@inprisltd.com</t>
  </si>
  <si>
    <t>https://www.humains.com</t>
  </si>
  <si>
    <t>24 Hebron Rd., JVP Media Quarter</t>
  </si>
  <si>
    <t>Jerusalem</t>
  </si>
  <si>
    <t>info@inprisltd.com</t>
  </si>
  <si>
    <t>972-2-374-0230</t>
  </si>
  <si>
    <t>Artificial Intelligence, Generative AI, Automotive, Big Data, Call Center, Software</t>
  </si>
  <si>
    <t>Based on natural language generation (NLG), Generative AI is revolutionizing the world by instantly producing professional content, stunning visuals, and endless computer code. Despite the magic, the technology’s reliance on text-to-text, image-to-image, and text-to-image inputs and outputs means that it can't be plugged into APIs or third party devices–the gateway into the real world– which vastly reduces its utility.
 In contrast, the task-based natural language understanding (NLU) technologies used to enable assistants such as Siri, Google Home, and Alexa are able to answer queries and carry out basic commands by direct voice-based requests, but their inability to operate outside of pre-determined scenarios has limited their use. 
 Taking generative AI to the next level, we have created HumAIns, a new technology that bridges NLG and NLU in order to mimic human thinking patterns and actions. Thanks to our innovative “Dialogue to Action”™ technology, HumAIns are able to carry out natural conversations with users and initiate tasks outside of pre-determined situations. These adaptable human-like qualities give HumAIns the ability to perform jobs previously only performed by people, leading to high quality results at a fraction of the cost.</t>
  </si>
  <si>
    <t>Artificial Intelligence, Automotive, Generative AI, IoT, Machine Learning, Machine Vision</t>
  </si>
  <si>
    <t>ISR</t>
  </si>
  <si>
    <t>Network Infrastructure</t>
  </si>
  <si>
    <t>ISR Corporation is well recognized as a pioneer in the mapping and tracking industry. From its start in 1986, ISR Corporation has installed custom fleet management systems for governmental and commercial customers world-wide, including the Executive Office of the President of the United States, the Office of National Drug Policy, the Drug Enforcement Agency, the Alcohol, Tobacco, and Firearms Agency, the Federal Bureau of Investigation, the US Army, the US Coast Guard, the Mayo Clinic, Los Angeles Parking Enforcement Division, General Motors Proving Grounds, and over 40 state and local law enforcement agencies.</t>
  </si>
  <si>
    <t>Yukie Novi</t>
  </si>
  <si>
    <t>CEO &amp; President</t>
  </si>
  <si>
    <t>novick@isrcorp.co.il</t>
  </si>
  <si>
    <t>https://isrtransit.com</t>
  </si>
  <si>
    <t>5 Eliav Yaakov St., Givat Shaul</t>
  </si>
  <si>
    <t>info@isrfleettrack.com</t>
  </si>
  <si>
    <t>972-2-652-0570</t>
  </si>
  <si>
    <t>Vehicle Fleets, Car Rental Companies</t>
  </si>
  <si>
    <t>ISR Corporation developed its full-featured commercial fleet management product - ISR FleetTrack- in 1995. ISR FleetTrack leads the fleet management industry with extensive features and flexibility.
 GPS- ISR FleetTrack brings powerful live tracking, multiple map views, two-way communications and reporting to a variety of computer platforms and mobile devices.</t>
  </si>
  <si>
    <t>Agam Energy</t>
  </si>
  <si>
    <t>Agam develops and manufactures innovative, energy-conserving and environmentally friendly dehumidification, heating and cooling systems. Agam’s solutions serve the needs of horticultural and agricultural industries, including nurseries and recently developed medical cannabis industries in greenhouses, indoor cultivation and fixed structures.</t>
  </si>
  <si>
    <t>Ofer Spott</t>
  </si>
  <si>
    <t>ofer@agam-energy.com</t>
  </si>
  <si>
    <t>http://agam-greenhouses.com/</t>
  </si>
  <si>
    <t>4 Hayetzira St., Industrial Park</t>
  </si>
  <si>
    <t>Kiryat Malachi</t>
  </si>
  <si>
    <t>sales@agam-energy.com</t>
  </si>
  <si>
    <t>972-8-940-3050</t>
  </si>
  <si>
    <t>agammm@netvision.net.il</t>
  </si>
  <si>
    <t>Greenhouses, Swimming Halls, Automotive Industry, Buildings, Malls</t>
  </si>
  <si>
    <t>The company meets the challenge of energy conservation by using its innovative heat exchange system. Air is directly cooled or heated by special salt solutions. The characteristics of these solutions give the following advantages over conventional air conditioning and dehumidification systems: 
 (1) Greater dehumidification capacity for the air conditioning units enables the best combination of air conditioning and dehumidification.
 (2) Air conditioning systems can operate in heating mode at ambient temperatures that are much lower than those of conventional air conditioning systems.
 (3) The better performance of the units is matched by better efficiency and therefore, lower energy consumption.</t>
  </si>
  <si>
    <t>Makalu Optics</t>
  </si>
  <si>
    <t>Makalu Optics is a disruptive leader in vision technology, specializing in advanced lidar platforms for 3D perception. The company's mission is to tackle life-saving, seemingly impossible vision challenges with innovative systems. Makalu's solutions are deployed across homeland security, large infrastructure safety and automation, as well as enhancing driver safety and enabling autonomous capabilities in vehicles.</t>
  </si>
  <si>
    <t>Sagie Tsad</t>
  </si>
  <si>
    <t>sagie@makaluoptics.com</t>
  </si>
  <si>
    <t>https://www.makaluoptics.com</t>
  </si>
  <si>
    <t>19 Eli Horovitz St</t>
  </si>
  <si>
    <t>Rehovot</t>
  </si>
  <si>
    <t>info@makaluoptics.com</t>
  </si>
  <si>
    <t>972-54-323-3092</t>
  </si>
  <si>
    <t>contact-us@makaluoptics.com</t>
  </si>
  <si>
    <t>Autonomous vehicles industry, Homeland security, Large infrastructures.</t>
  </si>
  <si>
    <t>Makalu Optics develops low cost, long range 4D LiDAR systems for autonomous vehicles (cars, drones, robots) and other applications.</t>
  </si>
  <si>
    <t>Automotive, Drones, Robotics</t>
  </si>
  <si>
    <t>Tortech</t>
  </si>
  <si>
    <t>Tortech has an exclusive license to use the patented technology developed at the Cambridge University for the manufacturing of continuous Carbon Nano Tube (CNT) fibers and non-woven mats with superior physical properties directly from gas phase reaction. In contrary to many other manufacturers which produce CNT in a form of powder, Tortech has the technology to produce continues fibers and non- woven mats made mainly of long (1-2 mm) carbon nano-tubes. This material has superior properties to conventional carbon fibers in terms of mechanical and electrical Tortech are aiming at is membranes for water purification. This is a huge emerging worldwide market. Lately, many attempts are made to improve membrane's characteristics and performance by using CNT. They are aware of studies made for oil-sands process-affected water treatment, "point of use" water treatment (purification in remote areas), etc. They believe that introducing our unique CNT product to filter design, may improve significantly the struggle with fouling, the energy consumption and the maintainability of the filters.</t>
  </si>
  <si>
    <t>Shuki Yesh</t>
  </si>
  <si>
    <t>shuki@nanopass.com</t>
  </si>
  <si>
    <t>https://www.tortechnano.com</t>
  </si>
  <si>
    <t>Haim Hertzog St. , Koren industrial park</t>
  </si>
  <si>
    <t>Maalot-Tarshiha</t>
  </si>
  <si>
    <t>972-54-287-3386</t>
  </si>
  <si>
    <t>info@tortechcntf.com</t>
  </si>
  <si>
    <t>Water treatment industries , Waste management industriesm, Potable water consumers (municipalities or companies that are in charge of supplying potable water to the population).</t>
  </si>
  <si>
    <t>Tortech Nano Fibers Ltd produces non-woven CNT mats by continues CVD process. Our technology yields macroscopic sheets made purely from CNTs, mainly extremely long (up to 2 mm) CNTs, without any addition of binders or the use of external pressure. Our current sheets sizes is 0.4 X 1.2 meter with an average thickness of 100 µm but can be made as thick, or thin as desired. Due to the high aspect ratio of the CNTs we produce, and the unique method of production our sheets have superior mechanical properties in comparison to current commercial Buckypaper. This also leads to excellent electrical properties in comparison to current commercial membranes (which are mostly insulating), or Buckypaper, as our mats have specific conductivity values at the range of 1e5 S/m/(gr/cm^3). As the sheets we fabricate are made only from CNTs, which are chemically inert, our products can be used in corrosive environments as well. This also leads to the high thermal stability of our mats that can withstand temperatures of more than 400 ºC without being oxidized.</t>
  </si>
  <si>
    <t>Automotive, Climate Tech</t>
  </si>
  <si>
    <t>TamiCare</t>
  </si>
  <si>
    <t>Cleantech</t>
  </si>
  <si>
    <t>Tamicare manufactures 3D printing machinery to print fabrics. The product can be used to create finished textile products. It company caters to sportswear, wearable, fashion, medical, hygiene, cosmetics, interior, footwear and automotive industry.</t>
  </si>
  <si>
    <t>Tamar Gilo</t>
  </si>
  <si>
    <t>tamar.giloh@tamicare.com</t>
  </si>
  <si>
    <t>https://www.tamicare.com</t>
  </si>
  <si>
    <t>Pilsworth Rd., Broadfield Business Park, Unit 4</t>
  </si>
  <si>
    <t>Heywood</t>
  </si>
  <si>
    <t>OL10 2TA</t>
  </si>
  <si>
    <t>United Kingdom</t>
  </si>
  <si>
    <t>info@tamicare.com</t>
  </si>
  <si>
    <t>44-170-6360-937</t>
  </si>
  <si>
    <t>Sportswear, Wearable, Fashion, Medical, Hygiene, Cosmetics, Interior, Footwear and Automotive industry.</t>
  </si>
  <si>
    <t>Cosyflex is a product that enables numerous possibilities for patterns and textures. Being versatile, it allows for a variety of attributes in different parts of the same sheet of fabric, seamlessly and without sewing.</t>
  </si>
  <si>
    <t>Ms.</t>
  </si>
  <si>
    <t>Virtual Extension</t>
  </si>
  <si>
    <t>Virtual Extension develops and manufactures wireless networks for IoT / M2M applications. These include smart lighting control (street, highway and indoor), smart metering (electricity, water, gas and hybrid), as well as similar industrial, security and automotive applications that require robust and fully bi-directional networking capabilities. All Virtual Extension products use VEmesh™ patented technology for utmost communication robustness and resilience, instant addition and removal of nodes, unlimited number of nodes and hops, programmability, mobility, low and deterministic latency, as well as low power consumption, all for achieving its customers the highest performance and best total cost of ownership.</t>
  </si>
  <si>
    <t>Yariv Oren</t>
  </si>
  <si>
    <t>yariv@virtual-extension.com</t>
  </si>
  <si>
    <t>http://www.virtual-extension.com</t>
  </si>
  <si>
    <t>5 Menachem Begin Blvd.</t>
  </si>
  <si>
    <t>Beit Dagan</t>
  </si>
  <si>
    <t>info@virtual-extension.com</t>
  </si>
  <si>
    <t>972-3-732-1207</t>
  </si>
  <si>
    <t>In lighting, the target markets are Luminaire Manufacturers, Lighting Control Manufacturers, Solution Providers and Integrators. Other target markets are of Smart Grid, WSN (Wireless Sensors Networks) and Security - Defense integrators, systems manufacturers and solution providers. Virtual Extension sales are to local and all international market segments.</t>
  </si>
  <si>
    <t>VEmesh uses a low bit rate, highly synchronized, TDMA bi-directional communication scheme designed to be the wireless part of the IoT (Internet of Things) / M2M. As such, it uses the most advanced network topology available – mesh, and operates in the license-free ISM bands. Still, VEmesh key advantages stem from the use of synchronized-flooding rather than routing. Synchronized-flooding networks benefit from the built-in space diversity, augmented by VEmesh time and frequency diversity, to achieve fully transparent bi-directional networks with the highest performance achievable in class.</t>
  </si>
  <si>
    <t>Automotive, Construction Tech, IoT, Smart City</t>
  </si>
  <si>
    <t>ACS</t>
  </si>
  <si>
    <t>Aero-Magnesium supplies a wide range of technological solutions and high-end magnesium parts and sub-assemblies of civil applications to the aerospace, space and electro-optics industries worldwide. The company offers an end-to-end solution, specializing in material investigation, application oriented Mg alloys selection, metal processing (design and industrial implementation), surface technology and assembly procedures.</t>
  </si>
  <si>
    <t>Yonatan He</t>
  </si>
  <si>
    <t>yonatan.henn@aero-magnesium.com</t>
  </si>
  <si>
    <t>https://aero-magnesium.com</t>
  </si>
  <si>
    <t>Kibbutz Ein Harod Ihud</t>
  </si>
  <si>
    <t>info@aero-magnesium.com</t>
  </si>
  <si>
    <t>972-4-653-0854</t>
  </si>
  <si>
    <t>Aircraft, military, automotive electronic, aerospace, space, defense and electro-optics industries.</t>
  </si>
  <si>
    <t>An end-to-end solution, specializing in material investigation, application oriented Mg alloys selection, metal processing (design and industrial implementation), surface technology and assembly procedures.</t>
  </si>
  <si>
    <t>Automotive, Defense Tech, SpaceTech</t>
  </si>
  <si>
    <t>CQM</t>
  </si>
  <si>
    <t>CQM is led by a multi-disciplinary team of energy and industry experts. The company plays an active role in the fouling mitigation arena, with its ATCS technology Automatic Tube Cleaning System for online cleaning of Shell and Tube Heat Exchangers, and its SRCT technology electrolysis based non-chemical water treatment for cooling tower. Legionella prevention drinking water chlorination with comprehensive services in the areas of manufacturing, customer service, R&amp;D, engineering, marketing and sales. CQM fully complies with the CE Directives, ISO 9001:2000 and Green Label Certification Standards. CQM’s systems are installed worldwide, in industry, petrochemical plants, power plants, commercial structures (hotels, hospitals, and office buildings) and more. 
 While the automatic cleaning and water treatment technologies of CQM are protected by international patents, the support and confidence on CQM's products has been earned from thousands of installations in over 30 countries, with satisfied customers who have had the opportunity to compare and enjoy the benefits of CQM's solutions. 
 All products and services provided by CQM are fully compliant with CE Directives, ISO 9001:2000 and Green Label Certification standards.</t>
  </si>
  <si>
    <t>Zvi Livni</t>
  </si>
  <si>
    <t>ziki@cqm-tech.com</t>
  </si>
  <si>
    <t>https://cqm-group.com</t>
  </si>
  <si>
    <t>12 Hazorfim St.</t>
  </si>
  <si>
    <t>Lod</t>
  </si>
  <si>
    <t>info@cqm-tech.com</t>
  </si>
  <si>
    <t>972-3-973-2080</t>
  </si>
  <si>
    <t>Process plants, industrial plants, electronic plants, automotive plants, hotel chains, hospitals, shopping centers, office buildings, power plants, refineries.</t>
  </si>
  <si>
    <t>The systems are designed to face the main management and efficiency problem of Central Cooling Systems - " the arterial calcification" of condensers. The crystallization of sediments and scale in water condensers lowers efficiency and, inversely, raises the required power consumption by significant rates expressed in tens of thousands of dollars per cooling / conditioning season. CQM proposes a preventive mechanical system, which prevents the sediments from reaching any measure of crystallization and continuously removes the scale suspensions from the system.
 Applications:
 Steam condensers heat transfer optimization
 Tube and shell heat exchangers continuous cleaning
 Air conditioning chillers energy efficiency optimization
 Open and evaporative cooling towers chemical-free water treatment
 Large scale cooling towers chemical-free water treatment
 Chilled water circuits unclogging water treatment
 Chlorine generation equipment for industrial applications
 Zero Legionella and bacteria count water treatment
 Drinking water chlorination and purification</t>
  </si>
  <si>
    <t>C.En</t>
  </si>
  <si>
    <t>C.En uses hollow glass fibers to make a hydrogen storage system that is free in shape, safe, low weight and features a quick refueling process. Their technology demonstrates the feasibility of using hydrogen for transportation, electronics, and military applications.</t>
  </si>
  <si>
    <t>Moshe Ster</t>
  </si>
  <si>
    <t>https://www.cenh2.com</t>
  </si>
  <si>
    <t>Bahnhofstrasse 26</t>
  </si>
  <si>
    <t>Altdorf</t>
  </si>
  <si>
    <t>UR -6460</t>
  </si>
  <si>
    <t>Switzerland</t>
  </si>
  <si>
    <t>info@cenh2.com</t>
  </si>
  <si>
    <t>97-254-433-3969</t>
  </si>
  <si>
    <t>Glass hollow fibers have an extraordinary high theoretical strength up to 12.9 GPa. Decreasing the size of the glass hollow fibers results in increasing strength. The hexagonal structures ensure the highest packing density and enlarge the storage capacity to maximum. The modular assembling allows for extraordinary shapes and geometries due to the freedom in spatial directions. The amount of hydrogen can be customized to all applications, from less than one liter up to thousands of liters. The developed technology adopts outstanding characteristics of the material glass:
 A high tensile strength, three times higher than steel, leads to extraordinary pressure resistances of hollow glass fibers used for hydrogen storage.</t>
  </si>
  <si>
    <t>ADAM Cogtech</t>
  </si>
  <si>
    <t>ADAM monitors driver’s perception and attention in Real time, while analyzing the required cognitive resources toward prioritized content, redirect the drivers’ attention to the new destination, keeping them during or before transfer of control as relaxed he could be for optimal response, during or before transfer of control. The company is focused on providing software solutions for the measurement and enhancement of human cognitive performance for safety critical operations, such a driving, human machine cooperation and more.</t>
  </si>
  <si>
    <t>Yair Beery</t>
  </si>
  <si>
    <t>Co-Founder</t>
  </si>
  <si>
    <t>http://adam-cogtec.com</t>
  </si>
  <si>
    <t>6 Argaman St.</t>
  </si>
  <si>
    <t>Beit Yehoshua</t>
  </si>
  <si>
    <t>info@adam-cogtec.com</t>
  </si>
  <si>
    <t>972-54-453-7628</t>
  </si>
  <si>
    <t>Drivers.</t>
  </si>
  <si>
    <t>ADAM CogTec is a platform focused on providing seamless and safe handover between the machine and the driver.</t>
  </si>
  <si>
    <t>Nuel</t>
  </si>
  <si>
    <t>Nuel is a clean tech company dedicated to helping businesses reduce their carbon footprint or trade in green credits. It utilizes an exclusive, patented technology that makes fuel cleaner, contributing to a more sustainable future.</t>
  </si>
  <si>
    <t>Shoham Gab</t>
  </si>
  <si>
    <t>https://nuel.co.il</t>
  </si>
  <si>
    <t>8 Yaldei Teheran St.</t>
  </si>
  <si>
    <t>Rishon Le-Zion</t>
  </si>
  <si>
    <t>service@nuel.co.il</t>
  </si>
  <si>
    <t>972-50-755-5928</t>
  </si>
  <si>
    <t>Vehicles Manufacturers.</t>
  </si>
  <si>
    <t>Nuel is an innovative technological advancement that enhances fuel efficiency and reduces GHG. By improving combustion processes, Nuel significantly lowers greenhouse gas emissions. Additionally, Nuel provides customers certification from an international body, enabling them to trade or offset verified carbon credits.</t>
  </si>
  <si>
    <t>Ototo</t>
  </si>
  <si>
    <t>Ototo was founded by a serial entrepreneur and mathematician with over 20 years of experience and a proven track record of developing successful algorithms across various industries. They are a lean startup with R&amp;D based in London, a product and European sales office in Berlin—led by an automotive industry veteran with deep technical expertise—and a sales office in Japan, headed by an expert with extensive experience in the Japanese automotive industry.</t>
  </si>
  <si>
    <t>Ron Maor</t>
  </si>
  <si>
    <t>https://www.ototo.tech</t>
  </si>
  <si>
    <t>London</t>
  </si>
  <si>
    <t>info@ototo.tech</t>
  </si>
  <si>
    <t>Autonomous driving market.</t>
  </si>
  <si>
    <t>Automotive.</t>
  </si>
  <si>
    <t>Artificial Intelligence, Automotive</t>
  </si>
  <si>
    <t>Incentives Solutions</t>
  </si>
  <si>
    <t>Incentives Solutions provides cloud based Incentives &amp; Commission Management platforms to help companies achieve their maximum business potential through enhanced focus on sales achievements, simplified processes and increased control over budgets. Through comprehensive practices, simulation tools and detailed daily prescriptive information, organizations are empowered to keep their employees engaged, focused and motivated all day, every day. As a result, Incentives Solutions customers experience significant growth and enhanced competitive edge leading to better bottom line. 
 Incentives Solutions is a leading vendor for holistic measurement and reward systems designed to produce quick time to value, low total cost of ownership and a high return on investment.</t>
  </si>
  <si>
    <t>Amir Fishs</t>
  </si>
  <si>
    <t>amir@incentives-solutions.com</t>
  </si>
  <si>
    <t>http://www.incentives-solutions.com</t>
  </si>
  <si>
    <t>6 Habonim St.</t>
  </si>
  <si>
    <t>Netanya</t>
  </si>
  <si>
    <t>info@incentives-solutions.com</t>
  </si>
  <si>
    <t>972-9-865-4477</t>
  </si>
  <si>
    <t>marketing@incentives-solutions.com</t>
  </si>
  <si>
    <t>Medium &amp; Large Enterprises, SMBs - Financial Services, Media &amp; Entertainment, Telecommunication, Automotive , High-Tech, Food &amp; Beverage – FMCG, Life Sciences, Travel and Airlines, Direct Marketing and Advertising Markets</t>
  </si>
  <si>
    <t>Cloud Computing, Sales Performance Management, Service Performance Management, Enterprise Compensation Management, Incentives Management, Performance Optimization, Sales Channel Management, Workforce Performance Management, SaaS, Compensation Methodology</t>
  </si>
  <si>
    <t>Automotive, Gaming, Marketing Tech, SaaS</t>
  </si>
  <si>
    <t>Apollo Power</t>
  </si>
  <si>
    <t>Apollo Power is a company focused on the development and manufacturing of solar energy solutions in the renewable energy sector. The company's main offerings include lightweight and flexible solar films that can transform any surface into an energy source. Apollo Power primarily serves the automotive and construction industries with its innovative solar solutions.</t>
  </si>
  <si>
    <t>Oded Rozen</t>
  </si>
  <si>
    <t>oded@apollo-power.com</t>
  </si>
  <si>
    <t>https://www.apollo-power.com</t>
  </si>
  <si>
    <t>6 Hayetzira St.</t>
  </si>
  <si>
    <t>Yoqneam Ilit</t>
  </si>
  <si>
    <t>info@apollo-power.com</t>
  </si>
  <si>
    <t>972-4-907-1515</t>
  </si>
  <si>
    <t>Automotive - OEMs &amp; Car Fleets, Construction, Private homes, Municipalities, Off grid utilities.</t>
  </si>
  <si>
    <t>Solar Energy, Flexible Solar Film, Solar Awning, Solar Pavement, Floating photovoltaics (FPV).</t>
  </si>
  <si>
    <t>Automotive, Blockchain, Climate Tech, Drones, FinTech, SpaceTech</t>
  </si>
  <si>
    <t>OPSYS Tech</t>
  </si>
  <si>
    <t>OPSYS is a fast growing private company providing solutions for a wide range of applications utilizing fiber optics technologies. OPSYS is a spinoff from a world wide leading optical communication company. In addition to OPSYS existing product line in the optical communication market, OPSYS is also involved in the development of products and technologies for new applications in the optical market such as autonomous vehicle control and intelligent sensors.</t>
  </si>
  <si>
    <t>Rafi Harel</t>
  </si>
  <si>
    <t>rafi.harel@opsys-tech.com</t>
  </si>
  <si>
    <t>https://www.opsys-tech.com</t>
  </si>
  <si>
    <t>26 Harokmim St., Azrieli Center Holon, Building A, 8th floor</t>
  </si>
  <si>
    <t>Holon</t>
  </si>
  <si>
    <t>info@opsys-tech.com</t>
  </si>
  <si>
    <t>972-52-281-3733</t>
  </si>
  <si>
    <t>Automotive Tier 1 and OEMs and Telecommunication companies</t>
  </si>
  <si>
    <t>Opsys-Tech LIDAR is true solid-state system with no moving parts. Their approach (patent pending) supports a refresh rate of 1KHz for the full field of view, enabling outstanding object detection capabilities. With small size and low cost, the system also provides maximum flexibility in sensor placement and integration, fitting the needs of a wide variety of customers. 
 OPSYs offers RF over Fiber links for up to 20GHz RF signals. Additional digital/discrete signals for monitoring and control handled with our Rugged Media Converters. Our modular design addresses various performance requirements, with optional RF amplification, optional optical amplification, indoors and outdoors packaging, electrical or optical multiplexing (WDM, CWDM, DWDM).</t>
  </si>
  <si>
    <t>Hi Auto</t>
  </si>
  <si>
    <t>Hi Auto is a developer of a speech recognition platform, designed to upgrade the drive-thru experience with conversational AI. The company's AI-based platform offers voice command software for vehicles and embedded systems with a microphone and a camera that use deep learning to track the driver's lips to distinguish their voice commands from other voices in the car, enabling users to carry on uninterrupted voice conferencing whenever required on the go manner.</t>
  </si>
  <si>
    <t>Roy Bahara</t>
  </si>
  <si>
    <t>roy@hi.auto</t>
  </si>
  <si>
    <t>https://hi.auto</t>
  </si>
  <si>
    <t>114 Yigal Alon St., ToHa Tower</t>
  </si>
  <si>
    <t>info@hi.auto</t>
  </si>
  <si>
    <t>972-54-492-2003</t>
  </si>
  <si>
    <t>Quick-service restaurant (QSR) industry.</t>
  </si>
  <si>
    <t>Hi Auto’s SaaS platform automates the drive-thru ordering process, utilizing advanced AI voice technology. The company offers a solution that can maintain high accuracy and consistency, even during peak times and allows businesses to better manage their labor force and reduce reliance on human workers for routine tasks.</t>
  </si>
  <si>
    <t>NNG</t>
  </si>
  <si>
    <t>NNG is the leading navigation solution provider for the Automotive, Personal and Wireless navigation markets, offering on-board 3D navigation applications that incorporate connected features and a universal online update portal. The core technology is based on the standard-setting iGO Navigation Engine, comprising of innovative navigation software, fluid User Interfaces and related content and services to device manufacturers, auto makers, network operators, professional transport specialists and individual users globally.</t>
  </si>
  <si>
    <t>Gábor Blas</t>
  </si>
  <si>
    <t>https://nng.com</t>
  </si>
  <si>
    <t>35-37 Szépvölgyi St.</t>
  </si>
  <si>
    <t>Budapest</t>
  </si>
  <si>
    <t>Hungary</t>
  </si>
  <si>
    <t>info@igomyway.com</t>
  </si>
  <si>
    <t>36-1-872 0000</t>
  </si>
  <si>
    <t>info@nng.com</t>
  </si>
  <si>
    <t>Drivers, Automotive Industry, Cellular Market, PND Users.</t>
  </si>
  <si>
    <t>NavFusion Platform
 NNG’s NavFusion Platform delivers a complete OEM-branded ecosystem. NavFusion connects deeply integrated in-dash navigation with the driver’s smartphone and cloud services for a more intelligent and predictive use of navigation in the car.
 The NNG Assistant, powered by iNAGO, is a feature rich TTS system that communicates more intelligently with the driver
 Ability to understand natural speech patterns
 Lets drivers make detailed and hands-free commands and search requests
 Makes driving easier and more intuitive 
 Safer driving: hands on the wheel, eyes on the road
 iGO Navigation software is currently installed in more than 20 million devices throughout the world. Based on supplier agreements with 16 Tier1s delivering to over 30 car brands, NNG intends to ship another 30 million licenses in the coming years. NNG continues to develop global markets for navigation solutions through 8 company branches, including Hungary, Israel, Switzerland, India, Australia, China, and the United States (2x).</t>
  </si>
  <si>
    <t>CompuLab</t>
  </si>
  <si>
    <t>Semiconductors</t>
  </si>
  <si>
    <t>CompuLab is a leading manufacturer of innovative energy efficient computers. CompuLab product portfolio ranges from board level products such as CoM and SBC to complete systems. Compulab mini-PC computers are recognized as the smallest, most durable and highly integrated PCs in the industry and as such are integrated in thousands of applications ranging from robotics and airborne to signage and surveillance systems. Compulab is mastering in thermal design and specializing in development of fanless solutions, which are essential for harsh environments in which cooling by electric fan affects reliability.</t>
  </si>
  <si>
    <t>Gideon Yam</t>
  </si>
  <si>
    <t>https://www.compulab.com</t>
  </si>
  <si>
    <t>17 HaYetzira Street , Moradot HaCarmel Industrial Park</t>
  </si>
  <si>
    <t>Yoqneam</t>
  </si>
  <si>
    <t>sales@compulab.co.il</t>
  </si>
  <si>
    <t>972-4-829-0100</t>
  </si>
  <si>
    <t>Digital Signage, Telecommunication Systems, Automotive Devices, Robotics, Gaming Systems, Medical Devices, Aerospace and Marine Systems.</t>
  </si>
  <si>
    <t>ARM Computer-on-Modules, IoT Gateways, Single Board Computers, Industrial PC's.</t>
  </si>
  <si>
    <t>Automotive, IoT, Robotics, SpaceTech</t>
  </si>
  <si>
    <t>Autobrains</t>
  </si>
  <si>
    <t>Autobrains is a leading AI mobility company, radically rethinking AI for the safest route from ADAS to full autonomy. Revolutionizing how deep learning is applied, Autobrains’ patented self-learning and signature-based AI is a new approach to perception, closing the technology gaps toward the safest human-driven and autonomous car possible. The product portfolio offers modular, highly efficient entry-level, volume, premium, and luxury software solutions - covering all autonomous driving levels</t>
  </si>
  <si>
    <t>Igal Raich</t>
  </si>
  <si>
    <t>igal.raichelgauz@autobrains.ai</t>
  </si>
  <si>
    <t>https://autobrains.ai</t>
  </si>
  <si>
    <t>52 Menachem Begin St.</t>
  </si>
  <si>
    <t>info@autobrains.ai</t>
  </si>
  <si>
    <t>972-50-697-5097</t>
  </si>
  <si>
    <t>Automobile Manufacturers, Automotive &amp; Mobility industries.</t>
  </si>
  <si>
    <t>Autobrains AI software is hardware agnostic, meaning it can work with cameras, radar, lidar or a combination of those systems and on any chipset. It is a signature-based and self-learning AI solution. In short, it doesn’t need to be trained by a human for every possible driving scenario or possible object on the road, instead, it is developed to recognize patterns within the driving environment by itself. It clusters those patterns to understand its environment and react reliably in each scenario. Autobrains AI dramatically cuts the cost of AI for autonomous and advanced driver assistance systems by eliminating extensive data labeling costs as well as significantly reducing in-vehicle chip processing, cloud-storage and processing, therefore reducing overall hardware costs.</t>
  </si>
  <si>
    <t>TriEye</t>
  </si>
  <si>
    <t>TriEye is a developer of short-wave infrared imaging systems, designed to save lives and reduce risks of accidents in all weather and lighting conditions. The company's semiconductor technology and products are used to accelerate pixel level in a camera, which solves the automotive low-visibility challenge by providing cost-effective and enhanced resolution, enabling clients to equip their autonomous vehicles with optimal sight under common low visibility conditions.</t>
  </si>
  <si>
    <t>Avi Bakal</t>
  </si>
  <si>
    <t>https://trieye.tech</t>
  </si>
  <si>
    <t>82 Yigal Alon St.</t>
  </si>
  <si>
    <t>info@trieye.tech</t>
  </si>
  <si>
    <t>Automotive industry, industrial plants, autonomous mobile robots, consumer &amp; mobile sectors.</t>
  </si>
  <si>
    <t>TriEye pioneered the world’s first CMOS-based Short-Wave Infrared (SWIR) sensing solution, offering the unique capabilities of SWIR for mass-market applications. Based on advanced nanophotonics research, the company’s novel and proprietary technology delivers high resolution, reliable and actionable image data in all visibility conditions at a lower cost.</t>
  </si>
  <si>
    <t>Automotive, Deep Tech, Industry 4.0, Machine Vision, Robotics</t>
  </si>
  <si>
    <t>Enervibe</t>
  </si>
  <si>
    <t>Enervibe is developing devices, known as "Vibration Energy Harvesters" (VEH), devices that convert mechanical energy into electrical energy. The company's devices focus on the optimization of mechanical to electrical energy conversion and increase data integrity for monitoring systems, enabling clients to have products that are environmentally friendly and productive.</t>
  </si>
  <si>
    <t>Offer Shac</t>
  </si>
  <si>
    <t>offer@enervibe.co</t>
  </si>
  <si>
    <t>https://enervibe.co</t>
  </si>
  <si>
    <t>1 Golan St., Bareket Building No.1</t>
  </si>
  <si>
    <t>Airport City</t>
  </si>
  <si>
    <t>contact@enervibe.co</t>
  </si>
  <si>
    <t>Military, Sport shoe manufacturers, Automotive industry, Vehicle fleet managers.</t>
  </si>
  <si>
    <t>Enervibe develops a variety of dynamic VEH products and VEH complementaries such as Power Managements and Sensors. Its products provide an opportunity for self-powered, battery-less devices as long as they are subject to a mechanical or environmental movement that can be transferred to electrical energy.</t>
  </si>
  <si>
    <t>Automotive, Climate Tech, Deep Tech, Industry 4.0, IoT</t>
  </si>
  <si>
    <t>XJet</t>
  </si>
  <si>
    <t>XJet is a provider of ground-breaking metal and ceramic additive manufacturing technologies and solutions. XJet developed and introduced the revolutionary NanoParticle Jetting™ technology. With a decade of research behind it, XJet NPJ technology enables the production of metal or ceramic parts with the same ease and versatility of inkjet printing without compromising throughput or quality. XJet’s world-class team of skilled industry veterans and dynamic R&amp;D specialists holds over 80 registered and pending patents. Leveraging its proprietary technology and proven expertise, XJet is redefining the metal and ceramic AM industries.</t>
  </si>
  <si>
    <t>Guy Zimmer</t>
  </si>
  <si>
    <t>guy.zimmerman@xjet3d.com</t>
  </si>
  <si>
    <t>https://xjet3d.com</t>
  </si>
  <si>
    <t>4 Oppenheimer St., Science Park</t>
  </si>
  <si>
    <t>info@xjet3d.com</t>
  </si>
  <si>
    <t>972-73-269-4620</t>
  </si>
  <si>
    <t>Metal and Ceramic AM industries.</t>
  </si>
  <si>
    <t>3D metal jetting system offers to produce ceramic or metal parts with complex geometries with the ease and versatility of inkjet printing, enabling clients to avail operational simplicity.</t>
  </si>
  <si>
    <t>Automotive, Deep Tech, Industry 4.0, IoT</t>
  </si>
  <si>
    <t>MIA Dynamics</t>
  </si>
  <si>
    <t>MIA Dynamics delivers a revolutionary all-terrain quad wheel platform that is tailored to the smart mobility landscape. The company's mission is to create a new standard of efficiency &amp; resilience that will proliferate cities globally with its collection of revolutionary micro e-vehicles that bear a unique green footprint.</t>
  </si>
  <si>
    <t>Itsik Cald</t>
  </si>
  <si>
    <t>itsik@miadynamics.com</t>
  </si>
  <si>
    <t>http://www.miadynamics.com</t>
  </si>
  <si>
    <t>5 Walter Moses St., Alon Towers, 2nd Tower, 31th Floor</t>
  </si>
  <si>
    <t>info@miadynamics.com</t>
  </si>
  <si>
    <t>Micro-mobility sector, Operators, Municipalities, Tourism, Defense &amp; Security, First Responders, Leisure (Fishing &amp; Camping, Hunting, Golf).</t>
  </si>
  <si>
    <t>Patented Quad wheel platform, micro e-vehicles.</t>
  </si>
  <si>
    <t>Automotive, Defense Tech</t>
  </si>
  <si>
    <t>Make My Day</t>
  </si>
  <si>
    <t>Make My Day helps Drivers and fleets shift to EVs and manage the charging of the vehicles. the company offers EV Route planner for drivers, full Fleet electrification solutions, EV fleet management system and EV charging optimization, to seamlessly adopt EV fleets, saving time, money, and operational resources. All the solutions can be provided as an API or as a white label.</t>
  </si>
  <si>
    <t>Nisan Katz</t>
  </si>
  <si>
    <t>nisan@makemydayapp.com</t>
  </si>
  <si>
    <t>https://makemydayapp.com</t>
  </si>
  <si>
    <t>121 Deborah HaNaviya St.</t>
  </si>
  <si>
    <t>info@makemydayapp.com</t>
  </si>
  <si>
    <t>972-54-774-5401</t>
  </si>
  <si>
    <t>Energy companies, Charging point operators, OEMSs, Automotive Leaders, Fleet management system companies, Fleets.</t>
  </si>
  <si>
    <t>AI/ML uses a unique algorithms for charging optimization and battery prediction.</t>
  </si>
  <si>
    <t>Artificial Intelligence, Automotive, Big Data, Climate Tech, Machine Learning, SaaS</t>
  </si>
  <si>
    <t>Tour Engine</t>
  </si>
  <si>
    <t>Tour Engine is developing a revolutionary opposed-cylinder split-cycle internal combustion engine that increases the engine efficiency by over 50% and drastically reduces emissions; based on standard cylinder/piston technology. The company designed and built an operating split-cycle TourEngine™ prototype. Together with a positive feasibility report from one of the leading provider of engineering services to the world's automotive industry, and positive results from two independent thermodynamic studies conducted by consultants out of academia and a leading US national laboratory, and verified by a third independent thermodynamic study by a team at a major OEM, Tour Engine is focusing on developing and testing the next generation of prototypes.</t>
  </si>
  <si>
    <t>Oded Tour</t>
  </si>
  <si>
    <t>oded@tourengine.com</t>
  </si>
  <si>
    <t>https://www.tourengine.com</t>
  </si>
  <si>
    <t>3 Hacharutzim St.</t>
  </si>
  <si>
    <t>info@tourengine.com</t>
  </si>
  <si>
    <t>972-8-634-3426</t>
  </si>
  <si>
    <t>Manufacturers.</t>
  </si>
  <si>
    <t>TourEngine™ is a patented opposed-cylinder split-cycle combustion engine with the potential for substantial efficiency gain as a result of its superior thermal management. It also offers significant reduction in noxious emissions. Notably, compared to hybrid and electric engine technologies that offer improved efficiency but are expensive and complex, TourEngine™ is simple as it is based solely on current cylinder/piston technology.
 The TourEngine™ splits the conventional 4-stroke cycle between two opposing cylinders: a Cold-Cylinder that hosts the intake and compression strokes, and a Hot-Cylinder that hosts the combustion and exhaust strokes. Splitting the cycle allows flexibility in the design and thermal management, consequently leading to improved energy utilization. The direct coupling of the two cylinders, a fundamental deviation from previously proposed split-cycle designs, minimizes the potential losses from splitting the cycle.
 Overall, TourEngine™ presents a cost-effective alternative with a substantial increase in engine efficiency and an opportunity to revolutionize the way combustion engines are built.</t>
  </si>
  <si>
    <t>Donisi</t>
  </si>
  <si>
    <t>Digital Health</t>
  </si>
  <si>
    <t>Donisi supports patients with CHF and other chronic cardiopulmonary diseases, helping them avoid rehospitalization through simple daily monitoring of key health biomarkers that support timely detection of changes in lung fluid content.
 In April 2021, Donisi received FDA clearance for the Gili Pro BioSensor's ability to remotely detect heart rate and respiratory rate simultaneously. The company is now working to expand the clinical scope of the Gili system and plans to submit for clearance for at-home identification of pulmonary congestion later this year.
 Donisi has the only clinically validated contact-free technology that can remotely detect signs of pulmonary congestion and additional bio-parameters in the home. Donisi's easy-to-use technology works free from wires, patches, and wearables and is backed by 11 granted patents. It detects and analyzes multiple health bio-indicators simultaneously, providing a platform for managing patients with multiple chronic conditions and co-morbidities, and delivering clinically meaningful insights and notifications of changes in key health indicators.</t>
  </si>
  <si>
    <t>Yair Brosh</t>
  </si>
  <si>
    <t>yair.brosh@donisihealth.com</t>
  </si>
  <si>
    <t>https://donisihealth.com</t>
  </si>
  <si>
    <t>HaBarzel 32b</t>
  </si>
  <si>
    <t>info@cu-bx.com</t>
  </si>
  <si>
    <t>972-77-521-5560</t>
  </si>
  <si>
    <t>Organizations.</t>
  </si>
  <si>
    <t>At ContinUse Biometrics, they utilize unique and patented methods for Nano-level detection and analysis of vibrations associated with movement of internal organs and of molecules.</t>
  </si>
  <si>
    <t>AgeTech, Automotive, Digital Health, IoT</t>
  </si>
  <si>
    <t>Steerlinq</t>
  </si>
  <si>
    <t>SteerLinq is the remote-control / vehicle-conversion division of A.T.M. Automotive Tech Mobility within the Shagrir Group. The unit develops and integrates retrofit kits that convert conventional vehicles (light military vehicles up to heavy trucks and tracked platforms) into remotely-operable or unmanned vehicles for military and civilian use. The offering emphasises after-market conversions (using existing vehicles), lower cost / rapid deployment compared with full autonomous platforms, and currently targets the Israel defense establishment with early export ambitions.</t>
  </si>
  <si>
    <t>Yaniv Dora</t>
  </si>
  <si>
    <t>yaniv@atm-il.com</t>
  </si>
  <si>
    <t>https://steerlinq.com</t>
  </si>
  <si>
    <t>4 Tsela ha-Har St.</t>
  </si>
  <si>
    <t>Modiin-Maccabim-Reut</t>
  </si>
  <si>
    <t>ceo.sec@atm-il.com</t>
  </si>
  <si>
    <t>972-3-558-1555</t>
  </si>
  <si>
    <t>Defense Forces, Government Security Agencies, Civil / Commercial markets for remote operation: hazardous logistics, construction, disaster response, agriculture, and critical infrastructure operations.</t>
  </si>
  <si>
    <t>Remote-control vehicles, joystick-based driving systems, vehicle conversion, retrofit kits, unmanned vehicles, autonomous technology.</t>
  </si>
  <si>
    <t>Automotive, Defense Tech, Robotics</t>
  </si>
  <si>
    <t>Dan-Tech Energy</t>
  </si>
  <si>
    <t>Dan-Tech Energy specializes in the development of portable, rechargeable battery power systems, which are designed and manufactured for superior run times, reliability, durability, safety and ease of use. With a proven track of technical excellence, Dan-Tech has become an outstanding manufacturer in the battery field and achieved great successes in the field of programmable Battery Management Systems (BMS) designed to enhance the reliability and runtime of smart battery packs by providing accurate battery monitoring.</t>
  </si>
  <si>
    <t>Tzadok Dro</t>
  </si>
  <si>
    <t>zadok@danenergy.com</t>
  </si>
  <si>
    <t>http://www.danenergy.com</t>
  </si>
  <si>
    <t>3 Max-Planck-St.</t>
  </si>
  <si>
    <t>Berlin</t>
  </si>
  <si>
    <t>Germany</t>
  </si>
  <si>
    <t>sales@danenergy.com</t>
  </si>
  <si>
    <t>49-30-5770-34433</t>
  </si>
  <si>
    <t>Medical Equipment manufacturers, Handheld Electronics manufacturers, Electric Vehicales manufacturers; Military Organizations</t>
  </si>
  <si>
    <t>Battery Management Systems (BMS), Rechargeable Batteries, Handheld Electronics</t>
  </si>
  <si>
    <t>Automotive, Robotics</t>
  </si>
  <si>
    <t>Vootto</t>
  </si>
  <si>
    <t>Wise Smoker (Vootto) is a manufacturer of a car air purifier intended to eliminate all types of smoke from the vehicle. The company's purifier operates through a 4-stage filtration system and has engine blades that provide powerful suction, enabling users to eliminate pollutants from the air and dispenses scented clean air back into the vehicle.</t>
  </si>
  <si>
    <t>Ron Eyal</t>
  </si>
  <si>
    <t>https://vootto.com</t>
  </si>
  <si>
    <t>6 Kompert st.</t>
  </si>
  <si>
    <t>ron@vootto.com</t>
  </si>
  <si>
    <t>972-50-968-4570</t>
  </si>
  <si>
    <t>Drivers, Automotive Industry, Smokers</t>
  </si>
  <si>
    <t>IN-EX, an exclusive technology developed at israel’s leading university that can do what other sanitization solutions can’t: trap and destroy bacteria and viruses without releasing harmful byproducts. This antiviral coating breaks down the protein membrane of viruses with proven efficiency of 99.15%. That means no germs, no viruses and no risky ions or Ozone.
 &lt;br&gt;
 ACTIVE SHIELD AIR FILTER, a four part filter is designed to stop even the smallest particles from passing through including smoke, dust, pollen, odors and airborne bacteria and viruses. Each filter is robust enough to last for months until the indicator light shows that it’s time for a new one.</t>
  </si>
  <si>
    <t>Regulus Cyber</t>
  </si>
  <si>
    <t>Regulus Cyber is disrupting the GNSS market with a software-only, connected and system-agnostic solution to detect, protect and mitigate smart spoofing. The company's product, Pyramid GNSS improves how satellite position, velocity and time-critical for numerous systems, including automotive, infrastructure, communication, telecom, mobility and financials - are protected. It is flexible, lightweight and easy to install. It allows to significantly lower the cost and complexity of anti-spoof.</t>
  </si>
  <si>
    <t>Yonatan Zu</t>
  </si>
  <si>
    <t>https://www.regulus.com</t>
  </si>
  <si>
    <t>5 Nahum Het St.</t>
  </si>
  <si>
    <t>Haifa</t>
  </si>
  <si>
    <t>info@regulus.com</t>
  </si>
  <si>
    <t>972-54-497-0017</t>
  </si>
  <si>
    <t>Tracking and Electronic Monitoring, Automotive, Maritime, Aviation and Infrastructure industries, Telecom, Mobility and Financial sectors.</t>
  </si>
  <si>
    <t>Regulus Pyramid GNSS technology provides tools to defend against GNSS/GPS spoofing attacks for automotive, mobile, maritime, aviation, critical infrastructure and various other applications, markets and users. The company's platform software library uniquely provides GNSS spoofing detection and protection, enabling essential GNSS security and reliability required by these vast markets. The Regulus Pyramid IP Core algorithm for chipsets also provides mitigation, enabling accurate and dependable GNSS capabilities, even while under a GNSS spoofing attack. The Pyramid GNSS technology assures that the signal being received is coming legitimately from satellites and not from ill-intentioned hackers.</t>
  </si>
  <si>
    <t>Automotive, Big Data, Cyber Security, Defense Tech, Drones, IoT, Robotics</t>
  </si>
  <si>
    <t>Imagry</t>
  </si>
  <si>
    <t>Imagry is an autonomous vehicle software provider that has created a mapless driving system. The company’s bio-inspired technology combines real-time vision-based perception network and imitation-learning AI for driving decision-making network. Imagry's software stack enables the autonomous vehicle to understand the road as it goes and reacts to dynamic context and environments.</t>
  </si>
  <si>
    <t>Eran Ofir</t>
  </si>
  <si>
    <t>https://imagry.co</t>
  </si>
  <si>
    <t>53 Derekh HaAtsma'ut St, 3d floor</t>
  </si>
  <si>
    <t>info@imagry.co</t>
  </si>
  <si>
    <t>972-54-200-5870</t>
  </si>
  <si>
    <t>eran.ofir@imagry.co</t>
  </si>
  <si>
    <t>Transportation companies, Fleets managers, OEMs, Automotive Tier 1 companies.</t>
  </si>
  <si>
    <t>Internet of things, Automotive, Computer vision, Artificial intelligence, Deep learning, Machine learning.</t>
  </si>
  <si>
    <t>Artificial Intelligence, Automotive, IoT, Machine Learning, Machine Vision</t>
  </si>
  <si>
    <t>Fairmatic</t>
  </si>
  <si>
    <t>Fairmatic is creating a new commercial insurance category by delivering the first data-driven fleet insurance that rewards safety with savings. Fairmatic’s new approach leverages AI-powered technology in combination with deep telematics data to drive meaningful cost savings for fleets by valuing responsible driving leading to safer roads. The Fairmatic underwriting model has been trained and tested with over 200 billion miles of driving data to help fleets proactively manage safety issues with actionable insights.
 Founded by Jonathan Matus, a serial technologist who helped launch Android and Facebook mobile, Fairmatic is fundamentally reimagining commercial auto insurance from the ground up to make roads safer one fleet at a time.</t>
  </si>
  <si>
    <t>Jonathan M</t>
  </si>
  <si>
    <t>https://fairmatic.com</t>
  </si>
  <si>
    <t>New York</t>
  </si>
  <si>
    <t>NY</t>
  </si>
  <si>
    <t>sales@fairmatic.com</t>
  </si>
  <si>
    <t>Fleet Insurance Industry. Last Mile Delivery, Artisan Contractors, Cannabis Delivery, Transportation Network Companies, On-Demand Delivery Network Companies, Non-Emergency Medical Transport</t>
  </si>
  <si>
    <t>Fairmatic develops a platform for commercial vehicle insurance, based on performance analysis of the drivers, using their mobile devices, driving monitoring and telematics - a combination of information systems and real-time artificial intelligence-based analysis of signals from many data sources.</t>
  </si>
  <si>
    <t>Artificial Intelligence, Automotive, FinTech, Insurtech</t>
  </si>
  <si>
    <t>SaferPlace</t>
  </si>
  <si>
    <t>SaferPlace helps police and law enforcement agencies to detect non-conventional, high-risk traffic violations. The improvement of traffic enforcement increases road safety, reduces dangerous driving and prevents serious or fatal injury to pedestrians. For municipalities, Safer Place technology offers an efficient, effective and affordable solution to improve the enforcement of parking violations.</t>
  </si>
  <si>
    <t>Elie Maoz</t>
  </si>
  <si>
    <t>Managing Partner</t>
  </si>
  <si>
    <t>elie.maoz@saferplace.com</t>
  </si>
  <si>
    <t>https://saferplace.com</t>
  </si>
  <si>
    <t>5 Amir Gilboa Street</t>
  </si>
  <si>
    <t>info@saferplace.com</t>
  </si>
  <si>
    <t>972-54-452-7338</t>
  </si>
  <si>
    <t>Individuals. SMBs, House holders, Police &amp; Law Enforcement agencies.</t>
  </si>
  <si>
    <t>Safety devices.</t>
  </si>
  <si>
    <t>Automotive, Smart City</t>
  </si>
  <si>
    <t>SP Nano</t>
  </si>
  <si>
    <t>SP Nano is the developer of SP1 - a revolutionary nano-reinforcement protein agent that will transform the composite materials and rubber industries by enabling the production of lighter, stronger and sustainable parts. SP Nano is commercializing the use of carbon-based nanoparticles in the rapidly growing €140 billion mechanical rubber goods (MRG) and €84 billion composites markets. 
 These markets includes raw materials such as carbon/glass fiber and aramid, and are commonly used in industries such as aerospace, construction, automotive and marine, wind energy and sports equipment. SP Nano’s proprietary SP1 technology can significantly improve the performance properties of composites; enabling cost-effective manufacture of stronger and lighter parts. From its headquarters in Israel, SP Nano is working in close cooperation with a number of leading multinational companies to develop a range of innovative new commercial products for various end-markets.</t>
  </si>
  <si>
    <t>Erez Maor</t>
  </si>
  <si>
    <t>erez.m@spnano.com</t>
  </si>
  <si>
    <t>http://www.spnano.com</t>
  </si>
  <si>
    <t>2 Paran St., Level 1, Suite 17</t>
  </si>
  <si>
    <t>Yavne</t>
  </si>
  <si>
    <t>972-8-9584-362</t>
  </si>
  <si>
    <t>inquiry@spnano.com</t>
  </si>
  <si>
    <t>Composite Materials Industries for Aerospace - Aircrafts, Helicopters, Unmanned Air Vehicles (UAVs); Industrial, Marine and Cleantech Technology.
 Rubber reinforcement yarns (for tires or rubber mechanical goods)</t>
  </si>
  <si>
    <t>The heart of the technology is a protein isolated from the very durable Aspen tree. 
 The protein can be modified by means of genetic engineering to change the affinity to different materials and markets. 
 The protein is manufactured artificially (no trees are affected) by means of fermentation.
 The mixture of the SP1 protein with carbon based nanoparticles such as CNT, Graphene or Carbon Black easily &amp; homogenously coats the target fabric / yarn. 
 The increased surface area of the coated fabric improves the adhesion between the layers to the point that less layers are required to achieve the same part specifications, thus the realized weight and cost savings. 
 The basic invention was developed at the Hebrew University and is exclusively licensed to the company. 
 SP Nano has a solid IP position based on four families of patents (some of which are already granted) and multidisciplinary propriety know- how.</t>
  </si>
  <si>
    <t>Automotive, SpaceTech</t>
  </si>
  <si>
    <t>Ultrawis</t>
  </si>
  <si>
    <t>UltraWis LTD was co founded through 2019 by Lior Avitan and Erez Gernitzky, both are experts in machine learning, AI and basically how to get (super complicated) things done. 
 On their journey to autonomous cranes in a digital construction site they are launching their ADAS “ALL-IN-ONE” Solution.
 Ultrawis develops an INNOVATIVE ADAS “ALL-IN-ONE” Top Cabin Solution, as well as a remote operate and automate tower cranes in a constructions sites, Ports, and heavy machinery industry, based on AR, 3D real time modeling and Artificial Intelligence.
 Their INNOVATIVE solution captures the entire jobsite 360º 24/7 with accurate Data &amp; Automation, ADAS and Task management capabilities, that increases safety and productivity and site logistics process.
 Their solution was piloted with a great success in multiple Israeli construction and achieved up to + 50% more productivity in as well as safety increasing.
 Ultrawis's solution includes unique set of sensors constantly recording sites and generating in depth data and insights in real time which is available anywhere and to any stakeholder. They can automate your machines, make the work up to + 50 % more efficient and safe.</t>
  </si>
  <si>
    <t>Lior Avita</t>
  </si>
  <si>
    <t>lior.avitan@ultrawis.com</t>
  </si>
  <si>
    <t>https://www.ultrawis.com</t>
  </si>
  <si>
    <t>7 Nahum Hat St.</t>
  </si>
  <si>
    <t>info@ultrawis.com</t>
  </si>
  <si>
    <t>Construction industry.
 Crane Dealers
 Crane Manufacturers</t>
  </si>
  <si>
    <t>Advanced sensors, High-end optics, AR, ML, MV &amp; AI, Stitching.</t>
  </si>
  <si>
    <t>Artificial Intelligence, Augmented Reality, Automotive, Construction Tech, Deep Tech, Industry 4.0, Machine Learning, PropTech</t>
  </si>
  <si>
    <t>Ride Vision</t>
  </si>
  <si>
    <t>Ride Vision was created by technologists by day, motorbike riders by road, to give any motorcycle Predictive Vision. Ride Vision’s computer vision and neural network based CAT™ - Collision Aversion Technology leverages standard hardware and cameras to sense, predict and warn riders of threats on the road. Ride Vision can be incorporated into any new or traded motorbikes of any price range.</t>
  </si>
  <si>
    <t>Uri Lavi</t>
  </si>
  <si>
    <t>uri.lavi@ride.vision</t>
  </si>
  <si>
    <t>https://ride.vision</t>
  </si>
  <si>
    <t>10 Hamenofim Str</t>
  </si>
  <si>
    <t>Herzliya</t>
  </si>
  <si>
    <t>info@ride.vision</t>
  </si>
  <si>
    <t>972-50-777-6637</t>
  </si>
  <si>
    <t>Motorbike riders &amp; Insurance agencies</t>
  </si>
  <si>
    <t>Ride Vision developed an Advanced Rider Assistance System with CAT™ – Collision Aversion Technology. CAT™ is a fusion of Artificial Intelligence (Neural Networks) and Computer Vision designed to seamlessly integrate with the motorbikes, utilizing standard cameras as visual sensors. CAT™ recognizes and analyzes relevant threats without disturbing the rider’s critical focus. Ride Vision’s Advanced Rider Assistance System also operates as a dashcam, allowing bikers and 2-wheeler fleet operators to maintain evidence recording in case of an accident.</t>
  </si>
  <si>
    <t>Artificial Intelligence, Automotive, Insurtech</t>
  </si>
  <si>
    <t>MEA Testing</t>
  </si>
  <si>
    <t>MEA is focusing on advanced electronic and processing capabilities. With joint cooperation from local industries, MEA has developed a new patent-pending technology for testing electrical machines. This platform extends to include testing of all types of different electrical motors, their components (stator &amp; rotor) as well as motor-load couples (air conditioners, water pumps and more). MEA's technology is having a major impact on today's industry. Factory products can now be tested comprehensively without needing to load the shaft with any mechanical or inertial load. The machine can be tested in under five seconds. This even includes connecting time to MEA Testing Devices.</t>
  </si>
  <si>
    <t>Menachem C</t>
  </si>
  <si>
    <t>https://meatesting.net</t>
  </si>
  <si>
    <t>4 Hagavish St., Poleg Industrial Park</t>
  </si>
  <si>
    <t>sales@meatesting.com</t>
  </si>
  <si>
    <t>972-9-885-8989</t>
  </si>
  <si>
    <t>Motor and appliance manufacturers.</t>
  </si>
  <si>
    <t>A motor torque-speed characteristic can, in principle, be obtained by using one of three different approaches: loading the motor with a constant load, loading the motor with an inertial load, and modeling the relationship between the behavior of the motor and other parameters which can be measured more easily.</t>
  </si>
  <si>
    <t>Automotive, Machine Learning, Machine Vision</t>
  </si>
  <si>
    <t>Enigmatos</t>
  </si>
  <si>
    <t>Enigmatos' system studies the unique characteristics of each vehicle in the fleet and produces a unique profile for it through machine learning. After that, the company's system monitors the messages in the CAN network in real time and compares them to the profile. When Enigmatos' system detects a deviation from the typical behavior, it activates another verification process, based on AI to conclude whether it is a possible cyber incident. The company's' platform is a cloud platform and one of the critical aspects that enable its continuous operation is the data compression capability, developed by the company. It manages to compress the data produced by the vehicle at high rate, which enables the transfer of data from the vehicle to the cloud.</t>
  </si>
  <si>
    <t>Neta Lempe</t>
  </si>
  <si>
    <t>https://www.enigmatos.com</t>
  </si>
  <si>
    <t>13 Gan Rave Blvd.</t>
  </si>
  <si>
    <t>info@enigmatos.com</t>
  </si>
  <si>
    <t>972-8-932-2288</t>
  </si>
  <si>
    <t>Automotive industry, Car manufacturers.</t>
  </si>
  <si>
    <t>Enigmatos has developed a dedicated protection solution that can be installed in vehicles after production and provides an answer to the unique risks of the world of vehicle fleets.</t>
  </si>
  <si>
    <t>Artificial Intelligence, Automotive, Big Data, Cloud, Cyber Security, IoT, Machine Learning</t>
  </si>
  <si>
    <t>Elbit Security Systems</t>
  </si>
  <si>
    <t>Elbit Systems is an international high technology company engaged in a wide range of defense, homeland security and commercial programs throughout the world. The Company, which includes Elbit Systems and its subsidiaries, operates in the areas of aerospace, land, and naval systems, command, control, communications, computers, intelligence surveillance and reconnaissance ("C4ISR"​), unmanned aircraft systems, advanced electro-optics, electro-optic space systems, EW suites, signal intelligence systems, data links and communications systems, radios and cyber-based systems and munitions. The Company also focuses on the upgrading of existing platforms, developing new technologies for defense, homeland security and commercial applications and providing a range of support services, including training and simulation systems.</t>
  </si>
  <si>
    <t>https://elbitsystems.com</t>
  </si>
  <si>
    <t>4 Amsterdam, Industrial Park</t>
  </si>
  <si>
    <t>Sderot</t>
  </si>
  <si>
    <t>elsec@elbitsystems.com</t>
  </si>
  <si>
    <t>972-8-662-2347</t>
  </si>
  <si>
    <t>Military Organizations, Homeland Security, Government Authorities.
 The systems are in continuous service by coastal surveillance and border security units, by the military, police forces and by other law enforcement agencies. ELSEC provides an advanced technological approach, meeting the challenges of all required Security applications: Border, Coastal and Perimeter Control via the deployment and implementation of cutting-edge systems based on innovative components enabling modular deployment in different configurations suitable for:
 • Border security 
 • Coastal surveillance security systems 
 • Airport security systems 
 • Perimeter security (Large sites &amp; border areas) 
 • Transportation security 
 • Pipeline security systems</t>
  </si>
  <si>
    <t>Electro-Optical long range surveillance systems for day and night, Remote Fire Detection, Perimeter control, Intrusion detection.</t>
  </si>
  <si>
    <t>Nexar</t>
  </si>
  <si>
    <t>Nexar is a developer of a mobile application, designed to detect driving hazards and prevent car accidents. The company's artificial intelligence-based dashcam application employs machine vision and sensor fusion algorithms, leveraging the user's phone's sensors to analyze and understand the car's surroundings and provide protective documentation in case of accidents, while also providing accident reports that can transform the insurance claims process, helping customers to reduce the chance of collisions and to make roadways safer and efficient.</t>
  </si>
  <si>
    <t>Zach Green</t>
  </si>
  <si>
    <t>zach@getnexar.com</t>
  </si>
  <si>
    <t>https://www.getnexar.com</t>
  </si>
  <si>
    <t>58 HaRakevet St.</t>
  </si>
  <si>
    <t>contact@getnexar.com</t>
  </si>
  <si>
    <t>Automotive industry, municipalities, transit authorities, mobility and mapping companies, insurance companies, drivers.</t>
  </si>
  <si>
    <t>Nexar-powered dash cams enable new vision-based applications for better driving. By ising anonymous, aggregated data captured from this network, the company has developed a portfolio of vision-based data services for public and private sector partners to make roadways safer and more efficient.</t>
  </si>
  <si>
    <t>Artificial Intelligence, Augmented Reality, Automotive, Deep Tech, Insurtech, IoT, Machine Vision</t>
  </si>
  <si>
    <t>Electreon</t>
  </si>
  <si>
    <t>Electreon is a leading developer and provider of wireless charging solutions for electric vehicles. Its end-to-end charging infrastructure works with any type of EV, and is designed for shared mobility, as well as for public transit and commercial fleet operators. The company's proprietary inductive technology enables fast and safe charging, both while driving and parked. This aims to eliminate range anxiety, reduces battery capacity needs, and lowers the total costs of EV ownership. Electreon collaborates with cities and fleet operators through a direct sales model, and a Charging as a Service (CaaS) model, facilitating affordable electrification of public, commercial, and autonomous fleets for continuous operation.</t>
  </si>
  <si>
    <t>Oren Ezer</t>
  </si>
  <si>
    <t>oren@electreon.com</t>
  </si>
  <si>
    <t>http://www.electreon.com</t>
  </si>
  <si>
    <t>Hadasa Neurim Youth Village</t>
  </si>
  <si>
    <t>Beit Yanai</t>
  </si>
  <si>
    <t>info@electreon.com</t>
  </si>
  <si>
    <t>972-55-508-1093</t>
  </si>
  <si>
    <t>Public Urban transportation, Public inter-urban transportation, Fleet operators, Municipalities, Governments, Automotive OEMs.</t>
  </si>
  <si>
    <t>Electreon's wireless charging technology for both stationary applications and wireless Electric Road System (wERS) is fast to deploy. The company places its unique copper coils just below the surface of the road.
 A Vehicle Kit is located under the vehicle chassis and receives wireless energy from the wireless charging coils and transfers it to the vehicle battery • The Cloud based management unit - provides real-time communication, enabling live monitoring and smart charging insights.</t>
  </si>
  <si>
    <t>Automotive, Climate Tech, Construction Tech, Smart City</t>
  </si>
  <si>
    <t>ETV Energy</t>
  </si>
  <si>
    <t>ETV Energy is engaged in developing the next generation Lithium-Ion Battery (LIB) for the Automotive and High-end markets. Novel battery chemistry based on a high voltage cathode is being developed for the automotive market to deliver specific energy of 220-250Wh/kg. The company has already gained a foothold in the high end market with a derivative of this technology that delivers 400Wh/kg.</t>
  </si>
  <si>
    <t>Arieh Meit</t>
  </si>
  <si>
    <t>CEO, CTO &amp; Co-Founder</t>
  </si>
  <si>
    <t>am@etvenergy.com</t>
  </si>
  <si>
    <t>http://www.etvenergy.com</t>
  </si>
  <si>
    <t>Bar Ilan University, Department of Chemistry</t>
  </si>
  <si>
    <t>Ramat Gan</t>
  </si>
  <si>
    <t>contactetvenergy@gmail.com</t>
  </si>
  <si>
    <t>972-3-531-7584</t>
  </si>
  <si>
    <t>Manufacturers (OEMs) of electric vehicles and of EV components.</t>
  </si>
  <si>
    <t>ETV battery technology is based on High Voltage Nickel-Manganese-Oxide (Spinel) cathode material. This material boasts fast kinetics and structural stability, ensuring a combination of high power, high energy, and safety, while maintaining a relatively low cost. Its high cell voltage (4.65V vs. 3.2-3.7V SOTA) and stable profile provide added value in reduced weight, volume, and cost of the battery pack.</t>
  </si>
  <si>
    <t>Clinch</t>
  </si>
  <si>
    <t>Clinch develops dynamic, creative video and display solutions across programmatic, social, and OTT channels. The company uses proprietary technology and data to help advertisers increase sales and be more cost efficient by automating video ad campaign production and optimization tailored to the individual in real time.</t>
  </si>
  <si>
    <t>Oz Etzioni</t>
  </si>
  <si>
    <t>oz@clinch.co</t>
  </si>
  <si>
    <t>https://www.clinch.co</t>
  </si>
  <si>
    <t>246 5th Avenue, Suite 401</t>
  </si>
  <si>
    <t>info@clinch.co</t>
  </si>
  <si>
    <t>1-646-361-6613</t>
  </si>
  <si>
    <t>Brands, e-Retailers, Media companies, Ad agencies, Automotive, Travel OTAs.</t>
  </si>
  <si>
    <t>Automatic Editors Using Cloud Computing Technology to Find, Analyze and Edit Videos. iOS Mobile Application Used to Capture, Explore and Share Content.</t>
  </si>
  <si>
    <t>AdTech, Artificial Intelligence, Automotive, Machine Learning, Machine Vision, Marketing Tech, RetailTech</t>
  </si>
  <si>
    <t>Vayyar</t>
  </si>
  <si>
    <t>Vayyar Imaging, a leader in 4D radar imaging, bridges the gap between radar robustness and LiDAR resolution. Initially focused on early-stage breast cancer detection via radio frequency technology, the company has expanded into automotive, smart home, robotics, retail, RF testing, and medical sectors. Its sensors provide real-time tracking and mapping through walls and objects while ensuring privacy by avoiding optical data collection. Vayyar’s advanced chip spans 3-81GHz, features up to 72 transceivers, and integrates high-performance DSP, delivering high-resolution 4D point-cloud imaging. The sensors operate reliably in all conditions, unaffected by line-of-sight, lighting, or weather, offering a low-cost, multifunctional solution. Vayyar aims to revolutionize consumer radar with affordable, compact, and versatile sensing technology.</t>
  </si>
  <si>
    <t>Raviv Mela</t>
  </si>
  <si>
    <t>raviv.melamed@vayyar.com</t>
  </si>
  <si>
    <t>https://vayyar.com</t>
  </si>
  <si>
    <t>26 Shabazi St.</t>
  </si>
  <si>
    <t>Yehud-Monosson</t>
  </si>
  <si>
    <t>info@vayyar.com</t>
  </si>
  <si>
    <t>Automotive (OEMs), Elderly Care, Retail, Public Safety, Medical, Robotics, Smart Buildings.</t>
  </si>
  <si>
    <t>RF Technology, 4D Imaging, Radar-on-chip, Sensors.</t>
  </si>
  <si>
    <t>AgeTech, Artificial Intelligence, Augmented Reality, Automotive, Construction Tech, Deep Tech, Digital Health, Industry 4.0, IoT, Machine Vision, Virtual Reality</t>
  </si>
  <si>
    <t>Hip Mobility (HQ)</t>
  </si>
  <si>
    <t>HQ is an industry-leading end-to-end enterprise solution for corporate mobility globally. HQ delivers the technology that powers ground transportation with our ride booking, billing, and payment platform. As a leading corporate ground transportation management provider, HQ supports a wide range of mobility services, from private taxis and chauffeured cars to ride-sharing and corporate shuttles.</t>
  </si>
  <si>
    <t>Amiad Solo</t>
  </si>
  <si>
    <t>amiad@raincheck.ai</t>
  </si>
  <si>
    <t>https://hqtravel.com</t>
  </si>
  <si>
    <t>60 Riverside Boulevard</t>
  </si>
  <si>
    <t>info@hqtravel.com</t>
  </si>
  <si>
    <t>Blue chip clients, Fortune 500 companies, Banking institutions, Law firms.</t>
  </si>
  <si>
    <t>SaaS, Transportation, Booking, Social Platform, Business travel.</t>
  </si>
  <si>
    <t>Automotive, SaaS</t>
  </si>
  <si>
    <t>RadSee</t>
  </si>
  <si>
    <t>RadSee developed the first 4D imaging radar for the automotive industry delivering outstanding performance AND low cost. The radar’s unique architecture uses off-the-shelf components and patented technology to provide industry-leading performance and the flexibility to fit into existing Tier 1 and OEM systems, at a cost that allows for large-scale adoption into ADAS and autonomous driving systems.</t>
  </si>
  <si>
    <t>Arnon Afgi</t>
  </si>
  <si>
    <t>arnon@radsee.com</t>
  </si>
  <si>
    <t>https://radsee.com</t>
  </si>
  <si>
    <t>45 Ha-Melakha St.</t>
  </si>
  <si>
    <t>info@radsee.com</t>
  </si>
  <si>
    <t>972-54-227-5385</t>
  </si>
  <si>
    <t>Tier 1 Car Manufacturers and OEMs</t>
  </si>
  <si>
    <t>Automotive radar system (MIMO Radar)</t>
  </si>
  <si>
    <t>Audio Pixels</t>
  </si>
  <si>
    <t>Audio Pixels has developed an innovative technological platform for reproducing sound, thus enabling the production of an entirely new generation of speakers that will exceed the performance specifications and design demands of the world’s top consumer electronics manufacturers. Audio Pixels patented technologies employ entirely new techniques to generate sound waves directly from a digital audio stream using low cost micro-electromechanical structures (MEMS) rather than conventional loudspeaker elements. This innovation enables the production of speaker products that deliver performance that is many orders of magnitude better than conventional speaker technologies, all in an affordable package that is only one millimetre thick.</t>
  </si>
  <si>
    <t>Daniel Lew</t>
  </si>
  <si>
    <t>danny@audiopixels.com</t>
  </si>
  <si>
    <t>https://audiopixels.com.au</t>
  </si>
  <si>
    <t>75 Elizabeth St. Suite 2, Level 12</t>
  </si>
  <si>
    <t>Sydney, NSW</t>
  </si>
  <si>
    <t>Australia</t>
  </si>
  <si>
    <t>iandennis@audiopixels.com.au</t>
  </si>
  <si>
    <t>61-2-9233-3915</t>
  </si>
  <si>
    <t>info@audio-pixels.com</t>
  </si>
  <si>
    <t>Computers, TV &amp; Mobile Phone Manufacturers, Automotive Industry.</t>
  </si>
  <si>
    <t>Audio Pixels has successfully implemented the promise of Digital Sound Reconstruction (DSR) in a commercially feasible manner enabling a market evolution in a similar fashion to what has occurred in the transition from large, heavy, bulky analog CRT monitors, to the digital flat panel displays of today. An Audio Pixels speaker is a MEMS chip roughly 1mm thick. The chip replaces conventional speaker driver(s), enclosure or acoustic chamber, as well as the electronic circuitry associated with converting the digital signal feed to analog (via a D2A + Power Amplifier).</t>
  </si>
  <si>
    <t>DYM Sense</t>
  </si>
  <si>
    <t>DYM Sense is revolutionizing vehicle safety with advanced, non-invasive alcohol detection technology. This cutting-edge solution accurately measures a driver's blood alcohol level with a simple touch, seamlessly integrating into vehicle controls like the start button or steering wheel. The system instantly verifies the driver’s identity, analyzes alcohol levels, and can issue alerts or prevent the vehicle from starting when necessary.
 Committed to eliminating drunk driving, DYM Sense aims to remove human subjectivity from decision-making and ensure safer roads. By providing a fast, accurate, and user-friendly solution, the company supports emerging regulations, enhances road safety, and ultimately saves lives.</t>
  </si>
  <si>
    <t>Dor Heller</t>
  </si>
  <si>
    <t>dor@dymsense.com</t>
  </si>
  <si>
    <t>https://www.dymsense.com</t>
  </si>
  <si>
    <t>1 Eliyahu Eitan St.</t>
  </si>
  <si>
    <t>info@dymsense.com</t>
  </si>
  <si>
    <t>Automotive Tier 1, OEMs, Fleets, Insurance companies and Private Drivers.</t>
  </si>
  <si>
    <t>DYM Sense develops a technology for measuring blood alcohol levels using a fingerprint. The company's innovative sensor enables accurate and rapid measurement without requiring a breathalyzer or blood sample. By leveraging spectral technology, the system ensures reliable detection through a simple touch.
 DYM Sense's technology provides a quick, convenient, and easy-to-use solution that seamlessly integrates into vehicle controls, such as the start button or steering wheel. By offering an efficient and non-invasive alternative, the company aims to prevent drunk drivers from getting on the road while supporting regulatory efforts to enhance road safety.</t>
  </si>
  <si>
    <t>Automotive, Deep Tech</t>
  </si>
  <si>
    <t>SafeMode</t>
  </si>
  <si>
    <t>SafeMode’s cloud-based solution enhances fleets’ safety and efficiency by shifting the focus to the driver. With a unique behavioral AI platform, it enables fleets and mobility services to provide fundamental values to their drivers, leading to proactive modification of their driving behavior.</t>
  </si>
  <si>
    <t>Ido Levy</t>
  </si>
  <si>
    <t>ido@safemode.co</t>
  </si>
  <si>
    <t>https://www.safemode.co</t>
  </si>
  <si>
    <t>Dr. George Wise St.</t>
  </si>
  <si>
    <t>info@safemode.co</t>
  </si>
  <si>
    <t>Fleets, trucking companies, logistics &amp; supply chain, Transportation companies- Autonomous cars industry, Buses, Trucks, Movers, Insurance companies and Fleets, Logistics teams, Tier 1s OEMs.</t>
  </si>
  <si>
    <t>SafeMode combines AI &amp; Big Data with behavioral economics to improve fleets drivers driving style and behavior.</t>
  </si>
  <si>
    <t>Artificial Intelligence, Automotive, Big Data, Insurtech, RetailTech</t>
  </si>
  <si>
    <t>ARTsys360</t>
  </si>
  <si>
    <t>ARTsys360 is developing Anti drone system with an innovative Radar system to be deployed in restricted perimeters and compounds such as Airports, prisons, nuclear plants, water reservoir, energy stations, hotels stadiums and communications facilities which deliver the resources that are central to our daily well-being. These compounds require a comprehensive range of security measures along borders to deliver alerts on trafficking, smuggling and any other illegal activity.</t>
  </si>
  <si>
    <t>Meir Zorea</t>
  </si>
  <si>
    <t>meir.zorea@artsys360.com</t>
  </si>
  <si>
    <t>https://www.artsys360.com</t>
  </si>
  <si>
    <t>26 Harokmim St.</t>
  </si>
  <si>
    <t>info@artsys360.com</t>
  </si>
  <si>
    <t>972-58-711-1360</t>
  </si>
  <si>
    <t>amir.berlad@artsys360.com</t>
  </si>
  <si>
    <t>Secure Compounds &amp; Facilities , The target market for the Anti Drone system developed by ARTsys360 is compounds and facilities that need to be protected against un-authorized Drones, people and vehicles. Potential clients are security systems integrators, who need to implement an early alerts system in order to improve the capabilities of their customers' security systems.</t>
  </si>
  <si>
    <t>Anti drones system, Security Radar System , Physical Instruction Detection (PID)</t>
  </si>
  <si>
    <t>Automotive, Defense Tech, Drones</t>
  </si>
  <si>
    <t>ioTen</t>
  </si>
  <si>
    <t>IoTen/Coffee provides actionable business insights by analyzing empirical data from coffee machines, from all branch locations, from any existing type and any brand of coffee machine.
 With data from millions of coffee cups brewed, the algorithms can uniquely identify operational issues.</t>
  </si>
  <si>
    <t>https://ioten.co</t>
  </si>
  <si>
    <t>10 Hayotzrim St.</t>
  </si>
  <si>
    <t>Naharia</t>
  </si>
  <si>
    <t>hello@ioten.co</t>
  </si>
  <si>
    <t>972-4-8555688</t>
  </si>
  <si>
    <t>IoTen Coffee for professional coffee machines, IoTen Keyless for smart keyless entry, IoTen Auto for smart automotive solutions, IoTen Industrial for the industrial motors segment</t>
  </si>
  <si>
    <t>IoT</t>
  </si>
  <si>
    <t>Automotive, Cyber Security, FinTech, IoT</t>
  </si>
  <si>
    <t>Kitov Systems</t>
  </si>
  <si>
    <t>Kitov focuses on artificial intelligence-based visual inspection in the industrial manufacturing sector. The company offers a software platform that enables automated inspection of complex parts and products, using AI and machine learning to detect defects, such as scratches, dents, discoloration and mechanical issues. The company primarily serves sectors, such as electronics, automotive, defense, medical devices and aerospace.</t>
  </si>
  <si>
    <t>https://www.kitov.ai</t>
  </si>
  <si>
    <t>17 Hamefalsim St., Intergreen Bldg., 4th Floor</t>
  </si>
  <si>
    <t>Petach Tikva</t>
  </si>
  <si>
    <t>info@kitovsystems.com</t>
  </si>
  <si>
    <t>972-3-373-1355</t>
  </si>
  <si>
    <t>Industrial manufacturing, Electronics, Automotive, Defense, Medical Devices, Aerospace.</t>
  </si>
  <si>
    <t>AI, Industry 4.0, Computer Vision, Inspection Planning, Visual Inspection, Machine Vision.</t>
  </si>
  <si>
    <t>Artificial Intelligence, Automotive, Big Data, Defense Tech, Industry 4.0, Machine Learning, Machine Vision, Robotics</t>
  </si>
  <si>
    <t>JpU.IO</t>
  </si>
  <si>
    <t>JpU develops a robust, purpose-built mobile core network for Enterprise Private 4G/5G services and for Global Enterprises and SPs. The JpU HyperCore platform, a 4G/5G Network, simplifies management of complex cellular networks, with IT friendly experience, delivers built-in security for all connected devices and consolidates business operations in a single intuitive web-based application</t>
  </si>
  <si>
    <t>http://www.jpu.io</t>
  </si>
  <si>
    <t>7 Mota Gur street (Entrance C)</t>
  </si>
  <si>
    <t>sales@jpu.io</t>
  </si>
  <si>
    <t>972-72-274-4000</t>
  </si>
  <si>
    <t>The JpU HyperCore solution is suitable for deployment in a wide range of market verticals including Logistics &amp; Supply, Industrial, Energy &amp; Critical Infrastructures, Mining, Agriculture, Education, Campuses and many more.</t>
  </si>
  <si>
    <t>JpU io develops a cutting edge and revolutionary carrier grade, IT friendly Private 4G/5G or Private Virtual Networks platform and EPC/5GC management. JpU HyperCore product, a cloud-native, virtualized, standard compliant cellular core network and security platform, capable to scale to massive number of devices and traffic, is uniquely designed to serve businesses digital transformation, leveraging IoT and M2M communication service automation and protection to increase efficiency and profitability of multiple use cases and business applications.</t>
  </si>
  <si>
    <t>Automotive, Industry 4.0, IoT</t>
  </si>
  <si>
    <t>Unitronics</t>
  </si>
  <si>
    <t>Unitronics designs, manufactures, and markets advanced control and automation solutions. The company's extensive offering includes a complete line of PLCs with integrated HMI, full line of VFDs, a broad array of I/Os and complementary devices, as well as programming software for all aspects of control, motion, HMI, and communications. Unitronics PLCs range from micro-PLC + HMI units for simple machine control, to complex controllers with advanced functions, a variety of onboard IOs and multiple communication options – including support for Industry 4.0 (smart factory) technology. Unitronics is represented by more than 190 distributors in over 55 countries around the globe, providing our customers with local support in their local languages.</t>
  </si>
  <si>
    <t>Amit Harar</t>
  </si>
  <si>
    <t>amit.harari@unitronics.com</t>
  </si>
  <si>
    <t>https://www.unitronics.com</t>
  </si>
  <si>
    <t>3 Arava S. Ben Gurion Airport</t>
  </si>
  <si>
    <t>info@unitronics.com</t>
  </si>
  <si>
    <t>972-3-977-8888</t>
  </si>
  <si>
    <t>Petrochemicals, Automotive, Food Processing, Plastics &amp; Textiles, Energy &amp; Environment, Water &amp; Waste Water Management, etc.</t>
  </si>
  <si>
    <t>Advanced control and automation solutions, Programmable Logic Controllers (PLC).</t>
  </si>
  <si>
    <t>Automotive, Industry 4.0</t>
  </si>
  <si>
    <t>Arbe</t>
  </si>
  <si>
    <t>Arbe, a global leader in Perception Radar solutions, is spearheading a radar revolution, enabling safe driver-assist systems today while paving the way to full autonomous-driving. Arbe’s radar technology is 100 times more detailed than any other radar on the market and is a critical sensor for L2+ and higher autonomy. The company is empowering automakers, Tier 1 suppliers, autonomous ground vehicles, commercial and industrial vehicles, and a wide array of safety applications with advanced sensing and paradigm changing perception.</t>
  </si>
  <si>
    <t>Kobi Maren</t>
  </si>
  <si>
    <t>kobi.m@arberobotics.com</t>
  </si>
  <si>
    <t>http://www.arberobotics.com</t>
  </si>
  <si>
    <t>107 HaHashmonaim St.</t>
  </si>
  <si>
    <t>info@arberobotics.com</t>
  </si>
  <si>
    <t>972-73-796-9804</t>
  </si>
  <si>
    <t>Automotive Industry: Automakers, Tier 1 Suppliers, Autonomous ground vehicles, Commercial and industrial vehicles.</t>
  </si>
  <si>
    <t>4D Imaging Radar Chipset, Radar systems, Collision Prevention Systems, Accident Reduction, Autonomous Vehicles, High-resolution Radar, Driverless Cars.</t>
  </si>
  <si>
    <t>Tomorrow.io</t>
  </si>
  <si>
    <t>Tomorrow.io is the modern end-to-end platform for managing weather resiliency. The company combines next-generation space technology, generative AI and proprietary weather modeling to deliver better forecasting and decision-making capabilities. DeepSky, Tomorrow.io's platform, significantly increases revisit rates, expands coverage in data-sparse regions and enables faster refresh cycles for global and regional forecast models, creating a new observational backbone for AI-native weather intelligence.</t>
  </si>
  <si>
    <t>Shimon Elk</t>
  </si>
  <si>
    <t>shimon@tomorrow.io</t>
  </si>
  <si>
    <t>https://www.tomorrow.io</t>
  </si>
  <si>
    <t>9 Channel Center St.</t>
  </si>
  <si>
    <t>sales@tomorrow.io</t>
  </si>
  <si>
    <t>1-800-735-7075</t>
  </si>
  <si>
    <t>Enterprise, federal and government sectors, aviation, UAS, drones, transportation, mobility, construction, media &amp; advertising, outdoor events, retail, agriculture, utilities and insurance companies, financial services providers.</t>
  </si>
  <si>
    <t>Tomorrow.io develops Deepsky, an AI-based satellite weather forecasting system. It is a network of low-Earth orbit (LEO) satellites, equipped with advanced sensors that provide high-frequency updates (refresh rate) and continuous global coverage.</t>
  </si>
  <si>
    <t>Automotive, Big Data, Climate Tech, Defense Tech, Generative AI, Insurtech, IoT, SaaS, SpaceTech</t>
  </si>
  <si>
    <t>Questar</t>
  </si>
  <si>
    <t>Questar Auto Technologies is a predictive vehicle health company introducing cutting-edge AI technology for automotive. Our technology consists of AI-based analytics software, advanced telematics, and years of accumulated data and intimate familiarity with automotive pain points. Questar uses unique prediction models that will provide accurate prognosis of future vehicle health events before they affect our customers – automakers, Tier 1 suppliers, and fleets, and help them unlock the value of vehicle data. These deep insights will change the way fleets are managed, optimize expenditure, increase operational efficiency and safety with a clear and aggressive ROI.</t>
  </si>
  <si>
    <t>Vered Mand</t>
  </si>
  <si>
    <t>https://questarauto.com</t>
  </si>
  <si>
    <t>1 Aba Even St.</t>
  </si>
  <si>
    <t>info@questarauto.com</t>
  </si>
  <si>
    <t>Vehicles Fleet Managers, Public transportation operators, Auto manufactures and Insurance industries, OEMs, Tier 1 suppliers.</t>
  </si>
  <si>
    <t>Questar is a developer of a mobility data platform, designed to provide data-driven fleet management, vehicle diagnostics and connectivity solutions. The company's platform features big-data analytics that generates predictive models and provides users with exceptional actionable insights and predictive maintenance, enabling companies to access driver and vehicle insights, predictive maintenance services and more.</t>
  </si>
  <si>
    <t>Artificial Intelligence, Automotive, Big Data, Insurtech, Machine Learning</t>
  </si>
  <si>
    <t>Elbit Systems</t>
  </si>
  <si>
    <t>Elbit Systems is an international high technology company engaged in a wide range of defense, homeland security and commercial programs throughout the world. The Company, which includes Elbit Systems and its subsidiaries, operates in the areas of aerospace, land and naval systems, command, control, ommunications, computers, intelligence surveillance and reconnaissance ("C4ISR"), unmanned aircraft systems, advanced electro-optics, electro-optic space systems, EW suites, signal intelligence systems, data links and communications systems, radios, cyber-based systems and munitions. The Company also focuses on the upgrading of 
 existing platforms, developing new technologies for defense, homeland security and commercial applications and providing a range of support services, including training and simulation systems.</t>
  </si>
  <si>
    <t>Bezhalel M</t>
  </si>
  <si>
    <t>President &amp; CEO</t>
  </si>
  <si>
    <t>MATAM - Advanced Technology Center</t>
  </si>
  <si>
    <t>elbit-systems@elbit.co.il</t>
  </si>
  <si>
    <t>972-77-294-6404</t>
  </si>
  <si>
    <t>Armed Forces, Air Forces, Government Authorities, Militaries, Homeland Security Agencies</t>
  </si>
  <si>
    <t>Elbit Systems tailor and adapt their technologies, integration skills, market knowledge and operationally-proven systems to each customer’s individual requirements in both existing and new platforms. By upgrading existing platforms with advanced technologies, we provide customers with cost-effective solutions, and our customers are able to improve their technological and operational capabilities within limited budgets. They are experienced in providing “systems of systems”, which enables us to provide overall solutions in a range of areas to meet our customers’ comprehensive defense, homeland security and safety needs.
 Elbit Systems is a world leader in defense electronics &amp; electro-optical systems and products. Maintaining its position in this highly competitive market is accomplished by skillful investments in R&amp;D, developing cutting edge technologies in specific niche areas accompanied by technological breakthroughs and achievements by its strategic business units. Gross R&amp;D expenses are set high above industry standards at about 9% of annual revenues, a figure reflecting corporate commitment to innovation and technological breakthroughs.
 Elbit develops GroundEye their high-resolution, wide area panoramic ground persistent video surveillance system brings surveillance and security to the next level. GroundEye continuously monitors, records and analyzes large footprint areas, intercepts events and maintains constant surveillance of multiple regions of interest. Installed on high masts, towers or as a mobile configuration, GroundEye provides operators with information and tools that were previously unavailable or difficult to obtain, adding another dimension to the overall situational awareness.</t>
  </si>
  <si>
    <t>Automotive, Cyber Security, Defense Tech, Drones, Machine Vision, Robotics, SpaceTech</t>
  </si>
  <si>
    <t>NoTraffic</t>
  </si>
  <si>
    <t>NoTraffic is a developer of an autonomous traffic management platform, intended to reduce traffic congestion. The company's platform modernizes cities by transforming signalized intersections into a connected digital transportation network that enhances efficiency assures safety and maximizes infrastructure utilization, uses plug-and-play artificial intelligence sensors to offer road-user detection and classification via a fusion of machine vision and radar, enabling users to identify, categorize and predict buses, cyclists, electric scooters and pedestrians from the time of arrival at an intersection thus improving road safety in real-time.</t>
  </si>
  <si>
    <t>Tal Kreisl</t>
  </si>
  <si>
    <t>https://www.notraffic.tech</t>
  </si>
  <si>
    <t>10801 Mastin Boulevard, Suite 620</t>
  </si>
  <si>
    <t>Kansas City</t>
  </si>
  <si>
    <t>KS</t>
  </si>
  <si>
    <t>contact@notraffic.tech</t>
  </si>
  <si>
    <t>Municipalities, drivers, road maintenance authorities, transportation companies, municipal and urban environments.</t>
  </si>
  <si>
    <t>NoTraffic is an IoT platform that focuses on urban mobility within the transportation sector. The company offers an AI-powered traffic signal platform that connects road users to the city grid, aiming to improve traffic flow and safety while preparing for future mobility demands.</t>
  </si>
  <si>
    <t>Artificial Intelligence, Automotive, Big Data, Climate Tech, Construction Tech, Deep Tech, Insurtech, IoT, Machine Learning, SaaS, Smart City</t>
  </si>
  <si>
    <t>Polymertal</t>
  </si>
  <si>
    <t>Polymertal provides an innovative technology that aims to improve the traditional use of metal products and components with its concept of hybrid products. The company combines metals and polymers with high bonding performance, enabling the successful replacement of metal items, even in critical applications.</t>
  </si>
  <si>
    <t>Ran Carmel</t>
  </si>
  <si>
    <t>https://polymertal.com</t>
  </si>
  <si>
    <t>26 Baalei Melacha St., Check Post Industrial Zone</t>
  </si>
  <si>
    <t>info@polymertal.com</t>
  </si>
  <si>
    <t>972-4-841-0381</t>
  </si>
  <si>
    <t>Defense &amp; Aviation, Space &amp; Communication systems &amp; Automotive Industry, Industrial Plants, Armed force &amp; Aerospace sectors.</t>
  </si>
  <si>
    <t>Polymertal has been developing highly specialized chemical surface etching technology that allows high quality metal plating on plastic and composite materials to produce Hybrid Products.</t>
  </si>
  <si>
    <t>Automotive, Deep Tech, Industry 4.0, SpaceTech</t>
  </si>
  <si>
    <t>Upstream</t>
  </si>
  <si>
    <t>Upstream delivers a cloud-based, AI-powered data management platform purpose-built for connected vehicles, smart mobility, and IoT ecosystem. The Upstream Platform transforms fragmented, distributed mobility data into centralized, structured, and contextualized data lakes, unlocking its full potential. By leveraging this data, Upstream empowers customers with advanced, AI-driven applications across various use cases, including proactive vehicle quality monitoring and detection, cybersecurity detection and response (XDR), API security, misuse detection, usage-based insurance, and more.
 Upstream is privately funded by Alliance Ventures (Renault, Nissan, Mitsubishi), Volvo Group, BMW, Hyundai, MSI Insurance, Nationwide Insurance, Salesforce Ventures, Cisco Investments, CRV, Glilot Capital Partners, and Maniv Mobility, and more.</t>
  </si>
  <si>
    <t>Yoav Levy</t>
  </si>
  <si>
    <t>yoav@upstream.auto</t>
  </si>
  <si>
    <t>https://upstream.auto</t>
  </si>
  <si>
    <t>280 North Old Woodward, Suite 100</t>
  </si>
  <si>
    <t>Birmingham</t>
  </si>
  <si>
    <t>MI</t>
  </si>
  <si>
    <t>hello@upstream.auto</t>
  </si>
  <si>
    <t>1-734-215-7290</t>
  </si>
  <si>
    <t>Vehicle manufacturers, (OEMs), IoT providers, smart mobility service providers, vehicle fleets, telematics, aftermarket, Tier-1s and connected commercial fleets, autonomous cars, MSSPs (Manages Security Service Providers).</t>
  </si>
  <si>
    <t>Upstream Security's Platform utilizes data normalization and cleansing, live digital twin profiling, mobility intelligence, ML-powered detection, and unique AI capabilities to identify anomalies in mobility data and offer unparalleled data-driven actionable insights through mobility-specific applications.</t>
  </si>
  <si>
    <t>Artificial Intelligence, Automotive, Big Data, Cloud, Cyber Security, Insurtech, IoT, Machine Learning, SaaS</t>
  </si>
  <si>
    <t>IPGallery</t>
  </si>
  <si>
    <t>IPgallery delivers holistic, modular, integrative, IoT-based, value-added services and solutions for CSPs, enterprises, governments, and cities. IPgallery's solutions include systems for resiliency, safe and smart cities, transportation, air and water quality, flood monitoring, public safety, homeland security, traffic management, parking, connected cars in intelligent urban environments, and pedestrian safety.</t>
  </si>
  <si>
    <t>Avihai Deg</t>
  </si>
  <si>
    <t>avihai.degani@ipgallery.com</t>
  </si>
  <si>
    <t>https://www.ipgallery.com</t>
  </si>
  <si>
    <t>c/o - ROW International, 117 Ahuza St.</t>
  </si>
  <si>
    <t>Raanana</t>
  </si>
  <si>
    <t>info@ipgallery.com</t>
  </si>
  <si>
    <t>972-9-774-7011</t>
  </si>
  <si>
    <t>Telco, System Integrator, City, Government, IoT Ecosystem .</t>
  </si>
  <si>
    <t>Real time, Distributed edge-cloud, Deep Learning / AI, 5G NB-IoT,</t>
  </si>
  <si>
    <t>Artificial Intelligence, Automotive, Big Data, Blockchain, Cloud, IoT, Machine Learning, Smart City</t>
  </si>
  <si>
    <t>Maradin</t>
  </si>
  <si>
    <t>Maradin enables the use of Lasers to Display and Sensor applications by its proprietary advanced Laser Beam Scanning (LBS) solutions, based on MEMS micro-mirrors, MEMS and video controllers
 Maradin’s innovative products, serve as core components for both automotive and consumer fast growing markets. 
 For automotive, Maradin technology is integrated in exterior lighting, Head Up Display and LiDAR products, whereas in consumer, Maradin is focusing on Smart glasses laser based displays.
 As of today, Maradin had signed development agreements with automotive Tier #1 companies and consumer market leaders, and is looking forward to commercialize its products in the short term.
 Maradin operates in a fabless mode, with comprehensive patent portfolio.</t>
  </si>
  <si>
    <t>Matan Naft</t>
  </si>
  <si>
    <t>https://www.maradin.co.il</t>
  </si>
  <si>
    <t>2 HaCarmel St., Alon Bild., Yokneam Industrial Park.</t>
  </si>
  <si>
    <t>info@maradin.co.il</t>
  </si>
  <si>
    <t>972-4-627-3653</t>
  </si>
  <si>
    <t>Laser Based Displays providers, and Laser sensors, both for the Automotive and consumer markets</t>
  </si>
  <si>
    <t>Maradin’s offering is a highly integrated scanning solution, comprised of MEMS scanning mirrors, MEMS controllers and video controllers, providing a full LBS solution.
 Maradin has both automotive grade MEMS mirrors and top performance mirrors for consumer applications
 Its proprietary digital MEMS controllers provide high stability and flexibility to different needs.
 The video controllers generate real-time synchronization between the MEMS and laser drivers, enabling a high quality image, a significant laser power saving, overcoming optical distortions and ease of integration.</t>
  </si>
  <si>
    <t>Augmented Reality, Automotive, Virtual Reality</t>
  </si>
  <si>
    <t>Carteav</t>
  </si>
  <si>
    <t>Carteav is a developer of electric low-speed vehicles, designed for golf courses. The company offers autonomous driveless vehicles, which reduce complexity, cost and regulatory issues that can be resolved to enable safety, autonomous wireless charging of vehicles at golf courses.</t>
  </si>
  <si>
    <t>Avinoam Ba</t>
  </si>
  <si>
    <t>https://www.carteav.com</t>
  </si>
  <si>
    <t>17 Hadagan St.</t>
  </si>
  <si>
    <t>info@carteav.com</t>
  </si>
  <si>
    <t>972-54-924-8303</t>
  </si>
  <si>
    <t>Resorts, Hotels, Retirement communities, Neighborhoods, Factories, Airports, Low-speed vehicle (LSV) market.</t>
  </si>
  <si>
    <t>A safe autonomous solution that will improve the geo-fenced low-speed vehicle (LSV) market and shape the future of on-site transportation.</t>
  </si>
  <si>
    <t>Automotive, RetailTech</t>
  </si>
  <si>
    <t>EVEdge</t>
  </si>
  <si>
    <t>EVEdge is offering a variety of solutions for charging electric vehicles. The company's solutions are adapted to all potential sectors: private customers who buy an electric vehicle, employers who include electric vehicles in their vehicle fleet, businesses who wish to offer charging services to their customers (real estate owners, parking lots, shopping malls, universities, hotels, etc.).</t>
  </si>
  <si>
    <t>Shraga Kat</t>
  </si>
  <si>
    <t>https://evedge.co.il</t>
  </si>
  <si>
    <t>26 Habarzel St.</t>
  </si>
  <si>
    <t>972-52-480-1522</t>
  </si>
  <si>
    <t>Individuals, Real estate Wwners, Parking lots, Shopping malls, Universities and hotels.</t>
  </si>
  <si>
    <t>Ituran</t>
  </si>
  <si>
    <t>Ituran is a leader in the emerging mobility technology field, providing value-added location-based services, including a full suite of services for the connected-car. Ituran offers Stolen Vehicle Recovery, fleet management as well as mobile asset location, management &amp; control services for vehicles, cargo and personal security for the retail, insurance industry and car manufacturers. Ituran is the largest OEM telematics provider in Latin America. Its products and applications are used by customers in over 20 countries. Ituran is also the founder of the Tel-Aviv based DRIVE startup incubator to promote the development of smart mobility technology.</t>
  </si>
  <si>
    <t>Eyal Shera</t>
  </si>
  <si>
    <t>Co-CEO</t>
  </si>
  <si>
    <t>eyal_s@ituran.com</t>
  </si>
  <si>
    <t>https://www.ituran.com/ituranfront/en</t>
  </si>
  <si>
    <t>3 Hashikma St., Industrial Zone</t>
  </si>
  <si>
    <t>Azur</t>
  </si>
  <si>
    <t>info@ituran.com</t>
  </si>
  <si>
    <t>972-3-557-1336</t>
  </si>
  <si>
    <t>Insurance Companies, Leasing &amp; Rental Companies, Fuel Companies, Car Distributors, Enterprises</t>
  </si>
  <si>
    <t>The Ituran GPS navigation system provides a rich and friendly experience to the user via its comfortable and easy-to-use three-dimensional interface, rich and detailed information about tens of thousands of points of interest thanks to Mapa crowdsourced recommendations.
 Ituran GPS Devices:
 GPS 5.0XL, GPS 4.3L, GPS 5.0i, GPS 4.3i, Ituran GPS software for multimedia systems, GPS 430, GPS 350, Permanently installed GPS with remote control</t>
  </si>
  <si>
    <t>Automotive, Insurtech</t>
  </si>
  <si>
    <t>GreenRoad</t>
  </si>
  <si>
    <t>GreenRoad developed active safety systems to improve driver behavior. The company's systems use unique technology to detect safety incidents, relying on a driving model that identifies complex driving scenarios in a wide range of hardware levels, depending on the type of vehicle. They also provide the drivers with continuous feedback on the safety rating of the ride and immediate feedback on the type or severity of safety incidents.
 GreenRoad's solution is based on two products: the first product, GreenRoad Drive, is a software product installed as an application in the driver's mobile phone device (the application is compatible with both Android and iOS operating systems). The second, GreenRoad Edge, is a hardware-integrated product. The products are uniquely adapted to vehicles of various sizes, including motorcycles, light vehicles, trucks and buses.</t>
  </si>
  <si>
    <t>Zohar Elha</t>
  </si>
  <si>
    <t>zohar.elhanani@greenroad.com</t>
  </si>
  <si>
    <t>https://greenroad.com</t>
  </si>
  <si>
    <t>8900 Shoal Creek Blvd.</t>
  </si>
  <si>
    <t>Austin</t>
  </si>
  <si>
    <t>TX</t>
  </si>
  <si>
    <t>drivegreen@greenroad.com</t>
  </si>
  <si>
    <t>1-888-658-4420</t>
  </si>
  <si>
    <t>Car fleet owners, Car Fleet and Fleet operation Managers, Insurance Companies, Automotive Industry, Vehicle fleet and Digital insurance markets.</t>
  </si>
  <si>
    <t>GreenRoad's driver safety platform employs advanced real-time in-vehicle feedback and changes management methodologies to promote meaningful, lasting change in driver behavior and data-based predictive analytics, enabling fleet managers to get the information they need to optimize overall fleet management, improving safety, minimizing operational costs, reducing risk and enhancing compliance.</t>
  </si>
  <si>
    <t>Artificial Intelligence, Automotive, IoT</t>
  </si>
  <si>
    <t>3Dbattery</t>
  </si>
  <si>
    <t>3DBattery's technology versatility and product innovation for Li-ion batteries is proposed as a step-change in the energy and power per volume and per weight of rechargeable batteries for a wide range of applications, from small electronic devices to transportation (EV) and energy GRID storage. Based on the silicon content and physical characteristics of the anode and cathode, the company can control the batteries' characteristics, including energy density, power and cost.</t>
  </si>
  <si>
    <t>Arnon Blum</t>
  </si>
  <si>
    <t>arnon.blum@3dbattery.co.il</t>
  </si>
  <si>
    <t>https://www.3dbattery.co.il</t>
  </si>
  <si>
    <t>1 Haim Holtzman St.</t>
  </si>
  <si>
    <t>info@3dbattery.co.il</t>
  </si>
  <si>
    <t>972-50-680-9395</t>
  </si>
  <si>
    <t>Electric mobility, energy storage for grids and portable electronics areas.</t>
  </si>
  <si>
    <t>3Dbattery is a manufacturer of energy storage systems, intended to produce lithium-ion batteries for electric vehicles (EVs), grid storage and portable electronics. The company designs, develops and manufactures batteries using smart material engineering used in micro-electromechanical systems, enabling clients to boost energy and power per volume in rechargeable microbatteries.</t>
  </si>
  <si>
    <t>City Transformer</t>
  </si>
  <si>
    <t>City Transformer is a developer of an urban electric vehicle, designed to provide an upgraded driving experience. The company designs dimensions and riding behavior while driving to meet the complex challenges of a conventional passenger car, when in driving mode to that of a motorcycle in parking mode, so that the driver can leave the car in parking spaces, reserved for motorists, enabling people to park easily and maneuver better in the city. City transformer actually developed a first of its kind "folder" car.</t>
  </si>
  <si>
    <t>Asaf Formo</t>
  </si>
  <si>
    <t>asaf@citytransformer.com</t>
  </si>
  <si>
    <t>https://www.citytransformer.com</t>
  </si>
  <si>
    <t>121 Dvora HaNevi'a St.</t>
  </si>
  <si>
    <t>info@citytransformer.com</t>
  </si>
  <si>
    <t>972-50-256-6401</t>
  </si>
  <si>
    <t>Car sharing fleets, Municipalities, Private customers - city drivers of all groups and ages.</t>
  </si>
  <si>
    <t>City Transformer is an automotive company that developed a mechanism of a shape-shifting car’s chassis. This mechanism enabled the company to create a two-seater electric mini vehicle that could change its width while driving, transforming from a fast balanced width of 1.4m that can run 90km/h on open roads to a width of 1m that can maneuver smoothly through heavy traffic and park easily in spaces.</t>
  </si>
  <si>
    <t>MotorMia</t>
  </si>
  <si>
    <t>MotorMia develops Mia, an AI virtual assistant that can tailor users' experiences to various levels of knowledge, generate AI vehicle renderings, make performance upgrade suggestions and help users understand the best choices for specific build goals. The company's users can add vehicles to the platform and set build and performance goals. Mia then provides curated recommendations, all of which are adjustable to their level of mechanical experience. Users can interact with Mia to request Mia's favorites, search for specific brands, ask for further suggestions and save planned product upgrades to their builds.</t>
  </si>
  <si>
    <t>Isaac Buni</t>
  </si>
  <si>
    <t>Founder</t>
  </si>
  <si>
    <t>isaac.b@motormia.co</t>
  </si>
  <si>
    <t>https://www.motormia.co</t>
  </si>
  <si>
    <t>15475 N Greenway Hayden Loop, Suite B7</t>
  </si>
  <si>
    <t>Scottsdale</t>
  </si>
  <si>
    <t>AR</t>
  </si>
  <si>
    <t>info@motormia.co</t>
  </si>
  <si>
    <t>Manufacturers, service providers.</t>
  </si>
  <si>
    <t>MotorMia is a manufacturer of products and stylistic upgrades, intended to create a one-stop shop for all automotive specialty equipment and aftermarket needs. The company provides a diverse range of premium aftermarket parts and upgrades by creating an online marketplace, enabling car enthusiasts by providing to enhance their vehicle's performance and reflect unique taste and style.</t>
  </si>
  <si>
    <t>Siyata Mobile</t>
  </si>
  <si>
    <t>Siyata Mobile (Publicly Traded ($SYTA)) is a leading global developer and provider of cellular communications solutions for enterprise customers, specializing in connected vehicle products for professional fleets, marketed under the Uniden® Cellular brand.
 Siyata's product line first made its debut in 2010 as the world's first 3G fixed truck phone and has since seen significant demand in multiple markets globally making it a global leader in cellular connected devices for trucks, commercial vehicles and fleets. Following the success of our Truckfone series, we introduced in 2013 the VOYAGER connected vehicle Smartphone which is the world's first 3G connected vehicle smartphone launched globally. VOYAGER supports the next generation Push-To-Talk (PTT), Fleet Management applications and additional innovative features. We also developed the portable BAGFONE which provides extended cellular connectivity in remote areas.</t>
  </si>
  <si>
    <t>Marc Seele</t>
  </si>
  <si>
    <t>marc@siyatamobile.com</t>
  </si>
  <si>
    <t>https://www.siyatamobile.com</t>
  </si>
  <si>
    <t>592 Sheppard Ave West.</t>
  </si>
  <si>
    <t>Toronto</t>
  </si>
  <si>
    <t>M3H 4G7</t>
  </si>
  <si>
    <t>ON</t>
  </si>
  <si>
    <t>Canada</t>
  </si>
  <si>
    <t>sales@siyatamobile.com</t>
  </si>
  <si>
    <t>1-757-278-5000</t>
  </si>
  <si>
    <t>info@siyatamobile.com</t>
  </si>
  <si>
    <t>Cellular operators, Commercial vehicle technology distributors, Fleets of all sizes.</t>
  </si>
  <si>
    <t>Siyata has been a pioneer in the industry, launching the world’s first 4G LTE all-in-one fleet communications device in 2018. Incorporating voice, push-to-talk over cellular, data, and fleet management solutions into a single device, the company aims to become the connected vehicle communications device of choice for commercial vehicles and fleets around the world.</t>
  </si>
  <si>
    <t>Lidwave</t>
  </si>
  <si>
    <t>Lidwave’s proprietary Finite Coherent Ranging (FCR) technology integrates all critical components onto a single chip, simplifying production and significantly reducing costs. The company's sensors enables speed measurement in addition to depth measurement at the pixel level, i.e. high-resolution D4 sensing. FCR allows Lidwave to integrate key components onto a single chip by treating light as a wave rather than using traditional photon counting. This approach allows for precise measurement of both range and velocity while offering high-resolution data that helps systems understand their surroundings with greater clarity and provide immunity to external interference.</t>
  </si>
  <si>
    <t>Yehuda Vid</t>
  </si>
  <si>
    <t>yehuda@lidwave.com</t>
  </si>
  <si>
    <t>https://www.lidwave.com</t>
  </si>
  <si>
    <t>5 Shlomo Halevi St.</t>
  </si>
  <si>
    <t>contact@lidwave.com</t>
  </si>
  <si>
    <t>AV &amp; ADAS industries, automotive, smart cities, robotics, industry 4.0. and construction sectors, car market.</t>
  </si>
  <si>
    <t>Lidwave developed the 4D coherent sensor-on-chip, powered by its Finite Coherent Ranging technology. The company's sensor allows it to integrate key components onto a single chip by treating light as a wave, rather than using traditional photon counting. Lidwave's laser sensors allow autonomous vehicles to "see" their surroundings.</t>
  </si>
  <si>
    <t>Automotive, Deep Tech, Robotics</t>
  </si>
  <si>
    <t>Cardo</t>
  </si>
  <si>
    <t>Cardo Systems delivers cutting-edge Communication devices for groups in motion. Connecting motorcycle riders, outdoor enthusiasts, and adventure seekers to their phone, their music, and to each other. Cardo launched the world’s first motorcycle Bluetooth-based wireless intercom headset in 2004 and has been responsible for most of the industry’s innovations ever since. This includes the introduction of the first mesh-powered intercom, the first premium sound system by JBL, and the first voice-powered device, to name but a few. Cardo’s products are sold in over 100 countries and are the world’s leading communication devices for groups in motion.</t>
  </si>
  <si>
    <t>Alon Lumbr</t>
  </si>
  <si>
    <t>https://www.cardosystems.com</t>
  </si>
  <si>
    <t>13 Zarhin St.</t>
  </si>
  <si>
    <t>info@cardosystems.com</t>
  </si>
  <si>
    <t>972-72-257-0123</t>
  </si>
  <si>
    <t>Motorcycle riders, outdoor enthusiasts and adventure seekers.</t>
  </si>
  <si>
    <t>Bluetooth and other wireless communication environments</t>
  </si>
  <si>
    <t>Automotive, Wearables</t>
  </si>
  <si>
    <t>Foretellix</t>
  </si>
  <si>
    <t>Foretellix is the leading enabler of safe autonomous vehicles. Its Foretify Physical AI toolchain accelerates the training, validation and safety evaluation of autonomous vehicles, making AI safe for the physical world.
 Foretellix empowers OEMs and AV developers to build next-generation AV technology with measurable safety, efficiency, and scale. With offices in the US, Europe, and Asia, Foretellix is driving the shift to intelligent, AI-powered autonomy.</t>
  </si>
  <si>
    <t>Ziv Binyam</t>
  </si>
  <si>
    <t>ziv.binyamini@foretellix.com</t>
  </si>
  <si>
    <t>https://www.foretellix.com</t>
  </si>
  <si>
    <t>11 Menahem Begin Rd., Rogovin Tidhar Tower</t>
  </si>
  <si>
    <t>info@foretellix.com</t>
  </si>
  <si>
    <t>972-58-434-7475</t>
  </si>
  <si>
    <t>Autonomous vehicle manufacturers, automotive Tier 1 suppliers, ADAS developers, new mobility and insurance companies, certification and regulatory entities.</t>
  </si>
  <si>
    <t>Foretellix provides a data-automation toolchain designed to support the training, validation and safety evaluation of AI-powered autonomous vehicle (AV) stacks. 
 Foretellix's Foretify platform addresses the key challenge of scaling up AV development by tying together real-world drive data, synthetic scenarios, and measurable coverage/validation workflows.</t>
  </si>
  <si>
    <t>Artificial Intelligence, Automotive, Generative AI, Insurtech</t>
  </si>
  <si>
    <t>MPrest</t>
  </si>
  <si>
    <t>MPrest is a global provider of mission-critical monitoring and control solutions for the defense, security, utility and Industrial Internet of Things (IoT) sectors. The company delivers leading-edge product-based solutions for “connecting the dots” across multiple complex systems of any scale – from a single facility to a multinational corporation.</t>
  </si>
  <si>
    <t>Natan Bara</t>
  </si>
  <si>
    <t>CEO &amp; President &amp; Co-Founder</t>
  </si>
  <si>
    <t>natan@mprest.com</t>
  </si>
  <si>
    <t>https://www.mprest.com</t>
  </si>
  <si>
    <t>94 Em-Hamoshavot Rd., Kiryat Arieh, Park Ofer</t>
  </si>
  <si>
    <t>info@mprest.com</t>
  </si>
  <si>
    <t>972-73-216-6666</t>
  </si>
  <si>
    <t>Security, Defense, Utility and Industrial Internet of Things sectors, Smart monitoring &amp; Control systems, Enterprises.</t>
  </si>
  <si>
    <t>MPrest's technology gives its customers a competitive edge by providing the flexibility and functionality they need to address the rapid changes, challenges, opportunities and threats in today's world. Comprised of modular building blocks that together form an advanced generic platform, the company's microservices-based technology offers a new paradigm for fast and efficient development of smart monitoring and control systems.
 - System of systems approach - based on a holistic “system of systems” approach, MPrest technology helps organizations integrate platforms, assets and sensors across multiple disciplines into one unified system view. Using big data analytics and artificial intelligence algorithms to correlate data across multiple domains in real time, the company's technology enables a high level of situational awareness and optimization of IT and OT processes and systems. By optimizing and integrating IT and OT processes, MPrest's system of systems approach reduces costs with increased operational efficiency and better systems performance.
 - Microservices architecture platform - mPrest employs a microservices architecture, based on decoupling of functional components. This design allows the customers to "mix and match" generic, field-proven components to meet the needs of a specific project or deployment and allows them to implement our smart management and control platform in a gradual, "pay-as-you-go" manner. The company's flexible solution architecture can be deployed on-premise or in the cloud, depending on the customer and type of application.
 - MPrest's mGenie core software - a platform that serves as a flexible, robust and reliable foundation for the company's smart monitoring, control and analytics products. The mGenie back-end layer implements all common software tasks, including authentication, message communication, entity management, logging, auditing and other services. Core services (business logic, algorithms, forecasters, etc.) are implemented as stateless containerized microservices, while internal communication is done via a message broker (for high-rate, batched, asynchronous interactions) and REST services for low rate synchronous interactions.
 Separate IT and OT applications can be viewed and managed from one front end using one platform for infrastructure services such as data base, user management, adaptors to external components etc. mGenie employs open source components and integrates with external systems using adapters. Each adapter is implemented to fit specific protocol requirements.</t>
  </si>
  <si>
    <t>Artificial Intelligence, Automotive, Big Data, Defense Tech, Industry 4.0, IoT</t>
  </si>
  <si>
    <t>CyMotive</t>
  </si>
  <si>
    <t>Cymotive develops cyber security solutions for original equipment manufacturers and automotive suppliers. The company specializes in automotive security solutions through a holistic offensive-defensive approach, catering to autonomous and semi-autonomous cars with an internet connection.</t>
  </si>
  <si>
    <t>Tsafrir Ka</t>
  </si>
  <si>
    <t>tsafrir.kats@cymotive.com</t>
  </si>
  <si>
    <t>https://www.cymotive.com</t>
  </si>
  <si>
    <t>94 Yigal Alon St. Alon Towers 1, 32th Floor</t>
  </si>
  <si>
    <t>office@cymotive.com</t>
  </si>
  <si>
    <t>972-79-572-9960</t>
  </si>
  <si>
    <t>Original equipment manufacturers, Automotive suppliers.</t>
  </si>
  <si>
    <t>CyMotive designs multilayered car-security architecture and develops security solutions for in-vehicle systems, back-end, mobile services and connected functions.</t>
  </si>
  <si>
    <t>Automotive, Cyber Security, IoT</t>
  </si>
  <si>
    <t>Charging Robotics</t>
  </si>
  <si>
    <t>Charging Robotics develops various products based on wireless charging. A robotic system for wireless charging of EV. Once parked, the driver will initiate charging by use of a simple smart phone app. The autonomous robot will navigate under the vehicle and automatically charge it. By use of the robot, high charging efficiency and high-quality user experience is obtained. Charging Robotics' system will also reduce the costs of installing public chargers, as the robot will serve many parking spots in the same lot. The company currently targets the Automatic Parking System market with its solution for wireless charging.</t>
  </si>
  <si>
    <t>Hovav Gila</t>
  </si>
  <si>
    <t>hovav@chargingrobotics.com</t>
  </si>
  <si>
    <t>https://www.chargingrobotics.com</t>
  </si>
  <si>
    <t>1 Alumot St.</t>
  </si>
  <si>
    <t>Omer</t>
  </si>
  <si>
    <t>972-54-219-1533</t>
  </si>
  <si>
    <t>Parking lot owners and operators, Automatic Parking System providers.</t>
  </si>
  <si>
    <t>Charging Robotics is developing a robotic platform for charging vehicles in a wireless and automatic manner.</t>
  </si>
  <si>
    <t>Automotive, Climate Tech, Robotics</t>
  </si>
  <si>
    <t>Isra-Juk Electronics</t>
  </si>
  <si>
    <t>Isra-Juk Electronics aims to manufacture &amp; sell smart systems that detect electricity faults (wiring &amp; equipment) - in buildings, automotive systems, factories and aircrafts. In addition, the company is developing the Mains-Ranger(TM) products which address the issues of: energy-waste on electrical-wiring of electrical facilities and accidents caused by faulty wire systems, malfunctioning heating equipment, bad plugs, etc. The company's product is a small electronic module that checks several parameters of the residential/airborne/naval power-grid. Modules can be interconnected via net working media - RF or power-line communication. Processing unit in the modules detect hazard conditions and act accordingly - alarm or disconnect.</t>
  </si>
  <si>
    <t>Itsik Sela</t>
  </si>
  <si>
    <t>isra-juk@zahav.net.il</t>
  </si>
  <si>
    <t>http://www.israjuk.com</t>
  </si>
  <si>
    <t>48 Hanesiim St.</t>
  </si>
  <si>
    <t>972-3-933-9567</t>
  </si>
  <si>
    <t>Global Electrical Equipment Companies, Households, Factories, Aircrafts, Insurance Companies, Homeland Security.</t>
  </si>
  <si>
    <t>The company's technology enables in-situ measurement of voltage-drop over the wiring part of an electrical facility. The unique technology is based on sophisticated algorithms and home automation disciplines. The company's product is a small electronic module that checks several parameters of the residential/airborne/naval power-grid. Modules can be interconnected via net working media - RF or power-line communication. The processing unit in the modules detect hazard conditions and act accordingly - alarm or disconnect.</t>
  </si>
  <si>
    <t>BQR</t>
  </si>
  <si>
    <t>Established in 1989, BQR provides Reliability, Availability, Maintenance and Safety tools (RAMS), Integrated Logistic Support (ILS), consulting services and software tools. Over the years BQR has successfully completed thousands of projects for major customers around the world.</t>
  </si>
  <si>
    <t>Yitzhak Bo</t>
  </si>
  <si>
    <t>bot@bqr.com</t>
  </si>
  <si>
    <t>http://www.bqr.com</t>
  </si>
  <si>
    <t>5 Mazal Eliezer St., New Industrial Zone</t>
  </si>
  <si>
    <t>info@bqr.com</t>
  </si>
  <si>
    <t>972-3-962-5911</t>
  </si>
  <si>
    <t>Electronics, Oil &amp; Gas, Communication, Power Generation, Aerospace, Defense, Manufacturing, Automotive, Wind Energy &amp; Medical</t>
  </si>
  <si>
    <t>BQR fiXtress is a state-of-the-art tool for creating superior, robust, and reliable electronics systems. fiXtress enables users to conduct automated stress and power analysis, for easy detection of design and reliability issues.
 BQR CARE suite is an integrated tool that gives a well rounded solution for reliability analysis in electronics and mechanical systems. CARE is widely used among industry leaders worldwide.
 BQR apmOptimizer is one of the most powerful optimization tools for maintenance, Spare Parts and Logistics planning in today’s market. apmOptimizer not only helps predict the effects of current maintenance policies, but also recommends how to optimize them.</t>
  </si>
  <si>
    <t>Automotive, DevOps, Industry 4.0, IoT</t>
  </si>
  <si>
    <t>Actasys</t>
  </si>
  <si>
    <t>Actasys is a development stage company commercializing its unique ActaJet technology for sensor cleaning and advance cooling systems and is establishing leadership in critical areas to enable the safe and efficient future of the automotive and mobility industries. Actasys has multiple product development partnerships with leading automotive and transportation companies and is backed by prominent automotive and mobility investors.</t>
  </si>
  <si>
    <t>David Meni</t>
  </si>
  <si>
    <t>david.menicovich@actasysinc.com</t>
  </si>
  <si>
    <t>https://www.actasysinc.com</t>
  </si>
  <si>
    <t>63 Flushing Ave.</t>
  </si>
  <si>
    <t>Brooklyn</t>
  </si>
  <si>
    <t>11205-1010</t>
  </si>
  <si>
    <t>info@actasysinc.com</t>
  </si>
  <si>
    <t>1-877-722-8279</t>
  </si>
  <si>
    <t>Data Centers, Automotive OEMs, Tier-1s, Tier-2s</t>
  </si>
  <si>
    <t>Actasys is commercializing its patented ActaJet™ technology, a cost-effective electronically controlled system of small actuators that locally generates strong jets of air at the sensor location. This validated system reduces fluid consumption and avoids expensive or difficult to maintain mechanical solutions. ActaJet cleans and maintains the visual clarity of sensors and cameras, achieving safety, and enabling optimal operation of ADAS and autonomous vehicles.</t>
  </si>
  <si>
    <t>Newsight</t>
  </si>
  <si>
    <t>Newsight Imaging is an Israeli semiconductor startup founded with the goal of making 3D technology accessible for mass market applications across many industries: from Automotive, Industry 4.0, Smart City &amp; Robotics to Water Safety &amp; Healthcare. Newsight is a designer, developer, and manufacturer of advanced 3D CMOS sensor chips and spectral sensors – from chip to full sensing unit. As Newsight continues to grow, it is planning to incorporate its technology in self-designed, developed, and manufactured products.</t>
  </si>
  <si>
    <t>Eli Assool</t>
  </si>
  <si>
    <t>eli@nstimg.com</t>
  </si>
  <si>
    <t>https://www.newsight.com</t>
  </si>
  <si>
    <t>3 Golda Meir St. Park Hamada</t>
  </si>
  <si>
    <t>Ness Ziona</t>
  </si>
  <si>
    <t>info@nstimg.com</t>
  </si>
  <si>
    <t>972-8-379-2388</t>
  </si>
  <si>
    <t>Automotive, Industry 4.0, Robotics, Mobile, Smart City, Sports, Metaverse, Medical, and Water Monitoring.</t>
  </si>
  <si>
    <t>Metal Oxide Semiconductor (CMOS) image sensors, SpectraLIT Spectral sensor.</t>
  </si>
  <si>
    <t>Automotive, Deep Tech, Drones, FoodTech, Industry 4.0, IoT, Machine Vision, RetailTech, Robotics, SportsTech</t>
  </si>
  <si>
    <t>Sital</t>
  </si>
  <si>
    <t>Sital Technology develops products and expertise for communication bus applications in the avionics, aerospace and automotive industries. Sital embeds its vast experience and proficiency in its products which include the widely used Mil-Std-1553 and ARINC 429 IP cores, components, boards and testers, as well as uncommonly used protocols like H009, WB194 and French DigiBus. Sital also provides CAN bus testing devices and applications. With its highly-experienced staff of experts, the company's Projects Division undertakes design, integration and turn-key engagements on behalf of the world's leading commercial and military avionics companies, space agencies, and automobile designers and manufacturers.</t>
  </si>
  <si>
    <t>Guy Hofman</t>
  </si>
  <si>
    <t>Deputy CEO</t>
  </si>
  <si>
    <t>guy.hofman@sitaltech.com</t>
  </si>
  <si>
    <t>http://www.sitaltech.com</t>
  </si>
  <si>
    <t>17 Atir Yeda St.</t>
  </si>
  <si>
    <t>info@sital.co.il</t>
  </si>
  <si>
    <t>972-9-763-3300</t>
  </si>
  <si>
    <t>Range from Small Businesses to Large Corporations, Electronic industry, Space Industry</t>
  </si>
  <si>
    <t>Avionics Technology
 Sital provides world-class products and expertise for communication bus applications in the avionics industry.
 Our advanced MIL-STD-1553 IP core come with a set of enhanced capabilities allowing for your communication bus to have real time digital wiring fault detection and prognosis, so your aircraft will experience minimum downtime.
 We provides IP Cores, Components, Testers and Boards for the following avionics protocols: Mil-Std-1553, Arinc 429, H009, WB-194, 1553EBR and others.
 Automotive Technology
 Sital developed and patented the Smart CAN Bus technology.
 This technology is able to use the standard CAN bus to detect wiring faults within a vehicle, to heal those faulty communications, and to efficiently secure a vehicle.
 Buffalo Is the fastest wiring fault detection solution. Using the Smart CAN Bus technology it pinpoints and locates specific wiring faults in real time.
 Buffalo may be used in manufacturing plants and in service areas, allowing your vehicles to undergo a quick and strategic repair. It is best known for enabling your customers to have a short and assuring service experience.
 SpyTDR is a second product which use the Smart CAN Bus technology. It is a light utility tool designed to seamlessly detect intermittent wiring faults while vehicles are in motion.</t>
  </si>
  <si>
    <t>Click-Ins</t>
  </si>
  <si>
    <t>Click-Ins is a rapidly growing, next-generation AI SaaS vehicle inspection platform. 
 Click-Ins is dedicated to transforming time-consuming, costly, manual inspections into one digitized, automated, consistent and streamlined, near real-time process, without the need for special equipment or skilled personnel. 
 All activities are automatic, yet keeping the option for user intervention, in the Click-Ins SaaS platform. This includes user guidance, damage recognition, and license plate recognition, followed by automatic damage localization and measurements, and a comprehensive vehicle condition report containing all necessary information to complete the process.
 Click-Ins works with leading automotive, rental, and insurance companies to increase digitization, reduce human errors, fraud, and risk, and increase customer satisfaction. 
 With headquarters in Israel and operations and partners worldwide, the company's SaaS platform provides 24/7 services to its customers and partners.</t>
  </si>
  <si>
    <t>Josh Parso</t>
  </si>
  <si>
    <t>josh@click-ins.com</t>
  </si>
  <si>
    <t>https://www.click-ins.com</t>
  </si>
  <si>
    <t>4 HaTzoran St.</t>
  </si>
  <si>
    <t>info@click-ins.com</t>
  </si>
  <si>
    <t>972-72-335-9103</t>
  </si>
  <si>
    <t>Insurance, automotive, car rental companies, dealerships.</t>
  </si>
  <si>
    <t>Click-Ins technology provides a comprehensive solution for vehicle inspection, available both as a user-friendly web application and a versatile API. 
 Click-Ins solution facilitates a fully guided inspection process, empowering inspectors to capture and document vehicle damages accurately.
 Click-Ins’ AI models are pre-trained using synthetic data, ensuring that its solution delivers high performance without relying on customer data for initial training. Besides the ethical AI aspects, this approach guarantees highly generalized, robust, and reliable damage assessment, ready to deploy.</t>
  </si>
  <si>
    <t>Artificial Intelligence, Automotive, FinTech, Generative AI, Insurtech, Machine Learning</t>
  </si>
  <si>
    <t>Greenkote</t>
  </si>
  <si>
    <t>Greenkote is the developer of a patented corrosion-blocking, thermal diffusion coating technology – the Greenkote® process. This process is eco-friendly, involving no solvents, heavy metals or acids. Greenkote coatings find many applications in automotive parts, rubber-to-metal molding, mining, oil/gas, fasteners — anywhere corrosion poses a challenge to steel or iron-based components.</t>
  </si>
  <si>
    <t>Mark Gore</t>
  </si>
  <si>
    <t>mark.gore@greenkote.com</t>
  </si>
  <si>
    <t>http://www.greenkote.com</t>
  </si>
  <si>
    <t>6435 Eastland Road</t>
  </si>
  <si>
    <t>Brook Park</t>
  </si>
  <si>
    <t>OH</t>
  </si>
  <si>
    <t>jill.pawloski@greenkote.com</t>
  </si>
  <si>
    <t>1-440-243-2941</t>
  </si>
  <si>
    <t>info@greenkote.com</t>
  </si>
  <si>
    <t>Construction, Automotive, Oil &amp; Gas, Mining, Aerospace, Rail, Utilities, Bridges, Wind, Solar, Military, Marine, Power Transmission, Transportation</t>
  </si>
  <si>
    <t>In the Greenkote process, finished metal parts are heated in the presence of proprietary treated zinc alloy powders, causing the powders to sublime (vaporize) and react with the metal part surfaces. This forms a fully-alloyed zinc-iron surface structure that covers the components conformally – even fine threads, recesses and holes. The resulting coating is metallurgically bonded into the surface, providing exceptional corrosion resistance, increased hardness and strong adhesion to paints and other topcoats. Greenkote can also coat small assemblies of parts that include features such as hinges, and still provide uniform coverage. The technology a deviation of Diffusion coatings allows the innovative application of coatings, based with the following advantages over regular diffusion coatings: - 90% less powder. - 50% less energy/Cycle time. - A virtually infinite number of possible coatings can be applied. Thus it is a higher performing, environmentally sounds alternative to other coating technologies such as painting (with and without metal additives), hot dip galvanizing, Chemical Deposition (electro less or by electrolytic), and more specialized methods Such as PVD, CVD diffusion coatings etc.</t>
  </si>
  <si>
    <t>NRG International</t>
  </si>
  <si>
    <t>NRG is involved in research and development of Hi-Tech products for the Automotive, Industry and Agricultural Equipment. NRG has a number of characteristics that are synergistic with normal lubricant oils and greases to create an effective motor lubrication system. NRG reduces friction to yield the following benefits: Greatly reduced engine wear, Longer engine life, Greater fuel and oil economy, Reduced emissions, Easier starting, Increased horsepower, Optimized oil temperature.</t>
  </si>
  <si>
    <t>Isaac Oved</t>
  </si>
  <si>
    <t>President &amp; CEO, Founder</t>
  </si>
  <si>
    <t>nrg1@isdn.net.il</t>
  </si>
  <si>
    <t>http://www.nrg1.co.il/multilang/en</t>
  </si>
  <si>
    <t>MP Harei Yehuda</t>
  </si>
  <si>
    <t>Moshav Aminadav</t>
  </si>
  <si>
    <t>972-2-642-2424</t>
  </si>
  <si>
    <t>Automotive Industry, Military Units, Heavy Industry.</t>
  </si>
  <si>
    <t>The product has the ability to respond to proper compounding so as to remain in suspension in various viscosities of oils and to endure blending into several grease formulations. It has the ability to fuse homogenous, micro-thin film on the operating surfaces of engines without the deleterious effects of excessive build up or of particle shedding and to protect against acids and caustics of all kinds without alloying the surfaces being protected. Finally, reductions in vibrations and noise in various engines indicated that its damping properties remain effective despite the thinness of the film.</t>
  </si>
  <si>
    <t>LogiTag</t>
  </si>
  <si>
    <t>LogiTag develops, manufactures, and markets intelligent, best-in-class RFID solutions and systems for tracking, monitoring, and managing inventory, assets, and people. LogitTag identified a growing need for advanced RFID technology with applications in healthcare, security, and enterprise. LogiTag’s develops modular, tailor-made and comprehensive hardware/software suites that integrate smoothly into lean manufacturing and operations.</t>
  </si>
  <si>
    <t>Shlomo Mat</t>
  </si>
  <si>
    <t>shlomom@identimedical.com</t>
  </si>
  <si>
    <t>https://logi-tag.com</t>
  </si>
  <si>
    <t>29 Yad Harutzhim St. , Poleg Industrial Zone</t>
  </si>
  <si>
    <t>info@logi-tag.com</t>
  </si>
  <si>
    <t>972-9-835-4848</t>
  </si>
  <si>
    <t>LogiTag meets the needs of diverse industries: 
 • Cosmetics
 • Food
 • Healthcare
 • Military &amp; Defense
 • Oil and gas
 • Pharmaceuticals
 • Printing
 • Retail
 • Dental
 • Agriculture
 • Chemical
 • Electronics
 • Technology
 • Automotive
 • Smart City
 • Manufacturing
 Government Authorities
  Enterprises
  OEM 
 &amp; Social-Media Markets.</t>
  </si>
  <si>
    <t>Web-based Platform &amp; Hardware Controller, Advanced RFID Technology &amp; Applications.
 Embedded RFID allows product manufacturers to control which consumables are placed inside their products, and manage how they are used. Manufacturers can now embed RFID reader modules seamlessly into virtually any device and control the point of use by reading tagged consumables and authenticating their identity, type, and usage policy. How the Solution Works: LogiTag's RFID Smart Device solution is comprised of a LogiTag RFID reader and antenna module embedded inside of a machine or device and RFID tags placed on consumables, disposables, or replacement parts. When one of these items gets placed inside or near the machine, the LogiTag Module embedded in the machine reads the RFID tag and applies an authentication policy (previously defined during tag / reader provisioning) to determine acceptability based on criteria such as brand model, serial number, placement, orientation and physical characteristics (age, wear, temperature, etc). The results of the authentication process tell the machine whether or not the tagged item is usable and how to properly use the item</t>
  </si>
  <si>
    <t>Automotive, Digital Health, IoT, RetailTech, SaaS, Smart City</t>
  </si>
  <si>
    <t>Rider Dome</t>
  </si>
  <si>
    <t>Rider Dome is a Computer Vision AI based collision alert system providing motorcycle riders with real-time alerts against critical threats on the road to prevent accidents before they happen.</t>
  </si>
  <si>
    <t>Yoav Elgri</t>
  </si>
  <si>
    <t>yoav@riderdome.com</t>
  </si>
  <si>
    <t>https://www.riderdome.com</t>
  </si>
  <si>
    <t>75 Ayer Rajah Crescent</t>
  </si>
  <si>
    <t>Singapore</t>
  </si>
  <si>
    <t>info@riderdome.com</t>
  </si>
  <si>
    <t>65-9620-9224</t>
  </si>
  <si>
    <t>Motorcycle fleets, Motorcycle manufacturers, Tier 1-2 suppliers.</t>
  </si>
  <si>
    <t>Advanced Rider Assistance System (ARAS); an advanced AI technology based on computer vision algorithms that analyses real time data and detects potential threats on the road.</t>
  </si>
  <si>
    <t>RunEL</t>
  </si>
  <si>
    <t>RunEL is carving its way to be a technology leader in the 5G mobile wireless revolution. The company vision is: “to improve life experience by connecting people and things using superior technology” and its mission is to: “introduce the revolutionary Sparq-2020 chipset for 5G infrastructure that will become a significant player in Ultra Reliable Low Latency Communication (URLLC)”.
 RunEL, as the Center of Excellence for the OFDMA technology, introduced some substantial innovations to the evolving 5G PHY and MAC layers architecture, including the Sparq Minislots and the I-MEC, that reduces the latency in wireless broadband cellular communication to unprecedented records in order to enable applications such as: V2X, Remote Surgery, Online Gaming, Automated Factory, etc.</t>
  </si>
  <si>
    <t>Zion Hadad</t>
  </si>
  <si>
    <t>zionh@runel.net</t>
  </si>
  <si>
    <t>https://www.runel.net</t>
  </si>
  <si>
    <t>2 Hachoma St., second floor</t>
  </si>
  <si>
    <t>info@runel.net</t>
  </si>
  <si>
    <t>972-3-952-8805</t>
  </si>
  <si>
    <t>5G mobile infrastructure equipment manufacturers</t>
  </si>
  <si>
    <t>RunEL's Sparq-2020 System on Chip (SoC) offers unbeatable performance for Ultra Reliable Low Latency (URLLC) applications such as V2X, Connected Cars, Drones Communication, Remote Surgery, Interactive Games, etc. 
 The Sparq-2020 is 5G 3GPP standard compliant (REL-15) and is optimized for URLLC applications in order to deliver unbeatable latency below (250 microseconds) using its unique "Sparq Minislots" and "Integrated Mobile Edge Computing" (I-MEC) technology.
 The Sparq-2020 is used in 5G New Radio (NR), Remote Radio Head (RRH) and Smart RRH (SRRH) type of Products.
 RunEL also provides the Sparq-2020 Reference Design Board (RDB) to enable equipment manufacturers an easy and painless process from design to commercial product at different 5G bands (mmWaves below 6GHz and other bands.</t>
  </si>
  <si>
    <t>Augmented Reality, Automotive, Deep Tech, Digital Health, Drones, Gaming, Virtual Reality</t>
  </si>
  <si>
    <t>NanoScent</t>
  </si>
  <si>
    <t>Nanoscent is an Israeli start up company that develops, designs, and produces innovative sensors based on nanotechnology, founded in 2017. Behind NanoScent is a powerful tech team made of chemists, material scientists and data scientists developing hard-tech for climate tech sensing. NanoScent has raised $10million in equity and $10million in non-dilutive grants and is backed by strategic partners like Sumitomo Chemicals and Dreamtech. 
 Its flagship product, the first in its series of climate tech, VOCID® H2Confirm, a sensor-based monitoring system that can be applied to various points of the hydrogen supply chain, from production to storage and refueling stations, for the continuous monitoring of hydrogen purity in realtime and in-line. VOCID® H2Confirm measures gases and volatile organic compounds (VOC) and hydrogen impurities onsite and provides real time alerts in the event of contamination.</t>
  </si>
  <si>
    <t>Oren Gavri</t>
  </si>
  <si>
    <t>https://nanoscentlabs.com</t>
  </si>
  <si>
    <t>2a Kahol St., Teradyon Industrial Park</t>
  </si>
  <si>
    <t>Misgav</t>
  </si>
  <si>
    <t>contact@nanoscentlabs.com</t>
  </si>
  <si>
    <t>972-4-850-1707</t>
  </si>
  <si>
    <t>Energy, Oil &amp; Gas, Hydrogen Electrolyzer, Fuel Cells, Hydrogen refueling stations</t>
  </si>
  <si>
    <t>Scent recognition, Gas sensors, AI, Data Analysis, Nanotechnology</t>
  </si>
  <si>
    <t>Artificial Intelligence, Automotive, Climate Tech, Industry 4.0, Smart City, Wellness</t>
  </si>
  <si>
    <t>Quicargo</t>
  </si>
  <si>
    <t>Quicargo provides an online marketplace for shippers &amp; carriers to benefit from unutilized truck loading spaces. Its platform monitors available trucks with empty space from multiple sources, analyses it in real-time, detects shippers needs and creates a database with essential information to instigate business transactions.</t>
  </si>
  <si>
    <t>Avishai Tr</t>
  </si>
  <si>
    <t>https://quicargo.com</t>
  </si>
  <si>
    <t>763a Johan Huizingalaan</t>
  </si>
  <si>
    <t>Amsterdam</t>
  </si>
  <si>
    <t>1066 VH</t>
  </si>
  <si>
    <t>The Netherlands</t>
  </si>
  <si>
    <t>info@quicargo.com</t>
  </si>
  <si>
    <t>31-20-262-0216</t>
  </si>
  <si>
    <t>Companies, Suppliers, Truck Drivers, Freight Forwarders</t>
  </si>
  <si>
    <t>Mobile app, Web app, Smart Transportation, Location-Based Services (LBS), Big Data</t>
  </si>
  <si>
    <t>Automotive, Big Data</t>
  </si>
  <si>
    <t>Noam Urim</t>
  </si>
  <si>
    <t>Biomed</t>
  </si>
  <si>
    <t>Noam Urim is a leader in the manufacture of needle-punched nonwoven fabrics. Noam Urim processes polyester, polypropylene, and viscose fibers to produce its range of super-absorbent needle-punched wipes. The company offers a variety of fabrics with different features for applications such as dry cleaning wipes for household use, soaped sponges for hygienic medical care, geotextiles for outdoor use, air filters for the automotive industry, pre-filter dust breathers for the composite materials industry, and wadding for use in insulation.</t>
  </si>
  <si>
    <t>Rotem Royi</t>
  </si>
  <si>
    <t>https://noam-urim.com</t>
  </si>
  <si>
    <t>M.P. Negev</t>
  </si>
  <si>
    <t>Kibbutz Urim</t>
  </si>
  <si>
    <t>orlyp@noam.urim.org.il</t>
  </si>
  <si>
    <t>972-8-992-0444</t>
  </si>
  <si>
    <t>Distributors for home cleaning products</t>
  </si>
  <si>
    <t>Fabrics 
 Noam Urim’s R&amp;D team constantly looks for new applications, new directions — especially those tailored for special projects — and new ways to improve its current portfolio.
 Noam Urim has the technical know-how, the professional experience, and the right technology to meet almost any challenge.</t>
  </si>
  <si>
    <t>REE Automotive</t>
  </si>
  <si>
    <t>REE Automotive is a technology company enabling the next generation of software-defined vehicles (SDVs). Powered by REE® vehicles manage operations and features through proprietary software, enhancing safety, modularity and performance in passenger and commercial vehicles. REE’s SDV technology licensing is a solution for OEMs seeking to improve their cost structure, reduce time to market and enhance their product offering. With a validated and certified SDV architecture, REE helps automakers and fleet operators unlock new mobility possibilities.</t>
  </si>
  <si>
    <t>Daniel Bar</t>
  </si>
  <si>
    <t>daniel@ree.auto</t>
  </si>
  <si>
    <t>https://ree.auto</t>
  </si>
  <si>
    <t>Kibbutz Glil-Yam</t>
  </si>
  <si>
    <t>info@ree.auto</t>
  </si>
  <si>
    <t>972-77-899-5193</t>
  </si>
  <si>
    <t>Auto-manufacturers, OEMs, Delivery &amp; logistic fleets, Mobility-as-a-Service providers.</t>
  </si>
  <si>
    <t>The REEcorner integrates all traditional drive components (steering, braking, suspension, e-motor) into the arch of the wheel and thus carrying the REEboard which is a completely flat and modular electric platform.
 The company's SoftWheel technology is an innovative in-wheel suspension and solution for a wide range of markets, providing wheels for the wheelchair, bicycle, and automotive industries.</t>
  </si>
  <si>
    <t>ELTAM Ein Hashofet</t>
  </si>
  <si>
    <t>ELTAM Ein Hashofet is a leading designer and manufacturer of advanced systems for lighting. A designer of energy efficient solutions for indoor, outdoor and agricultural lighting. Eltam is a one-stop-shop for energy efficient and intelligent street lighting systems. Eltam offers a package of LED drivers and electronic ballasts, integrated with various last-mile communication protocols, cellular controllers (RTU) and a unique web based management solution ON-SiTE ®.
 The ON-SiTE® (a web based software) allows the end user to monitor and control an individual streetlight or a group of streetlights in the city. With these abilities, Eltam is taking place as a significant player at the future Smart-City and Smart-Grid vision. An approved manufacturer for the automotive industry in the fields of stamped sheet metal products and sub-assemblies.</t>
  </si>
  <si>
    <t>Menashi Sh</t>
  </si>
  <si>
    <t>menashi.s@eltam-eh.com</t>
  </si>
  <si>
    <t>https://www.eltam-eh.co.il/en</t>
  </si>
  <si>
    <t>Kibbutz Ein Hashofet</t>
  </si>
  <si>
    <t>eltam@eltam-eh.com</t>
  </si>
  <si>
    <t>972-4-903-5300</t>
  </si>
  <si>
    <t>Municipalities, Industrial Plants, Enterprises</t>
  </si>
  <si>
    <t>Energy Efficient Lighting</t>
  </si>
  <si>
    <t>Automotive, IoT, Smart City</t>
  </si>
  <si>
    <t>OSG - Oran Safety Glass</t>
  </si>
  <si>
    <t>OSG is a leading worldwide developer and producer of bullet resistant, forced entry and blast resistant glass for the automotive and building industries.
 OSG developed a revolutionary transparent armor technologies, advanced LCD glass systems (ScreeneX), solar systems and many others has been developed by OSG team to answer customer needs.</t>
  </si>
  <si>
    <t>Michael Sc</t>
  </si>
  <si>
    <t>https://osg-group.com</t>
  </si>
  <si>
    <t>M.P Harei Yehuda</t>
  </si>
  <si>
    <t>Kibbutz Zova</t>
  </si>
  <si>
    <t>info@osg.co.il</t>
  </si>
  <si>
    <t>972-2-570-6100</t>
  </si>
  <si>
    <t>OSG can offer its clients the highest standard of transparent armor solutions developed according to the developing needs of operational forces, backed by ongoing US Army, USMC and Israeli Defense Forces (IDF) field experience. 
 OSG products are effective for a wide range of requirements, and the company offers comprehensive services, including production of glass and frames, assembly and vehicle installation when needed.</t>
  </si>
  <si>
    <t>Automotive, Architectural, Solar and Armored glass</t>
  </si>
  <si>
    <t>AudioBurst</t>
  </si>
  <si>
    <t>Audioburst is building the world’s largest growing library of audio content by listening to and indexing millions of audio files from a plethora of sources in real time. Powered by advanced NLP technology and a proprietary AI platform that indexes audio segments into searchable bursts in real-time, Audioburst is introducing an entirely new way for consumers and businesses to interact with live or recorded audio content across platforms and devices.</t>
  </si>
  <si>
    <t>Gal Klein</t>
  </si>
  <si>
    <t>gal@audioburst.com</t>
  </si>
  <si>
    <t>https://audioburst.com</t>
  </si>
  <si>
    <t>45 Rothschild Blvd St.</t>
  </si>
  <si>
    <t>info@audioburst.com</t>
  </si>
  <si>
    <t>972-54-483-1713</t>
  </si>
  <si>
    <t>Enterprises, Organizations, Web Video Publishers, Broadcasters</t>
  </si>
  <si>
    <t>Audioburst develops technologies and products that take spoken-word media to the next level. 
 Their technology transcribes and understands the meaning of auditory content in real-time enabling us to provide unique offerings to Internet users, radio broadcasters, publishers and app developers.</t>
  </si>
  <si>
    <t>Artificial Intelligence, Automotive, NLP</t>
  </si>
  <si>
    <t>EDT</t>
  </si>
  <si>
    <t>E-Drive Technology is a manufacturer and provider of smart fleet management, fuel management, and telematic solutions for the automotive industry. EDT develops its own proprietary hardware, firmware, and management software products in an integrated development environment.</t>
  </si>
  <si>
    <t>Hilik Yani</t>
  </si>
  <si>
    <t>hilik@e-drivetech.com</t>
  </si>
  <si>
    <t>http://www.e-drivetech.com</t>
  </si>
  <si>
    <t>15 Keren Hayesod St.</t>
  </si>
  <si>
    <t>Tirat Carmel</t>
  </si>
  <si>
    <t>info@e-drivetech.com</t>
  </si>
  <si>
    <t>972-77-770-0400</t>
  </si>
  <si>
    <t>Commercial Companies, Transportation and Distribution Companies, Emergency and Security Services, Local and International Authorities, Post Authorities, and Electric Power Companies.</t>
  </si>
  <si>
    <t>EDT's product line includes:
 FleetLog 01, 02 - Fleet Management System » FleetLog is an on board, computerized fleet management system that integrates four essential fleet control functions: Vehicle security including driver ID and vehicle immobilizer. Event analysis and control. Vehicle event location (by GPS). Black box accident analysis
 Universal Unit 3 - Vehicle Telematics » The Universal Unit 3 is a GPS/GSM/GPRS geographic locator designed for public or private fleet management applications where high performance and reliability are primary considerations. With an integrated analog to digital input, the UU3 supports fuel level monitoring where required. The UU3 is delivered with a 2G modem as the standard option. A GSM+UTMS 3G modem is available under a separate part number and pricing. Featuring internal antennas, the UU3 is a compact, easy-to-install vehicle tracking device. Designed for passenger vehicles and trucks, the UU3 provides real-time vehicle location and enhanced driver security features including automatically triggered hijack alerts.
 Smart Log 4 - Automotive Telematics » The SmartLog 4 is a powerful GPS/GSM/GPRS automotive telematics with advanced, integrated management capabilities, is an ideal automotive telematics solution for vehicle and driver monitoring, security and maintenance scheduling.
 DoorLog Online - Access Control » With EDT's DoorLog OnLine, customers can implement ID authenticated access control for a variety of applications, including: Doors in the home or office, Key cabinets, Electric gates. DoorLog OnLine ID authentication can be done by any of the following ID devices: Dallas iButton, Magnetic card reader, Variable range RF ID. 
 WorldFleetLog - Fleet Management Software » WorldFleetLog is EDT's Web-based management application to display and manage data compiled from EDT’s fuel and fleet management products. With WorldFleetLog, fleet managers have a wide variety of information at their fingertips for real-time vehicle tracking, driver monitoring and asset management. With WorldFleetLog fleet management software, vehicle, driver and fuel costs can be applied to specific projects to produce detailed reports that managers can use in their business decisions.</t>
  </si>
  <si>
    <t>Cervello</t>
  </si>
  <si>
    <t>Cervello's cybersecurity platform enables rail organizations of all sizes to identify and resolve the most critical risks in their networks so they can run and manage their service more securely and efficiently, creating new degrees of safety and performance. Several of the world's leading railways trust Cervello to increase passenger and cargo safety, operational reliability, business continuity, and service availability.</t>
  </si>
  <si>
    <t>Roie Onn</t>
  </si>
  <si>
    <t>roie@cervello.security</t>
  </si>
  <si>
    <t>https://cervello.security</t>
  </si>
  <si>
    <t>82 Yigal Alon Street, Floor 8</t>
  </si>
  <si>
    <t>info@cervello.security</t>
  </si>
  <si>
    <t>Rail and metro operators.</t>
  </si>
  <si>
    <t>Cervello is a developer of cybersecurity software, designed to protect global railways from cyber-attacks and insider threats. The company's software assists security and operations teams to perform with full visibility and control of railway critical assets, signaling systems activity, and operational procedures, enabling them to monitor rail and metro operational networks and minimize threats, and prevent cybersecurity incidents.</t>
  </si>
  <si>
    <t>Artificial Intelligence, Automotive, Cyber Security, IoT</t>
  </si>
  <si>
    <t>Melodea</t>
  </si>
  <si>
    <t>Melodea is a pioneer in the development of an economically viable industrial process for the production of Nano Crystalline Cellulose (known as NCC or CNC) NCC from wood pulp and the sludge of the paper industry. Moreover, they develop unique technologies to assemble the NCC into: 
 • Ecologically friendly foams for composites, transportation and construction 
 • Films for barriers and coatings 
 • Additive for materials in the fields of packaging, paper, water based adhesives and paints for enhancement of adhesiveness, scratch resistance, tensile strength, bonding, erosion and more.
 * architectural building material for temporary shelters. This material is appealing since it is plant-based, non-toxic, and can be efficiently recycled.</t>
  </si>
  <si>
    <t>Shaul Lapi</t>
  </si>
  <si>
    <t>shaul@melodea.eu</t>
  </si>
  <si>
    <t>https://melodea.eu</t>
  </si>
  <si>
    <t>412 Hertzel St., Robert H. Smith Faculty of Agriculture, Food &amp; Environment</t>
  </si>
  <si>
    <t>info@melodea.eu</t>
  </si>
  <si>
    <t>972-8-673-3722</t>
  </si>
  <si>
    <t>Companies within the industries of Pulp and Paper, Chemical and materials industry, Construction &amp; Civil Engineering, Automotive &amp; Transportation (e.g. trains, trucks), Marine, Wind Energy.</t>
  </si>
  <si>
    <t>Melodea's unique technologies and products provide a combination of performance, sustainability, and process options that utilize resources from the forest and agricultural waste streams, improve production safety and reduces the environmental impact. Melodea NCC is unique in the world of nano cellulose materials (patent protected): 
 • Melodea's NCC can be self-assembled into foam and high strength films and foams offering wide variety of applications in the packaging, composites, transportation and construction industries. 
 • Melodea has patented technology for extraction of NCC from pulp and paper mill side streams offering low cost production while utilizing huge amount of industrial waste being accumulated each year. 
 • Melodea NCC production process is highly efficient (patent protected) as it recycles the production acid saving substantial cost and reducing process environmental foot print.
 Melodea NCC Foams 
 Melodea develops technologies that uniquely self-assembly NCC into highly ordered structural materials such as ecologically friendly foams. The technical properties of our foams are comparable with fossil oil-based foams in applications such as insulation materials for construction and rigid foamed cores for sandwich composites. In addition to being light and strong, our foams have excellent fire reaction and thermal insulation properties.
 Films; 
 The self-assembly properties of NCC are also utilized for production of transparent coatings and films with high oxygen barrier properties for applications in the packaging sector. 
 Additives;
 NCC presents a 100% bio-based safe nano-building block for reinforcing different polymer systems. It is highly compatible in water based systems and can be used as a reinforcement additive for all types of materials for enhancement of adhesiveness, scratch resistance, tensile strength, bonding, erosion and more. NCC can be also a carrier platform for introduction and dispersion of other active nano particles such for modification of optical properties, gas barrier, active catalysts and more.</t>
  </si>
  <si>
    <t>Automotive, Climate Tech, Construction Tech, FoodTech, Industry 4.0</t>
  </si>
  <si>
    <t>Mappo</t>
  </si>
  <si>
    <t>Mappo specializes in location-based infotainment services within the tech industry. The company uses AI technology to provide drivers, passengers and pedestrians with a way to explore their surroundings through stories, fun facts, trivia and riddles tailored to their location. Mappo's platform primarily serves the automotive and entertainment sectors, integrating with vehicle infotainment systems. The company also develops location-based content generated by artificial intelligence.</t>
  </si>
  <si>
    <t>Deddi Zuck</t>
  </si>
  <si>
    <t>https://mappo.world</t>
  </si>
  <si>
    <t>6 Hanechoshet St.</t>
  </si>
  <si>
    <t>contact@mappo.world</t>
  </si>
  <si>
    <t>972-52-524-9798</t>
  </si>
  <si>
    <t>Travel &amp; hospitality, publishing, book sellers, entertainment and education sectors, content users.</t>
  </si>
  <si>
    <t>Mappo is a developer of a location-based digital mapping platform, designed to help users find their destinations easily. The company's application utilizes GPS technology and location precision algorithms to track users' positions and recommend content as per individual preference, enabling users to explore cities and books using their smartphones.</t>
  </si>
  <si>
    <t>AdTech, Artificial Intelligence, Automotive, EdTech, Smart City, Travel Tech</t>
  </si>
  <si>
    <t>Valens</t>
  </si>
  <si>
    <t>Valens Semiconductor is an Israel-based fabless semiconductor company specializing in advanced high-speed connectivity chipsets for automotive and professional audio-video markets. Its technology enables long-reach, uncompressed transmission of ultra-high-definition video, data, control signals, and power over a single cable with low latency and high reliability. The company’s solutions are widely used in ADAS architectures, in-vehicle infotainment, conferencing systems, digital signage, and industrial applications that require robust, high-bandwidth links.</t>
  </si>
  <si>
    <t>Yoram Sali</t>
  </si>
  <si>
    <t>yoram.salinger@valens.com</t>
  </si>
  <si>
    <t>https://www.valens.com</t>
  </si>
  <si>
    <t>8 Hanagar St.</t>
  </si>
  <si>
    <t>Hod Hasharon</t>
  </si>
  <si>
    <t>info@valens-semi.com</t>
  </si>
  <si>
    <t>972-9-762-6900</t>
  </si>
  <si>
    <t>info@valens.com</t>
  </si>
  <si>
    <t>Automotive, professional AV, digital signage/education, industrial machine vision.</t>
  </si>
  <si>
    <t>Chipsets for high-bandwidth AV/automotive links, DSP/analog/mixed-signal tech.</t>
  </si>
  <si>
    <t>GalooliOTO</t>
  </si>
  <si>
    <t>GalooliOTO develops systems for remote management and operational optimization of assets through monitoring, control, analysis of information, collected from the assets and remote control of their activities. The company collects information by using sensors from various facilities, such as batteries, solar panels and generators, and analyzes it by using artificial intelligence. GalooliOTO's solution enables active control of the monitored equipment by analyzing the information, obtained from the equipment and predicting future behavior. Thus, combined with each customer's specific requirements, the system is able to stop and operate equipment and change remote logics automatically, reducing energy waste.</t>
  </si>
  <si>
    <t>Ronen Bare</t>
  </si>
  <si>
    <t>ronen@galooli.com</t>
  </si>
  <si>
    <t>https://www.galooli.com</t>
  </si>
  <si>
    <t>52 Begin Rd., Sonol Tower</t>
  </si>
  <si>
    <t>info@galooli.com</t>
  </si>
  <si>
    <t>972-3-565-6900</t>
  </si>
  <si>
    <t>Telecom operators, Tower Management companies, Generators Manufacturers &amp; Dealers, Remote Performance Monitoring (RPM), Automotive and Security industries.</t>
  </si>
  <si>
    <t>GalooliOTO's software uses machine-learning technology for remote monitoring, analysis, control and optimization of energy-related assets, enabling clients to make energy management smarter, more productive and more evidence-based.</t>
  </si>
  <si>
    <t>Artificial Intelligence, Automotive, Climate Tech, Cloud, Construction Tech, IoT, Machine Learning</t>
  </si>
  <si>
    <t>Kardome</t>
  </si>
  <si>
    <t>Kardome eveloper of a voice-control technology, designed to combine dedicated software with the use of microphones that exist in various products. The company's technology uses algorithms to isolate the user's voice in a noisy environment with multiple speakers and background noises that are active at the same time, enabling customers to have access to a seamless voice control experience in acoustically challenging environments.</t>
  </si>
  <si>
    <t>Dani Cherk</t>
  </si>
  <si>
    <t>dani.cherkassky@kardome.com</t>
  </si>
  <si>
    <t>https://www.kardome.com</t>
  </si>
  <si>
    <t>30 HaGefen St.</t>
  </si>
  <si>
    <t>Moshav Mazor</t>
  </si>
  <si>
    <t>info@kardome.com</t>
  </si>
  <si>
    <t>972-54-974-3366</t>
  </si>
  <si>
    <t>Automakers, Electronics manufacturers.</t>
  </si>
  <si>
    <t>Kardome has developed spatial hearing software that can differentiate who is talking in crowded, noisy environments and outperforms standard voice user interface algorithms. The company’s technology can recognize two or more voices simultaneously in noisy environments, identify the speaker and track their location in space, all directly on the edge device.</t>
  </si>
  <si>
    <t>Artificial Intelligence, Automotive, RetailTech, Virtual Reality</t>
  </si>
  <si>
    <t>Fullpath</t>
  </si>
  <si>
    <t>Fullpath is an automotive industry's AI-first Customer Data Platform (CDP). The platform unifies first-party dealership data and activates it through powerful AI and marketing automation. Dealerships that invest in Fullpath create exceptional, hyper-personalized customer experiences that drive loyalty and build resilient, lasting businesses.</t>
  </si>
  <si>
    <t>Aharon Hor</t>
  </si>
  <si>
    <t>aharon@fullpath.com</t>
  </si>
  <si>
    <t>https://www.fullpath.com</t>
  </si>
  <si>
    <t>78 SW 7th Street, Suite 500</t>
  </si>
  <si>
    <t>Miami</t>
  </si>
  <si>
    <t>FL</t>
  </si>
  <si>
    <t>contact@autoleadstar.com</t>
  </si>
  <si>
    <t>1-216-242-1320</t>
  </si>
  <si>
    <t>support@fullpath.com</t>
  </si>
  <si>
    <t>Auto dealerships, Automotive OEMs and marketing teams.</t>
  </si>
  <si>
    <t>Customer Data &amp; Experience Platform (CDXP), AI-Powered Chatbot &amp; Activation Tools, Dynamic Payments.</t>
  </si>
  <si>
    <t>AdTech, Artificial Intelligence, Automotive, Machine Learning, Marketing Tech, RetailTech, SaaS</t>
  </si>
  <si>
    <t>WiseSight</t>
  </si>
  <si>
    <t>WiseSight is an AI technology company that revolutionizes parking management and enforcement. WiseSight's real-time data analytics and automated solutions provide customers with increased revenue, enhanced sustainability and improved traffic flow.</t>
  </si>
  <si>
    <t>Akiva Armo</t>
  </si>
  <si>
    <t>akiva@wise-sight.com</t>
  </si>
  <si>
    <t>https://www.wisesight.ai</t>
  </si>
  <si>
    <t>16 Aba Even St., Kiryat Ha'Leom</t>
  </si>
  <si>
    <t>info@wise-sight.com</t>
  </si>
  <si>
    <t>972-54-429-7672</t>
  </si>
  <si>
    <t>Municipalities, Airports, Vehicle fleet managers Parking facilities, Shopping malls</t>
  </si>
  <si>
    <t>Wisesight has developed smart AI parking technology for real-time automatic parking management, enabling effective control of parking lots, statistical analysis and of course increased revenues, using efficient automatic payments.</t>
  </si>
  <si>
    <t>Mobius Protection Systems</t>
  </si>
  <si>
    <t>Mobius Protection Systems is a company of Energy Absorbing solutions for armored vehicles, eVTOL's, aircraft's and Naval vessels. The company offers solutions and range of systems are focused on simplicity, innovation and flawless performance. Mobius's seat solutions are designed to provide performance combined with functionality and ergonomics in the most demanding environments. Mobius solutions and it's accumulated experience enable the company to provides all necessary functionality for the vehicle's operation in a reliable manner, robust design and without compromise on Troop's safety.</t>
  </si>
  <si>
    <t>Oren Goor</t>
  </si>
  <si>
    <t>oren@mobius-ps.com</t>
  </si>
  <si>
    <t>https://www.mobius-ps.com</t>
  </si>
  <si>
    <t>15 Rimon Industrial Park St.</t>
  </si>
  <si>
    <t>info@mobius-ps.com</t>
  </si>
  <si>
    <t>972-3-650-4935</t>
  </si>
  <si>
    <t>Defence, Military</t>
  </si>
  <si>
    <t>The patent pending EA technology was developed by Mobius PS team of expert engineers, having the insight, knowledge and operational experience in designing and developing blast protected combat platforms and shock absorbing systems. Many of the company's expert engineers are veterans of Israel's Defense Forces Merkava tank program.
 The proliferation of land mines and Improvised Explosive Devices (IEDs) as part of modern asymmetric warfare created new challenges for military vehicle designers. Even if the ballistic armor is not compromised, it is not sufficient to protect the crews of combat vehicles from the devastating shockwave generated by the blast effect from mines or roadside bombs. Although these shockwaves are a secondary effect of the primary threat to the vehicle’s occupants, the human body has little durability to such shockwaves, when the blast energy is transferred through the rigid vehicle body, directly into the human body.
 As part of the vehicle's blast protection design, energy absorption systems are employed to isolate the crew members from the vehicle's body. Designers are evaluating the effectiveness of such systems through durability and survivability tests, where hybrid crash-test dummies are exposed to high energy impact in drop-tower tests and live blast tests. One of the main evaluation parameter is called DRI (Dynamic Response Index) and it indicates the probability for injury.
 Mobius Protection Systems innovative technology broke the charts with outstanding results and very low DRI measures. The company's versatile technology can be implemented in various platforms meeting a wide range of impact input patterns and conforming to available rigorous space restrictions. Our proven patent-pending technology has been specially developed to face the most severe scenarios experienced in the battlefield. The unique system is capable of drastic structural deformations and multi-hit assaults without compromising performance.
 Mobius offers solutions for troops, crew, driver, and gunner seats for a range of armored vehicles; vehicles include logistic trucks, main battle tanks, infantry combat vehicles, armored personnel carriers, mine-protected armored vehicles, and light armored vehicles. Part of the seats’ technology is its ability to attenuate protection based on the occupant’s size, allowing it to accommodate a range of user heights and weights, from fifth percentile females to 95th percentile males. Mobius’ seats install via mountings on walls, floors, or roofs, depending on a client’s need and vehicle type. Moreover, the seats are also customizable to provide optimal functionality and feature a folding back, folding pan, and an adjustable headrest. Furthermore, when a client partners with Mobius, the company’s engineering team maintains direct communications with the client to tailor the seat solution to the client’s specific needs.</t>
  </si>
  <si>
    <t>Griiip</t>
  </si>
  <si>
    <t>Griiip has developed a cloud-based data platform that enables the transmission of motorsport data directly from the racing car and then both analyses and visualizes it in the cloud.
 The solution includes direct access to raw data from the vehicle electronic units through a hardware component, the Red Box. The information is extracted during races and used to create data-driven products including live content. The personalized content production made possible by RAMP allows viewers to access drivers’ profiles and compare their performance in real-time in an innovative way. This can include a range of datasets, such as driver stress levels, the vehicle’s battery status, predicted lap times or tire data. The information is collected and displayed in charts in real-time to allow viewers to compare driver performance.</t>
  </si>
  <si>
    <t>Tamir Plac</t>
  </si>
  <si>
    <t>tamirp@griiip.com</t>
  </si>
  <si>
    <t>https://www.griiip.com</t>
  </si>
  <si>
    <t>9 Gazit St.</t>
  </si>
  <si>
    <t>info@griiip.com</t>
  </si>
  <si>
    <t>972-50-534-0124</t>
  </si>
  <si>
    <t>Race car drivers, Motorsport Engineering, Automotive Industry.</t>
  </si>
  <si>
    <t>Griiip’s platform engineers race cars according to the Formula 1000 premier bike engine single-seater category, as well as offers, live data, prediction analysis, advanced insights and mixed reality race experiences through its platform, enabling racers to drive race-cars with improved performance and innovation and motorsport fans to engage themselves in a better manner.</t>
  </si>
  <si>
    <t>Automotive, SportsTech</t>
  </si>
  <si>
    <t>Spinframe</t>
  </si>
  <si>
    <t>Spinframe develops AI, computer vision, and machine-learning-based vehicle-inspection systems that monitor and detect anomalies throughout supply chains, from assembly line to dealership to end customer.</t>
  </si>
  <si>
    <t>Ori Dangur</t>
  </si>
  <si>
    <t>https://spinframe.com</t>
  </si>
  <si>
    <t>13 HaYetsira St.</t>
  </si>
  <si>
    <t>info@spinframe.co.il</t>
  </si>
  <si>
    <t>972-72-2411-500</t>
  </si>
  <si>
    <t>Shipping Operations, Online Retail, Dealerships, Rentals &amp; Self-Insured Fleets, Workshops &amp; Insurance, Trade-In, Auction &amp; Used Car Online Platforms</t>
  </si>
  <si>
    <t>360 photo/scanning technologies.
 Realspections aims to identify vehicle anomalies through optical means, powered by AI.</t>
  </si>
  <si>
    <t>Artificial Intelligence, Automotive, Insurtech, Marketing Tech</t>
  </si>
  <si>
    <t>Carrar</t>
  </si>
  <si>
    <t>Carrar is a developer of battery modules with an internal thermal management system, designed for any EV from commercial fleets, buses and trucks to sports cars and professional race cars. The company's system, which is integrated into the battery system, dissipates and adjusts heat uniformly across and within the battery cells and prevents overheating during acceleration and high speed or due to external conditions, such as a hot climate. Carrar increases EV safety by preventing thermal runaway and battery fire.</t>
  </si>
  <si>
    <t>Avinoam Ru</t>
  </si>
  <si>
    <t>avinoam.rubinstain@carrar.net</t>
  </si>
  <si>
    <t>https://carrar.net</t>
  </si>
  <si>
    <t>5 Tamar St.</t>
  </si>
  <si>
    <t>info@carrar.net</t>
  </si>
  <si>
    <t>Electric vehicle manufacturers.</t>
  </si>
  <si>
    <t>Carrar develops battery packs for electric vehicle batteries and thermal management systems for the powertrain and in-vehicle computers, based on two-phase immersion cooling technology. The company's maintains optimal battery temperature in all climates, extending battery lifetime threefold and reducing the total cost of ownership of EVs.</t>
  </si>
  <si>
    <t>Blitz Electric Motors</t>
  </si>
  <si>
    <t>Blitz Motors builds and manufactures fully-electric two-wheel vehicles for business fleets and consumers. The company offers two-wheel fleet managers attractive top quality strong and powerful vehicles at affordable prices and a platform to connect its innovative two wheel vehicles to the Electric revolution, Smart City Developments and the Digital Connectivity Trends. Blitz has created an easier, cleaner and more cost-efficient means of transport for the last mile market. A full-service solution, including a 24/7 customer service centre on hand to support in the operations, insurance, branding &amp; maintenance of the fleet.</t>
  </si>
  <si>
    <t>Eitan Varo</t>
  </si>
  <si>
    <t>eitan@blitzmotors.com</t>
  </si>
  <si>
    <t>https://blitzmotors.com</t>
  </si>
  <si>
    <t>7 Yisrael Bak St.</t>
  </si>
  <si>
    <t>info@blitzmotors.com</t>
  </si>
  <si>
    <t>972-72-255-5722</t>
  </si>
  <si>
    <t>Food Delivery Services, Logistics Companies, E-Commerce Platforms, Urban Mobility Providers, Fleet Operators, Sustainability-Focused Businesses, Private Consumers.</t>
  </si>
  <si>
    <t>Battery Management System (BMS), Combined Breaking System (CBS), Brush Less Direct Current (BLDC) technology.</t>
  </si>
  <si>
    <t>Deeyook</t>
  </si>
  <si>
    <t>Deeyook offers precise location-as-a-service through its patented wireless-based firmware solution that is self-learning, ubiquitous, ultra-precise, passive and low power, allowing indoor and outdoor position determination.</t>
  </si>
  <si>
    <t>Gideon Rot</t>
  </si>
  <si>
    <t>gideon@deeyook.com</t>
  </si>
  <si>
    <t>https://www.deeyook.com</t>
  </si>
  <si>
    <t>13 Yehuda &amp; Noah Moses St.</t>
  </si>
  <si>
    <t>info@deeyook.com</t>
  </si>
  <si>
    <t>972-54-598-7170</t>
  </si>
  <si>
    <t>Industry, Logistics &amp; Retail (The supply chain).</t>
  </si>
  <si>
    <t>Deeyook has developed a wireless, based 10cm accurate indoor and outdoor positioning solution. It is enabled by a new measurement location sensor in firmware, which is based on patented direction ascertainment technology. The mobile unit sensor is at the core of a cloud-based Machine Learning positioning solution that passively utilizes the direction data from over numerous existing APs and base stations, and operates everywhere worldwide infrastructure free.</t>
  </si>
  <si>
    <t>Augmented Reality, Automotive, Cloud, Industry 4.0, IoT, Machine Learning, RetailTech, Smart City</t>
  </si>
  <si>
    <t>CorrActions</t>
  </si>
  <si>
    <t>CorrActions provides a software-only, motion based, driver monitoring product. CorrActions uses unconscious, uncontrollable, muscular submovements to monitor brain activity. By tracking these movements from sources like steering wheels or smartphones, CorrActions can detect a wide range of cognitive states. For example, fatigue, inattention, anxiety, alcohol/ drugs, etc.
 CorrActions enables OEM's and Tier 1s and Fleets and mobility operators to understand drivers’ cognitive states and take action.</t>
  </si>
  <si>
    <t>Ilan Reing</t>
  </si>
  <si>
    <t>ilan@corractions.com</t>
  </si>
  <si>
    <t>https://corractions.com</t>
  </si>
  <si>
    <t>24 Hebron Rd.</t>
  </si>
  <si>
    <t>info@corractions.com</t>
  </si>
  <si>
    <t>Automotive industry – OEMs, tier-1s, fleet and mobility operators.</t>
  </si>
  <si>
    <t>The amazing brain mechanism of error detection &amp; correction (“Action Monitoring”) effects signals on remote muscles, which can be captured and measured by standard motion sensors and analyzed in real time. These signals reflect distinct cognitive impairments and their level of severity.
 CorrActions software is based on unique neuroscience algorithms that detect, decode and translate motion signals into cognitive impairments in real time.</t>
  </si>
  <si>
    <t>Artificial Intelligence, Automotive, Deep Tech</t>
  </si>
  <si>
    <t>Visionary.ai</t>
  </si>
  <si>
    <t>Visionary.ai is a developer of a prediction-based image signal processor intended to make visual data capturing possible across all circumstances. The company's processor leverages artificial intelligence and computer vision technologies to improve the quality and detection of images and videos and offers state-of-the-art image signal processing in all digital imaging devices, enabling defense industries and surveillance to increase the accuracy and capabilities of machine vision applications.</t>
  </si>
  <si>
    <t>Oren Debbi</t>
  </si>
  <si>
    <t>oren@visionary.ai</t>
  </si>
  <si>
    <t>https://www.visionary.ai</t>
  </si>
  <si>
    <t>224 Jaffa St.</t>
  </si>
  <si>
    <t>hello@visionary.ai</t>
  </si>
  <si>
    <t>972-52-555-0984</t>
  </si>
  <si>
    <t>Security and defense, consumer electronics, drone, IoT, mobility, medical imaging.</t>
  </si>
  <si>
    <t>Visionary.ai has developed an AI-based software ISP (image signal processor) which improves video quality using AI at the edge.
 Features include True Night Vision, blur and noise reduction, and improved object recognition for machine vision applications.
 Applications include mobile, laptop, IoT, drones, robotics, mobility, and automotive.</t>
  </si>
  <si>
    <t>Artificial Intelligence, Augmented Reality, Automotive, Deep Tech, Drones, IoT, Machine Learning, Robotics, Smart City</t>
  </si>
  <si>
    <t>Rubidium</t>
  </si>
  <si>
    <t>Rubidium is a recognized innovator of embedded Speech Processing solutions that cover the entire scope of Voice User Interface (VUI): speech recognition (ASR), speech synthesis (TTS) and Always-on Voice Triggering, to mention a few. Rubidium is on the front line of today's hottest technology trends: mobile devices, wearables and IoT peripherals. Rubidium's technologies have been deployed in over 50 million products worldwide, through cooperation with international leaders in the consumer product business.</t>
  </si>
  <si>
    <t>Shlomo Pel</t>
  </si>
  <si>
    <t>speller@rubidium.com</t>
  </si>
  <si>
    <t>http://www.rubidium.com</t>
  </si>
  <si>
    <t>7 Hasadna St.</t>
  </si>
  <si>
    <t>info@rubidium.com</t>
  </si>
  <si>
    <t>972-9-745-1412</t>
  </si>
  <si>
    <t>Cellular Device Manufacturers, Mobile Electronics, Wearable and Fitness devices, IoT products, Bluetooth Headsets and Speakerphones, Home Appliances, Automotive Multimedia and other Consumer Electronics Manufacturers</t>
  </si>
  <si>
    <t>Embedded Speech Recognition (ASR), Speech Synthesis (Text-to-Speech - TTS), Always-on Voice Trigger, Speech Compression &amp; Biometric Speaker Identification.</t>
  </si>
  <si>
    <t>NetRoads</t>
  </si>
  <si>
    <t>NetRoads develops wireless applications. The company's leading product informs drivers of the presence of police raders along their route.</t>
  </si>
  <si>
    <t>Micha Herm</t>
  </si>
  <si>
    <t>http://www.netroads.net</t>
  </si>
  <si>
    <t>90 Hadasa St.</t>
  </si>
  <si>
    <t>Beer Sheva</t>
  </si>
  <si>
    <t>info@netroads.net</t>
  </si>
  <si>
    <t>972-8-647-8777</t>
  </si>
  <si>
    <t>Cellular Service Providers.</t>
  </si>
  <si>
    <t>GPS</t>
  </si>
  <si>
    <t>ALD Software</t>
  </si>
  <si>
    <t>ALD Software has developed a Safety and Reliability analysis software for many world leading civil &amp; military aviation, communication, space and electronics organizations including THALES, BAE Systems, Lockheed Martin, NASA, MBDA, SAGEM and more.</t>
  </si>
  <si>
    <t>Zigmund Bl</t>
  </si>
  <si>
    <t>http://aldservice.com/Reliability-products/ald-reliability-and-safety-tools-overview.html</t>
  </si>
  <si>
    <t>30 Ha-Kharoshet St.</t>
  </si>
  <si>
    <t>Or Yehuda</t>
  </si>
  <si>
    <t>support@aldservice.com</t>
  </si>
  <si>
    <t>972-3-791-3200</t>
  </si>
  <si>
    <t>support@ald.co.il</t>
  </si>
  <si>
    <t>Aerospace, Defense, Electronics, Telecommunication, Railways and Automotive Companies, IT Companies, Government Organizations, Civil &amp; military Aviation, Educational Institutions.</t>
  </si>
  <si>
    <t>The software suite consists of a set of integrated tools covering Reliability prediction, Availability, Maintainability Analysis, Safety Assessment, Quality Management, Safety Management, Industrial Process Control.</t>
  </si>
  <si>
    <t>DriveU.auto</t>
  </si>
  <si>
    <t>The DriveU.auto Teleoperation Connectivity Platform enables safe teleoperation of robots, autonomous vehicles, and more, using cellular bonding and dynamic encoding. The platform is already deployed and in use on public roads and provides high speed, low latency, ultra-reliable transmission of video, audio streams, high-speed data, and control channels, and is available with hardware or as a software-only implementation. The platform’s SDK and APIs enable quick and straightforward integration.</t>
  </si>
  <si>
    <t>Alon Podhu</t>
  </si>
  <si>
    <t>alon@driveu.auto</t>
  </si>
  <si>
    <t>https://driveu.auto</t>
  </si>
  <si>
    <t>2 Hatidhar St., Beit Ha-Millenium</t>
  </si>
  <si>
    <t>info@driveu.auto</t>
  </si>
  <si>
    <t>972-54-747-9470</t>
  </si>
  <si>
    <t>Autonomous Vehicles’ Developers, Automotive OEMs, Automotive Tier-1 Supopliers.</t>
  </si>
  <si>
    <t>DriveU.auto is based on technology developed by LiveU.</t>
  </si>
  <si>
    <t>Artificial Intelligence, Automotive, Cloud, Robotics</t>
  </si>
  <si>
    <t>RSIP Vision</t>
  </si>
  <si>
    <t>RSIP Vision is driving innovation in Visual Intelligence for Medical Devices, through advanced AI and computer vision applications. A proven global leader, with an extensive track record and over 25 years in the field, trusted by the largest, industry leading medical device companies. RSIP Vision offers clinical-grade AI modules that provide medical device companies with advanced visual intelligence capabilities, to stay ahead of the rapid AI adoption curve and maintain their competitive edge. Their software can be found in medical devices in leading facilities worldwide.</t>
  </si>
  <si>
    <t>Ron Soferm</t>
  </si>
  <si>
    <t>ron@rsipvision.com</t>
  </si>
  <si>
    <t>https://www.rsipvision.com</t>
  </si>
  <si>
    <t>75 E. Santa Clara St., Suite 600</t>
  </si>
  <si>
    <t>Santa Clara</t>
  </si>
  <si>
    <t>CA</t>
  </si>
  <si>
    <t>contact@rsipvision.com</t>
  </si>
  <si>
    <t>1-650-830-2837</t>
  </si>
  <si>
    <t>Physicians.</t>
  </si>
  <si>
    <t>An automated, precise 3D visualization of the patients' hip to assist physicians in better planning the surgery. Its artificial intelligence modules automate the segmentation and landmark detection of the patient's body structure, making surgery preparation easier and more accurate.</t>
  </si>
  <si>
    <t>Artificial Intelligence, Automotive, Digital Health, Machine Learning, Machine Vision</t>
  </si>
  <si>
    <t>GuardKnox</t>
  </si>
  <si>
    <t>GuardKnox is a leading automotive technology company ushering in the smartphonization of the next generation of vehicles by building high-performance, service-oriented, customizable, and secure-by-design products for the next generation of driver-centric mobility. GuardKnox enables the software-defined vehicle with scalable and flexible technologies necessary for full-connectivity and empowers consumers with the ability to customize their vehicle’s performance, as well as their in-vehicle experience.</t>
  </si>
  <si>
    <t>Moshe Shli</t>
  </si>
  <si>
    <t>https://www.guardknox.com</t>
  </si>
  <si>
    <t>2 Hahazon St.</t>
  </si>
  <si>
    <t>Ramla</t>
  </si>
  <si>
    <t>info@guardknox.com</t>
  </si>
  <si>
    <t>GuardKnox Secure Network Orchestrator (SNO) platform is a highly secure centralized ECU/Domain Controller/Gateway which provides high assurance defence for vehicle networks. The patented technology serves as a centralized cyber security platform within the vehicle, providing security services to all ECUs in the vehicle. This leads to consolidation, lower complexity, a secured landing end-point for data processing and storage, scalability and flexibility, easier certification and overall cost reduction. Ideal for the aftermarket, GuardKnox local ECU protection (Local SNO), provides an easy to integrate (drop-in) cyber security hardware and software solution, specifically designed for Infotainment, Telematics and other ECU's with external communication, preventing the car from being hacked remotely and thus providing a security in depth approach. Additionally, GuardKnox provides an EV ECU to combat against vulnerabilities within the charging ecosystem. The inherent expertise and flexibility of GuardKnox enables the software core, or patented hardware architecture, to be built to spec or licensed out based on customer needs.</t>
  </si>
  <si>
    <t>Hailo</t>
  </si>
  <si>
    <t>Hailo aims to create high-performance, scalable AI solutions for automotive Electronic Control Units (ECUs), enabling power-efficient AI acceleration with low energy consumption to advance automotive innovation. The company developed the Hailo-8™ that delivers high quality performance to edge devices. Featuring up to 26 TOPS at a typical power consumption of 2.5 W, the chip is built with an innovative architecture that enables edge devices to run sophisticated Deep Learning applications. Hailo-8's advanced structure translates into higher performance, lower power and minimal latency, enabling enhanced privacy and better reliability for smart devices operating at the edge.</t>
  </si>
  <si>
    <t>Orr Danon</t>
  </si>
  <si>
    <t>https://hailo.ai</t>
  </si>
  <si>
    <t>contact@hailo.ai</t>
  </si>
  <si>
    <t>972-52-222-3672</t>
  </si>
  <si>
    <t>OEM, Tier-1, Embedded Devices, Autonomous Vehicles, ADAS, Smart home appliances, Smart Cities, Public Safety, Industrial Automation, Industry 4.0, Automotive, Smart cities, Smart homes and Retail areas, Large organizations, Electronic Control Units.</t>
  </si>
  <si>
    <t>Hailo developed a specialized AI processor that delivers the performance of a data center-class computer to edge devices. The company’s processor is the product of a rethinking of traditional computer architecture, enabling smart devices to perform sophisticated deep learning tasks, such as object detection and segmentation in real-time, with minimal power consumption, size and cost. The processor is designed to fit into a multitude of smart machines and devices, impacting a variety of sectors including automotive, Industry 4.0, smart cities, smart homes and retail.</t>
  </si>
  <si>
    <t>Artificial Intelligence, Augmented Reality, Automotive, Cloud, Deep Tech, Drones, Generative AI, Industry 4.0, IoT, Machine Learning, RetailTech, Smart City, Wearables</t>
  </si>
  <si>
    <t>BWV</t>
  </si>
  <si>
    <t>BrightWay Vision is developing a night-vision technology to make driving easier and safer by monitoring the forward environment facing the vehicle, allowing the driver, with assistance from the active safety systems, an opportunity to avoid an accident. BrightWay is developing an advanced night-time system for forward-facing driver assistance functions, based on an active gated-imaging technology named BrightEye. BrightEye offers all the benefits of a rich, natural and intuitive imagery, even during harsh weather, with real-time sophisticated computer-vision features. BrightEye functions as a stand-alone night-time driving solution or as an integrated solution with existing Advanced Driver Assistance Systems (ADAS) day-time technology, for a 24/7 safety assist system.</t>
  </si>
  <si>
    <t>Eyal Levi</t>
  </si>
  <si>
    <t>https://www.brightwayvision.com</t>
  </si>
  <si>
    <t>7 Chet Nahum St., Beit Yitzhak Bldg., 5th Floor</t>
  </si>
  <si>
    <t>marketing@bw-vision.com</t>
  </si>
  <si>
    <t>972-4-646-9900</t>
  </si>
  <si>
    <t>Automobile Equipment Manufacturers.</t>
  </si>
  <si>
    <t>BrightWay Vision's active-gated imaging technology incorporates a range (time) gating technology. Range-gating does not require ambient light sources and does not require a radiation signature emission (i.e. temperature difference) used by thermal imaging. Active-gating technology combines two key components: a specially designed gated- camera that opens and closes at high speeds and a pulsed-light (illuminator) source (i.e. laser, LED) beam. Once the gated-camera and the illuminator beam pulses are synchronized, an active-gated image is provided. Typical active gated images are shown below where three pedestrians are located at 250m, 200m and 150m from the active-gated imaging system. The range (time) gating technology can provide each image with a different accumulated scenery “volume” (depth-of-field).</t>
  </si>
  <si>
    <t>Artificial Intelligence, Automotive, Deep Tech, IoT, Machine Vision</t>
  </si>
  <si>
    <t>Cortica</t>
  </si>
  <si>
    <t>Cortica is developing a leading AI technology for visual perception. Its unique self-learning technology, backed by more than 200 patents, allows Cortica to develop multiple products that can read and understand images on a human level–thereby significantly exceeding the capabilities of the giant companies (e.g. Google, Baidu and Microsoft). Cortica is the first AI company capable of human-level image understanding. Even the most advanced technology has never been able to understand the visual world as well as people do - until now. By leveraging proprietary brain research to create unsupervised AI, Cortica has developed the most effective computer vision system ever seen.</t>
  </si>
  <si>
    <t>Karina Odi</t>
  </si>
  <si>
    <t>http://www.cortica.com</t>
  </si>
  <si>
    <t>103 Alenby St</t>
  </si>
  <si>
    <t>info@cortica.com</t>
  </si>
  <si>
    <t>Enterprises, Online Users.</t>
  </si>
  <si>
    <t>Cortica's technology, based upon the mammal cortex is utilized to build products impacting many industries. The company’s mission is to lead the emerging AI market with a strong focus on computer vision and establish its "universal visual index of the world" as the global standard¬¬–enabling machines to read and understand images. Cortica's vision is to embed its capabilities in all next-generation platforms where understanding images is a critical task. This includes self-driving cars, security cameras, media, robotics, and medical image analysis.
 Cortica has created the future of artificial intelligence. By leveraging unsupervised learning, the same process that the human brain uses to incorporate data, Cortica gives machines the same limitless understanding of visual information that humans enjoy.
 Based upon proprietary brain research, the AI platform is modeled on neuron activity and learning mechanisms occurring in the mammal brain. This technology has been developed for over 10 years and is backed by more than 200 patents.
 The Cortica Autonomous AI comprehends concepts and context and provides task generalization and predictive power. With its conceptual understanding it can interpret multiple concepts simultaneously, and make inferences based upon them. This next-level understanding exceeds the capabilities of traditional deep learning systems, which lack true understanding as they focus primarily on object classification.</t>
  </si>
  <si>
    <t>Artificial Intelligence, Automotive, Deep Tech, DevOps, Drones, IoT, Machine Learning, Machine Vision, RetailTech, Smart City</t>
  </si>
  <si>
    <t>Moovit</t>
  </si>
  <si>
    <t>Moovit is a free local transit planner, featuring live arrival &amp; departure times, updated line schedules, local station maps, and service alerts and advisories that affect trip time - all with help from the community of other riders.</t>
  </si>
  <si>
    <t>Nir Bezale</t>
  </si>
  <si>
    <t>nir@moovitapp.com</t>
  </si>
  <si>
    <t>https://moovitapp.com</t>
  </si>
  <si>
    <t>3 Sapir St.</t>
  </si>
  <si>
    <t>info@moovitapp.com</t>
  </si>
  <si>
    <t>972-8-621-3146</t>
  </si>
  <si>
    <t>reception@moovit.com</t>
  </si>
  <si>
    <t>Mobile Users.</t>
  </si>
  <si>
    <t>The power of Moovit stems from its cooperation with its community. Moovit starts with complete schedule-based transit information; then adds real-time data about current transit times and conditions. Just by using Moovit, riders are helping everyone else plan their transit (and lives) better. En route, riders even send active reports about the ride or station to let others know what to expect.</t>
  </si>
  <si>
    <t>Automotive, Climate Tech, Smart City</t>
  </si>
  <si>
    <t>TLT Board</t>
  </si>
  <si>
    <t>TLT Board is an innovative patent preserved all terrain motorized board. Made for high-speed &amp; Off-Road action the TLT Board conquers up to 6 different types of surfaces and provides a new definition to the term transportation.</t>
  </si>
  <si>
    <t>Eyal Aloni</t>
  </si>
  <si>
    <t>a.eyal@outlook.com</t>
  </si>
  <si>
    <t>http://www.tltboard.com</t>
  </si>
  <si>
    <t>18 Hagiva St.</t>
  </si>
  <si>
    <t>Binyamina - Givat Ada</t>
  </si>
  <si>
    <t>contact@tltboard.com</t>
  </si>
  <si>
    <t>info@tltboard.com</t>
  </si>
  <si>
    <t>Individuals &amp; Bike stores</t>
  </si>
  <si>
    <t>The TLT BOARD is automatic, electronic and portable, and especially created for the space angler who seeks shredding the backroads, tackling the “boonies”, orbiting the high country, relaxing along a scenic route, conquering hillsides and mastering concrete jungles.</t>
  </si>
  <si>
    <t>Aeroshela</t>
  </si>
  <si>
    <t>Aeroshela is a company engaged in development of Hydrogen IC engine. Hydrogen is one of the essential elements for tackling the climate crisis and the possibility to embrace it can only serve the world for a better future. 
 Hydrogen is the most abundant element on Earth is safe to use, found practically everywhere and will never run out. New methods are making the process of generating H2 greener and more cost-effective and the possibility to exploit the power of the renewable energies for the production could only enhance that goal.
 With regards to transportation, Hydrogen is the ultimate clean fuel of the future. It is not only the cleanest fuel, but above all is clean as it burns with zero emission.
 Propose to adapt our proven diesel increased power and reduced fuel consumption to compete with fuel cell electric vehicles (FCEV) and achieve following advantages:
 1. Higher H2-ICE efficiency than FCEV.
 2. Possibility to convert fossil fuel IC engines to Hydrogen zero emission by conversion kit.
 3. Make use of current engineering know-how and jobs, draw on existing supply chains and production capacities in the automotive industry.
 4. Hydrogen IC engines are fully recyclable.</t>
  </si>
  <si>
    <t>Zvi Lahat</t>
  </si>
  <si>
    <t>aero.lahat@gmail.com</t>
  </si>
  <si>
    <t>http://www.aeroshela.kd.co.il</t>
  </si>
  <si>
    <t>4 Habssamim Rd.</t>
  </si>
  <si>
    <t>Ganey Tikva</t>
  </si>
  <si>
    <t>972-8-943-6182</t>
  </si>
  <si>
    <t>OEM manufacturers, ICE operators, FCEV operators.</t>
  </si>
  <si>
    <t>Hydrogen IC engine (H2-ICEs). Adapt the following diesel engine prototype to hydrogen ICE: 
 Designed, assembled a low cost and adaptable to any IC engine a conversion kit on diesel prototype on Ford F-250 7.3 liter tested by Caterpillar and some tests by BGU university with the following results:
 1. 34% reduced fuel consumption (avg.). 
 2. 28% increased HP (dynamometer testing).
 3. 88% Emission reduction for Euro 3 engines.
 4. 20% reduction of CO2. 
 5. No wear of engines' hardware</t>
  </si>
  <si>
    <t>Automotive, Climate Tech, Defense Tech, Drones</t>
  </si>
  <si>
    <t>MicroAssembly</t>
  </si>
  <si>
    <t>MAT is a Die Attach and Dispensing equipment manufacturer specializing in providing machines and turn-key solutions for most advanced die attach and dispensing applications The MAT machines perform Eutectic and/or Adhesive based applications for complex Multi Chip Modules, Imaging devices, Sensors, MEMS devices, Flip Chip assemblies and more. MAT also provides solutions for Die Sorting applications as well as for Dispensing processes.</t>
  </si>
  <si>
    <t>Alexander</t>
  </si>
  <si>
    <t>aleob@mat-ltd.com</t>
  </si>
  <si>
    <t>https://mat-ltd.com</t>
  </si>
  <si>
    <t>5 Hatnufa St.</t>
  </si>
  <si>
    <t>mat-ltd@mat-ltd.com</t>
  </si>
  <si>
    <t>972-4-959-2225</t>
  </si>
  <si>
    <t>Industrial Companies, Communication Companies, Automotive Industry, Semiconductor Manufacturers, Subcontractors, Medical Companies.</t>
  </si>
  <si>
    <t>High Accuracy Model 6400 Die Attach System and Model 6410 Automatic Dispensing System.</t>
  </si>
  <si>
    <t>NVT</t>
  </si>
  <si>
    <t>Seed</t>
  </si>
  <si>
    <t>Nano Vision Tech, a Fabless Deep Tech Company, is pioneering a breakthrough:
 Converting visible light, infrared, and thermal radiation directly into DC electricity by harnessing the wave properties of these radiation spectra*.
 The company's Product
 ELECTRO‑MAGNETIC FIELD TO DC NANO CONVERTER (EM-NC):
 Patented and versatile, built on cutting‑edge Nanotechnology
 Enables cost‑effective, scalable, and eco‑friendly deployment
 Designed for cross‑sector applications in energy, imaging, and sensing.</t>
  </si>
  <si>
    <t>Arie Aharo</t>
  </si>
  <si>
    <t>arieaharonov@gmail.com</t>
  </si>
  <si>
    <t>https://nano-vision.tech</t>
  </si>
  <si>
    <t>9 Ha-Hermon St.</t>
  </si>
  <si>
    <t>972-54-7206252</t>
  </si>
  <si>
    <t>EM‑NC technology can harvest electromagnetic waves across a broad spectrum — from several hundred nanometers to tens of microns — including ultraviolet, visible light, infrared, and thermal radiation, even from “cold” objects.
 Solar Energy: Addresses the gap where silicon PV cells fail to capture ~25% of available energy.
 Thermal Energy Harvest: Unlocks untapped potential from wasted thermal radiation emitted by hot and warm objects.
 Infrared Imaging: Well suited for short, mid, long, and extra‑long infrared wavelengths.
 Enables replacement of bulky, low‑resolution night and thermal vision systems.
 Provides a compact, high‑resolution, single‑sensor solution covering both infrared and thermal ranges.
 Eliminates the need for cryogenic cooling → cost‑effective and user‑friendly.</t>
  </si>
  <si>
    <t>Electro‑Magnetic Nano Converter (EM‑NC)
 Nano Vision Tech has overcome a key limitation that traditionally hindered nano-rectenna performance at micron and submicron wavelengths.
 Direct Conversion: EM‑NC converts visible light, infrared, and thermal radiation directly into DC electricity by harnessing the wave properties of radiation*.
 Nano Antennas: Specialized nano‑scale antennas capture electromagnetic waves of light, infrared, and thermal radiation — similar to how radio or cellular antennas receive signals.
 Wave to Current: The captured waves are converted into ultra‑high‑frequency alternating current (AC).
 Final Output: EM‑NC then transforms this AC into direct current (DC) for practical use.</t>
  </si>
  <si>
    <t>Otorize</t>
  </si>
  <si>
    <t>Otorize is the first scientifically proven app that tests for cognitive impairment. It’s a simple yet breakthrough solution that can be used in seconds. It doesn't use membranes or filters and there is no need for maintenance. Otorize is effective on any substance, be it alcohol, cannabis, drugs, and more.
 Otorize assists in self regulating and reducing the likelihood of damage, accidents, injury and death. Whether in the office, warehouse, on the roads and at home, Otorize is here to self regulate and prevent.</t>
  </si>
  <si>
    <t>Isaac Hass</t>
  </si>
  <si>
    <t>isaac@uaeisraelbusiness.com</t>
  </si>
  <si>
    <t>https://www.otorize.com</t>
  </si>
  <si>
    <t>2 Poalei Tzedek St.</t>
  </si>
  <si>
    <t>info@otorize.com</t>
  </si>
  <si>
    <t>972-54-769-7329</t>
  </si>
  <si>
    <t>Fleet managers, Companies and employers, Parents of young drivers and Individual drivers</t>
  </si>
  <si>
    <t>Mobile application</t>
  </si>
  <si>
    <t>Automotive, Insurtech, Medical Cannabis</t>
  </si>
  <si>
    <t>Driverly</t>
  </si>
  <si>
    <t>Driverly is a startup that aims to remove the significant barrier that currently exists for companies looking to develop or improve applications and services for the automotive market. The company creates a cloud platform that connects software to physical vehicle systems and allows for the automatic integration of new digital services. Driverly's platform includes a sandbox environment for developers to create and test these services, and is designed to be compatible with multiple different software development platforms and car models.</t>
  </si>
  <si>
    <t>Keren Cohe</t>
  </si>
  <si>
    <t>keren.cohen@driverly.tech</t>
  </si>
  <si>
    <t>https://www.driverly.tech</t>
  </si>
  <si>
    <t>Savyon-Ganey Yehuda</t>
  </si>
  <si>
    <t>info@drivery.tech</t>
  </si>
  <si>
    <t>keren@driverly.tech</t>
  </si>
  <si>
    <t>Automotive industry.</t>
  </si>
  <si>
    <t>MAAS, Automotive.</t>
  </si>
  <si>
    <t>Olive Engineering</t>
  </si>
  <si>
    <t>Olive Engineering specializes in designing unique solutions involving helicopters for search and rescue missions. The company is focused primarily on R&amp;D and business development activities. In addition, the company has developed an IP strategy and is covered by patent pending applications which cover the key elements of its technology.</t>
  </si>
  <si>
    <t>Nehemia Co</t>
  </si>
  <si>
    <t>nehemia@olive-eng.co.il</t>
  </si>
  <si>
    <t>https://www.olive-eng.co.il</t>
  </si>
  <si>
    <t>Hoshaya</t>
  </si>
  <si>
    <t>972-4-646-3493</t>
  </si>
  <si>
    <t>Emergency Services, Homeland Security Agencies, Militaries, Search &amp; Rescue Organizations.</t>
  </si>
  <si>
    <t>The ELCOPTER™ has several concepts that combine a guidance/control system which includes an electro-optical unit and thrusters. The compact size of the cabin and the precision guidance system allow pick up of passengers from hard to land places like high buildings, ships, urban streets, etc. The missions include: medical evacuation, SAR, police, etc.
 The "Emergency Rescue Cabin" (ERC) carried by a standard helicopter, using a "slung basket" which is actually a large cabin with stabilizers and thrusters combined with a guidance/control system provides for precision movement.
 The SRobot™ (Slung Robot) is a new concept of a guided robot slung from a helicopter based on patent pending technology. The SRobot™ is slung from a helicopter using a long cable while the helicopter is hovering above the destination. The robot is equipped with a guidance/control system which includes an electro-optical unit .The long cable keeps the helicopter far away from the robot, minimizes the down wash effects and keeps the dangerous blades far from the destination. The robot is guided by a portable CS (control system) which is located within the helicopter.</t>
  </si>
  <si>
    <t>Total-Drive</t>
  </si>
  <si>
    <t>Total-Viz develops games, apps and programs for Mobile devices, Desktop, Web, VR and other platforms. 
 Total-Vis developed Total Drive VR - a virtual reality driver training simulator, which allows users to experience both rare and day to day scenarios.</t>
  </si>
  <si>
    <t>Ygal Kami</t>
  </si>
  <si>
    <t>ygal@totalviz.com</t>
  </si>
  <si>
    <t>http://www.totalviz.com</t>
  </si>
  <si>
    <t>28 Calanit St.</t>
  </si>
  <si>
    <t>Matan</t>
  </si>
  <si>
    <t>info@totalviz.com</t>
  </si>
  <si>
    <t>972-77-702-4859</t>
  </si>
  <si>
    <t>Enterprises, Educational and other Institutions, Gamers</t>
  </si>
  <si>
    <t>Unity3D engine, 3D sensors, Virtual Reality training simulator</t>
  </si>
  <si>
    <t>Augmented Reality, Automotive, EdTech, Gaming, Virtual Reality</t>
  </si>
  <si>
    <t>ARCYTEC</t>
  </si>
  <si>
    <t>ARCYTEC develops new technologies with registered patents in the field of of 2D and 3D cameras and projectors for the consumer market. This technology is applicable for camera modules, as well as for laser-based projectors. These inventions guarantee additional implementation flexibility, cost reduction and a significant improvement of performances.</t>
  </si>
  <si>
    <t>Yohan Cohe</t>
  </si>
  <si>
    <t>yohan@arcytec.com</t>
  </si>
  <si>
    <t>https://www.arcytec.com</t>
  </si>
  <si>
    <t>45 Hamelacha St.</t>
  </si>
  <si>
    <t>office@arcytec.com</t>
  </si>
  <si>
    <t>972-3-376-6630</t>
  </si>
  <si>
    <t>Camera module makers, Depth sensing field, Consumer market.</t>
  </si>
  <si>
    <t>ARCYTEC develops new optical technologies for a 2D and 3D cameras and projectors.</t>
  </si>
  <si>
    <t>GoTech Vision</t>
  </si>
  <si>
    <t>GoTech Vision has developed Genesys, a Generic Solution for Physical Security Information Management including: Advanced events managing and real time alerts, Interactive maps and GIS, Automated rules and actions, Seamless integration with Video and Analytics, Access Control, Intruder detection, Fire and Fence devices, Guard tracking, Cyber protection.
 Solutions:
 - Genesys provides advanced solutions multiplayer control system interfaces and integrated security challenges.
 - Smartgate software dramatically improves the forwarding efficiency and management of truck traffic.</t>
  </si>
  <si>
    <t>Yossi Cohe</t>
  </si>
  <si>
    <t>yossi@gotechvision.com</t>
  </si>
  <si>
    <t>https://www.gotechvision.com</t>
  </si>
  <si>
    <t>6/3 Hatormos St.</t>
  </si>
  <si>
    <t>info@gotechvision.com</t>
  </si>
  <si>
    <t>972-8-621-6363</t>
  </si>
  <si>
    <t>Enterprises, Residential Industrial buildings, Local authorities, National scale sites, Airports, Military Industry, City Halls, Water corporations, Large logistics centers, Smart city, Big corporations, Shopping centers, Hospitals, Private homes</t>
  </si>
  <si>
    <t>Genesys is a platform for advanced command and control, fundamentally designed to manage the entire security system in a unified, simple and flexible.
 SmartGate software dramatically improves the forwarding efficiency and management of truck traffic. SmartGate meets all computerized and automatic forwarding cycle: from the leading scheduling and loading the truck, through the control gate control to Getting to this point. Throughout the process, the system interfaces with organizational management systems, such as ordering system, inventory, finance, fleet management and more.</t>
  </si>
  <si>
    <t>Proactive 4 SCM</t>
  </si>
  <si>
    <t>Proactive 4 SCM's mission is to provide a BPM suite which enables customer's across a variety of industrial sectors to access BPM disciplines and meet the management challenge of wide continual business process improvement. Proactive 4 provides organizations with the capability of understanding their internal business procedures in a graphical notation and gives organizations the ability to communicate these procedures in a standard manner. The graphical notation facilitates the understanding of the performance collaborations and business transactions between the organization departments, suppliers and customers.</t>
  </si>
  <si>
    <t>Yuval Sela</t>
  </si>
  <si>
    <t>yuval@proactive4.com</t>
  </si>
  <si>
    <t>http://www.proactive4.com</t>
  </si>
  <si>
    <t>14 Imber St.</t>
  </si>
  <si>
    <t>office@proactive4.com</t>
  </si>
  <si>
    <t>972-3-920-2900</t>
  </si>
  <si>
    <t>Enterprises, Aerospace, Automotive, Metal, Plastics, Chemicals, Export, Import and Service Providers and a variety of other industrial sectors.</t>
  </si>
  <si>
    <t>Online Platform, BPM</t>
  </si>
  <si>
    <t>Economotor</t>
  </si>
  <si>
    <t>Economotor develops a control system for any electric synchronous motor, based on a new and unique principle of operation. This invention improves the engine efficiency, increases the torque and reduces the dependence on a permanent magnet.</t>
  </si>
  <si>
    <t>Zvi Weiner</t>
  </si>
  <si>
    <t>https://www.economotor.co</t>
  </si>
  <si>
    <t>C/O CanNegev, 16 Zvi Bornstein St.</t>
  </si>
  <si>
    <t>Yerucham</t>
  </si>
  <si>
    <t>info@economotor.co</t>
  </si>
  <si>
    <t>Automotive manufacturers</t>
  </si>
  <si>
    <t>Control system for electric synchronous motor</t>
  </si>
  <si>
    <t>Xi</t>
  </si>
  <si>
    <t>Xi Information Processing Systems has established itself as a chief developer, manufacturer and marketer of assorted vehicle tracking and navigation, GIS &amp; data communications products and systems. Xi systems are field proven and incorporate mobile Geographic Information Systems (GIS) and data communications to provide comprehensive solutions. Xi’s range of products include security systems, internal vehicle navigation, Command and Control (C&amp;C) centers, vehicle tracking, monitoring and more.</t>
  </si>
  <si>
    <t>Igal Levy</t>
  </si>
  <si>
    <t>https://mobilinx.wixsite.com/website</t>
  </si>
  <si>
    <t>13 Habrosh St.</t>
  </si>
  <si>
    <t>sales@mobilinx.com</t>
  </si>
  <si>
    <t>972-3-921-5891</t>
  </si>
  <si>
    <t>Military, Security agencies, Automotive industries</t>
  </si>
  <si>
    <t>Vehicle tracking and security systems, GPS, Telematics</t>
  </si>
  <si>
    <t>Smart Films</t>
  </si>
  <si>
    <t>Smart Films International (“SFI”) is an international developer and manufacturer of Smart Film and Glass Solutions for Privacy on demand and Solar Control. The company's products are based on a proprietary NCAP-PDLC technology and Smart Films supports Architecture and Automotive industries. The company's Smart Glass solutions installed worldwide for over 15 years in a wide range of market segments such as Commercial, Residential, Healthcare, Industrial, Hospitality, Entertainments, Art, Government and Public.</t>
  </si>
  <si>
    <t>Ronen Lin</t>
  </si>
  <si>
    <t>https://www.smartfilmsinternational.com</t>
  </si>
  <si>
    <t>4 Ariel Sharon St.</t>
  </si>
  <si>
    <t>Givatayim</t>
  </si>
  <si>
    <t>info@smartfilmsinternational.com</t>
  </si>
  <si>
    <t>972-393-7571</t>
  </si>
  <si>
    <t>Glass Companies, Laminators, Architectures, Film Installers.</t>
  </si>
  <si>
    <t>- SFI NCAP (Nematic Curvilinear Aligned Phases) - a PDLC technology that relies on a polymer matrix film containing droplets of liquid crystal. Smart Films is fabricated by coating a water-based fluid using conventional coating processes. Today it is used as Switchable Window (also named Liquid Crystal Window or PDLC Smart Glass).
 - NCAP PDLC - A technology that based around the common theme of a liquid crystal cell in which a polymer network produced droplets or domains of liquid crystal. The optical properties of the cell depended on the alignment of the liquid crystals within each domain, with this alignment being determined by the balance of local alignment forces by the bounding polymer network and any applied electric field.</t>
  </si>
  <si>
    <t>Car Adviser</t>
  </si>
  <si>
    <t>Car Adviser develops an automotive car industry platform to help people do the entire buying process online in a fast and easy way.</t>
  </si>
  <si>
    <t>Ilan Dahan</t>
  </si>
  <si>
    <t>https://www.caradviser.io/en</t>
  </si>
  <si>
    <t>11 Hakalir St.</t>
  </si>
  <si>
    <t>contact@caradviser.io</t>
  </si>
  <si>
    <t>972-58-400-7968</t>
  </si>
  <si>
    <t>Car Industry.</t>
  </si>
  <si>
    <t>Online Platform.</t>
  </si>
  <si>
    <t>Parkings</t>
  </si>
  <si>
    <t>ParKings Holdings is all about finding advanced transportation solutions in the modern life urban environment. ParKings allows control, enforcement and management of parking resources in the big cities. ParKings is the first managing system for the street's parking that integrates the old world and the new one. The IT algorithm detects available parking spaces and reserves them, by demand, on real time and automatically. The advantage of the system is that it can in integrate with all the common marks and payment methods available such as parking meters, road marks etc.
 The ParKings management system eliminates the hassle of searching for parking space. Drivers can search and reserve available parking space in their vicinity from a smartphone app. The available parking space appear on the display and can be filtered by location, parking space size or special requirements such as parking spaces for disabled people, electric vehicle charging stations and in the near future also for autonomous cars.</t>
  </si>
  <si>
    <t>Moshe Roka</t>
  </si>
  <si>
    <t>https://parkings.co.il</t>
  </si>
  <si>
    <t>14 Haimaot St.</t>
  </si>
  <si>
    <t>rokach@parkings.co.il</t>
  </si>
  <si>
    <t>972-54-322-7128</t>
  </si>
  <si>
    <t>Drivers, Disabled people, Electric vehicle owners, City residents, Law enforcement, Car manufactures, Municipalities</t>
  </si>
  <si>
    <t>Parking management system, Mobile app, Luminous cars / smart parking meters</t>
  </si>
  <si>
    <t>CipherSiP</t>
  </si>
  <si>
    <t>CipherSiP is the only company that increases the bandwidth over existing protocols and protects vehicles from cyber attacks without changing the original protocols and Standards (i.e. CAN, CAN-FD/XL, LIN, SCADA). The company's novel approach uses Watermarked Communications™ Technology to create an invisible channel that implements bandwidth expansion (Avg. x3 times more bandwidth/Data) and an end-to-end cyber-security protection without changing the original Protocols and Messages standards.</t>
  </si>
  <si>
    <t>Eldad Casp</t>
  </si>
  <si>
    <t>https://ciphersip.com</t>
  </si>
  <si>
    <t>9 Andrei Sakharov St., MATAM</t>
  </si>
  <si>
    <t>info@ciphersip.com</t>
  </si>
  <si>
    <t>OEM , Tier1, Tier2</t>
  </si>
  <si>
    <t>CipherSiP novel approach uses Watermarked Communications™ Technology to create an invisible channel that implements bandwidth expansion (Avg. x3 times more bandwidth/Data) and an end-to-end cyber-security protection without changing the original protocols, messages and standards</t>
  </si>
  <si>
    <t>Automotive, Cyber Security, Industry 4.0, IoT</t>
  </si>
  <si>
    <t>JOYN</t>
  </si>
  <si>
    <t>JOYN is the 1st EV integrated go-to platform, aggregating data from multiple sources and utilizing AI-based algorithms to provide personalized insights, optimization, and empowerment.
 By leveraging data-driven technologies, JOYN aims to simplify the EV journey and empower drivers with
 the information and tools they need for a hassle-free journey.</t>
  </si>
  <si>
    <t>Eli Cohen</t>
  </si>
  <si>
    <t>https://www.joynpower.com</t>
  </si>
  <si>
    <t>3 Shalem St.</t>
  </si>
  <si>
    <t>info@joynpower.com</t>
  </si>
  <si>
    <t>EV Manufacturers.</t>
  </si>
  <si>
    <t>EV, Big Data, AI.</t>
  </si>
  <si>
    <t>Artificial Intelligence, Automotive, Big Data</t>
  </si>
  <si>
    <t>Armory Defense</t>
  </si>
  <si>
    <t>Armory Defense offers organizations a sophisticated and proactive offensive approach that returns control to organizations and ensures continuous improvement in the organization's level of defense and cyber resilience. The company's solution is smart, automated, focused, does not involve an additional layer of security and does not require prior installations. It includes automatic attack modules and an automatic scanner (data exposure) that provides information about the company and its entire supply chain from the Dark Web and visible external channels, which may be used by attackers. Armory Defense is combining a platform it developed with services provided by offensive and defensive cyber experts.</t>
  </si>
  <si>
    <t>Alon Aharo</t>
  </si>
  <si>
    <t>alon@armorydefense.com</t>
  </si>
  <si>
    <t>https://armorydefense.com</t>
  </si>
  <si>
    <t>5 Ilan Ramon St.</t>
  </si>
  <si>
    <t>972-54-481-6233</t>
  </si>
  <si>
    <t>Armory Defense combines AI, automation and behavioral learning. The combination of continuous analysis of infrastructure, user behavior and attack patterns ensures protection that is ahead of the attackers in addition to reaction to them.</t>
  </si>
  <si>
    <t>Artificial Intelligence, Automotive, Cyber Security</t>
  </si>
  <si>
    <t>SolidRun</t>
  </si>
  <si>
    <t>SolidRun is a global leading developer of embedded systems and network solutions, focused on a wide range of energy-efficient, powerful, and flexible products. The company's innovative compact embedded solutions are based on ARM and x86 architecture and offer a variety of platforms, including SOMs (System-on-Module), SBCs (Single Board Computer), and industrial mini PCs. The company provides a one-stop-shop for developers and OEMs, offering a complete service from hardware customization to software support and even product branding and enclosure design. SolidRun's mission is to simplify application development while overcoming deployment challenges, enabling the company to proudly deliver faster time-to-market and lower costs for its customers.</t>
  </si>
  <si>
    <t>Atai Ziv</t>
  </si>
  <si>
    <t>atai@solid-run.com</t>
  </si>
  <si>
    <t>https://www.solid-run.com</t>
  </si>
  <si>
    <t>1 Mishmar HaYam St.</t>
  </si>
  <si>
    <t>Acco</t>
  </si>
  <si>
    <t>info@solid-run.com</t>
  </si>
  <si>
    <t>972 4-381-0048</t>
  </si>
  <si>
    <t>IoT Developers, OEMs, Industrial Automation Companies, Smart Home Manufacturers, Telecommunications Providers, Automotive Industry, Healthcare Technology Companies, and more.</t>
  </si>
  <si>
    <t>System on Modules (SOMs), Single Board Computers (SBCs), Fanless mini computers, Embedded Industrial &amp; IoT, Embedded Networking, Industrial PC, Edge Gateway, SD-WAN &amp; Security Edge, ARM Servers &amp; Workstation.</t>
  </si>
  <si>
    <t>Artificial Intelligence, Automotive, Industry 4.0, IoT</t>
  </si>
  <si>
    <t>AirwayZ</t>
  </si>
  <si>
    <t>Airwayz is a developer of a cloud-based management platform, designed to be used for real-time monitoring and operating heterogeneous drone fleets. The company's platform is an artificial intelligence-based dynamic urchin tracking module and a multi-autonomous flight system that can control, manage and automate drone fleets used for the inspection and mapping of assets and sites, enabling companies to reduce manpower requirements and business risk and perform multiple tasks in a variety of fields.</t>
  </si>
  <si>
    <t>Eyal Zor</t>
  </si>
  <si>
    <t>eyal@airwayz.co</t>
  </si>
  <si>
    <t>https://www.airwayz.co</t>
  </si>
  <si>
    <t>3 HaNehoshet St., Building B</t>
  </si>
  <si>
    <t>contact@airwayz.co</t>
  </si>
  <si>
    <t>972-54-632-4473</t>
  </si>
  <si>
    <t>UTM (Unmanned Traffic Management), Drone fleets.</t>
  </si>
  <si>
    <t>Airwayz's dynamic UTM can manage complex situations, such as Urban delivery projects, where drones are flying in mash and support dynamic changes to the environment. It is a multi-platform software that is able to control, manage and automate the operation of drone fleets of different types and various missions. By utilizing cloud-based network &amp; decentralized ‘swarm’ technology, all flight information is shared and enables to coordinate operations in real-time.</t>
  </si>
  <si>
    <t>Artificial Intelligence, Automotive, Cloud, Defense Tech, Drones, Smart City</t>
  </si>
  <si>
    <t>Hoopo</t>
  </si>
  <si>
    <t>Hoopo provides monitoring and tracking solutions for non-motorized equipment. The company's technology allows end-to-end tracking both outdoors and indoors with the transmission of messages and data across long distances, enabling businesses to maintain low ownership costs and high power-efficiency levels while managing their logistics and assets.</t>
  </si>
  <si>
    <t>Ittay Hayu</t>
  </si>
  <si>
    <t>ittay@hoopo.tech</t>
  </si>
  <si>
    <t>https://www.hoopo.tech</t>
  </si>
  <si>
    <t>info@hoopo.tech</t>
  </si>
  <si>
    <t>IoT operators, Car Dealerships, Airports, Supply Chain Logistics, Businesses.</t>
  </si>
  <si>
    <t>A low-power, wide-area monitoring and tracking systems, designed to aid companies in tracking and monitoring their logistics.</t>
  </si>
  <si>
    <t>Artificial Intelligence, Automotive, Deep Tech, Industry 4.0, IoT</t>
  </si>
  <si>
    <t>ZOOZ Power</t>
  </si>
  <si>
    <t>Zooz Power develops ultra-fast EV charging solutions powered by a flywheel-based energy storage system, enabling high-power charging without relying on grid upgrades. The company’s technology focuses on energy efficiency, grid stabilization, and sustainable electrification – particularly for the electric mobility and smart infrastructure sectors.</t>
  </si>
  <si>
    <t>Jordan Fri</t>
  </si>
  <si>
    <t>jordan@zoozpower.com</t>
  </si>
  <si>
    <t>https://www.zoozpower.com</t>
  </si>
  <si>
    <t>4B Hamelacha St.</t>
  </si>
  <si>
    <t>marketing@zoozpower.com</t>
  </si>
  <si>
    <t>972-8-680-5566</t>
  </si>
  <si>
    <t>Charge point operators (CPOs) and network builders of EV fast-charging stations; Fleet operators, property owners and EPC (engineering, procurement &amp; construction) companies.</t>
  </si>
  <si>
    <t>Proprietary flywheel energy-storage and power-boosting system (kinetic energy storage) rather than chemical batteries; designed for durability and frequent cycles; Embedded energy management system (EMS).</t>
  </si>
  <si>
    <t>ERM Advanced Telematics</t>
  </si>
  <si>
    <t>ERM Advanced Telematics is an international technology company focused on automotive solutions, whose technologies and products are installed in more than 5 million vehicles worldwide. The company's solutions are based on a range of wireless technologies, including all available cellular generations, RF, Bluetooth and Wi-Fi. ERM offers a wide range of modular solutions that improve the protection, management and diagnostics of vehicles, vehicle fleets, and valuable assets, reducing operating costs for both the service provider and the end customer.</t>
  </si>
  <si>
    <t>Meir Hayma</t>
  </si>
  <si>
    <t>meir@erm.co.il</t>
  </si>
  <si>
    <t>http://www.ermtelematics.com</t>
  </si>
  <si>
    <t>16 Shapira St.</t>
  </si>
  <si>
    <t>info@erm.co.il</t>
  </si>
  <si>
    <t>972-3-941-3313</t>
  </si>
  <si>
    <t>Automobile Industry.</t>
  </si>
  <si>
    <t>Microprocessor, GSM.
 Advanced Driver Assistance Systems (ADAS) technology
 ERM developed eSafe , eSafe is configured to monitoring for three severity levels – regular, aggressive, dangerous – and sends audio and visual alerts of all threshold violations to a driver in real-time. In parallel, eSafe sends these alerts through ERM’s StarLink tracking device, which is also installed on the monitored vehicle, to the customer’s fleet management system to be logged for analysis and reporting as well as to the customer’s fleet manager for possible follow up action.
 eSafe also includes a black box for recreating the driving scenario that led to an accident. eSafe constantly monitors the physical forces of a vehicles' axes. When eSafe identifies that a vehicle has been involved in an accident, eSafe activates its black box mode and creates a log file that is available for further analysis consisting of the 50 seconds of driving before the accident and the 25 seconds after the accident. This black box data enables the maneuvers that led to the accident to be recreated in order to understand what happened to the vehicle just before the accident and determine who was responsible for the accident.
 ERM developed the The StarLink Tracker a vehicle tracking device, mainly used in Fleet Management and Stolen Vehicle Recovery (SVR) operations. StarLink Tracker is compatible to most vehicle types and complies with automotive, radio and safety standards worldwide.
 ERM’s UBI solutions are based on its Safety technology for monitoring driver behavior. The technology enables the receiving of warnings regarding any deviation from acceptable driving, which has been determined by the type of vehicle under inspection. The technology makes use of the tracking unit’s GPS and has the capability of combining multiple locations and speeds relating to a range of events that it warns about. The new products will join the StartLink OBD, the On-Board Diagnostics (OBD) unit that was launched by ERM around three years ago.</t>
  </si>
  <si>
    <t>RodRadar</t>
  </si>
  <si>
    <t>RodRadar offers a unique technology platform, which automatically detects underground utility infrastructure in real time, on location and without the need for expert analysis. The company's proprietary radar technology, the Live Dig Radar® (LDR), along with its line of products, facilitates a new ecosystem of synergetic services and solutions that are set to modernize excavation, increase operator safety, improve productivity and introduce project efficiencies. RodRadar's technology is designed for various excavation environments, detecting utilities, such as power, communications, fiber, water, wastewater and oil &amp; gas.</t>
  </si>
  <si>
    <t>Moshe Dalm</t>
  </si>
  <si>
    <t>moshed@rodradar.com</t>
  </si>
  <si>
    <t>https://www.rodradar.com</t>
  </si>
  <si>
    <t>59 HaRimonim Rd.</t>
  </si>
  <si>
    <t>Rinatya</t>
  </si>
  <si>
    <t>info@rodradar.com</t>
  </si>
  <si>
    <t>972-54-488-2199</t>
  </si>
  <si>
    <t>info@roradar.com</t>
  </si>
  <si>
    <t>Construction sector.</t>
  </si>
  <si>
    <t>Live Dig Radar® (LDR) is a radar imaging technology combining advanced design, embedded processing, sophisticated algorithms and engineering, which enables automatic real-time, on-site alerts for the prevention of damage to underground utility infrastructure during excavation.</t>
  </si>
  <si>
    <t>Automotive, Construction Tech, Defense Tech, IoT, PropTech</t>
  </si>
  <si>
    <t>GasNGo</t>
  </si>
  <si>
    <t>GasNGo is a technology and service company offering the ultimate answer to fleet needs. Its comprehensive fleet control system allows fleet managers to view and control all fleet activity, transactions and maintenance online and in real-time. Since 2005, GasNGo has been providing patented, cost-effective fleet monitoring and control solutions for thousands of fleet owners, vehicles and stations worldwide. The company is led by veterans of the oil, retail and automotive industries, who bring accumulated international field experience in designing and utilizing advanced technology for fleet management and fuel control.</t>
  </si>
  <si>
    <t>Lior Yehos</t>
  </si>
  <si>
    <t>https://gasngo.com</t>
  </si>
  <si>
    <t>7 Kiryat Atidim St.</t>
  </si>
  <si>
    <t>info@gasngo.com</t>
  </si>
  <si>
    <t>972-3-926-3200</t>
  </si>
  <si>
    <t>Oil Retail and Automotive industries, Drivers, Gas Station Operators, Fleet Owners, Fuel Companies.</t>
  </si>
  <si>
    <t>The GASNGO system is an automatic refueling, vehicle identification, vehicle maintenance, location and fleet management solution. AVI (Automatic Vehicle Identification) uses four easy to use components seamlessly integrated with station controllers, clearing houses and billing systems already installed at the gas station. The two GASNGO components installed at the gas station identify and verify the vehicle, and control the communication of the data from the vehicle to the fleet manager via the installed controller. The two components in the vehicle identify fuel usage and mileage of the vehicle. AVM (Automatic Vehicle Maintenance) uses 2 components system; one at the station and one in the vehicle. AVL (Automatic Vehicle Location) uses a single component in the vehicle. All the applications are being managed by one web software named CLICKNGO. The CLICKNGO can be approached and managed my fleet managers / fuel company – station managers or service operation.</t>
  </si>
  <si>
    <t>Eye-Net</t>
  </si>
  <si>
    <t>Eye-Net is a provider of a collision prediction and prevention software-based platform, designed to address safety challenges in the shared mobility landscape. The company's platform incorporates AI-powered algorithms that calculate user location and collision probability, as well as utilizes a sophisticated probability analysis for spatial cross-correlation of bearing, velocity and acceleration to determine an imminent collision with near zero false alarm rate, enabling users in a defined area to potentially increase the chances of preventing road accidents and saving lives.</t>
  </si>
  <si>
    <t>Dror Elbaz</t>
  </si>
  <si>
    <t>https://eyenet-mobile.com</t>
  </si>
  <si>
    <t>7 Golda Meir St., Weizmann Science Park</t>
  </si>
  <si>
    <t>info@eyenet-mobile.com</t>
  </si>
  <si>
    <t>972-74-774-5744</t>
  </si>
  <si>
    <t>Vehicle and cellular-phone manufacturers, telecommunication companies and companies, developing location-based products (such as wearable devices, dashboard cameras, navigation aids, infotainment systems and third-party applications).</t>
  </si>
  <si>
    <t>Eye-Net's app provides real-time alerts to drivers and smartphone users, whether it’s another driver, a pedestrian, a car or a cyclist about the risk of a collision between them. The company's platform is based on receiving GPS samples from the end devices.</t>
  </si>
  <si>
    <t>Artificial Intelligence, Automotive, Big Data, IoT, Smart City</t>
  </si>
  <si>
    <t>Redler Technologies</t>
  </si>
  <si>
    <t>Redler specializes in the developing and marketing Electrical power and motion management solutions for the industrial, automotive, and defense industries. 
 Their advanced, innovative, embedded and patented DC motion control drivers and smart power circuit breakers will help keeping platforms in motion, anywhere, anytime, under strict power management and power saving policy.
 The power management are achieved with their unique smart circuit breaker technology, the POWER RIDER, based on semiconductors, with fully automatic, highly reliable, redundant electronics capabilities, that use as the smart Energy Power Distribution Unit (EPD/PDU) for power saving and management.
 The Rayon motion control drivers Series supports power management challenges within any platform or application. Their drivers suite any mission - from miniature to very large scale motors, in DC or BLDC, with single or Multi Axis, while offering Energy saving, Increasing uptime, Sensor-less technology, and Wide range of voltage and Currents.</t>
  </si>
  <si>
    <t>Guy Natans</t>
  </si>
  <si>
    <t>https://www.redlertechnologies.com</t>
  </si>
  <si>
    <t>15 Atir Yeda</t>
  </si>
  <si>
    <t>contact@redler.co.il</t>
  </si>
  <si>
    <t>972-9-767-2980</t>
  </si>
  <si>
    <t>Aerospace, Robotics, Bio-Medical Industry, Agriculture Industry, Mechanical Industry, Defense, Automotive, Aviation.</t>
  </si>
  <si>
    <t>Micro-controllers (DSP, FPGA and CPLDs), Motion Control, Power Management Systems, Motion Control and Smart Circuit Breakers.</t>
  </si>
  <si>
    <t>Gnrgy</t>
  </si>
  <si>
    <t>Gnrgy provides Electric Vehicle Infrastructure and Charging Network Management. Gnrgy develops and manufactures energy efficiency solutions for home users, enterprises and energy providers.</t>
  </si>
  <si>
    <t>Ran Eloya</t>
  </si>
  <si>
    <t>https://www.gnrgy.com</t>
  </si>
  <si>
    <t>9 Beni Hanevim St.</t>
  </si>
  <si>
    <t>info@gnrgy.com</t>
  </si>
  <si>
    <t>972-77-220-0044</t>
  </si>
  <si>
    <t>Consumers, Enterprises, Governments, Energy/Power Providers, Electric Car Manufacturers.</t>
  </si>
  <si>
    <t>Gnrgy’s products focus on efficient energy usage in low cost and user-friendly solutions varying from smart plugs and USB keys to remote controls.
 A modular EV charging spot with integrated authentication and billing system which allows only authorized hook-ups, to avoid power theft, and automatically routes the charge billing to the user’s account.</t>
  </si>
  <si>
    <t>KappaSense</t>
  </si>
  <si>
    <t>Kappasense is a designer &amp; Manufacturer of Absolute Capacitive Linear encoders, seeking to make a significant contribution to its customers by offering a better solution for today’s applications. Owning Multiple active patents in the field of capacitive sensing, KP’s unique linear capacitive technology offers rugged high-performance, digital &amp; Analog, field proven linear encoders in a variety of flagship customers around the globe, such as Semiconductors, industrial machining, Medical &amp; more.</t>
  </si>
  <si>
    <t>Aviran Wei</t>
  </si>
  <si>
    <t>http://www.kappasense.com</t>
  </si>
  <si>
    <t>Sagol St., Misgav Industrial Park</t>
  </si>
  <si>
    <t>info@kappasense.com</t>
  </si>
  <si>
    <t>972-4-630-0905</t>
  </si>
  <si>
    <t>Industrial Automation, CNC/Laser Cutting, Linear Actuators, Medical, Optronics, Semiconductor.</t>
  </si>
  <si>
    <t>Kappasense’s FREEe™ is a linear encoder technology platform in which the readhead is a passive device weighs only 3 grams. Due to it’s Passive, Cable-less characteristics, moving Cables are not required. All the encoder cabling is static and connected to the scale.
 Kappasense’s FLEXe™ is a Series of extremely wide operational range capacitive linear encoders using its unique Capacitive Technology. The Active Read Head can operate with high Y &amp; Z tolerances which could be perfect for operations in vibrating environment.</t>
  </si>
  <si>
    <t>UVEye</t>
  </si>
  <si>
    <t>UVeye is a developer of vehicle inspection systems designed to detect threats or modifications of vehicles. The company's systems utilize high-resolution, high-speed cameras, machine learning and computer vision to detect and identify concealed weapons and other contraband, enabling government organizations, vehicle manufacturers, rental companies and logistical centers to improve maintenance and security levels.</t>
  </si>
  <si>
    <t>Amir Hever</t>
  </si>
  <si>
    <t>amir@uveye.com</t>
  </si>
  <si>
    <t>https://www.uveye.com</t>
  </si>
  <si>
    <t>500 Frank W Burr Blvd.</t>
  </si>
  <si>
    <t>Teaneck</t>
  </si>
  <si>
    <t>NJ</t>
  </si>
  <si>
    <t>info@uveye.com</t>
  </si>
  <si>
    <t>Government organizations, vehicle manufacturers, rental companies, logistical centers, border crossings, embassies, air &amp; seaports, facility security sectors, US and used car car dealerships, commercial vehicle fleets.</t>
  </si>
  <si>
    <t>UVeye's inspection system, the Drive-Thru, includes cameras and AI-based image processing software that automatically inspects the vehicle underbody, tires and structural integrity and exterior parts, while driving through the scanner. The company's system produces a report that includes 360-degree photography and imaging along with documentation of all findings.</t>
  </si>
  <si>
    <t>Artificial Intelligence, Automotive, Deep Tech, Industry 4.0, Machine Learning, Machine Vision</t>
  </si>
  <si>
    <t>Kodiak Robotics</t>
  </si>
  <si>
    <t>Kodiak Robotics is an autonomous technology company redefining the long-haul trucking industry.
 They believe self-driving trucks will be the first economically viable application of autonomous vehicle technology. They founded Kodiak in the spring of 2018 to make that belief a reality.
 Safety is their top priority. They are taking a safe and responsible approach to developing and testing their technology.
 They are proud to work with some of the best in the business. They’ve built a world class team of technologists from leading autonomous driving programs who know the industry inside and out. Their combined experience and commitment to the vision will allow them to put self-driving technology on the road in the safest and most effective way.</t>
  </si>
  <si>
    <t>Don Burnet</t>
  </si>
  <si>
    <t>don@kodiak.ai</t>
  </si>
  <si>
    <t>https://www.kodiak.ai</t>
  </si>
  <si>
    <t>1045 Terra Bella Ave.</t>
  </si>
  <si>
    <t>Mountain View</t>
  </si>
  <si>
    <t>contact@kodiak.ai</t>
  </si>
  <si>
    <t>Trucking Fleets</t>
  </si>
  <si>
    <t>Autonomous Vehicles, Computer Vision, Machine Learning, Motion Control, Robotics</t>
  </si>
  <si>
    <t>Artificial Intelligence, Automotive, Machine Learning, Machine Vision, Robotics</t>
  </si>
  <si>
    <t>Orbit</t>
  </si>
  <si>
    <t>Orbit Communication Systems designs and manufactures advanced satellite communication and tracking systems for air, sea, land, and space applications. Its portfolio includes SATCOM terminals, electronically steerable antennas, and telemetry &amp; tracking ground stations used by defense, aerospace, and commercial operators worldwide. Orbit serves government agencies, armed forces, and satellite network providers across global markets through a B2B model, combining hardware innovation with integrated support and maintenance services.</t>
  </si>
  <si>
    <t>Dany Eshch</t>
  </si>
  <si>
    <t>https://orbit-cs.com</t>
  </si>
  <si>
    <t>8D Hatzoran St.</t>
  </si>
  <si>
    <t>info@orbit-cs.com</t>
  </si>
  <si>
    <t>972-9-892-2777</t>
  </si>
  <si>
    <t>info@orbit-ltd.co.il</t>
  </si>
  <si>
    <t>Aerospace, defence/military, maritime, satellite/space, global regions (Israel, US, APAC).</t>
  </si>
  <si>
    <t>SATCOM terminals, ground stations, TT&amp;C tracking, ESA antennas, audio systems, AI-enabled maintenance.</t>
  </si>
  <si>
    <t>Automotive, Defense Tech, IoT, SpaceTech</t>
  </si>
  <si>
    <t>Valerann</t>
  </si>
  <si>
    <t>Valerann offers data-driven, intelligent traffic management systems using artificial intelligence (AI), data analytics and data fusion.</t>
  </si>
  <si>
    <t>Gabriel Ja</t>
  </si>
  <si>
    <t>https://www.valerann.com</t>
  </si>
  <si>
    <t>32 Shoken St. 2nd Fl.</t>
  </si>
  <si>
    <t>info@valerann.com</t>
  </si>
  <si>
    <t>Drivers, SME's, Municipalities, City and Highway Authorities, Governments, Private Road Operators,</t>
  </si>
  <si>
    <t>The latest innovation, Lanternn by Valerann™, is an intelligent transportation solution that helps city and highway authorities make more informed decisions around traffic management.
 The company’s technology employs a proprietary Real-Time Data Fusion Engine that applies powerful, state-of-the-art AI and machine learning techniques to combine multiple data sources. These sources include navigation apps, IoT sensors, cameras (machine vision), social media, and connected vehicles. The company leverages cloud and big data technologies to achieve the scalability required to process the increasingly large data streams available today.</t>
  </si>
  <si>
    <t>NOVO DR</t>
  </si>
  <si>
    <t>NOVO DR Ltd. is a leading developer &amp; manufacturer of cutting edge portable, flat-panel, digital X-ray inspection systems for the Security, Non- Destructive Testing (NDT), science and art sectors. Combining decades of experience and intensive R&amp;D while working with the world's most prominent companies and organizations in the field, NOVO DR managed to take portable digital radiography to the next level and produce game changing product using groundbreaking technology.</t>
  </si>
  <si>
    <t>Lior Pick</t>
  </si>
  <si>
    <t>lior@novo-dr.com</t>
  </si>
  <si>
    <t>https://www.novo-dr.com</t>
  </si>
  <si>
    <t>18A HaYetsira St.</t>
  </si>
  <si>
    <t>info@novo-dr.com</t>
  </si>
  <si>
    <t>972-3-670-0988</t>
  </si>
  <si>
    <t>Defense, Aerospace, Oil &amp; Gas, Railroad, Construction, Shipyards &amp; Munition Companies</t>
  </si>
  <si>
    <t>Portable Radiography X-Ray inspection systems for a variety of NDT &amp; Security applications.</t>
  </si>
  <si>
    <t>Automotive, Construction Tech, Defense Tech</t>
  </si>
  <si>
    <t>HydroX</t>
  </si>
  <si>
    <t>Hydro X is reinventing hydrogen storage and transportation with a disruptive technology which enables to store and transport hydrogen in a non-toxic, non-flammable, non-explosive, cost and energy-efficient carrier, driving the cost of hydrogen storage and transportation below US$1/kgH2 and unlocking the hydrogen economy.</t>
  </si>
  <si>
    <t>Assaf Saya</t>
  </si>
  <si>
    <t>assaf.sayada@hydrox.earth</t>
  </si>
  <si>
    <t>https://hydrox.earth</t>
  </si>
  <si>
    <t>2/11 Professor Racah, High-Tech Park, Givat Ram</t>
  </si>
  <si>
    <t>info@hydrox.earth</t>
  </si>
  <si>
    <t>972-54-315-3174</t>
  </si>
  <si>
    <t>Undustry, Renewable Energy, Facilities</t>
  </si>
  <si>
    <t>Hydro X has developed a disruptive hydrogen storage technology which enables, through a catalytic reaction, to store and transport hydrogen in a water-based, non-toxic, non-flammable and non-explosive carrier, reducing the infrastructure and CapEx costs of hydrogen projects and dramatically simplifying the safety maintenance and compliance requirements in such projects.
 Operating at close-to-ambient temperature and pressure with 94% energy efficiency, Hydro X technology drives the OpEx costs of hydrogen storage and transportation to below US$1 per kg of hydrogen. Even cheaper than salt caverns for long-term storage and much (4x) cheaper than ammonia for long-distance ship transportation.</t>
  </si>
  <si>
    <t>CaPow</t>
  </si>
  <si>
    <t>CaPow's solution is based on floor antennas that enable energy supply, while moving. It also reduces the use of lithium-ion batteries and allows integration into existing infrastructure, without significant changes to the warehouse design. The company works in collaboration with robot manufacturers and existing fleet operators, mainly in the logistics automation market.</t>
  </si>
  <si>
    <t>Mor Peretz</t>
  </si>
  <si>
    <t>mor@capow.energy</t>
  </si>
  <si>
    <t>https://capow.energy</t>
  </si>
  <si>
    <t>77 HaEnergia St.</t>
  </si>
  <si>
    <t>info@capow-tech.com</t>
  </si>
  <si>
    <t>972-52-529-2526</t>
  </si>
  <si>
    <t>Industry 4.0 Automation in Logistics centers, manufacturing, supply chain.</t>
  </si>
  <si>
    <t>CaPow is a developer of an in-motion wireless power delivery ecosystem, designed for autonomous robotics at logistics centers and last-mile delivery. The company's platform employs adaptive lock-in technology for power transfer over a capacitive field that continuously tunes the system characteristics to facilitate optimal transfer conditions under dynamic variations, enabling users to disengage the world's dependence on cables and connectors for power distribution.</t>
  </si>
  <si>
    <t>Automotive, Deep Tech, Industry 4.0, Robotics</t>
  </si>
  <si>
    <t>Inex Zamir</t>
  </si>
  <si>
    <t>Inex Technologies Designs, Develops and Manufactures Automatic License Plate Recognition (ALPR) Camera Solutions &amp; Intelligent Software for Vehicle Identification. The Inex Technologies ALPR Camera Solutions accurately capture license plate data as well as customized information from passing vehicles (Color, Make, Model, etc.) in real time at any light: bright; day-time conditions and in complete darkness; night-time conditions. Inex Technologies successfully integrated its ALPR systems within Homeland Security, Public Safety, Law Enforcement, Toll-Roads, and Parking Access Industries.</t>
  </si>
  <si>
    <t>Roman Pril</t>
  </si>
  <si>
    <t>rprilutsky@inextechnologies.com</t>
  </si>
  <si>
    <t>https://inextechnologies.com</t>
  </si>
  <si>
    <t>155 Willowbrook Blvd., Suite 130</t>
  </si>
  <si>
    <t>Wayne</t>
  </si>
  <si>
    <t>info@inexzamir.com</t>
  </si>
  <si>
    <t>1-865-671-1400</t>
  </si>
  <si>
    <t>info_il@inexzamir.com</t>
  </si>
  <si>
    <t>Government Authorities, Municipalities, Parking Operators, Security Companies, Enterprises</t>
  </si>
  <si>
    <t>Automatic License Plate Reader (ALPR) Technology</t>
  </si>
  <si>
    <t>Road Protect</t>
  </si>
  <si>
    <t>Road Protect provides services of administrative management systems for businesses and individuals in the field of managing collection procedures for traffic violations. The service includes an online platform assisting drivers to understand how and when to contest a traffic tickets. This provides a quick, easy and cost effective alternative to contesting traffic fines in court. The company's flagship product is Fines Protect, which provides a comprehensive unique traffic fines management system to both the man in the street and corporate clients.</t>
  </si>
  <si>
    <t>Ore Goldga</t>
  </si>
  <si>
    <t>http://www.roadprotect.co.il</t>
  </si>
  <si>
    <t>info@roadprotect.co.il</t>
  </si>
  <si>
    <t>972-54-475-7841</t>
  </si>
  <si>
    <t>Drivers, Institutions, Car Fleets</t>
  </si>
  <si>
    <t>Internet Application</t>
  </si>
  <si>
    <t>Automotive, LegalTech, Smart City</t>
  </si>
  <si>
    <t>Optibus</t>
  </si>
  <si>
    <t>Optibus is an end-to-end, cloud-native solution for transportation planning, scheduling, rostering, and operations, powered by artificial intelligence (AI) and optimization algorithms. Transportation agencies and operators in 1,000 cities worldwide trust Optibus to increase efficiency and service quality, promote transportation equity, reduce emissions and costs, and modernize their operations.</t>
  </si>
  <si>
    <t>Amos Haggi</t>
  </si>
  <si>
    <t>amos@optibus.com</t>
  </si>
  <si>
    <t>https://www.optibus.com</t>
  </si>
  <si>
    <t>2 Leonardo da Vinci St., 39th Fl</t>
  </si>
  <si>
    <t>info@optibus.co</t>
  </si>
  <si>
    <t>972-73-372-9586</t>
  </si>
  <si>
    <t>info@optibus.com</t>
  </si>
  <si>
    <t>Public Transportation and Bus Operating Companies.</t>
  </si>
  <si>
    <t>Optibus leverages the power of machine learning and optimization algorithms to redefine the way mass-transportation is planned and operated. Its’ disruptive technology is helping to improve the quality of service, increase efficiencies, save money and streamline operations.</t>
  </si>
  <si>
    <t>Artificial Intelligence, Automotive, Climate Tech, Cloud, Impact, SaaS, Smart City</t>
  </si>
  <si>
    <t>SolarEdge</t>
  </si>
  <si>
    <t>SolarEdge is a global leader in smart energy technology. By leveraging world-class engineering capabilities and with a relentless focus on innovation, SolarEdge creates smart energy solutions that power our lives and drive future progress. SolarEdge developed an intelligent inverter solution that changed the way power is harvested and managed in photovoltaic (PV) systems. The SolarEdge DC optimized inverter seeks to maximize power generation while lowering the cost of energy produced by the PV system. Continuing to advance smart energy, SolarEdge addresses a broad range of energy market segments through its PV, storage, EV charging, batteries, electric vehicle powertrains, and grid services solutions.</t>
  </si>
  <si>
    <t>Yehoshua N</t>
  </si>
  <si>
    <t>shuki.nir@solaredge.com</t>
  </si>
  <si>
    <t>https://www.solaredge.com</t>
  </si>
  <si>
    <t>1 Hamada St.</t>
  </si>
  <si>
    <t>info@solaredge.com</t>
  </si>
  <si>
    <t>972-9-957-6620</t>
  </si>
  <si>
    <t>Solar power system Installers, Integrators and Distributors, Solar panel manufacturers.</t>
  </si>
  <si>
    <t>DC optimized Inverters, PV Inverters, PV Power Optimizers, PV monitoring, Energy storage solutions, Grid Services Solutions, Energy Management Software, Battery Storage, EV Charging, Powertrain Solutions for the EV Market.</t>
  </si>
  <si>
    <t>Automotive, Climate Tech, Deep Tech</t>
  </si>
  <si>
    <t>Bringoz</t>
  </si>
  <si>
    <t>Bringoz is a technology platform for logistics management, streamlining the logistics processes in general and the last-mile in particular, Bringoz provides its customers with a robust infrastructure enabling them to compete in today's demand-driven landscape.</t>
  </si>
  <si>
    <t>Doron Bakc</t>
  </si>
  <si>
    <t>doron@bringoz.com</t>
  </si>
  <si>
    <t>https://www.bringoz.com</t>
  </si>
  <si>
    <t>6 Natan Yalin Mor St.</t>
  </si>
  <si>
    <t>info@bringoz.com</t>
  </si>
  <si>
    <t>972-77-502-0305</t>
  </si>
  <si>
    <t>Automotive, CPG, Distribution, Pharma companies, Retailers, Logistics, Last-Mile &amp; Delivery</t>
  </si>
  <si>
    <t>SaaS, logistics, routing optimization, automation, consolidation, 360-degree control tower, real-time tracking, Matching</t>
  </si>
  <si>
    <t>Acktar</t>
  </si>
  <si>
    <t>Acktar is a global leader in the development and production of proprietary black light-absorbing coatings which are based on vacuum-deposition technologies, are ecologically clean, and in many cases replace traditional processes which are sources of pollutants and toxic substances. Acktar's proprietary sophisticated vacuum deposition technology generates coatings with an extremely high specific surface area. These coatings have unique characteristics - superior to those achievable by other processes - with important commercial applications. The application of Acktar coatings grants major improvements in a wide range of applications including aluminum electrolytic capacitors, high performance optics, solar energy, electronic enclosures, heat sinks, Internal parts of optical systems, cold shields and other IR detectors parts, thermal radiators for thermal control system, UV and IR light-absorbing tapes, radiation absorbing layers, heat dissipation coatings for electronic systems and more.</t>
  </si>
  <si>
    <t>Zvi Finkel</t>
  </si>
  <si>
    <t>zvi@acktar.com</t>
  </si>
  <si>
    <t>https://acktar.com</t>
  </si>
  <si>
    <t>1 Leshem St., Entrance A</t>
  </si>
  <si>
    <t>Kiryat Gat</t>
  </si>
  <si>
    <t>info@acktar.com</t>
  </si>
  <si>
    <t>972-8-681-4213 ext.102</t>
  </si>
  <si>
    <t>Capacitors Manufacturers, Aerospace, Optics/Photonics, Semiconductor, Electronics, Automotive, Biotechnology, Medical Devices</t>
  </si>
  <si>
    <t>Proprietary coatings based on vacuum deposition technologies.
 Applications of Acktar's industrial coatings: 
 Internal parts of optical systems.
 UV, Visible and IR light absorbing tapes.
 High specific surface area coatings, replacing etching, graining, anodizing and other processes.
 Cold shields and other IR detectors parts.
 Emitters, blackbodies.
 Thermal radiators for thermal control system (with pre-determined solar absorptance/ thermal emittance ratios).
 Parts for thermographic cameras, night vision systems.
 Radiation absorbing layers for temperature sensors.
 Heat dissipation coatings for electronic systems.
 High capacitance anode and cathode foils.</t>
  </si>
  <si>
    <t>Innoviz</t>
  </si>
  <si>
    <t>Innoviz is a global leader in LiDAR technology, serving as a Tier 1 supplier to the world's leading automotive manufacturers and working towards a future with safe autonomous vehicles on the world's roads. Innoviz's LiDAR and perception software "see" better than a human driver and reduce the possibility of error, meeting the automotive industry's strictest expectations for performance and safety. Operating across the U.S., Europe, and Asia, Innoviz has been selected by internationally recognized premium car brands for use in consumer vehicles as well as by other commercial and industrial leaders for a wide range of use cases.</t>
  </si>
  <si>
    <t>Omer Keila</t>
  </si>
  <si>
    <t>omerk@innoviz.tech</t>
  </si>
  <si>
    <t>http://www.innoviz.tech</t>
  </si>
  <si>
    <t>5 Uri Ariav St., Bldg. C, Nitzba 300</t>
  </si>
  <si>
    <t>Rosh Haayin</t>
  </si>
  <si>
    <t>investors@innoviz-tech.com</t>
  </si>
  <si>
    <t>972-74-700-3692</t>
  </si>
  <si>
    <t>Automotive Industry, Autonomous Vehicle Automakers, Robotaxis, Shuttle &amp; Delivery Companies, Trucking &amp; Heavy Machinery, Logistics, Industrial Drones, Sidewalk Delivery Services and more.</t>
  </si>
  <si>
    <t>Solid-state LiDAR sensor, automotive-grade LiDAR sensor, Next-Generation 360º LiDAR, Perception Software and 3D Object Detection for Autonomous Vehicles.</t>
  </si>
  <si>
    <t>Artificial Intelligence, Automotive, Construction Tech, Deep Tech</t>
  </si>
  <si>
    <t>Cognata</t>
  </si>
  <si>
    <t>Cognata allows companies that develop autonomous driving systems to enrich data from real test drives, using GenAI. The company's new solution is a complementary component to the company's simulator that creates a virtual environment that simulates in detail the reality on the road, from the exact street map and the behavior of vehicles and drivers to small and unexpected details, such as defects in the road, trash cans, signs, trees and danger scenarios, such as a child bursting onto the road. Cognata's simulator makes it possible to systematically produce clusters of driving scenarios that will test how the vehicle's sensors and computing units function in all the situations they may encounter on the road.</t>
  </si>
  <si>
    <t>Danny Atsm</t>
  </si>
  <si>
    <t>danny@cognata.com</t>
  </si>
  <si>
    <t>https://www.cognata.com</t>
  </si>
  <si>
    <t>2 Pekeris St., Weizmann Science Park</t>
  </si>
  <si>
    <t>support@cognata.com</t>
  </si>
  <si>
    <t>972-52-556-7755</t>
  </si>
  <si>
    <t>Autonomous vehicle industry &amp; car manufacturers.</t>
  </si>
  <si>
    <t>Cognata is a developer of a virtual reality-based driving validation platform, designed to transform the autonomous vehicle industry. The company's platform uses computer vision and deep learning algorithms to automatically generate a detailed city simulator at scale, enabling autonomous car manufacturers to run different scenarios, based on various geographic locations, driver behavior and road sharing in less time.</t>
  </si>
  <si>
    <t>Artificial Intelligence, Automotive, Defense Tech, Machine Learning, Machine Vision</t>
  </si>
  <si>
    <t>Trackimo</t>
  </si>
  <si>
    <t>Trackimo is an IoT (Internet of Things) solution provider with proprietary technology, enabling worldwide connectivity for M2M (Machine to Machine) devices. The company aspires to transform business models through the development of customizable radio frequency mobile technology solutions that are easy to implement and are user friendly, used globally with enhanced security and reliability. Trackimo developed an intelligent, GPS-GSM tiny device, allowing the users to find and track their precious things and see exactly where they are, automatically alerting when sensing distress signals.</t>
  </si>
  <si>
    <t>Shai Bar-L</t>
  </si>
  <si>
    <t>shai@trackimo.com</t>
  </si>
  <si>
    <t>https://trackimo.com</t>
  </si>
  <si>
    <t>680 Central Ave., Unit 108 Cedarhurst</t>
  </si>
  <si>
    <t>11516-2329</t>
  </si>
  <si>
    <t>info@trackimo.com</t>
  </si>
  <si>
    <t>1-646-626-6116</t>
  </si>
  <si>
    <t>Elderly family in need of care, Children, Parents, Travelers, Pet owners, Homeland security, consumer and enterprise business sectors, Drone industry.</t>
  </si>
  <si>
    <t>Trackimo's product portfolio covers both consumer and enterprise business sectors, including fleet tracking and logistics management solutions, customizable and scalable IoT platform, remote gateways and consumer tracking devices.</t>
  </si>
  <si>
    <t>Automotive, IoT, RetailTech, SaaS, Wearables</t>
  </si>
  <si>
    <t>Aurislink</t>
  </si>
  <si>
    <t>Aurislink is a technology company specializing in deep learning and signal processing. Focus on acoustic sound detection and localization. The company leverages advanced algorithms capable of responding to various blast sounds, positioning itself as a provider of security and safety solutions through real-time acoustic monitoring. The company also develops advanced cybersecurity solutions for automotive and industrial CAN bus systems, and autonomous defense systems for identifying and neutralizing airborne threats.</t>
  </si>
  <si>
    <t>Charly Bit</t>
  </si>
  <si>
    <t>cbitton@gmail.com</t>
  </si>
  <si>
    <t>http://www.aurislink.com</t>
  </si>
  <si>
    <t>9 HaKalanit St.</t>
  </si>
  <si>
    <t>Zichron Yaacov</t>
  </si>
  <si>
    <t>info@aurislink.com</t>
  </si>
  <si>
    <t>972-50-985-2302</t>
  </si>
  <si>
    <t>Homeland Security Market, Law Enforcement, Public Safety, Security Agencies, Automotive Industry.</t>
  </si>
  <si>
    <t>Sound Recognition &amp; Processing, Acoustic Detection, LLM Development &amp; Optimization, Image Recognition, CAN Bus Security, AI-Powered Interceptor Drone.</t>
  </si>
  <si>
    <t>Artificial Intelligence, Automotive, Cyber Security, Defense Tech, Drones, Machine Learning</t>
  </si>
  <si>
    <t>ConnVAS</t>
  </si>
  <si>
    <t>ConnVAS has made it its mission to form a mass community of connected vehicles, for safer, smarter and more enjoyable driving experience. ConnVAS's solution enables any vehicle to become a connected vehicle and join the connected community.</t>
  </si>
  <si>
    <t>Danny Fryd</t>
  </si>
  <si>
    <t>danny@connvas.com</t>
  </si>
  <si>
    <t>https://www.connvas.com</t>
  </si>
  <si>
    <t>9 Ben-Zion Simcha St.</t>
  </si>
  <si>
    <t>support@connvas.com</t>
  </si>
  <si>
    <t>972-54-466-0939</t>
  </si>
  <si>
    <t>Car manufacturers, car equipment OEMs, Drivers.</t>
  </si>
  <si>
    <t>An AI-driven V2X solution that enables any vehicle to become a connected vehicle and join the connected community for a safer, smarter and more enjoyable experience.</t>
  </si>
  <si>
    <t>Pzartech</t>
  </si>
  <si>
    <t>Pzartech develops visual-recognition technologies that enable users of complex mechanical equipment to quickly identify parts using image processing and deep learning. They enable maintenance operators to receive information regarding the mechanical parts they are working on using cameras from smartphones and tablets.</t>
  </si>
  <si>
    <t>Jeremie Br</t>
  </si>
  <si>
    <t>jeremie@pzartech.com</t>
  </si>
  <si>
    <t>https://www.pzartech.com</t>
  </si>
  <si>
    <t>3 Aharonovich St.</t>
  </si>
  <si>
    <t>info@pzartech.com</t>
  </si>
  <si>
    <t>972-54-622-3809</t>
  </si>
  <si>
    <t>Industrial companies, Aerospace, Machine tooling, Automotive Technology: Computer Vision, Artificial Intelligence</t>
  </si>
  <si>
    <t>3D Platform &amp; Marketplace</t>
  </si>
  <si>
    <t>Artificial Intelligence, Automotive, DevOps, Industry 4.0, IoT</t>
  </si>
  <si>
    <t>LiGenerate</t>
  </si>
  <si>
    <t>LiGenerate is pioneering in material repurposing, enabling the creation and own of a new category in urban mining (battery recycling) and mining in general. The company’s unique process enables efficient and cost-effective recycling of lithium batteries. LiGenerate's innovative approach significantly reduces Capex, while providing an environmentally friendly solution for recovering valuable metals. The company's proprietary method enables high-yield recovery of critical metals from lithium batteries.</t>
  </si>
  <si>
    <t>Mike Golds</t>
  </si>
  <si>
    <t>mike@ligenerate.com</t>
  </si>
  <si>
    <t>https://www.ligenerate.com</t>
  </si>
  <si>
    <t>6 Maskit St.</t>
  </si>
  <si>
    <t>info@mysite.com</t>
  </si>
  <si>
    <t>972-54-790-7168</t>
  </si>
  <si>
    <t>info@ligenerate.com</t>
  </si>
  <si>
    <t>Lithium-ion Battery recycling market.</t>
  </si>
  <si>
    <t>Energy tech.</t>
  </si>
  <si>
    <t>Automotive, Climate Tech, Deep Tech, Impact</t>
  </si>
  <si>
    <t>SaverOne</t>
  </si>
  <si>
    <t>SaverOne is a technology company that designs, develops, and commercializes OEM and aftermarket solutions and technologies to lower the risk of and prevent vehicle accidents. SaverOne’s initial product line is a suite of solutions that saves lives by preventing car accidents resulting from distraction from using mobile phones while driving. The company is also developing a sensor system for early location and direction detection under all visibility conditions of vulnerable road users (VRU) through their cellphone footprint.</t>
  </si>
  <si>
    <t>Ori Gilboa</t>
  </si>
  <si>
    <t>orig@saver.one</t>
  </si>
  <si>
    <t>https://www.saver.one</t>
  </si>
  <si>
    <t>94 Em HaMoshavot Rd.</t>
  </si>
  <si>
    <t>office@saver.one</t>
  </si>
  <si>
    <t>972-3-909-4177</t>
  </si>
  <si>
    <t>Automotive Manufacturers and OEMs, Fleet Management Companies.</t>
  </si>
  <si>
    <t>In-Cabin DDPS (Driver Distraction Protection), RF ADAS sensor for VRUP (Vulnerable Road Users Protection).</t>
  </si>
  <si>
    <t>C2A Security</t>
  </si>
  <si>
    <t>C2A Security is an AI-driven product security orchestration platform for software-defined products and cyber-physical systems in regulated industries. It collaborates with major companies like BMW, Elekta, and NVIDIA, and has won a CLEPA Innovation Award for its DevSecOps platform. The platform enhances security-engineering collaboration, using AI for contextual analysis, automation, and compliance reporting to optimize security processes, accelerate software releases, and reduce costs in sectors such as healthcare, industrial, robotics, and automotive.</t>
  </si>
  <si>
    <t>Roy Fridma</t>
  </si>
  <si>
    <t>roy.fridman@c2a-sec.com</t>
  </si>
  <si>
    <t>https://www.c2a-sec.com</t>
  </si>
  <si>
    <t>16 Hartom St., RAD Building</t>
  </si>
  <si>
    <t>info@c2a-sec.com</t>
  </si>
  <si>
    <t>Automotive OEMs/Tier 1s; mobility/industrial/medical cyber-physical systems; global customers.</t>
  </si>
  <si>
    <t>EVSec platform with AI layer; embedded/ECU protection; threat intelligence; compliance automation.</t>
  </si>
  <si>
    <t>Artificial Intelligence, Automotive, Cyber Security, Industry 4.0, IoT, Machine Learning</t>
  </si>
  <si>
    <t>Tactile Mobility</t>
  </si>
  <si>
    <t>Tactile Mobility is an automotive software company, focused on harnessing tactile data to enhance vehicle-road interaction. Through its advanced virtual sensing technology, the company leverages existing vehicle sensors to provide real-time analysis, employing AI and machine learning to gain insights into vehicle-road dynamics. Tactile Mobility aims to enable vehicles both to perceive the road visually and to interpret it tactilely. The company is leveraging its expertise in signal processing, AI, big data analysis and embedded computing.</t>
  </si>
  <si>
    <t>Shahar Bin</t>
  </si>
  <si>
    <t>shahar.binnun@tactilemobility.com</t>
  </si>
  <si>
    <t>https://tactilemobility.com</t>
  </si>
  <si>
    <t>61 Ha'atzmaut Rd.</t>
  </si>
  <si>
    <t>contact@tactilemobility.com</t>
  </si>
  <si>
    <t>972-4-375-0050</t>
  </si>
  <si>
    <t>Car manufacturers, Municipalities, Fleet owners and Operators, Road authorities, Mobility sector.</t>
  </si>
  <si>
    <t>Tactile Mobility is a developer of a device-sensing platform, designed to transform the mobility industry. The company develops technology that analyzes data from car sensors and enables autonomous vehicles of different levels to get a feel of the road by using tactile data and artificial intelligence and it comprises two advanced software modules that can be provided as standalone or combined together to gather signal processing data, enabling clients to avail safer, efficient and enjoyable driving experience.</t>
  </si>
  <si>
    <t>Artificial Intelligence, Automotive, Big Data, IoT, Machine Learning, Smart City</t>
  </si>
  <si>
    <t>Brain.Space</t>
  </si>
  <si>
    <t>Brain.space is a pioneering company specializing in non-invasive brain activity mapping and monitoring. The company develops advanced technologies like the Brain Sensei™ headgear, which uses AI and machine learning to analyze EEG data. Focused on healthcare, space exploration, and consumer applications, Brain.space aims to set a universal standard for brain data collection and insights.</t>
  </si>
  <si>
    <t>Yair Levy</t>
  </si>
  <si>
    <t>yair.levy@brain.space</t>
  </si>
  <si>
    <t>https://www.brain.space</t>
  </si>
  <si>
    <t>46 Menachem Begin St.</t>
  </si>
  <si>
    <t>hello@brain.space</t>
  </si>
  <si>
    <t>hellol@brain.space</t>
  </si>
  <si>
    <t>Research and Healthcare, Space Exploration, Human-AI Integration, Consumer Applications, Virtual and Augmented Reality.</t>
  </si>
  <si>
    <t>Brain.space has developed innovative technologies to create a universal standard for measuring and recording brain data:
 Auto Donning: An automated sensor calibration system in the Brain Sensei™ Headgear that adjusts to each user's head in just 5 minutes, optimizing signal quality and comfort.
 Brain GPS™: Maps the brain and correlates sensors with functional areas, providing precise reconstruction of brain activity. It uses AI and ML models to standardize data collection, enabling better prediction and understanding of human behavior.
 Brain Cloud: A platform that receives standardized data from the Brain Sensei™, cleans it, and removes artifacts to improve signal-to-noise ratio. It generates actionable intelligence called Brain Insights, such as focus, fatigue, and excitement, which can be viewed in real-time.
 These technologies aim to solve problems associated with traditional brain monitoring methods, such as lack of temporal resolution, manual electrode placement, and anatomical differences between individuals.</t>
  </si>
  <si>
    <t>Artificial Intelligence, Automotive, Big Data, Deep Tech, Defense Tech, Digital Health, Machine Learning, SaaS, SpaceTech</t>
  </si>
  <si>
    <t>Moodify</t>
  </si>
  <si>
    <t>Moodify transforms the way scents are made to make better, more effective and sustainable consumer products, making the design and manufacturing faster, more scalable, accurate, cost effective and compliant. The company develops a behavioral and cognitive guidance system for driver safety &amp; security.</t>
  </si>
  <si>
    <t>Yigal Shar</t>
  </si>
  <si>
    <t>yigal@moodify.today</t>
  </si>
  <si>
    <t>https://www.moodify.ai</t>
  </si>
  <si>
    <t>23 Hata'as St., 3rd floor</t>
  </si>
  <si>
    <t>office@moodify.ai</t>
  </si>
  <si>
    <t>972-55-563-2736</t>
  </si>
  <si>
    <t>Automotive Industry, Drivers.</t>
  </si>
  <si>
    <t>Moodify's system monitors &amp; analyzes the driver's behavior, collects biometric data, optimizes emotions and provides real-time vocal guidance to relieve the driver from his negative emotions.</t>
  </si>
  <si>
    <t>Artificial Intelligence, Automotive, Machine Learning</t>
  </si>
  <si>
    <t>OfficeTrack</t>
  </si>
  <si>
    <t>OfficeCore is a leading software company that develops, markets and delivers cellular location based SaaS solutions, and SMSCenter software messaging gateway services. OfficeCore solutions and services are offered both to mobile operators/services providers and business customers. OfficeCore's location based software platform - OfficeTrack, supports mobile workforce using their mobile handsets. Fleet management services are based on mobile vehicle AVL units and GPS location information, including GIS and map data.</t>
  </si>
  <si>
    <t>Mordechai</t>
  </si>
  <si>
    <t>https://officetrack.com</t>
  </si>
  <si>
    <t>11 Haavoda St.</t>
  </si>
  <si>
    <t>sales@officecore.com</t>
  </si>
  <si>
    <t>972-3-910-2286</t>
  </si>
  <si>
    <t>info@officecore.com</t>
  </si>
  <si>
    <t>Small and medium size organizations.</t>
  </si>
  <si>
    <t>Mobile Computing, LBS, Location Based Service, SaaS solutions, SMS</t>
  </si>
  <si>
    <t>ScanMaster</t>
  </si>
  <si>
    <t>ScanMaster Systems is a fully integrated company which develops, manufactures and markets ultrasonic products. These products include UT instrumentation, UT inspection &amp; imaging systems and transducers. Solutions are available for a multitude of environments including laboratories and production facilities. Products are available for inspection of components both prior to use, during service and after service evaluation.</t>
  </si>
  <si>
    <t>Ofer Sela</t>
  </si>
  <si>
    <t>https://scanmaster-irt.com</t>
  </si>
  <si>
    <t>5b Atir Yeda St. Industrial Park</t>
  </si>
  <si>
    <t>info@scanmaster-irt.com</t>
  </si>
  <si>
    <t>972-9-779-1990</t>
  </si>
  <si>
    <t>Aerospace, Steel, Energy, train and Automotive industries.</t>
  </si>
  <si>
    <t>Ultrasonic Non-Destructive Inspection.</t>
  </si>
  <si>
    <t>Automotive, Industry 4.0, IoT, Machine Vision, Robotics, SpaceTech</t>
  </si>
  <si>
    <t>t42</t>
  </si>
  <si>
    <t>t42 IoT Tracking Solutions plc (AIM: TRAC), formerly Starcom Systems plc, provides real-time tracking, analysis, monitoring and security IoT solutions for the global container and freight market and covers 55 countries, over 100 distributors and 50 logistics and support partners.</t>
  </si>
  <si>
    <t>Avi Hartma</t>
  </si>
  <si>
    <t>https://www.starcomsystems.com</t>
  </si>
  <si>
    <t>Pronconsa 11 Building , Beatriz M.</t>
  </si>
  <si>
    <t>Panama City</t>
  </si>
  <si>
    <t>Panama</t>
  </si>
  <si>
    <t>office@starcomsystems.com</t>
  </si>
  <si>
    <t>hartmann@starcomsystems.com</t>
  </si>
  <si>
    <t>Fleet Management, Asset Management, Vehicle &amp; Driver protection, OEMs.</t>
  </si>
  <si>
    <t>The full cellular (GSM/ CDMA/ HSDPA) and location (GPS/ GLONASS) system solution allows worldwide real- time tracking via web based user friendly application, that can be easily implemented and accessed anywhere around the world, in almost any language. All of Starcom systems' GPS tracking systems are ISO-9002 certified and meet the most demanding standards of the industry</t>
  </si>
  <si>
    <t>TruckNet</t>
  </si>
  <si>
    <t>Trucknet Enterprise is an “integration platform as a service” company. Its All-in-One digital, cloud-based platform enables transportation and logistics companies to reduce transport costs and save resources by optimizing shipments across all modes of transportation, through the use of Artificial Intelligence (AI), Business Intelligence (BI) and Machine Learning (ML). The platform aims to establish a unique professional system in the area of shared transport. It includes customized management interfacing for drivers and end users, a smart BID system, automatic matching based on location between trucks and cargo, an easy and quick payment solution for the B2B market, and an online tool for calculating CO2 emissions of fleet vehicles.</t>
  </si>
  <si>
    <t>Hanan Frie</t>
  </si>
  <si>
    <t>https://www.trucknet.io</t>
  </si>
  <si>
    <t>26 Ha-Burseka'i St.</t>
  </si>
  <si>
    <t>Eilat</t>
  </si>
  <si>
    <t>info@trucknet.io</t>
  </si>
  <si>
    <t>972-77-970-9090</t>
  </si>
  <si>
    <t>Transportation Companies, Logistics Companies, Fleet management companies, Factories, Suppliers and Carriers.</t>
  </si>
  <si>
    <t>Transport Management Systems (TMS), Automated Bidding Platform, Telematics Interface.</t>
  </si>
  <si>
    <t>Artificial Intelligence, Automotive, Big Data, Climate Tech, Cloud, Machine Learning, Smart City</t>
  </si>
  <si>
    <t>ContGuard</t>
  </si>
  <si>
    <t>Contguard is a global AI-based IoT technology company that provides comprehensive visibility and control for securing and monitoring goods in transit. Contguard is dedicated to empowering global companies by delivering full in-transit visibility, security, and sustainability, ensuring the optimization and integrity of the supply chain. With Contguard's solutions combining IoT sensors, GPS tracking, and AI, Contguard ensures real-time tracking of shipments from origin to destination. Gain invaluable in-depth information about your cargo such as current location, intrusion alerts, estimated time of arrival, temperature, humidity and more. Contguard's 24/7 designated control center ensures the security standards are fully aligned with our clients’ requirements.</t>
  </si>
  <si>
    <t>Yiftach Na</t>
  </si>
  <si>
    <t>yiftach.nativ@contguard.com</t>
  </si>
  <si>
    <t>https://www.contguard.com</t>
  </si>
  <si>
    <t>6 Hanagar St.</t>
  </si>
  <si>
    <t>info@contguard.com</t>
  </si>
  <si>
    <t>972-53-801-4506</t>
  </si>
  <si>
    <t>Frieght forwarders, Logistics companies, Supply chain management departments</t>
  </si>
  <si>
    <t>Cargo Monitoring, Tracking, Security, IoT sensors, GPS tracking, AI</t>
  </si>
  <si>
    <t>Artificial Intelligence, Automotive, Big Data, FoodTech, Industry 4.0, Insurtech, IoT, Machine Learning, RetailTech</t>
  </si>
  <si>
    <t>Mobileye</t>
  </si>
  <si>
    <t>Mobileye is leading the mobility revolution with its autonomous-driving and driver-assist technologies, harnessing world-renowned expertise in computer vision, machine learning, mapping, and data analysis. Mobileye's technology enables self-driving vehicles and mobility solutions, powers industry-leading advanced driver-assistance systems, and delivers valuable intelligence to optimize mobility infrastructure. Mobileye pioneered such groundbreaking technologies as True Redundancy™ sensing, REM™ crowdsourced mapping, and Responsibility Sensitive Safety (RSS) technologies that are driving the ADAS and AV fields towards the future of mobility.</t>
  </si>
  <si>
    <t>Amnon Shas</t>
  </si>
  <si>
    <t>CEO, President &amp; Co-Founder</t>
  </si>
  <si>
    <t>amnon.shashua@mobileye.com</t>
  </si>
  <si>
    <t>http://www.mobileye.com</t>
  </si>
  <si>
    <t>13 Hartom St., Har Hotzvim</t>
  </si>
  <si>
    <t>israel-office@mobileye.com</t>
  </si>
  <si>
    <t>972-2-541-7333</t>
  </si>
  <si>
    <t>info@mobileye.com</t>
  </si>
  <si>
    <t>Automotive Industry, Tier-1 Automaker Parts Suppliers.</t>
  </si>
  <si>
    <t>Mobileye has led the way in machine vision technology for mono-cameras, supplying global vehicle manufacturers with the core EyeQ System-on-Chip portfolio designed to specification for vision based solutions. Mobileye's key breakthrough was the realization that all the desired functions could run from the input of the mono-camera, pioneering a new path in machine vision technology.</t>
  </si>
  <si>
    <t>Artificial Intelligence, Automotive, Deep Tech, Insurtech, IoT, Machine Learning, Machine Vision</t>
  </si>
  <si>
    <t>Ceva</t>
  </si>
  <si>
    <t>Ceva is a leading provider of semiconductor intellectual property (IP) specializing in digital signal processing (DSP), AI processors, wireless connectivity, and sensor fusion technologies. Ceva enables semiconductor and electronics companies to build power-efficient, intelligent, and connected devices across diverse markets, including mobile, consumer, automotive, industrial, and IoT. With over 19 billion devices powered to date, Ceva’s portfolio includes low-power and high-performance IP cores for communications, edge AI, audio, vision, and sensing, as well as comprehensive software solutions. The company’s innovations help customers accelerate time-to-market, reduce complexity and cost, and deliver advanced, differentiated products for the rapidly evolving era of AI-enabled Smart Edge.</t>
  </si>
  <si>
    <t>Amir Panus</t>
  </si>
  <si>
    <t>amir.panush@ceva-ip.com</t>
  </si>
  <si>
    <t>https://www.ceva-ip.com</t>
  </si>
  <si>
    <t>15245 Shady Grove Road, Suite 400</t>
  </si>
  <si>
    <t>Rockville</t>
  </si>
  <si>
    <t>MD</t>
  </si>
  <si>
    <t>info@ceva-ip.com</t>
  </si>
  <si>
    <t>1-240-308-8328</t>
  </si>
  <si>
    <t>Consumer IoT (Smartwatches, Wearables), Automotive and Autonomous cars, Wireless Infrastructure, 5G cellular networks, Industrial, Mobile and PC (including Notebooks, Tablets).</t>
  </si>
  <si>
    <t>Digital Signal Processors (DSPs), Edge AI Processors, Wireless Connectivity Platforms, Cellular IoT, Sensor Fusion Software, Audio &amp; Voice Processing, Development Platforms &amp; Tools (SDK for AI model deployment).</t>
  </si>
  <si>
    <t>Artificial Intelligence, Automotive, Gaming, Industry 4.0, IoT, Machine Learning, Machine Vision, Metaverse, Robotics</t>
  </si>
  <si>
    <t>Karamba</t>
  </si>
  <si>
    <t>Karamba Security offers end-to-end portfolio of products and services, which enable electric vehicle and IoT device manufacturers to protect their products against cyberattacks. Karamba’s unique hybrid of embedded and security expertise, and patented automation, enables OEMs to protect their vehicles and devices, without changing engineering processes, or affecting business plans. 
 Karamba’s IP and expertise, resulted by Fortune500 companies, and emerging EV OEMs, trusting the company in their product security journey. Some of those customers are APsystems, Alpine, DENSO, Hitachi, Seagate, SolarEdge, Stanley and Zebra. World leading companies such as Accenture and Microfocus have selected Karamba as their preferred provider, in their offerings to automotive and IoT security.</t>
  </si>
  <si>
    <t>Ami Dotan</t>
  </si>
  <si>
    <t>ami.dotan@karambasecurity.com</t>
  </si>
  <si>
    <t>https://karambasecurity.com</t>
  </si>
  <si>
    <t>24 HaNagar St.</t>
  </si>
  <si>
    <t>contact@karambasecurity.com</t>
  </si>
  <si>
    <t>972-9-886-6113</t>
  </si>
  <si>
    <t>Electric Vehicle and IoT device manufacturers.</t>
  </si>
  <si>
    <t>Automatically applied embedded security, unsupervised machine learning for IoT incident response, automated binary analysis.</t>
  </si>
  <si>
    <t>SimiGon</t>
  </si>
  <si>
    <t>SimiGon is a leading developer and supplier of distributed simulation solutions for defence and civilian applications. SimiGon is the creator of SIMbox, a leading PC-based platform for creating, managing and deploying simulation-based content across multiple domains. Through its offthe-shelf training solutions for demanding high-skill occupations, SimiGon provides diverse organizations with faster and more cost-effective training. SimiGon’s growing client base includes blue-chip training and simulation systems providers as well as air forces and commercial airlines worldwide. Founded in 1998, SimiGon maintains offices in Israel and the United States.</t>
  </si>
  <si>
    <t>Amos Vizer</t>
  </si>
  <si>
    <t>CEO, President &amp; Founder</t>
  </si>
  <si>
    <t>amiv@simigon.com</t>
  </si>
  <si>
    <t>http://www.simigon.com</t>
  </si>
  <si>
    <t>1 Sapir St.</t>
  </si>
  <si>
    <t>info@simigon.com</t>
  </si>
  <si>
    <t>972-9-956-1777</t>
  </si>
  <si>
    <t>Military community, Homeland Security, Aviation, Ground Forces, and Maritime Training.</t>
  </si>
  <si>
    <t>The SimiGon® SIMbox™ technology platform is successfully leveraged in a multitude of domains including Training, Debriefing, In-Flight Entertainment and Homeland Security.
 SIMbox-based After Action Review (AAR) debriefing systems offer users a host of features including real time debriefing and playback capabilities. Based on SIMbox's open architecture, the advanced, plug &amp; play software solution can easily interface with third-party hardware and software. SimiGon's full scale debriefing software is recognized as an industry leader and is used worldwide.
 For In Flight Entertainment (IFE), SimiGon developed an innovative plug &amp; play IFE software solution, AirTrack. It has entertaining, high-fidelity 3D simulation with real time views of the outside and out-the-window environments as the flight progresses; high resolution satellite map imagery; display of traditional flight parameters; and can play all digital media – even commercials. The system comes with a user-friendly configuration tool and is automated to reduce cabin crew workload so there is no need to change aircraft IFE configuration. AirTrack is already used by Lufthansa, Air Berlin and Hapag Lloyd.
 In the security solutions sector, SIMbox is utilized as a training system for transportation and port and borders security. SIMbox’s open architecture allows us to provide an integrated real time Command and Control system with sensors, detectors and video along with high-fidelity 3D simulation and Artificial Intelligence to guide security personnel and first responders.</t>
  </si>
  <si>
    <t>MOV.AI</t>
  </si>
  <si>
    <t>MOV.AI provides AMR manufacturers and integrators with the tools they need to create great robots quickly, allowing users to benefit from automation products that are as flexible as the age we live in. Born out of an unmet need, MOV.AI is a ROS-based Robotics Engine PlatformTM packaged in an intuitive web-based interface. It contains everything needed to build, deploy and operate intelligent robots. MOV.AI completely changes the way Autonomous Mobile Robots are developed, in terms of time to market, cost and flexibility.</t>
  </si>
  <si>
    <t>Limor Schw</t>
  </si>
  <si>
    <t>CEO &amp; CTO &amp; Founder</t>
  </si>
  <si>
    <t>limor@mov.ai</t>
  </si>
  <si>
    <t>https://www.mov.ai</t>
  </si>
  <si>
    <t>Rua Pé de Mouro, Centro Empresarial Lusoworld ll, Armazem 27</t>
  </si>
  <si>
    <t>Sintra</t>
  </si>
  <si>
    <t>Portugal</t>
  </si>
  <si>
    <t>info@mov.ai</t>
  </si>
  <si>
    <t>351-21-485-2548</t>
  </si>
  <si>
    <t>support@mov.ai</t>
  </si>
  <si>
    <t>ROS Developers, Automation Integrators, Manufacturers and OEMs of robots, co-bots, AMR and AGV in the material handling automation equipment domain</t>
  </si>
  <si>
    <t>Enterprise grade ROS development &amp; run time environment (Operating system for mobile autonomous robots)</t>
  </si>
  <si>
    <t>Artificial Intelligence, Automotive, Industry 4.0, Robotics</t>
  </si>
  <si>
    <t>EVR</t>
  </si>
  <si>
    <t>EVR Motors develops electric motors designed to meet the scalability requirements of the e-automotive industry. The company's motors are ferrite-based with patented dual-sided revolutions per minute architecture with light and high power density and torque density, enabling businesses to manufacture e-bikes, e-trucks and battery and hybrid electric vehicles with sustainable and price-competitive electric motors.</t>
  </si>
  <si>
    <t>Opher Doro</t>
  </si>
  <si>
    <t>opher@evr-motors.com</t>
  </si>
  <si>
    <t>https://evr-motors.com</t>
  </si>
  <si>
    <t>31 Modiin St.</t>
  </si>
  <si>
    <t>info@evr-motors.com</t>
  </si>
  <si>
    <t>972-3-917-7055</t>
  </si>
  <si>
    <t>Automotive OEM, Tier 1’s, Electric vehicle (EV) industry.</t>
  </si>
  <si>
    <t>EVR develops electric motors for vehicles. The company's first engines were designed for two-wheeled and three-wheeled vehicles and can be adapted to a wide range of other applications.</t>
  </si>
  <si>
    <t>VisIC</t>
  </si>
  <si>
    <t>VisIC is a developer of semiconductors, intended to provide voltage switches to the changing power conversion market. The company's gallium nitride-based transistors and switches exhibit better advantages in all power applications across the switching frequencies from several Hz to large amount of GHz over other wide band-gap semiconductors, enabling clients to ensure high breakdown voltages and high current densities.</t>
  </si>
  <si>
    <t>Tamara Bak</t>
  </si>
  <si>
    <t>tamara@visic-tech.com</t>
  </si>
  <si>
    <t>https://www.visic-tech.com</t>
  </si>
  <si>
    <t>7 Golda Meir St.</t>
  </si>
  <si>
    <t>info@visic-tech.com</t>
  </si>
  <si>
    <t>972-8-972-0090</t>
  </si>
  <si>
    <t>Automotive tier-1s and OEMs, companies, building electric motor inverters and high power chargers.</t>
  </si>
  <si>
    <t>VisIC's D³GaN platform is based on transistors with low on-resistance and fast switching times, enabling more compact and efficient converters compared to silicon-based solutions.</t>
  </si>
  <si>
    <t>Powermat</t>
  </si>
  <si>
    <t>Powermat Technologies provides advanced wireless charging &amp; wireless power supply platforms to OEMs aiming to modernize their product roadmap. Recognized as one of the world leading inventors of wireless power solutions, Powermat's trend setting heritage, large scale first to market strategy based on its +150 industry licensable patents combined with strong engineering foundations and clear vision of the future allowed it to expand its addressable market with new innovative enterprise grade licensable platforms roadmap aiming to improve OEMs TCO, differentiated value add technology and product performance in new markets like Medical, Micro-mobility, Robotics, Smart Home and Industrial applications.</t>
  </si>
  <si>
    <t>Kfir Abuha</t>
  </si>
  <si>
    <t>CEO &amp; CFO</t>
  </si>
  <si>
    <t>https://powermat.com</t>
  </si>
  <si>
    <t>1 Communication Center, Bldg. B</t>
  </si>
  <si>
    <t>Neve Ilan</t>
  </si>
  <si>
    <t>info@powermat.com</t>
  </si>
  <si>
    <t>972-2-995-0500</t>
  </si>
  <si>
    <t>Micro-mobility, Robotics, Consumer electronics, Medical Devices, IoT, Wireless Communication and Industrial applications.</t>
  </si>
  <si>
    <t>Powermat Technologies develop, design, market and license to OEMs multiple wireless charging &amp; wireless power supply platforms ranging from sub 5W up to 600W modular power system. Based on the company's innovative SmartinductiveⓇ technology, an embedded software implemented on COTS hardware for maximum efficiency. All of Powermats reference design platforms can be optimized to customers system specification and includes multiple algorithms that enable data communication, power management and unique auto-alignment protocols allowing intuitive system calibration.</t>
  </si>
  <si>
    <t>Lendbuzz</t>
  </si>
  <si>
    <t>Lendbuzz is an AI-powered auto finance platform that helps consumers obtain better access to credit when purchasing a car. Powered by alternative data and machine-learning algorithms, Lendbuzz can assess the creditworthiness of consumers across the credit spectrum, many of whom are underserved by traditional banks. Lendbuzz supports the success of its dealership partners through proprietary software products that streamline the loan application and loan origination processes, helping dealerships better serve a more diverse client base.</t>
  </si>
  <si>
    <t>Amitay Kal</t>
  </si>
  <si>
    <t>amitay.kalmar@lendbuzz.com</t>
  </si>
  <si>
    <t>https://lendbuzz.com</t>
  </si>
  <si>
    <t>100 Summer St.</t>
  </si>
  <si>
    <t>help@lendbuzz.com</t>
  </si>
  <si>
    <t>1-857-999-0250</t>
  </si>
  <si>
    <t>International students &amp; professionals in the U.S., Near-prime borrowers, Auto dealerships.</t>
  </si>
  <si>
    <t>AI-based Credit Underwriting (AIRA), Express Contract, Asset-Backed Securitization Programs.</t>
  </si>
  <si>
    <t>Artificial Intelligence, Automotive, Big Data, FinTech, Machine Learning</t>
  </si>
  <si>
    <t>Ottopia</t>
  </si>
  <si>
    <t>Ottopia is a software company that enables the commercial deployment of all autonomous vehicles (AVs). Using Ottopia's software, remote humans can solve any challenge that autonomy alone cannot. With Ottopia's technology, major OEMs and AV companies close the performance gap of AVs, cut R&amp;D costs, provide flawless customer experience, and meet regulatory requirements for deployment.</t>
  </si>
  <si>
    <t>Amit Rosen</t>
  </si>
  <si>
    <t>https://ottopia.tech</t>
  </si>
  <si>
    <t>26 Rival St.</t>
  </si>
  <si>
    <t>info@ottopia.tech</t>
  </si>
  <si>
    <t>Individuals, Vehicle OEMs, Tier1s, Mobility companies, Fleet managers.</t>
  </si>
  <si>
    <t>Ottopia has developed an ML-based algorithm that utilizes multiple cellular channels simultaneously. The technology divides the information to be sent between different cellular providers, BoZ and makes smart decisions on how to send the information 50 times a second.</t>
  </si>
  <si>
    <t>Artificial Intelligence, Automotive, Defense Tech, Machine Learning, Robotics, Smart City</t>
  </si>
  <si>
    <t>Pass Drive</t>
  </si>
  <si>
    <t>Pass Drive has developed an AI-based system and protection solution that works through innovative biometric identification and integration with a unique application that enables a new level of vehicle protection of all types, protection of motorcycles and scooters and various means of transportation. The company's unique product provides a warning system to prevent children from being forgotten in the car, a system for managing users in vehicle fleets, a vehicle security system, a vehicle location system, location history up to a year ago and other additional features.</t>
  </si>
  <si>
    <t>Ami Uziel</t>
  </si>
  <si>
    <t>ami@pass-drive.com</t>
  </si>
  <si>
    <t>https://pass-drive.com</t>
  </si>
  <si>
    <t>1 Brurya St.</t>
  </si>
  <si>
    <t>service@pass-drive.com</t>
  </si>
  <si>
    <t>972-54-884-8490</t>
  </si>
  <si>
    <t>Artificial intelligence, automotive, mobility tech.</t>
  </si>
  <si>
    <t>Carzone</t>
  </si>
  <si>
    <t>Carzone makes the Israeli car market more transparent and gives buyers objective information about the effective prices in the field.</t>
  </si>
  <si>
    <t>Amir Winst</t>
  </si>
  <si>
    <t>amir@madlan.co.il</t>
  </si>
  <si>
    <t>https://www.carzone.co.il</t>
  </si>
  <si>
    <t>30 Pinkas St.</t>
  </si>
  <si>
    <t>info@carzone.co.il</t>
  </si>
  <si>
    <t>Israel car market, Buyers.</t>
  </si>
  <si>
    <t>Carzone scans the publications in the field, including discounts and promotions and compares prices. The system presents a detailed, effective and up-to-date snapshot of buying a new vehicle and a zero-mile first-hand vehicle, and helps with proper handling and smarter acquisition.</t>
  </si>
  <si>
    <t>NOVAlert</t>
  </si>
  <si>
    <t>NOVAlert IVS (Intelligent Vehicular Solutions) is building a safer future with LifeGuard™, a bio-monitoring platforms that surpass traditional camera-based systems and other competing solutions. LifeGuard™ utilizes contactless seat sensors (SENSeat™) and seatbelt tags (SMARTag™) to monitor drivers, pilots, astronauts, and passengers. Developing big data AI-powered analytics will provide real-time health and vigilance data, enabling proactive interventions to minimize accidents across all transportation domains.</t>
  </si>
  <si>
    <t>Dan Atlas</t>
  </si>
  <si>
    <t>atlasres@gmail.com</t>
  </si>
  <si>
    <t>https://www.novalert.com</t>
  </si>
  <si>
    <t>20 Mashabim St.</t>
  </si>
  <si>
    <t>972-50-779-5686</t>
  </si>
  <si>
    <t>Automotive Industry (Tier 1, 2, OEMs), Aviation Industry (Aviation OEMs), Space Exploration Agencies &amp; Private Spaceflight Companies.</t>
  </si>
  <si>
    <t>LifeGuard™ offers a user-friendly, contactless approach:
 - SENSeat™: Monitors vital signs, fatigue levels, and offers real-time data for early detection and alerts. Unique features include "virtual rumble strips" and reaction time trend analysis. Functions as a "black box" for incident recording.
 - SMARTag™: Identifies passengers, enables accurate counting, and offers covert emergency alerts. Integrates with smartphones for additional functionalities.</t>
  </si>
  <si>
    <t>Artificial Intelligence, Automotive, Machine Learning, SpaceTech</t>
  </si>
  <si>
    <t>OptiWays.io</t>
  </si>
  <si>
    <t>OptiWays has developed an AI powered next generation route optimization solution based on a breakthrough algorithmic approach that involves multiple processing algorithms aiming to solve the challenge of optimizing first &amp; middle-mile supply chain distribution processes</t>
  </si>
  <si>
    <t>Elad Rezni</t>
  </si>
  <si>
    <t>CEO &amp; Сo-Founder</t>
  </si>
  <si>
    <t>elad@optiways.io</t>
  </si>
  <si>
    <t>https://www.optiways.io</t>
  </si>
  <si>
    <t>160 Derech Menachem Begin St.</t>
  </si>
  <si>
    <t>info@optiways.io</t>
  </si>
  <si>
    <t>Retail and e-commerce businesses with large fleets, whether they operate their own fleet or rely on external delivery companies, Delivery companies.</t>
  </si>
  <si>
    <t>OptiWays introduces a breakthrough optimization approach that involves multiple processing layers that utilize multiple processing algorithms in parallel choosing the best performed one.
 Based on its revolutionary technology, OptiWays offers its customers Optimization as a Service which transparently integrates with the operational systems behind the scenes and enables full automation of the supply chain route planning process and substantial cost reduction</t>
  </si>
  <si>
    <t>Artificial Intelligence, Automotive, Machine Learning, RetailTech, SaaS</t>
  </si>
  <si>
    <t>iPhysicist</t>
  </si>
  <si>
    <t>iPhysicist specializes in developing electro-optical systems, starting from optical design through production of prototypes to mass production.</t>
  </si>
  <si>
    <t>Eli Avital</t>
  </si>
  <si>
    <t>eli@iphysicist.com</t>
  </si>
  <si>
    <t>http://www.iphysicist.com</t>
  </si>
  <si>
    <t>1 Manela Gad St., Zim Building, Entrance 2, 4th Floor</t>
  </si>
  <si>
    <t>972-73-706-0304</t>
  </si>
  <si>
    <t>Cellular and Mobile, Security, Automotive, Defense, Medical, Space Technology, Wafer level optics, Semi-Conductors and Green Energy industries.</t>
  </si>
  <si>
    <t>iPhysicist’s unique patented technologies: 
 VioGlass - Electro-Optics components that blend true-to-life digital objects with real-world environments thanks to our patented near-eye display (NED) optics and automotive heads-up display (HUD) solutions.
 STTL - The first “bump-free” smartphone camera. iPhysicist’s patented design uses advanced computational imaging to enhance camera resolution, increase sensitivity in low light and reduce form factor including camera height with embedded 10x optical zoom capabilities.
 VISNIR - The world’s first all-plastic lens to cover an ultra-wide 450-950nm spectral range. iPhysicist’s lens is designed for visible and infra-red use, extremely sensitive in low light conditions and offers the highest optical resolution for computer vision and AI applications. No IR cut switch is needed for color correction. The product is ready for mass production.</t>
  </si>
  <si>
    <t>Augmented Reality, Automotive, Machine Vision, Virtual Reality</t>
  </si>
  <si>
    <t>VioGlass</t>
  </si>
  <si>
    <t>VioGlass has developed innovative optics for AR/VR/MR, called VioGlass. It has a prototype to demonstrate the capabilities of its technology. Based on its innovative optics, the company improves wearable tech by combining XR technology and AI to tackle the challenges of bulkiness, poor visual quality and high costs in XR glasses.</t>
  </si>
  <si>
    <t>https://www.iphysicist.com/VioGlass.htm</t>
  </si>
  <si>
    <t>972-54-258-2826</t>
  </si>
  <si>
    <t>Wearable technology market, Automotive Heads Up Display.</t>
  </si>
  <si>
    <t>Augmented reality, virtual reality, artificial intelligence.</t>
  </si>
  <si>
    <t>Artificial Intelligence, Augmented Reality, Automotive, Virtual Reality, Wearables</t>
  </si>
  <si>
    <t>Ajinomatrix</t>
  </si>
  <si>
    <t>Ajinomatrix is aiming at digitizing the senses of taste and smell for the food industry, automotive, spaceTech and VR/AR.</t>
  </si>
  <si>
    <t>Francois W</t>
  </si>
  <si>
    <t>francois.wayenberg@ajinomatrix.org</t>
  </si>
  <si>
    <t>https://www.ajinomatrix.org</t>
  </si>
  <si>
    <t>Rebecq</t>
  </si>
  <si>
    <t>Belgium</t>
  </si>
  <si>
    <t>(+32)-470-596-768</t>
  </si>
  <si>
    <t>Food industry,
 Flavour and Fragrance industry,
 Organoleptic Labs,
 Sensors.</t>
  </si>
  <si>
    <t>Ajinomatrix aim is to produce software and consulting services in digitizing scent and taste as of fingerprints for food items and produce a standard file that can be exchanged over networks using Artificial intelligence.</t>
  </si>
  <si>
    <t>Artificial Intelligence, Augmented Reality, Automotive, FoodTech, Machine Learning, SpaceTech, Virtual Reality</t>
  </si>
  <si>
    <t>Modal AI</t>
  </si>
  <si>
    <t>Modal AI develops an advanced knowledge representation and reasoning (KRR) engine, specifically designed to capture, track and reason with digitized human and machine activity knowledge.</t>
  </si>
  <si>
    <t>Daniel Gro</t>
  </si>
  <si>
    <t>grossd@modalai.co</t>
  </si>
  <si>
    <t>https://www.modalai.co</t>
  </si>
  <si>
    <t>Digitalization, Automotive, Internet of things, Industrial, VR &amp; AR, Assembly &amp; Maintenance, Medical devices, Healthcare, Aerospace &amp; Defense, and Collaborative robotics areas.</t>
  </si>
  <si>
    <t>Modal AI's KRR engine supports developing solution systems that can track, guide, monitor, oversee and explain human-machine activities and interactions to ensure quality, enhanced user experiences and compliance with regulations to reduce human-error and cost. The engine further supports creating more agile and “teachable” solutions, where system behaviors can be evolved by further acquisition and adaptation of activity knowledge and observed end-user actions and interactions.</t>
  </si>
  <si>
    <t>DriveTech</t>
  </si>
  <si>
    <t>DriveTech connects the world of HT to the world of automobiles. Its technology restores security and peace of mind to fleet owners, drivers and road users.</t>
  </si>
  <si>
    <t>Haim Amsha</t>
  </si>
  <si>
    <t>haim@drive-tech.ai</t>
  </si>
  <si>
    <t>https://shieldpro.drivetech360.com</t>
  </si>
  <si>
    <t>1 HaNassi Lane</t>
  </si>
  <si>
    <t>Automobiles sector.</t>
  </si>
  <si>
    <t>Greenspot</t>
  </si>
  <si>
    <t>Greenspot works with municipalities and landlords to implement innovative and smart electric mobility solutions. Greenspot provides custom tailored services and solutions that suppose to revolutionize the way people commute – making it more economical, sustainable, efficient and reliable.</t>
  </si>
  <si>
    <t>Joe Desimo</t>
  </si>
  <si>
    <t>joe@joingreenspot.com</t>
  </si>
  <si>
    <t>http://joingreenspot.com</t>
  </si>
  <si>
    <t>155 2nd St.</t>
  </si>
  <si>
    <t>Jersey City</t>
  </si>
  <si>
    <t>info@joingreenspot.com</t>
  </si>
  <si>
    <t>1-201-795-1675</t>
  </si>
  <si>
    <t>Municipalities, EV Owners, EV Fleet Owners &amp; Landlords, Autonomous Vehicle Industry</t>
  </si>
  <si>
    <t>Turnkey EV Charging Station and Shared Mobility Solution</t>
  </si>
  <si>
    <t>mobiXtron</t>
  </si>
  <si>
    <t>mobiXtron develops fuel-agnostic (AnyFuel) power generation solutions, delivering efficient and reliable off-grid energy. The company's technology supports data centers, EV charging stations, military applications and more, ensuring energy independence without reliance on the traditional grid. By harnessing and converting waste heat into power, mobiXtron's system maximizes efficiency and sustainability, offering a smarter, greener way to generate electricity.</t>
  </si>
  <si>
    <t>Keren Zami</t>
  </si>
  <si>
    <t>kerenz@mobixtron.com</t>
  </si>
  <si>
    <t>https://mobixtron.com</t>
  </si>
  <si>
    <t>contact@mobixtron.com</t>
  </si>
  <si>
    <t>Data centers, EV charging stations, military applications, microgrids.</t>
  </si>
  <si>
    <t>Motoro</t>
  </si>
  <si>
    <t>Motoro's innovative anti-theft product features advanced sensors and communication and provides a social application and standalone module for car security that sends an alarm to the relevant people. The company's solutions, comprising advanced sensors and communication technology, are designed to ensure the users' vehicle's safety and peace of mind. Motoro's user-friendly, self-installing security systems allow for real-time monitoring and immediate alerts, providing better protection against theft.</t>
  </si>
  <si>
    <t>Lior Chech</t>
  </si>
  <si>
    <t>CEO &amp; CTO, Co-Founder</t>
  </si>
  <si>
    <t>lior.chechik@gmail.com</t>
  </si>
  <si>
    <t>https://www.motoro-security.com</t>
  </si>
  <si>
    <t>972-52-443-6831</t>
  </si>
  <si>
    <t>Individuals.</t>
  </si>
  <si>
    <t>Motoro's advanced sensors and effective communication technology ensures that the users car is protected. The company's social application and standalone module provides additional layers of security for the users vehicle, which allows them to monitor their car's security in real-time and receive alerts when suspicious activity is detected. Motoro's another feature, the self-installing model, is designed to provide maximum security for the users' vehicle that it's easy to install and offers real-time alerts during theft.</t>
  </si>
  <si>
    <t>Yafa Energy</t>
  </si>
  <si>
    <t>Yafa energy develops an innovative free-piston linear generator for power generation, as well as electric energy storage which can be deployed for both energy and automotive applications.</t>
  </si>
  <si>
    <t>Salih Mana</t>
  </si>
  <si>
    <t>manasra@yafatechs.com</t>
  </si>
  <si>
    <t>http://www.yafaenergy.com</t>
  </si>
  <si>
    <t>4 Abas St.</t>
  </si>
  <si>
    <t>info@yafaenergy.com</t>
  </si>
  <si>
    <t>972-52-729-2549</t>
  </si>
  <si>
    <t>Automotive (Electric &amp; Hybrid Vehicles), Energy-Intensive Industrial Industries.</t>
  </si>
  <si>
    <t>An innovative free-piston linear generator for power generation, as well as electric energy storage which can be deployed for both energy and automotive applications.</t>
  </si>
  <si>
    <t>Youkol</t>
  </si>
  <si>
    <t>Youkol's software is based on a technology for the reduction of risks related to the use of cellular phones. The company's software is designed to avoid loss of concentration, while driving and ensures that a person, to whom a cellular phone is given, will use it exclusively in a manner,
 considered safer.</t>
  </si>
  <si>
    <t>Marco Luzz</t>
  </si>
  <si>
    <t>marco@youkol.biz</t>
  </si>
  <si>
    <t>https://www.youkol.biz</t>
  </si>
  <si>
    <t>25 HaMered St.</t>
  </si>
  <si>
    <t>info@youkol.biz</t>
  </si>
  <si>
    <t>972-58-479-1301</t>
  </si>
  <si>
    <t>Employers, Parents, Insurance companies, Individuals.</t>
  </si>
  <si>
    <t>A platform that provides a 360-degree protection from cellular distractions and EM radiation.</t>
  </si>
  <si>
    <t>ChargeBike</t>
  </si>
  <si>
    <t>ChargeBike develops a novel technology for eMobility vehicles, enabling regen-braking and freewheeling.</t>
  </si>
  <si>
    <t>Michael Ne</t>
  </si>
  <si>
    <t>michael@chargebike.co</t>
  </si>
  <si>
    <t>https://www.chargebike.co</t>
  </si>
  <si>
    <t>1 Ester ha-Malka St.</t>
  </si>
  <si>
    <t>info@chargebike.co</t>
  </si>
  <si>
    <t>972-50-697-9757</t>
  </si>
  <si>
    <t>Electric vehicles market.</t>
  </si>
  <si>
    <t>Heshev</t>
  </si>
  <si>
    <t>Heshev provides services as well as designs develops and integrates accounting and financial software related to the Automotive industry.</t>
  </si>
  <si>
    <t>Moshe Katz</t>
  </si>
  <si>
    <t>CEO &amp; Owner</t>
  </si>
  <si>
    <t>mkatzin@013.net</t>
  </si>
  <si>
    <t>http://mkatzin.co.il</t>
  </si>
  <si>
    <t>1 HaShikma St.</t>
  </si>
  <si>
    <t>972-3-695-4159</t>
  </si>
  <si>
    <t>heshevrechev@gmail.com</t>
  </si>
  <si>
    <t>Enterprises, Law firms, Individuals</t>
  </si>
  <si>
    <t>Financial Software</t>
  </si>
  <si>
    <t>Automotive, FinTech</t>
  </si>
  <si>
    <t>CENS</t>
  </si>
  <si>
    <t>CENS is developing technology for increasing the energy and power of super-capacitors and lithium ion batteries by connecting carbon nanotubes (CNT) with various electrode materials to create highly conductive 3-dimensional structures for meeting the increasing demands of the electronics, transportation, medical device and defense markets. CENS's technology also enables significantly higher utilization of the CNT properties, including improved power and energy by creating an efficient nanostructured network with various types of electrode materials.</t>
  </si>
  <si>
    <t>Moshe Joha</t>
  </si>
  <si>
    <t>moshej@cens-materials.co.il</t>
  </si>
  <si>
    <t>https://censnano.com</t>
  </si>
  <si>
    <t>info@censnano.com</t>
  </si>
  <si>
    <t>972-52-271-4446</t>
  </si>
  <si>
    <t>Electronics, transportation, medical device and defense markets, Battery and super-capacitor manufacturers, Automotive, consumer electronics, UAV and Energy storage markets.</t>
  </si>
  <si>
    <t>CENS is a developer and provider of cathode and anode materials that substantially enhance Li-ion battery performance.</t>
  </si>
  <si>
    <t>Gorilla Link</t>
  </si>
  <si>
    <t>GorillaLink is a Satellite IoT connectivity company offering a Platform‑as‑a‑Service that virtualizes satellite networks to deliver always‑on device connectivity “any industry, anytime, anywhere.” Their offering spans edge‑to‑cloud communications and vertical solutions such as automotive, smart grid, oil and gas, defense/HLS, and emergency communications.</t>
  </si>
  <si>
    <t>Nadav Nahs</t>
  </si>
  <si>
    <t>nadavn@gorilla.link</t>
  </si>
  <si>
    <t>https://www.gorilla.link</t>
  </si>
  <si>
    <t>40 Merkaz Ba'alei Melaha St.</t>
  </si>
  <si>
    <t>contact@gorilla.link</t>
  </si>
  <si>
    <t>Automotive, Smart grid/utilities, Oil &amp; Gas, Defense/HLS, Emergency communications, Agriculture/Mobility/Aviation.</t>
  </si>
  <si>
    <t>Satellite‑as‑a‑Service/PaaS, Edge device &amp; software for multi‑network sat‑IoT, Intelligent satellite‑managed PDU (iPDU), Satellite Emergency Hotspot.</t>
  </si>
  <si>
    <t>Automotive, Cloud, IoT, SpaceTech</t>
  </si>
  <si>
    <t>ShareRoute</t>
  </si>
  <si>
    <t>ShareRoute is developing an application/platform that brings flexibility, responsiveness, and a new level of efficiency to public and private transportation. Shareroute offers rides-on-demand, both by pre-order (hours, days, months, in advance) and in real-time. ShareRoute optimizes routing and vehicle size for point-to-point and station-to-station travel. ShareRoute was developed to enable public transportation to conquer traffic congestion and – until it is adopted there – to create a model in the private sector.</t>
  </si>
  <si>
    <t>Neil Kumme</t>
  </si>
  <si>
    <t>neil.kummer@shareroute.com</t>
  </si>
  <si>
    <t>https://shareroute.com</t>
  </si>
  <si>
    <t>2 Giladi St.</t>
  </si>
  <si>
    <t>info@shareroute.com</t>
  </si>
  <si>
    <t>972-54-449-3818</t>
  </si>
  <si>
    <t>Taxi drivers, Passengers</t>
  </si>
  <si>
    <t>Mobile app, Smart Cities, Transportation</t>
  </si>
  <si>
    <t>PNY</t>
  </si>
  <si>
    <t>PNY develops Ponie, an electric scooter with several features. Its battery is located under the cargo storage box that helps maintain a low center of gravity; the scooter has a high driving range; strong engine power with an immediate torque of the electric motor that should help with sufficient accelerations; a large storage volume that can carry high baggage; and an anti-lock braking system (ABS). The company has also developed a version with three wheels - a drive wheel at the back and a pair of wheels at the front, which help with stability and shorten the braking distance.</t>
  </si>
  <si>
    <t>Netzah Sad</t>
  </si>
  <si>
    <t>netzah@ridepny.com</t>
  </si>
  <si>
    <t>https://www.ridepny.com</t>
  </si>
  <si>
    <t>1 Hasavion St.</t>
  </si>
  <si>
    <t>Kadima - Zoran</t>
  </si>
  <si>
    <t>972-52-428-9379</t>
  </si>
  <si>
    <t>Electric scooters market.</t>
  </si>
  <si>
    <t>Skyer</t>
  </si>
  <si>
    <t>Skyer Motors Technologies brings years of R&amp;D experience from leading high-tech companies. Leveraging diverse backgrounds, the team behind Skyer develops products with innovative structures and systems to deliver optimal solutions for the world’s needs. Services encompass the full product lifecycle, from requirements specification to prototyping and preparation for mass production, along with business planning and strategic support.</t>
  </si>
  <si>
    <t>Pavel Konu</t>
  </si>
  <si>
    <t>pavelk@skyermotors.com</t>
  </si>
  <si>
    <t>https://www.skyermotors.com</t>
  </si>
  <si>
    <t>2 HaMasger St.</t>
  </si>
  <si>
    <t>Migdal Haemek</t>
  </si>
  <si>
    <t>972-55-885-8837</t>
  </si>
  <si>
    <t>Vehicle Manufacturers, Component &amp; Battery Providers, Charging Infrastructure Providers, Technology &amp; Software Companies, Government &amp; Regulatory Bodies.</t>
  </si>
  <si>
    <t>Unified Smart View, Monitoring &amp; Control Systems, IoT Systems Development, Electric Vehicle Powertrain, 3-Wheel Folding Flexible System.</t>
  </si>
  <si>
    <t>Automotive, Cloud, IoT</t>
  </si>
  <si>
    <t>AirLift One</t>
  </si>
  <si>
    <t>AirLift One, at the intersection of aerodynamics, autonomy, and electric propulsion, is changing personal aviation, in order to move people and goods with vastly superior performance, and unlock unprecedented value for governments, businesses, and consumers. AirLift One enables users to travel 5 times faster than a car by introducing the world’s most efficient all-electric vertical take-off and landing aircraft: an air taxi for 2-5 people. Users won’t have to own one, they will simply pay per ride and call it with a push of a button. The company's mission is to make autonomous air-taxis available to everyone and as affordable as riding a car.</t>
  </si>
  <si>
    <t>Ram Vnunu</t>
  </si>
  <si>
    <t>ram@airlift-one.com</t>
  </si>
  <si>
    <t>http://www.airlift-one.com</t>
  </si>
  <si>
    <t>74 Menachem Begin St., Moya Tower</t>
  </si>
  <si>
    <t>info@airlift-one.com</t>
  </si>
  <si>
    <t>Transportation companies, Municipalities</t>
  </si>
  <si>
    <t>Quiet electric vertical take-off and landing (VTOL)</t>
  </si>
  <si>
    <t>Green2Pass</t>
  </si>
  <si>
    <t>Green2Pass developed a laser beam system that detects vehicles from long distance and warns the driver before overtaking.</t>
  </si>
  <si>
    <t>Reuven Nan</t>
  </si>
  <si>
    <t>rngreen2pass@gmail.com</t>
  </si>
  <si>
    <t>35 HaOrgim St.</t>
  </si>
  <si>
    <t>Ashdod</t>
  </si>
  <si>
    <t>972-52-736-1996</t>
  </si>
  <si>
    <t>mbgreen2pass@gmail.com</t>
  </si>
  <si>
    <t>Drivers, Cars &amp; Trains industries.</t>
  </si>
  <si>
    <t>Green2Pass is a laser-based system that identifies objects on roads and railroads from long distance, both cars and trains. The technology is based on a camera transceiver that uses a unique high resolution, a CMOS camera with high spectral response in the Near-infrared. The laser beam illuminates the road and reflection from car headlights, license plates, road markers and retro reflectors on trine and railway, receives the reflection on the camera and creates a series of pulses that are processed by an innovative algorithm and thus warns the driver effectively before overtaking.</t>
  </si>
  <si>
    <t>Whilx</t>
  </si>
  <si>
    <t>Whilx is developing an add-on autonomous system for adaptive optimization of the tire pressure in real time, ensuring that the contact are of the tire with the road is always optimal.</t>
  </si>
  <si>
    <t>Roi Kantor</t>
  </si>
  <si>
    <t>roi@whilx.tech</t>
  </si>
  <si>
    <t>https://www.whilx.tech</t>
  </si>
  <si>
    <t>7 Metzada St., 33rd Floor</t>
  </si>
  <si>
    <t>Bnei Brak</t>
  </si>
  <si>
    <t>OEMs (Car manufacturers)/ Insurance Companies/ Vehicle Fleets.</t>
  </si>
  <si>
    <t>InCarEye</t>
  </si>
  <si>
    <t>InCarEye provides a comprehensive and innovative technological solution to distraction on the roads, while driving, thereby helping to reduce the volume of traffic accidents worldwide. The company's technology, which combines built-in AI artificial intelligence systems with a video analytics sensor, scans the driver's body and performs advanced analytics for the driver's movements, while driving. In addition, InCarEye's solution also helps teach the driver to get rid of this life-threatening habit of using a cell phone, while driving.</t>
  </si>
  <si>
    <t>Shlomi Oph</t>
  </si>
  <si>
    <t>shlomi@incareye.com</t>
  </si>
  <si>
    <t>http://incareye.com</t>
  </si>
  <si>
    <t>972-54-731-7703</t>
  </si>
  <si>
    <t>Artificial intelligence, Computer vision.</t>
  </si>
  <si>
    <t>Beam Semiconductor</t>
  </si>
  <si>
    <t>Beam Semiconductor is a developer of millimeter-wave radio frequency silicon and antenna technology, designed for wireless infrastructure applications. The company's technology utilizes analog beam-steering radio-frequency electronics that allow the antenna to automatically shape and steer the beam to eliminate manual positioning, enabling users to gain bandwidth for cellular backhaul, fiber extension and broadband.</t>
  </si>
  <si>
    <t>Stacy Jose</t>
  </si>
  <si>
    <t>stacy@beamshaping.io</t>
  </si>
  <si>
    <t>http://beamshaping.io</t>
  </si>
  <si>
    <t>7 Oppenheimer St., Suite 15</t>
  </si>
  <si>
    <t>info@beamshaping.io</t>
  </si>
  <si>
    <t>972-8-970-0142</t>
  </si>
  <si>
    <t>Semiconductor industry, wireless communication sector.</t>
  </si>
  <si>
    <t>Beam Semiconductor offers wireless technology within the semiconductor industry. Its main offerings include compact radio technology for wireless backhaul and phased array antenna technology, which automatically scans and locks onto the strongest signal available.</t>
  </si>
  <si>
    <t>Roboway</t>
  </si>
  <si>
    <t>Semanipedia develops AI-based algorithms and systems for solving challenging problems. RoboWay is a recent Semantipedia's project solving acute problem of reducing highway traffic jams.</t>
  </si>
  <si>
    <t>Valery Gol</t>
  </si>
  <si>
    <t>valery@semantipedia.com</t>
  </si>
  <si>
    <t>http://www.semantipedia.com</t>
  </si>
  <si>
    <t>9 Maanit St.</t>
  </si>
  <si>
    <t>Drivers, Individuals</t>
  </si>
  <si>
    <t>Semantipedia provides unique text mining solutions based on natural language processing and machine learning algorithms.</t>
  </si>
  <si>
    <t>Artificial Intelligence, Automotive, Big Data, Machine Learning, NLP, Smart City</t>
  </si>
  <si>
    <t>TurbWind</t>
  </si>
  <si>
    <t>TurbWind provides a system with a mini-air turbine yielding high power compliance and performance for recycling airflow to charge the battery in vehicles under optimal conditions. The company's unique system embodies special turbine and air ducts that increase the vehicle’s resistance only when this is desired, thereby improving battery charging and vehicle braking.</t>
  </si>
  <si>
    <t>Yaacov Dah</t>
  </si>
  <si>
    <t>yaacov.dahan@sba.org.il</t>
  </si>
  <si>
    <t>Electric vehicle market.</t>
  </si>
  <si>
    <t>Rego</t>
  </si>
  <si>
    <t>Founded in 2013, REGO-Automotive is a leading research and development center specializing in advanced off-road vehicle technologies and next-generation ground mobility solutions.</t>
  </si>
  <si>
    <t>Eli Yarkon</t>
  </si>
  <si>
    <t>yarkoni@rego-automotive</t>
  </si>
  <si>
    <t>https://www.rego4x4.com</t>
  </si>
  <si>
    <t>Kibbutz Mahanayim</t>
  </si>
  <si>
    <t>info@rego-automotive.com</t>
  </si>
  <si>
    <t>972-4- 653-3759</t>
  </si>
  <si>
    <t>High-end off-road for both civilian and military manufacturers.</t>
  </si>
  <si>
    <t>Innovative solutions especially for the drive-train, suspensions and steering.</t>
  </si>
  <si>
    <t>Grivo</t>
  </si>
  <si>
    <t>Grivo’s mission is to help electric car owners to locate convenient charging stations via its foolproof app. Its takes the time to get to know the users' car personally and matches relevant charging stations to maximize its benefits and maintain its mint condition.</t>
  </si>
  <si>
    <t>Yuval Mann</t>
  </si>
  <si>
    <t>yuval@grivo.co.il</t>
  </si>
  <si>
    <t>https://grivo.co.il</t>
  </si>
  <si>
    <t>8 Ginosar St.</t>
  </si>
  <si>
    <t>Givat Ela</t>
  </si>
  <si>
    <t>info@grivo.co.il</t>
  </si>
  <si>
    <t>Electric car owners.</t>
  </si>
  <si>
    <t>STI</t>
  </si>
  <si>
    <t>STI (Security Technology Integration) provides a wide range of Civil and security solutions for the para-military and policing forces. The company is developing, manufacturing and marketing, solutions and systems for the Civil and for the Homeland Security &amp; Defense Global Market.</t>
  </si>
  <si>
    <t>Yuval Ovad</t>
  </si>
  <si>
    <t>yuval@sti-ltd.org</t>
  </si>
  <si>
    <t>http://www.sti-ltd.org</t>
  </si>
  <si>
    <t>M.P. Hof Hasharon</t>
  </si>
  <si>
    <t>Kibbutz Shefayim</t>
  </si>
  <si>
    <t>info@sti-ltd.org</t>
  </si>
  <si>
    <t>972-9-951-6246</t>
  </si>
  <si>
    <t>Militaries, Police Forces, Prisons, Homeland Security Agencies, Government Agencies, Automotive companies, Corporations, Enterprises.</t>
  </si>
  <si>
    <t>GC Detection System: Fix or mobile proprietary substance detector using a revolutionary technology to detect regular and improvised substances with real-time detection capability at a PPT level at a vapor stage with no physical touch required and high recovery time after real detection. 
 TI-S - Under vehicle inspection system: The System by STI is designed specifically to scan the under carriage of vehicles with the full car data fusion for the presence of irregular objects or problems (can include, Exterior, Interior, Engine and safety systems)
 MIAD - Maritime Analysis: Multi-sensor solution with flexible operational software. (Big data) allowing a massive throughput by a short and efficient inspection and detection.
 RWA- Running Water Analysis System: The system allows auto detection of the presence of prohibited materials concentrations in running water, industrial factories, reservoirs, lakes and more with active I/O abilities.</t>
  </si>
  <si>
    <t>App-Raiser</t>
  </si>
  <si>
    <t>App-Raiser is in the field of automotive and machine learning to streamline the vehicle appraisal process.</t>
  </si>
  <si>
    <t>Dor Yaakob</t>
  </si>
  <si>
    <t>https://app-raiser.co</t>
  </si>
  <si>
    <t>app.raiser.up@gmail.com</t>
  </si>
  <si>
    <t>972-54-222-8364</t>
  </si>
  <si>
    <t>Vehicle appraisal process by using machine learning</t>
  </si>
  <si>
    <t>Pixtier</t>
  </si>
  <si>
    <t>Pixtier is a platform providing professional 3D map processing software for drones. Pixtier's SaaS solution allows users to produce high quality 3D maps from simple aerial photographs automatically. The technology is based on proprietary image processing and computer vision algorithms, enabling fast, accurate and automatic creation of meaningful geographical maps in an affordable product.</t>
  </si>
  <si>
    <t>Iovav Cohe</t>
  </si>
  <si>
    <t>VP, R&amp;D &amp; Co-Founder</t>
  </si>
  <si>
    <t>https://www.pixtier.com</t>
  </si>
  <si>
    <t>26/1 Alter St.</t>
  </si>
  <si>
    <t>info@pixtier.com</t>
  </si>
  <si>
    <t>972-54-232-5213</t>
  </si>
  <si>
    <t>Large Enterprises, Electrical companies, Energy &amp; Water utilities, Municipalities, Building &amp; Construction Industries.</t>
  </si>
  <si>
    <t>Digital Twin, Cloud-based analysis system, Image Processing, CAD, BIM, GIS, Point Clouds, 3D GIS Mapping, Computer Vision.</t>
  </si>
  <si>
    <t>Artificial Intelligence, Automotive, Construction Tech, Drones, Machine Vision, SaaS, Smart City, Virtual Reality</t>
  </si>
  <si>
    <t>Balcar Report</t>
  </si>
  <si>
    <t>Balcar gives the users a report, which includes information about the used vehicle and the sellers. It referers to the history of the car, like insurance claims, accidents, theft and impairment, compared to the price list. Also, the company displays an information on the history of vehicle ownership, like pledge, ownership transfers and current or previous ownership of a company.
 For sellers, Balcar checks to see if they are a car dealers or impostors, and if his past should arouse suspicion among the buyer.</t>
  </si>
  <si>
    <t>Tzahi Desa</t>
  </si>
  <si>
    <t>https://balcar.co.il</t>
  </si>
  <si>
    <t>6 Ya'akov Meridor St.</t>
  </si>
  <si>
    <t>info@balcar.co.il</t>
  </si>
  <si>
    <t>Car owners.</t>
  </si>
  <si>
    <t>Artificial intelligence, Big data, Business intelligence.</t>
  </si>
  <si>
    <t>Mobilinx</t>
  </si>
  <si>
    <t>Smart Car, of Xi’s group, provides Intelligent Transportation Systems (ITS) and Intelligent Vehicle Systems (IVS) for personal, business and security applications. Smart Car systems are a spin off of Xi's military technology and are field proven. It offers a family of field proven commercial products for in-car navigation and infotainment, vehicle tracking, monitoring and security.</t>
  </si>
  <si>
    <t>President, CEO &amp; Founder</t>
  </si>
  <si>
    <t>95 Ramat Yam St.</t>
  </si>
  <si>
    <t>P.O.Box 60, Savyon 56915</t>
  </si>
  <si>
    <t>Security Applications , Fleet Management, Mobile Workforce Management, Dispatch, Vehicle Protection, Mobile Security.</t>
  </si>
  <si>
    <t>Intelligent Transportation Systems (ITS) and Intelligent Vehicle Systems (IVS).Smart Car systems are based on a modular structure and operate with advanced packeted wireless data communications on most popular communications networks, Cellular and GSM as well as two-way mobile radio, VHF and UHF.</t>
  </si>
  <si>
    <t>NRG Spring</t>
  </si>
  <si>
    <t>NRG Spring has developed a proprietary technology that provides a storage system for a variety of applications, ranging from short-term grid stabilizers to long-term bulk energy storage to portable battery replacement. The company’s system can store any type of energy in hydraulic batteries (accumulators). The energy is first converted into kinetic rotational energy which operates a hydraulic pump that stores the energy as pressurized oil. On demand, a managed release mechanism discharges the pressurized oil into an hydraulic motor that is connected to a generator, releasing the energy as electrical current.</t>
  </si>
  <si>
    <t>Avri Misga</t>
  </si>
  <si>
    <t>https://www.nrgspring.com</t>
  </si>
  <si>
    <t>77 Snir St.</t>
  </si>
  <si>
    <t>Kfar Vradim</t>
  </si>
  <si>
    <t>avrimisgav@gmail.com</t>
  </si>
  <si>
    <t>972-4-997-3085</t>
  </si>
  <si>
    <t>avrim@nrgspring.com</t>
  </si>
  <si>
    <t>Wind Tower Farms / Lonely Farms</t>
  </si>
  <si>
    <t>Hydraulic Technologies</t>
  </si>
  <si>
    <t>Electric Vehicle Evolution (Athena)</t>
  </si>
  <si>
    <t>Electric Vehicle Evolution (EVE) is a US-based developer of next generation electric vehicles and automated driving technology. The Advanced Driver Assistance Systems (ADAS) installed in EVE vehicles will assist drivers in keeping their distance from cars in front of and behind them, provide drivers with important information in advance and, ultimately, reduce traffic accidents with collision avoidance. EVE's device will also provide drivers with real-time information about the health and functioning of every aspect of their cars. Component warnings and failures, together with additional maintenance recommendations, are brought to the driver's attention. Battery Management System (BMS) recommendations will also be incorporated, and will be integrated with real-time traffic reports and other relevant information.
 EVE exclusively represents major companies in the US and Europe, who specialize in converting existing vehicles to electric propulsion, using patented, state-of the art technology, components and integration systems.</t>
  </si>
  <si>
    <t>Adam Tanne</t>
  </si>
  <si>
    <t>Co-Founder &amp; Chief Technologist</t>
  </si>
  <si>
    <t>https://intelligent-vehicle-systems.com</t>
  </si>
  <si>
    <t>info@electric-vehicle-evolution.com</t>
  </si>
  <si>
    <t>972-54-924-8926</t>
  </si>
  <si>
    <t>Car manufacturers in US and Europe</t>
  </si>
  <si>
    <t>Advanced Driver Assistance Systems (ADAS), Electric Vehicles, Battery Management System (BMS)</t>
  </si>
  <si>
    <t>Optima Design Automation</t>
  </si>
  <si>
    <t>Optima Design Automation represents the next generation in automotive safety verification. The company has pioneered a new fault analysis technology for accelerated semiconductor development that enables a 1,000X performance improvement over traditional fault simulation.</t>
  </si>
  <si>
    <t>Jamil Mazz</t>
  </si>
  <si>
    <t>http://www.optima-da.com</t>
  </si>
  <si>
    <t>Industrial Park Building, Mount Precipice.</t>
  </si>
  <si>
    <t>info@optima-da.com</t>
  </si>
  <si>
    <t>972-4-619-4600</t>
  </si>
  <si>
    <t>Radiation Hardened, Soft-Errors, SEU, Single Event Upset, Flip-Flop Selection, CosmicASIC, CosmicEngine, CosmicAnalyzer
 CosmicASICs™ is Optima’s complete EDA solution for handling soft-errors in ASICs and ASSPs. It performs flip-flop selection for hardening based on Optima’s patented technology: CosmicEngine™ It comprises two main parts, CosmicEngines™ and CosmicAnalyzer™
 CosmicEngine™ is Optima’s patented technology for calculating SEUS (Single Event Upset Sensitivity) for each flip-flop in your chip. This calculation is later used in CosmicASICs to generate SEUS report and feed into into CosmicAnalyzer™ for further analysis.
 CosmicAnalyzer™ is used by the user to make final hardening decisions on the thousands of flops in their chip. It uses the SEUS report as input and performs trade-offs analysis on it. It then offer the user different hardening options to choose from, all within the requirement the user has feed earlier. The main output of the CosmicAnalyzer™ is the hardened gate-level file.</t>
  </si>
  <si>
    <t>Mobicar</t>
  </si>
  <si>
    <t>Mobicar is a Road-side services Digital system, which improves the customer service, earns call center human resources by overtake the dispatching process and leverages revenues.</t>
  </si>
  <si>
    <t>Ori Heilma</t>
  </si>
  <si>
    <t>https://www.mobicar.co.il</t>
  </si>
  <si>
    <t>27 Ein Shemesh St.</t>
  </si>
  <si>
    <t>info@mobicar.co.il</t>
  </si>
  <si>
    <t>972-52-395-2857</t>
  </si>
  <si>
    <t>Roadside Services, Insurance companies, Rent a car, Car fleet and Medium &amp; Small Utilities companies.</t>
  </si>
  <si>
    <t>Digital tool (two apps+ call center site) that will turn the road-side service to digital, and will optimize the service level agreement and user experience for end user and business org. as well.</t>
  </si>
  <si>
    <t>Automotive, Insurtech, IoT</t>
  </si>
  <si>
    <t>Autocar</t>
  </si>
  <si>
    <t>Autocar IoT is a business solution for analyzing data coming from sensors in vehicles in order to analyse, get insights, predict and react.
 Autocar is an award winning leading provider of Connected IoV based on-demand cloud platform for Smart transportation. AutoCar's solution empowers global prestigious and pioneering services in: Vehicle sharing, Car OEMs, logistics, etc. By converting tranport data into actionable business insights and value added features, the solution enables its customers to improve performance, reduce costs, innovate services and increase profits.</t>
  </si>
  <si>
    <t>Shuki Eden</t>
  </si>
  <si>
    <t>http://mycar.autocar.co.il</t>
  </si>
  <si>
    <t>8 Mordechay Mayer St.</t>
  </si>
  <si>
    <t>shuki@autocar.co.il</t>
  </si>
  <si>
    <t>972-54-457-5767</t>
  </si>
  <si>
    <t>Car owners, Drivers, Car OEMs, Vehicle Sharing Services, Logistics Services</t>
  </si>
  <si>
    <t>Automotive Portal, Connected IoV, Cloud Platform, Smart Transportation, Shared Mobility</t>
  </si>
  <si>
    <t>Roads.AI</t>
  </si>
  <si>
    <t>Roads A.I is developing an autonomous traffic controller for preventing collisions and organizing traffic flow. Roads A.I's solution includes advanced passive receiver that maps traffic by detecting electromagnetic emissions; intelligent algorithm that analyzes &amp; monitors the driving environment based on the detected signals; Active transmitter that communicates with the vehicles through the vehicles’ own sensors.</t>
  </si>
  <si>
    <t>Roni Dulbe</t>
  </si>
  <si>
    <t>http://121gw.tech</t>
  </si>
  <si>
    <t>1 HaSharon</t>
  </si>
  <si>
    <t>Even Yehuda</t>
  </si>
  <si>
    <t>ronidulberg@121gw.tech</t>
  </si>
  <si>
    <t>Automotive manufacturers, Municipalities</t>
  </si>
  <si>
    <t>Passive RF measurement for detecting and analyzing the vehicles electromagnetic footprints.</t>
  </si>
  <si>
    <t>Evco</t>
  </si>
  <si>
    <t>Evco is developing a shock absorber for all types of vehicles that can provide a pleasant ride along with improved safety, steering and advanced road grips.</t>
  </si>
  <si>
    <t>Evyatar Co</t>
  </si>
  <si>
    <t>http://evco.pro</t>
  </si>
  <si>
    <t>info@evco.pro</t>
  </si>
  <si>
    <t>972-50-869-4407</t>
  </si>
  <si>
    <t>Mechanics, Car Owners, Garages,</t>
  </si>
  <si>
    <t>A game-changing shock absorber, combining a comfortable ride, stability, performance, and grip without compromising the ride quality.</t>
  </si>
  <si>
    <t>Novolane</t>
  </si>
  <si>
    <t>Novolane is aiming to improve driving safety and efficiency by showcasing advances in driver technology performance.</t>
  </si>
  <si>
    <t>Roi Zamir</t>
  </si>
  <si>
    <t>132 Begin Rd.</t>
  </si>
  <si>
    <t>roi.zamir@gmail.com</t>
  </si>
  <si>
    <t>972-54-999-7148</t>
  </si>
  <si>
    <t>SPS</t>
  </si>
  <si>
    <t>SPS aims to serve as the navigation platform for commercial companies, health organizations and governments. The company's platform allows secure access to information and presentation to citizens through maps and various navigation tools of the means and/or ways of getting to the polling stations.</t>
  </si>
  <si>
    <t>Sagiv Levy</t>
  </si>
  <si>
    <t>https://sps-app.com</t>
  </si>
  <si>
    <t>7 Hapelech St.</t>
  </si>
  <si>
    <t>office@sps-app.com</t>
  </si>
  <si>
    <t>972-50-545-2187</t>
  </si>
  <si>
    <t>Commercial companies, Health organizations, Governments.</t>
  </si>
  <si>
    <t>SPS is a platform in the field of locations that offers end-users free navigation on any navigation system. It is an advanced platform for storing and managing data in the field of GIS with geographical business analyses.</t>
  </si>
  <si>
    <t>0.10 of a Second</t>
  </si>
  <si>
    <t>0.10 of a Second develops tracks vehicles behavior that generates intelligent indications and improves response time for all road users.</t>
  </si>
  <si>
    <t>Michael El</t>
  </si>
  <si>
    <t>https://0-10s.com</t>
  </si>
  <si>
    <t>5 Daniel St.</t>
  </si>
  <si>
    <t>972-54-541-0470</t>
  </si>
  <si>
    <t>Drivers, Cars manufacturing industry.</t>
  </si>
  <si>
    <t>Tracks vehicles behavior that generates intelligent indications and improves response time for all road users.</t>
  </si>
  <si>
    <t>EMuze</t>
  </si>
  <si>
    <t>EMuze is developing and manufacturing high end e-mobility platforms, electric scooters and alternative personal vehicles.
 EMuze's unique EVs are characterized by the ability to operate full days on a single charge, heavy duty design suitable for rigid operation, tailored mission-specific designs, Hop on - Hop off modes, available off-road versions and low cost of operation.</t>
  </si>
  <si>
    <t>Amir Zaid</t>
  </si>
  <si>
    <t>https://www.emuzev.com</t>
  </si>
  <si>
    <t>64 Hatachana St,</t>
  </si>
  <si>
    <t>info@emuzev.com</t>
  </si>
  <si>
    <t>972-54-473-0027</t>
  </si>
  <si>
    <t>Individuals, Electric vehicles &amp; Micro mobility industry.</t>
  </si>
  <si>
    <t>Electric scooters, using geared high torque lightweight motors. Micro mobility.</t>
  </si>
  <si>
    <t>OttoSec</t>
  </si>
  <si>
    <t>OttoSec is offering a small and low cost stateful firewall device identifies and prevents damages that are the results of automotive cyber-attacks. The company's Automotive Cyber Security Service based on in-vehicle hardware device for Aftermarket and OEMs.</t>
  </si>
  <si>
    <t>Naftaly Sh</t>
  </si>
  <si>
    <t>https://ottosec.com</t>
  </si>
  <si>
    <t>7 Eshkol St.</t>
  </si>
  <si>
    <t>info@ottosec.com</t>
  </si>
  <si>
    <t>972-54-443-6616</t>
  </si>
  <si>
    <t>Automotive automarket, OEM's.</t>
  </si>
  <si>
    <t>Automotive, Cyber security.</t>
  </si>
  <si>
    <t>Automotive, Cyber Security</t>
  </si>
  <si>
    <t>SeeDoo</t>
  </si>
  <si>
    <t>SeeDoo is a data-engine designed to support vision-driven teams in cutting the high costs of time-to-data and in auto-identification of data-labeling-model issues.</t>
  </si>
  <si>
    <t>Hagit Perr</t>
  </si>
  <si>
    <t>https://www.seedoo.co</t>
  </si>
  <si>
    <t>2 Hamashbir St.</t>
  </si>
  <si>
    <t>info@seedoo.co</t>
  </si>
  <si>
    <t>Freight trucks operators.</t>
  </si>
  <si>
    <t>SeeDoo utilizes foundational similarity models, generative AI, and embedding-indexed vector databases, and is provided through an on-prem SaaS tool, which does not require integration with ML code.</t>
  </si>
  <si>
    <t>Artificial Intelligence, Automotive, Generative AI, Insurtech, Machine Learning</t>
  </si>
  <si>
    <t>The Krosor</t>
  </si>
  <si>
    <t>The Krosor is developing ABIR K16-900, an autonomous large fire fighting machine.</t>
  </si>
  <si>
    <t>Guy Edelis</t>
  </si>
  <si>
    <t>http://negevsol.com/?page_id=1471</t>
  </si>
  <si>
    <t>Firemen.</t>
  </si>
  <si>
    <t>An autonomous truck for wildfires and oil and gas disasters.</t>
  </si>
  <si>
    <t>Echo ID</t>
  </si>
  <si>
    <t>Echo ID develops a biotemtrics technology that will enhance safety and prevent unauthorized usage of devices, like e-cigarettes and vapes. It will also seamlessly authenticate drivers with echo-id biometrics and breathalyzer interlock devices, enchasing fleet management compliance.</t>
  </si>
  <si>
    <t>Eran Hochs</t>
  </si>
  <si>
    <t>https://www.echo-id.com</t>
  </si>
  <si>
    <t>14 Hathiya St.</t>
  </si>
  <si>
    <t>info@echo-id.com</t>
  </si>
  <si>
    <t>972-54-817-7708</t>
  </si>
  <si>
    <t>Drivers, Individuals.</t>
  </si>
  <si>
    <t>Consumer goods (Vapes, e-cigarettes), Automotive, Security, Pharma.</t>
  </si>
  <si>
    <t>Jupiter EV</t>
  </si>
  <si>
    <t>Jupiter-EV developed a proprietary and unique solution. The company's multiple EV charging station (MEV-CS) creates 8 to 16 fast DC charging stations in an area less than 50 sqm (equivalent to 3 parking spaces). Jupiter-EV's platform is based on a unique robotic parking tower with a proprietary interface to standard OCPP fast DC charging stations.</t>
  </si>
  <si>
    <t>Giora Nave</t>
  </si>
  <si>
    <t>https://www.jupiter-ev.com</t>
  </si>
  <si>
    <t>info@jupiter-ev.com</t>
  </si>
  <si>
    <t>972-8-648-4849</t>
  </si>
  <si>
    <t>giora@jupiter-ev.com</t>
  </si>
  <si>
    <t>Charging &amp; Real estate companies, Municipalities.</t>
  </si>
  <si>
    <t>The technology behind Jupiter-EV solution is a result of 3 years of co-development between Parkomat who fully owns Jupiter-EV and Gnrgy.</t>
  </si>
  <si>
    <t>Simplex Growth</t>
  </si>
  <si>
    <t>Simples AI offers a real-time, autonomous revenue growth and retention for agents and advisors to make more of their book-of-business.</t>
  </si>
  <si>
    <t>Tomer Suar</t>
  </si>
  <si>
    <t>https://simplex.so</t>
  </si>
  <si>
    <t>51 HaOranim Ave.</t>
  </si>
  <si>
    <t>Ramat Efal</t>
  </si>
  <si>
    <t>Agents, advisors.</t>
  </si>
  <si>
    <t>Artificial intelligence, automotive.</t>
  </si>
  <si>
    <t>Elbit Systems - Rokar</t>
  </si>
  <si>
    <t>Elbit Systems - Rokar produces a diverse and comprehensive range of systems and sensors for land forces, from complete modernization and training to maintenance depots and life-cycle support services. Building on advanced in-house capabilities and core technologies, Elbit Systems is a one-stop source for net-centric compatible solutions. The Company’s battle-proven systems include target acquisition, battle management, laser warning and protection, weapon stations, surveillance, fire control (FC) and turret drives. Elbit Systems - Rokar also offers life support systems (LSS), add-on auxiliary power units (APU) and a broad range of autonomous systems.
 Elbit Systems - Rokar supplies advanced land systems both as turnkey solutions and on a stand-alone basis. The Company’s comprehensive solutions cater to all types of forces and can be integrated into existing platforms.
 By enabling combat under closed hatches, improved situational awareness, superior accuracy and unmanned vehicle support, Elbit Systems provides its customers with improved combat effectiveness, lethality and survivability for all types of fighting vehicles.</t>
  </si>
  <si>
    <t>Nir Lavi</t>
  </si>
  <si>
    <t>General Manager (CEO)</t>
  </si>
  <si>
    <t>nir.lavi@elbitsystems.com</t>
  </si>
  <si>
    <t>https://www.elbitsystems.com/land</t>
  </si>
  <si>
    <t>11 Hartum St.</t>
  </si>
  <si>
    <t>972-2-532-9888</t>
  </si>
  <si>
    <t>rokar.marketing@baesystems.com</t>
  </si>
  <si>
    <t>Armed Forces and Defense Industries of Israel and other countries.</t>
  </si>
  <si>
    <t>Military advanced electronic systems , GPS Navigation Systems.
 Areas of world-class domain expertise include RF microelectronics and antennas; adaptive signal and image processing; cognitive RF processing, lasers and optical systems; sensing and exploitation, fusion, battle management, and autonomy; and cyber security and warfare. Innovations in these areas span the R&amp;D pipeline, from basic research or initial concept development, through prototyping and testing, to program transitions, many of which transition to programs of record or existing product portfolios within ES.</t>
  </si>
  <si>
    <t>Automotive, Cyber Security, Defense Tech, Drones, Robotics</t>
  </si>
  <si>
    <t>Moving Life</t>
  </si>
  <si>
    <t>Movinglife is an Israeli startup that develops, manufactures and markets a series of advanced folding scooters in Israel and around the world, to provide the finest solution for people with mobility issues, due to illness or old age.
 Nino Rensenberg, the founder of Movinglife who himself suffers from polio, is the living spirit behind the development of ATTO. Nino - an active businessman who travels incessantly, was unwilling to compromise with existing solutions in the market, and was looking for something that would serve him on his busy schedule which include meetings and international flights. To his surprise he discovered that such a product did not exist.
 Nino relates: “The idea of ​​the product came up because of the frustration I felt every time I traveled and came back from abroad. I had to wait for my scooter to arrive with the luggage, so I invented a product that was light and foldable, one that could even get on the plane with me and take me anywhere. I called it ATTO.”
 All ATTO models are characterized by their modern design and lightweight, designed down to the finest detail for users' convenience and include advanced safety measures and a large selection of accessories. The scooters fold quickly to the size of a compact trolley suitcase and easily split into two parts - a feature that allows users to easily fit them in the trunk of a car or in the upper storage compartment of an airplane. But above all, allow freedom of movement and return to a normal and independent life.
 In 2021, the company launched "Shabbatto” - a Shabbat scooter that offers an elegant Shabbat command mechanism, developed in collaboration with engineers and rabbis of the Zomet Institute. At the same time, the company's R&amp;D team works intensively on the development of additional innovative products which aim to improve the quality of life of people with reduced mobility, in Israel and around the world.</t>
  </si>
  <si>
    <t>Rafy David</t>
  </si>
  <si>
    <t>rafy.david@movinglife.com</t>
  </si>
  <si>
    <t>https://movinglife.com</t>
  </si>
  <si>
    <t>2 HaOfeh St.</t>
  </si>
  <si>
    <t>info@movinglife.com</t>
  </si>
  <si>
    <t>972-73-391-3999</t>
  </si>
  <si>
    <t>Individuals</t>
  </si>
  <si>
    <t>Tabor Electronics</t>
  </si>
  <si>
    <t>Tabor Electronics has become a world-leading provider of high-end signal sources, featuring: RF, pulse, function and arbitrary waveform generators/transceivers, high-voltage amplifiers, waveform and modulation creation software. Tabor has earned global recognition for its highly skilled workforce and innovative engineering capabilities. In addition to offering a full range of self-branded instruments, Tabor is also a world-class OEM that private-labels a variety of products for industry leaders. Technologically advanced, featuring the highest levels of performance, reliability, and most importantly, price-competitive, Tabor’s products are sought-after in a diverse array of applications.</t>
  </si>
  <si>
    <t>Ron Glazer</t>
  </si>
  <si>
    <t>ron@taborelec.com</t>
  </si>
  <si>
    <t>https://www.taborelec.com</t>
  </si>
  <si>
    <t>9 Hatasia St.</t>
  </si>
  <si>
    <t>Tel Hanan</t>
  </si>
  <si>
    <t>info@taborelec.com</t>
  </si>
  <si>
    <t>972-4-821-3393</t>
  </si>
  <si>
    <t>Quantum &amp; Physics, Wireless &amp; Communications, Aerospace &amp; Defense, Education &amp; Research, Medical &amp; Biomedical, Industrial &amp; Power, Automotive &amp; Transport, Serial Testing &amp; Digital Design</t>
  </si>
  <si>
    <t>Arbitrary Waveform Generators, Arbitrary Waveform Transceivers, Digitizers, Signal Generators, Function generators, wideband amplifiers, waveform creation software, signal studios.</t>
  </si>
  <si>
    <t>Automotive, Defense Tech, Quantum Technology, SpaceTech</t>
  </si>
  <si>
    <t>Videx</t>
  </si>
  <si>
    <t>Videx Machine Engineering, a world leader in machinery for Fasteners and wire products for the Automotive, Energy, Oil, Solar and Construction industries. The products are made from Coils or Bars.</t>
  </si>
  <si>
    <t>Yair Wiese</t>
  </si>
  <si>
    <t>yair@videx.co.il</t>
  </si>
  <si>
    <t>https://www.videx-machine.com</t>
  </si>
  <si>
    <t>20 Shabazi St.</t>
  </si>
  <si>
    <t>videx@videx.co.il</t>
  </si>
  <si>
    <t>972-3-5362510</t>
  </si>
  <si>
    <t>General Industries, Automotive, Wind Energy, Construction, Mining.</t>
  </si>
  <si>
    <t>Planetary Thread Rollers for headed fasteners. Double spindle Thread Rollers for Wheel Bolts. Planetary Nail Rollers. Straightening &amp; cut machines for drawn and reinforced wire. Straighten, Cut and Chamfer machines. Chamfer machines for pre-cut blanks. Complete lines for production of threaded Rods. Fully automatic machines for production of Eye-bolts and U-bolts. Straightening, Cut-Off, Extrusion and Thread Rolling machines. Long Stroke Rod Headers from magazine or coil. Mine-Roof bolt machines. Thread rolling dies for Planetary machines. Bundling machines for Threaded Rods.</t>
  </si>
  <si>
    <t>Automotive, Construction Tech</t>
  </si>
  <si>
    <t>Asine</t>
  </si>
  <si>
    <t>Asine is an innovative designer &amp; manufacturer, providing embedded Flash Solid State Storage Units and board level.</t>
  </si>
  <si>
    <t>Shlomo Had</t>
  </si>
  <si>
    <t>shlomo@asinegroup.com</t>
  </si>
  <si>
    <t>http://www.asinegroup.com</t>
  </si>
  <si>
    <t>20 Histadrut St</t>
  </si>
  <si>
    <t>info@asinegroup.com</t>
  </si>
  <si>
    <t>972-9-740-3048</t>
  </si>
  <si>
    <t>Computer manufacturers , Car manufacturers, Aircraft manufacturers, Electronics manufacturers,</t>
  </si>
  <si>
    <t>Electronic Memory products</t>
  </si>
  <si>
    <t>YCD</t>
  </si>
  <si>
    <t>YCD Multimedia , a global provider of advanced digital signage software solutions, serving the retail, telecom, banking, gaming, entertainment, hospitality, educational, transportation, and corporate markets. 
 YCD provides businesses and organizations with a fully-scalable platform to attract and engage customers while communicating their brand. YCD's software offers unmatched capabilities in driving digital signage networks, including high-impact video and mosaic walls in a native, pixel-perfect resolution. To date, the company has partnered with industry-leading customers, including Fortune 500 corporations and some of the world's most recognized brands such as Microsoft, Comcast, AT&amp;T, T-Mobile, Samsung, and Chanel. YCD operates worldwide with an international network of partners serving clients around the globe.</t>
  </si>
  <si>
    <t>Ido Aviram</t>
  </si>
  <si>
    <t>General Manager</t>
  </si>
  <si>
    <t>https://www.ycdmultimedia.com</t>
  </si>
  <si>
    <t>Shefayim Commercial Center</t>
  </si>
  <si>
    <t>info@ycdmultimedia.com</t>
  </si>
  <si>
    <t>972-3-629-4432</t>
  </si>
  <si>
    <t>Businesses, Marketers, IT Personnel, Food Retailers, Supermarkets &amp; C-Stores, Quick Service, Restaurants &amp; Cafes, Fashion Retailers, Banks, Hospitality Industry, Health &amp; Fitness companies, Automotive Sectors, Telecommunication companies.</t>
  </si>
  <si>
    <t>Advanced Digital Signage (“DS”) software solutions</t>
  </si>
  <si>
    <t>Automotive, Marketing Tech, RetailTech</t>
  </si>
  <si>
    <t>IMCO Industries</t>
  </si>
  <si>
    <t>IMCO Industries is a leading Israeli defense company that specializes in the development, design and production of mechanical, electro-mechanical, electrical and electronic products, assemblies and sub-assemblies for airborne, land and naval applications.</t>
  </si>
  <si>
    <t>Ariel Kand</t>
  </si>
  <si>
    <t>arielk@imco-ind.com</t>
  </si>
  <si>
    <t>https://www.imco-ind.com</t>
  </si>
  <si>
    <t>8 Hataasia St.</t>
  </si>
  <si>
    <t>info@imco-ind.com</t>
  </si>
  <si>
    <t>972-4-821-3322</t>
  </si>
  <si>
    <t>imco@imco-ind.com</t>
  </si>
  <si>
    <t>Global Defense &amp; Aerospace Markets</t>
  </si>
  <si>
    <t>High-Definition Multi-Function Display units for ground, naval and airborne applications; Cable harnesses, electromechanical boxes, LED Lights for tanks and APCs.</t>
  </si>
  <si>
    <t>Rodo</t>
  </si>
  <si>
    <t>Rodo is an end-to-end solution where a consumer can lease or purchase a new car (or sell an old one) in minutes with same-day delivery service. The company's platform uses analytics on all cars and shows the suitable possible prices on its mobile application, enabling users to find personalized cars by applying the required filters according to their demands.</t>
  </si>
  <si>
    <t>Nathan Hec</t>
  </si>
  <si>
    <t>nhecht@rodo.com</t>
  </si>
  <si>
    <t>https://www.rodo.com</t>
  </si>
  <si>
    <t>320 West 37th St., 13th Floor</t>
  </si>
  <si>
    <t>info@rodo.com</t>
  </si>
  <si>
    <t>1-877-322-7636</t>
  </si>
  <si>
    <t>Car leasing services, Individuals.</t>
  </si>
  <si>
    <t>Fintech.</t>
  </si>
  <si>
    <t>Binah.ai</t>
  </si>
  <si>
    <t>Binah.ai’s award-winning software, delivered to organizations as an SDK (Software Development Kit), reduces the need for wearables, sensors, or dedicated hardware and transforms smartphones and other camera-equipped devices into wellness and health check tools. The AI-powered, video-based solution allows anyone to measure and share a wide variety of biomarkers in just 60 seconds or less by simply looking into the camera of a smartphone or laptop : blood pressure, heart rate, heart rate variability, oxygen saturation, respiration rate, sympathetic stress, parasympathetic activity and Pulse Respiration Quotient (PRQ). Binah.ai has also recently announced its ground-breaking ability to extract bloodless blood tests such as hemoglobin and hemoglobin A1c, as well as cholesterol total, which is currently under research. Additional biomarkers are under research and are scheduled to be delivered in the coming months.</t>
  </si>
  <si>
    <t>David Mama</t>
  </si>
  <si>
    <t>https://www.binah.ai</t>
  </si>
  <si>
    <t>2 Zeev Jabotinsky Rd., Amot Atrium Tower</t>
  </si>
  <si>
    <t>info@binah.ai</t>
  </si>
  <si>
    <t>972-3-691-8791</t>
  </si>
  <si>
    <t>Health Care (telehealth, remote patients monitoring, triage, chronic diseases management, elderly care, preventive medicine, personalized care, public health), Pharma (virtual trials, medical adherence), Insurance (underwriting, digital transformation, risk management), Automotive, corporate and personal wellness.</t>
  </si>
  <si>
    <t>Binah.ai’s technology uses a unique mix of signal processing and AI technologies, combined with a proprietary mathematical backend to analyze a video taken from a human face and deliver real-time results For contactless data extraction, Binah.ai uses rPPG (remote photoplethysmographic imaging). rPPG is a camera-based solution for contactless cardiovascular monitoring, proven to be as accurate as traditional PPG devices. Binah.ai’s technology measures the changes in red, green, and blue light reflected from the skin and quantifies the contrast between specular reflection and diffused reflection. For challenging conditions, Binah.ai has implemented a backup contact-based solution. The contact-based solution extracts a PPG signal when users place a finger on the rear camera of a smartphone. Binah.ai automatically detects when conditions are not ideal for contactless rPPG extraction and suggests using the contact-based extraction.</t>
  </si>
  <si>
    <t>AgeTech, Artificial Intelligence, Automotive, Digital Health, Insurtech, Machine Learning, SaaS, Wellness</t>
  </si>
  <si>
    <t>Sunbit</t>
  </si>
  <si>
    <t>Sunbit is a developer of a preferred payment platform, designed to split up purchases into easier and smaller payments. The company's artificial intelligence and machine learning technology approves the majority of people who apply and eases the stress of paying for expenses by giving people more options on how and when to pay, and offers a point-of-sale lending technology, including auto dealership service centers, optical practices, dentist offices and specialty healthcare services, enabling clients to eliminate financial waste and passing the savings back to the people.</t>
  </si>
  <si>
    <t>Arad Lever</t>
  </si>
  <si>
    <t>arad@sunbit.com</t>
  </si>
  <si>
    <t>http://sunbit.com</t>
  </si>
  <si>
    <t>10940 Wilshire Blvd.</t>
  </si>
  <si>
    <t>Los Angeles</t>
  </si>
  <si>
    <t>support@sunbit.com</t>
  </si>
  <si>
    <t>1-855-678-6248</t>
  </si>
  <si>
    <t>Retailers (in-store and online) and service providers, such as auto dealership service centers, optical practices dental, dentist offices, eyewear and specialty healthcare services.</t>
  </si>
  <si>
    <t>Sunbit developed an innovative and unique artificial intelligence technology for instant financing solutions at the moment of purchase without any fees.</t>
  </si>
  <si>
    <t>Artificial Intelligence, Automotive, FinTech, Machine Learning, RetailTech, SaaS</t>
  </si>
  <si>
    <t>Tower Semiconductor</t>
  </si>
  <si>
    <t>Tower Semiconductor, a leading foundry of high-value analog semiconductor solutions, provides technology, development, and process platforms for its customers in growing markets such as consumer, industrial, automotive, mobile, infrastructure, medical and aerospace and defense. To provide multi-fab sourcing and extended capacity for its customers, Tower Semiconductor owns one operating facility in Israel (200mm), two in the U.S. (200mm), two in Japan (200mm and 300mm) which it owns through its 51% holdings in TPSCo, shares a 300mm facility in Agrate, Italy with STMicroelectronics as well as has access to a 300mm capacity corridor in Intel’s New Mexico factory.</t>
  </si>
  <si>
    <t>Russell El</t>
  </si>
  <si>
    <t>russell.alwanger@towersemi.com</t>
  </si>
  <si>
    <t>https://towersemi.com</t>
  </si>
  <si>
    <t>20 Shaul Amor Ave., Ramat Gavriel Industrial Park</t>
  </si>
  <si>
    <t>info_general@towerjazz.com</t>
  </si>
  <si>
    <t>972-4-650-6611</t>
  </si>
  <si>
    <t>tj.corp.com@towerjazz.com</t>
  </si>
  <si>
    <t>Manufacturers of Consumer Electronics, Personal Computer and Office Equipment, Communications, Optical communications in data centers, Automotive, Industrial, Professional Photography, Medical &amp; Dental, Aerospace &amp; Defense Industries.</t>
  </si>
  <si>
    <t>Broad range of customizable process platforms such as SiGe, BiCMOS, mixed-signal/CMOS, RF CMOS, CMOS image sensor, non-imaging sensors, displays, integrated power management (BCD and 700V), photonics, and MEMS. The company also provides world-class design enablement for a quick and accurate design cycle as well as process transfer services including development, transfer, and optimization, to IDMs and fabless companies.</t>
  </si>
  <si>
    <t>Automotive, IoT, SpaceTech</t>
  </si>
  <si>
    <t>Ravin AI</t>
  </si>
  <si>
    <t>Ravin combines computer vision and deep learning to inspect vehicle condition via standard cameras, such as a smartphone or CCTV cameras.</t>
  </si>
  <si>
    <t>Eliron Eks</t>
  </si>
  <si>
    <t>eliron@ravin.ai</t>
  </si>
  <si>
    <t>https://www.ravin.ai</t>
  </si>
  <si>
    <t>11801 Domain Blvd</t>
  </si>
  <si>
    <t>info@ravin.ai</t>
  </si>
  <si>
    <t>Vehicle leasing and finance providers, rent-a-car, commercial fleets, insurance companies and used car dealers &amp; auctions</t>
  </si>
  <si>
    <t>Deep learning, Computer vision, Artificial intelligence.</t>
  </si>
  <si>
    <t>i4drive</t>
  </si>
  <si>
    <t>i4drive develops an AI software for fully connected autonomous vehicles. The company's patent-pending Multi-layered technology comprises real-time sensor data processing for better autonomous decisions and driving analytics. i4drive’s software-based solutions can be integrated with different hardware including standard and dedicated cameras, a wide range of processors, sensors and operating systems.</t>
  </si>
  <si>
    <t>Adi Goren</t>
  </si>
  <si>
    <t>adi@i4drive.com</t>
  </si>
  <si>
    <t>https://i4drive.com</t>
  </si>
  <si>
    <t>250 Emek Ha'ela St., Ligad Area</t>
  </si>
  <si>
    <t>info@i4drive.com</t>
  </si>
  <si>
    <t>972-3-375-1705</t>
  </si>
  <si>
    <t>OEM and Tier 1 Suppliers, System Integrators, Car Fleets, Insurers, Smart Cities.</t>
  </si>
  <si>
    <t>i4drive's patent-pending technology comprises proprietary computer vision, deep learning algorithms and sensor fusion. It can be integrated with different hardware including standard and dedicated cameras, a wide range of processors, sensors and operating systems.
 Its real-time image processing joined with enriched sensor data provide highly accurate object detection and tracking and collision warnings. It also provides deep analysis of safety conditions as well as automated decisions that allow for a high level autonomy and improve driver safety.</t>
  </si>
  <si>
    <t>Artificial Intelligence, Automotive, Insurtech, IoT, Machine Learning, Machine Vision, Smart City</t>
  </si>
  <si>
    <t>VizibleZone</t>
  </si>
  <si>
    <t>Viziblezone is on a mission to turn mobile phones into life-saving devices. The company promotes a new Phone to Everything (P2X) concept, which offers a proven potential for various life-guarding applications, driven by context-sensitive data collected and processed by roaming mobile phones. One of the company primary solutions is a highly praised mobile-based Road Traffic Collision Avoidance System, intended to protect vulnerable road user against road accidents. The company COVID19 solution takes advantage of it unique technology and address the urgent need for public contact tracing and social distancing measures. The result is an accurate and reliable contact tracing and social distancing system for preserving business continuity.</t>
  </si>
  <si>
    <t>Gabi Ofir</t>
  </si>
  <si>
    <t>gabi@vizible.zone</t>
  </si>
  <si>
    <t>https://www.vizible.zone</t>
  </si>
  <si>
    <t>24 Hevron Rd.</t>
  </si>
  <si>
    <t>info@vizible.zone</t>
  </si>
  <si>
    <t>972-53-565-9168</t>
  </si>
  <si>
    <t>Car manufacturers, OEM and Tier1 automotive companies, Mobility companies, Transport companies, Shopping malls, Enterprises, Co-Working spaces, Medical labs.</t>
  </si>
  <si>
    <t>Cost-effective, software based ‘pedestrian detector’ which unlike other sensor technologies provide superior 3D sensing at a high data rate, that enables exceptional perception. The technology is effectively operating under any weather and visibility conditions and detect pedestrians, who are located behind obstacles and outside the vehicle’s line-of-sight.</t>
  </si>
  <si>
    <t>Artificial Intelligence, Automotive, Big Data, IoT, Machine Learning</t>
  </si>
  <si>
    <t>Ovo Automotive</t>
  </si>
  <si>
    <t>OVO Automotive is a B2B SaaS company providing car fleet businesses like mobility players, fleet owners and car dealers full and remote control over their connected vehicle screens, driving in-vehicle customer ownership and enablement. Unlike solutions that run apps on the vehicle or on mirrored phones, OVO is using an original cloud based app delivery method, plug-and-play to any existing infotainment system, thus enabling in-vehicle customer interaction which is independent of automakers and Apple/Google.</t>
  </si>
  <si>
    <t>Gilad Zlot</t>
  </si>
  <si>
    <t>gilad.zlotkin@raftt.io</t>
  </si>
  <si>
    <t>https://ovo.auto</t>
  </si>
  <si>
    <t>121 Begin Rd., Azrieli Sarona Tower</t>
  </si>
  <si>
    <t>info@ovo.auto</t>
  </si>
  <si>
    <t>972-54-470-0097</t>
  </si>
  <si>
    <t>Car fleet businesses, such as mobility service providers, fleet owners and car dealers.</t>
  </si>
  <si>
    <t>Automotive software, Streaming, Infotainment, Connected Car, Cloud service delivery, SaaS.</t>
  </si>
  <si>
    <t>Automotive, Cloud, SaaS</t>
  </si>
  <si>
    <t>Korra</t>
  </si>
  <si>
    <t>Korra.AI transforms hidden operational knowledge into instructive guidance, directly addressing this urgent challenge. The company’s proprietary AI platform synthesizes scattered legacy data—logs, documents, videos, and human know-how —into precise, multi-modal, referenceable conversational support. Trusted by global leaders like Applied Materials and ABB, Korra.AI significantly reduces costly downtime, enhances efficiency and improves safety on the factory floor and beyond.</t>
  </si>
  <si>
    <t>Lior Messi</t>
  </si>
  <si>
    <t>https://korra.ai</t>
  </si>
  <si>
    <t>400 Chambers St.</t>
  </si>
  <si>
    <t>Companies and their employees.</t>
  </si>
  <si>
    <t>Korra is a developer of an AI video guidance platform, intended to answer questions of professional teams and newcomers. The company's platform is an end-to-end video guidance system, bootstrapped from internal documentation and training videos to present users with step-by-step interactive videos, reads aloud document sections and records video questions that can be answered by support experts to further augment the knowledge base, enabling clients to improve self-service and train employees more efficiently.</t>
  </si>
  <si>
    <t>Artificial Intelligence, Automotive, Machine Learning, NLP, SaaS</t>
  </si>
  <si>
    <t>ScootAir</t>
  </si>
  <si>
    <t>ScootAir, the only electric scooter manufacturer in Israel, began its journey by two entrepreneurs, Oded and Itzik, who connected through the world of motorcycle design and construction, and acquired knowledge in Israel and abroad. After years of riding electric scooters of all sizes and types, they decided to build a tool that would provide an appropriate transportation response inspired by the world. A vehicle that has a fun, safe and reliable riding experience. After a long development process and thousands of kilometers of riding and adopted tests, ScootAir was born.</t>
  </si>
  <si>
    <t>Oded Mizra</t>
  </si>
  <si>
    <t>https://www.scootair.co.il</t>
  </si>
  <si>
    <t>17 Hamasger St.</t>
  </si>
  <si>
    <t>sscotair@gmail.com</t>
  </si>
  <si>
    <t>972-3-907-6898</t>
  </si>
  <si>
    <t>sscootair@gmail.com</t>
  </si>
  <si>
    <t>ScootAir's electric scooters are the lightest in the world (for the 10-wheel category) thanks to the aluminum alloy chassis we use, weighing between 12 kg and 14 kg depending on the components and accessories that make up the scooter. ScootAir's electric scooters patented a unique folding - folding from the handlebar and thus the riding experience is stable, with no free vacations and zero wear.
 The wheels are pneumatic 10-inch diameter, the braking system is based on a mechanical braking system that includes a caliper and a 140 mm disc and a maximum load weight of up to 150 kg.The surface is wide (22 cm) and has a total length of 108 cm. Quality "Panasonic" which is also made here in Israel.</t>
  </si>
  <si>
    <t>Dride</t>
  </si>
  <si>
    <t>Dride is a revolutionary new product built to enhance every aspect of your driving, protect you from dangerous mobile distractions, and build a community around driving smartly and safely. Dride is a dashcam, but does so much more. It comes with a real time safety alert system, navigation and voice-to-text technology. You can also build your own driving apps and make Dride as intelligent as you are.</t>
  </si>
  <si>
    <t>Yossi Neim</t>
  </si>
  <si>
    <t>https://dride.io</t>
  </si>
  <si>
    <t>hello@dride.io</t>
  </si>
  <si>
    <t>972-52-462-4657</t>
  </si>
  <si>
    <t>Drivers</t>
  </si>
  <si>
    <t>A connected dashcam with safety alerts and apps.</t>
  </si>
  <si>
    <t>Automotive, Machine Vision</t>
  </si>
  <si>
    <t>Auto3P</t>
  </si>
  <si>
    <t>Auto3P provides the automotive world with comprehensive information services, innovative data systems and software solutions. Auto3P's highly-reliable, modular and accurate solutions, make for sustained, long-term business efficiency, dramatically reduce operational costs and optimize business performance and workflow.</t>
  </si>
  <si>
    <t>Uri Maimon</t>
  </si>
  <si>
    <t>uri@auto3p.com</t>
  </si>
  <si>
    <t>https://auto3p.com</t>
  </si>
  <si>
    <t>5 Haldenstrasse</t>
  </si>
  <si>
    <t>Baar</t>
  </si>
  <si>
    <t>auto3p@auto3p.com</t>
  </si>
  <si>
    <t>41-41-768-0338</t>
  </si>
  <si>
    <t>Automotive Insurance, Rental sector, Fleets, Parts market and Repair &amp; maintenance.</t>
  </si>
  <si>
    <t>Auto3p's flagship system - Horizon, is based on advanced cloud technology consolidating the company's vast amount of tools and applications into one platform. Horizon is a modular, multilingual, integrative platform that supports multiple integration paradigms as well as a variety of open communication protocols and a friendly API. The platform is designed to provide information and facilitate in the collaboration between the different automotive parties using workflow management.
 Key components of the Horizon solutions and services:
 - Streamlines and manages damage claims, damage assessment, on-field estimates
 - Repair and maintenance workflow management - repair price quotes, orders &amp; follow-up
 - Parts procurement, online B2B parts trade
 - Invoice audit and validation- generates automatic comparison of repair bills with verified domestic prices
 - Advanced statistical reports transforming real-time raw automotive data into meaningful and useful information
 - Vehicle inspection and reception proceedings - Overall on-field examination and digital documentation utilizing online tablet application</t>
  </si>
  <si>
    <t>OSR Enterprises</t>
  </si>
  <si>
    <t>OSR Enterprises develops automotive intelligence systems that integrate AI, data analytics, IoT, and connected car technologies to power autonomous and smart mobility solutions. The company has developed the EVOLVER, a Multi-Domain AI Brain for vehicles. The EVOLVER's advanced architecture, high processing power and AI capabilities, provide the practical technology for ultra-smart, autonomous and securely connected vehicles.</t>
  </si>
  <si>
    <t>Orit Shifm</t>
  </si>
  <si>
    <t>http://www.osrenterprises.com</t>
  </si>
  <si>
    <t>Suurstoffi 41 6343 Risch-Rotkreuz</t>
  </si>
  <si>
    <t>Zug</t>
  </si>
  <si>
    <t>info@osrenterprises.com</t>
  </si>
  <si>
    <t>41-41-792-7575</t>
  </si>
  <si>
    <t>Original Equipment Manufacturers (OEMs) in the automotive industry; Autonomous / connected vehicle market, mobility services.</t>
  </si>
  <si>
    <t>Multi-domain architecture integrating vehicle domains (software/hardware); AI / Machine Learning for vehicle systems (embedded/edge); Cyber-security and secure connectivity for vehicles. System functionalities include: autonomous driving, data monetization, advanced AI-based user services, driver and cabin monitoring etc.</t>
  </si>
  <si>
    <t>Artificial Intelligence, Automotive, Cyber Security, IoT, Machine Learning</t>
  </si>
  <si>
    <t>Air One</t>
  </si>
  <si>
    <t>AIR is a leading dual-use aerospace OEM developing advanced eVTOL aircraft for both uncrewed cargo logistics, Defense, and FAA-certified piloted flight. With flight testing facilities in both Israel and the United States, AIR combines engineering, certification, and operational expertise under one mission: to redefine aerial mobility. With payload capacities over 250 kg and a one-hour endurance, AIR’s platform demonstrates proven operational readiness and is among the first in the Advanced Air Mobility (AAM) industry to deliver aircraft, hold airworthiness approvals in both Israel and the United States, and generate commercial revenues. Through real-world flight operations, industrial partnerships, and global regulatory collaboration, AIR is bringing to market scalable, dual-use VTOL solutions that support a wide range of applications, including commercial cargo logistics, emergency response, medevac support, tactical resupply (contested logistics), and more. Powered by a proprietary approach to aircraft design, safety, and patented innovations in hardware and software, and applying proven practices from the automotive industry, AIR delivers aircraft that are fundamentally different: in design, engineering, production, cost, operation, and maintenance. By harnessing the promise of electric aviation, AIR is shaping the future of flight, today.</t>
  </si>
  <si>
    <t>Rani Plaut</t>
  </si>
  <si>
    <t>https://www.airev.aero</t>
  </si>
  <si>
    <t>26 Tidhar St.</t>
  </si>
  <si>
    <t>Pardes Chana - Karkur</t>
  </si>
  <si>
    <t>info@airev.aero</t>
  </si>
  <si>
    <t>972-54-522-4044</t>
  </si>
  <si>
    <t>Defense &amp; aerospace market, Logistics operators, emergency services, private pilots</t>
  </si>
  <si>
    <t>AIR is a leading dual use aerospace OEM in production of advanced eVTOL aircraft for uncrewed cargo logistics and FAA-certified piloted flight. With payloads over 250 kg, one-hour endurance, 100km operational range, and proven operational readiness.</t>
  </si>
  <si>
    <t>Artificial Intelligence, Automotive, Defense Tech, Drones, Machine Learning</t>
  </si>
  <si>
    <t>Spetrotec</t>
  </si>
  <si>
    <t>Spetrotec designs, develops and sells IoT electronics, online tracking systems and monitoring solutions. The company’s flagship software solution is Mabat-Online, a real-time monitoring and diagnostic system. Spectrotec's other products, which are integrated within the advanced iWatcher brand, include automatic vehicle location systems, cellular alarms, a unique padlock with GNSS and cellular communication capabilities, and more.</t>
  </si>
  <si>
    <t>Peer Slavi</t>
  </si>
  <si>
    <t>https://www.spetrotec.com</t>
  </si>
  <si>
    <t>5 Mavo Kedem St.</t>
  </si>
  <si>
    <t>info@spetrotec.com</t>
  </si>
  <si>
    <t>972-9-743-4555</t>
  </si>
  <si>
    <t>Car Manufactures, Leasing Companies, Drivers, Cellular providers, Fleet Managers.</t>
  </si>
  <si>
    <t>Spectrotec's flagship software solution is Mabat-Online, a real-time monitoring and diagnostic system. Spectrotec's other products, which are integrated within the advanced iWatcher brand, include automatic vehicle location systems, cellular alarms, a unique padlock with GNSS and cellular communication capabilities, and more.</t>
  </si>
  <si>
    <t>Aquarius Engines</t>
  </si>
  <si>
    <t>Aquarius Engines is a clean-tech / energy company developing and manufacturing small-scale power generation engines and generators. The company's core technology is a two-sided free-piston linear engine (FPLE), which converts fuel combustion into electric power with fewer moving parts, aiming for high efficiency and lower emissions. Aquarius targets applications where distributed, off-grid, or backup power is needed: telecommunications towers, microgrids, EV fast-charging stations, marine, aviation, and powertrain uses.</t>
  </si>
  <si>
    <t>Roi Bar-gi</t>
  </si>
  <si>
    <t>https://www.aquariusengines.com</t>
  </si>
  <si>
    <t>Europark, Building E - Switzerland</t>
  </si>
  <si>
    <t>Kibbutz Yakum</t>
  </si>
  <si>
    <t>info@aquariusengines.com</t>
  </si>
  <si>
    <t>972-74-711-5751</t>
  </si>
  <si>
    <t>Applications where distributed, off-grid, or backup power is needed: telecommunications towers, microgrids, EV fast-charging stations, marine, aviation, and powertrain uses.</t>
  </si>
  <si>
    <t>Free-piston linear combustion engine technology; multi-fuel capability; compact, modular generators with remote monitoring.</t>
  </si>
  <si>
    <t>Vroom</t>
  </si>
  <si>
    <t>Vroom is an innovative, end-to-end e-commerce platform designed to offer a better way to buy and sell used vehicles. The company's scalable, data-driven technology brings all phases of the vehicle buying and selling process to consumers wherever they are and offers an extensive selection of vehicles, transparent pricing, competitive financing, and contact-free, at-home pick-up and delivery.</t>
  </si>
  <si>
    <t>Tom Shortt</t>
  </si>
  <si>
    <t>shorttt@vroom.com</t>
  </si>
  <si>
    <t>https://ir.vroom.com</t>
  </si>
  <si>
    <t>Houston</t>
  </si>
  <si>
    <t>hello@vroom.com</t>
  </si>
  <si>
    <t>1-855-720-6073</t>
  </si>
  <si>
    <t>Individuals, Car distributors.</t>
  </si>
  <si>
    <t>E-Commerce, Proprietary algorithms and data about the value of different cars and trucks in different conditions to set prices.</t>
  </si>
  <si>
    <t>AccuBeat</t>
  </si>
  <si>
    <t>AccuBeat is a provider of highly Accurate Frequency and Timing solutions deployed in Defense, Critical Infrastructures, HLS, Aerospace, Telecommunications and Research. Based on Rubidium Atomic Clock technology with optional GNSS disciplining, NTP and PTP capabilities, AccuBeat’s products achieve the high levels of accuracy, stability and reliability. The company products and platforms are deployed by the USAF, Project Galileo, the European Space Agency (ESA), Tier 1 Defense Integrators, Tier 1 Telecoms and many other customers worldwide. AccuBeat’s clocks are powering a mission to Jupiter’s icy moons. The company’s Ultra Stable Oscillator will be active in deep space for 15 years, while its atomic clocks are used for a variety of military applications - from intelligence gathering to missile detection.</t>
  </si>
  <si>
    <t>Benny Levy</t>
  </si>
  <si>
    <t>https://www.accubeat.com</t>
  </si>
  <si>
    <t>5 Hamarpeh St., Beit Merkazim, 3rd Floor, Har Hotzvim Industrial Zone</t>
  </si>
  <si>
    <t>marketing@accubeat.com</t>
  </si>
  <si>
    <t>972-2-586-8330</t>
  </si>
  <si>
    <t>Communication networks, cellular phone base stations, computer networks, calibration labs, military communication, command/control terminals, telemetry, mobile radios, secure communication and more.</t>
  </si>
  <si>
    <t>Accubeat's patented Rubidium Atomic Clock or OCXO technology with optional GPS disciplining provides frequency accuracy in the range of 10-12, frequency stability in the range of 10-13 and time accuracy in the range of nanoseconds.
 AccuBeat’s rubidium frequency standards use a unique Digital FrequencyLocked Loop (DFLL) to implement the disciplining of the crystal oscillator tothe atomic resonance frequency. A microprocessor is embedded in the DFLL, witha unique patented algorithm. This algorithm reduces the sensitivity to externaldisturbances, allows easy lock at start, and enables the implementation of aunique hold-over mode. This keeps the internal oscillator running with the lastmemorized frequency when the lock is lost. These features make the rubidiumfrequency standard a very smart clock.
 In addition, the microprocessor enables user access to internal parameters allowingvery fine control of the digital frequency over a wide range.</t>
  </si>
  <si>
    <t>Automotive, Defense Tech, Drones, SpaceTech</t>
  </si>
  <si>
    <t>Jungo Connectivity</t>
  </si>
  <si>
    <t>Jungo is a leader in fleet safety technology, dedicated to reducing risks and enhancing road safety through AI innovation. Its flagship product, VuDrive, offers advanced driver monitoring with real-time alerts, in-cab dual camera, location and telematics information, and comprehensive risk analysis tools tailored for fleets and insurers. Jungo VuDrive is protected with multiple US patents covering AI and video telematics. Jungo’s WinDriver, a device driver development toolkit supports any device, regardless of its silicon vendor, and enables you to focus on your driver’s added-value functionality, instead of on the operating system internals.</t>
  </si>
  <si>
    <t>Leora Schw</t>
  </si>
  <si>
    <t>Marketing Manager</t>
  </si>
  <si>
    <t>leora@jungo.com</t>
  </si>
  <si>
    <t>https://jungo.com</t>
  </si>
  <si>
    <t>1 Hamachshev St.</t>
  </si>
  <si>
    <t>sales@jungo.com</t>
  </si>
  <si>
    <t>972-9-970-8607</t>
  </si>
  <si>
    <t>Fleets, Transportation companies, Telematics Service Providers, Car Fleets vendors, Insurance companies.</t>
  </si>
  <si>
    <t>Driver Monitoring Systems (DMS), Driver Development Tools.</t>
  </si>
  <si>
    <t>Artificial Intelligence, Automotive, Deep Tech, Insurtech, Machine Learning, Machine Vision</t>
  </si>
  <si>
    <t>Rail Vision</t>
  </si>
  <si>
    <t>Rail Vision is a leading provider of obstacle detection &amp; classification systems in the railway industry. With the company’s unique cognitive sensor fusion technology, based on advanced electro-optic sensors, artificial intelligence and deep learning, Rail Vision systems detect objects on and along the tracks from a distance of up to 2 kilometers – in real time, as well as in all weather and light conditions. When an obstacle is detected, the system sends visual and acoustic alerts in real-time to both the driver and the command-and-control center. 
 Tailormade to meet every customer’s specific needs, the systems are available for Main Lines and Shunting Yards, as well as Light Rail Vehicles (LRVs) operating in urban environments. In addition, Rail Vision offers a range of optional complementary features based on collected and analyzed data: Image-based Navigation, GIS Mapping and Predictive Maintenance.</t>
  </si>
  <si>
    <t>David Ben-</t>
  </si>
  <si>
    <t>david@railvision.io</t>
  </si>
  <si>
    <t>https://railvision.io</t>
  </si>
  <si>
    <t>15 Hatidhar St.</t>
  </si>
  <si>
    <t>info@railvision.co.il</t>
  </si>
  <si>
    <t>972-9-957-7706</t>
  </si>
  <si>
    <t>info@railvision.io</t>
  </si>
  <si>
    <t>Rails &amp; Trains Sector, Train Operators.</t>
  </si>
  <si>
    <t>The main product consists of specially adapted sensors including infra-red (IR) cameras, installed on a locomotive, and relies on a proprietary algorithm. The algorithms’ core is deep learning and image processing, along with other computer assisted techniques such as real-time image processing, and fusion from different sensors to monitor for the whole operational range from a few meters up to 2,000 meters.</t>
  </si>
  <si>
    <t>Artificial Intelligence, Automotive, Big Data, Deep Tech, Machine Vision</t>
  </si>
  <si>
    <t>Phinergy</t>
  </si>
  <si>
    <t>Phinergy is an innovative cleantech company which develops breakthrough clean energy backup and resilience solutions for customers in a wide range of industries. The company's patented metal-air technology leverages the vast energy contained in aluminum and zinc, enabling energy generation by combining the metal with oxygen from ambient air. The energy can then be used in wide-ranging applications, from energy backup for critical sites, through electric vehicles, to renewable energy storage solutions. Phinergy is a World Economic Forum "Technology Pioneer", recognized for its revolutionary sustainable energy solutions.</t>
  </si>
  <si>
    <t>Emmanuel L</t>
  </si>
  <si>
    <t>emmanuel@phinergy.com</t>
  </si>
  <si>
    <t>https://phinergy.com</t>
  </si>
  <si>
    <t>2 Derech Hayam St.</t>
  </si>
  <si>
    <t>8061 (Zip: 4418001)</t>
  </si>
  <si>
    <t>info@phinergy.com</t>
  </si>
  <si>
    <t>972-8-913-7900</t>
  </si>
  <si>
    <t>Automobile Manufacturers, Electricity Companies, Telecom companies, Cloud computing suppliers, Data Centers.</t>
  </si>
  <si>
    <t>Phinergy's aluminum-air technology releases the abundant energy contained in aluminum, resulting in a clean, safe, cost-efficient, and fully recyclable energy source. It provides on-demand, clean energy for a variety of applications including energy backup for critical sites, on-demand distributed generation for microgrids, and range extenders for electric vehicles. The zinc-air technology provides a high-capacity, low-cost, grid-scale energy storage solution for renewable sources such as wind and solar.</t>
  </si>
  <si>
    <t>Automotive, Climate Tech, Cloud, Deep Tech</t>
  </si>
  <si>
    <t>Gauzy</t>
  </si>
  <si>
    <t>Gauzy is a global leader in vision and light control solutions for the automotive, aeronautics, architecture, and safety technology industries. Its core capabilities start with world-class research and development which leads to the manufacturing and marketing of surfaces, systems and solutions that are smart and multifunctional for the spaces we spend our time in most. From glass that switches between transparent and opaque on an aircraft, automobile or building to transparent displays for digital signage and communications, to ADAS technologies for safer roads, Gauzy is there, changing the world through the control and manipulation of light.​</t>
  </si>
  <si>
    <t>Eyal Peso</t>
  </si>
  <si>
    <t>eyal@gauzy.com</t>
  </si>
  <si>
    <t>https://www.gauzy.com</t>
  </si>
  <si>
    <t>14 Hathiya St. Unit 203</t>
  </si>
  <si>
    <t>info@gauzy.com</t>
  </si>
  <si>
    <t>972-72-250-0385</t>
  </si>
  <si>
    <t>Automotive OEM, Automotive Tier 1, Aeronautics OEM, Aeronautic Completion Centers, Commercial Airlines, Aircraft designers, Architects, Interior Designers (Offices, Hotels, Residential).</t>
  </si>
  <si>
    <t>Glass Technology, Smart Glass, Advanced Materials, Nano Technology, Liquid Crystal, Suspended Particle Device, Camera Monitor Systems, ADAS (Advanced driver assistance systems), Driver protection &amp; safety systems.</t>
  </si>
  <si>
    <t>Automotive, Construction Tech, Deep Tech, PropTech, RetailTech, Smart City</t>
  </si>
  <si>
    <t>Silentium</t>
  </si>
  <si>
    <t>Silentium specializes in creating personal in-car sound environments. The company’s Active Noise Cancelation (ANC) technology is designed to create a quieter space around the user, regardless of the source of the noise. The tech can be installed in car headrests, airplane seats or larger industrial spaces. Silentium’s solutions and products are currently embedded in various market applications.</t>
  </si>
  <si>
    <t>Yoel Naor</t>
  </si>
  <si>
    <t>yoel@silentium.com</t>
  </si>
  <si>
    <t>https://www.silentium.com</t>
  </si>
  <si>
    <t>5 Golda Meir St..</t>
  </si>
  <si>
    <t>info@silentium.com</t>
  </si>
  <si>
    <t>972-8-946-8664</t>
  </si>
  <si>
    <t>Original Equipment Manufacturers (OEMs), Home Appliance, Office Equipment, Consumer Electronics, Car/Mobile Phone Manufacturers, Automotive, Home Appliances, Industrial and Transportation industries.</t>
  </si>
  <si>
    <t>Silentium's noise reduction solutions contain unique technology, delivering more than 10dB(A) noise reduction across the entire audio spectrum. Applications include noise reduction for server/networking equipment, air treatment, air conditioning machinery for the residential and automotive market, white goods and more.</t>
  </si>
  <si>
    <t>Cloud-Wise</t>
  </si>
  <si>
    <t>Cloud-Wise Ltd, mission is to create a world with safer roads using sensors, mobile and IoT, machine learning, and behavioral science. Cloud-Wise has developed the I-Sticker, a complete behavioral analytics solution, to increase awareness and improve safety for the connected car world. I-Sticker provides real insight on driver behavior and vehicle dynamics to insurance companies, fleet managers, automobile manufacturers, families with new drivers, etc., and is being used successfully in a wide range of applications.</t>
  </si>
  <si>
    <t>Amir Lorbe</t>
  </si>
  <si>
    <t>amir@cloud-wise.com</t>
  </si>
  <si>
    <t>https://www.cloud-wise.com</t>
  </si>
  <si>
    <t>info@cloud-wise.com</t>
  </si>
  <si>
    <t>Municipalities, Drivers, Insurance companies, Fleet managers, Automobile manufacturers,</t>
  </si>
  <si>
    <t>Parking management, Smart City solution</t>
  </si>
  <si>
    <t>Automotive, Insurtech, IoT, Machine Learning, Smart City</t>
  </si>
  <si>
    <t>SolidT</t>
  </si>
  <si>
    <t>SolidT is pioneering next-generation solid-state heat pump technology, delivering active cooling and heating from the chip level through modules to entire systems. By combining cooling and heating in a single compact solution, SolidT eliminates the need for compressors and complex mechanical systems. This breakthrough dramatically improves efficiency, precision, and reliability while reducing weight, cost, and energy consumption. With applications spanning electronics, computing, data centers, automotive, and other chip-driven industries, SolidT is redefining thermal management and setting a new benchmark for the field.</t>
  </si>
  <si>
    <t>Ariel Popp</t>
  </si>
  <si>
    <t>ariel@solidt-tech.com</t>
  </si>
  <si>
    <t>https://www.solidt-tech.com</t>
  </si>
  <si>
    <t>37 Hertsel St.</t>
  </si>
  <si>
    <t>972-50-388-8885</t>
  </si>
  <si>
    <t>Automotive, Electronics, Data Centers, High energy devices markets.</t>
  </si>
  <si>
    <t>SolidT is presenting the pioneering high-efficiency thermoelectric system. Advanced engineering: eliminating thermal barriers and stress: Better temperature adaptation: Excelling in high temperature differentials. Enhanced Efficiency: Achieving unmatched efficiency levels. Increased Cooling/Heating Power: Elevating thermal performance.</t>
  </si>
  <si>
    <t>Assembrix</t>
  </si>
  <si>
    <t>Assembrix developed a cloud-based platform that virtualizes 3D industrial printing. Its Virtual Manufacturing Space platform (VMS) enables a simpler, more efficient and secured production process by overseeing the entire additive manufacturing thread, from initial part model to the verified physical part and beyond. VMS enables multiple in-house users or external clients to monitor, allocate and manage, in a fully automated and self-controlled process, its entire manufacturing space, whether made up of single or aggregated and distributed 3D printers, thereby optimizing the utilization of all 3D printing resources and improving the ROI. Assembrix partners with printer manufacturers by connecting their machines to its VMS platform and providing to its customers' full management and control over their operation within a networked and dynamic supply-chain.</t>
  </si>
  <si>
    <t>Lior Polak</t>
  </si>
  <si>
    <t>lior.polak@assembrix.com</t>
  </si>
  <si>
    <t>https://assembrix.com</t>
  </si>
  <si>
    <t>45 Rothschild Blvd.</t>
  </si>
  <si>
    <t>info@assembrix.com</t>
  </si>
  <si>
    <t>High-end manufacturers from aerospace, Automotive and Medical devices industries, 3D printing service bureaus.</t>
  </si>
  <si>
    <t>Assembrix' digital platform allows manufacturers to remotely connect to their suppliers' industrial 3D printers around the world and control the entire process from the part of the part intended for printing to the part production stage.</t>
  </si>
  <si>
    <t>Automotive, Big Data, Industry 4.0, Robotics, SaaS</t>
  </si>
  <si>
    <t>Step Hear</t>
  </si>
  <si>
    <t>Step Hear's system allows people in a wheelchair to inform bus drivers in advance via the app of their location at the station, so that they can prepare for the opening of the ramp or people with a cognitive disability or post-traumatic stress disorder (PTSD) using the light rail can pre-define their destination and plan their trip accordingly, thus avoiding confusion or anxiety along the way.</t>
  </si>
  <si>
    <t>Ohad Berma</t>
  </si>
  <si>
    <t>ohad@mehalev.com</t>
  </si>
  <si>
    <t>https://www.step-hear.com</t>
  </si>
  <si>
    <t>155 Yigal Alon St.</t>
  </si>
  <si>
    <t>info@step-hear.com</t>
  </si>
  <si>
    <t>972-72-250-4941</t>
  </si>
  <si>
    <t>Public transportation sector.</t>
  </si>
  <si>
    <t>An innovative technological system to make public transportation accessible for people with disabilities, senior citizens and other users.</t>
  </si>
  <si>
    <t>VHOLA</t>
  </si>
  <si>
    <t>VHOLA's technology is an in-vehicle solution enabling predictive maintenance of the vehicle's performance by detecting its magnetic and electromagnetic emissions throughout the vehicle's lifetime. It also takes active actions, taking into consideration local regulation aspects, cabin occupancy, passenger preferences, driving conditions and other factors.</t>
  </si>
  <si>
    <t>Oren Betza</t>
  </si>
  <si>
    <t>oren@v-hola.com</t>
  </si>
  <si>
    <t>https://www.v-hola.com</t>
  </si>
  <si>
    <t>68 Yerushalayim St.</t>
  </si>
  <si>
    <t>info@v-hola.com</t>
  </si>
  <si>
    <t>972-50-353-5242</t>
  </si>
  <si>
    <t>Vehicle manufacturers, Fleet managers, B2B market.</t>
  </si>
  <si>
    <t>VHOLA develops smart &amp; holistic IoT solution, which seamlessly monitors and adjusts vehicle’s electromagnetic emissions. It measures the magnetic density from various components of the vehicle’s electric architecture periodically, implements a unique algorithm, which results in corrective actions to a radiating ECUs, and by that it also minimizes passengers exposure to high magnetic field levels. VHOLA’s solution provides magnetic field feedback continuously and exposing all measurements, and corrective actions to the car maker via the telecommunication unit for purposes of on-going improvement and regulation.</t>
  </si>
  <si>
    <t>Automotive, IoT, SaaS</t>
  </si>
  <si>
    <t>Cibeez</t>
  </si>
  <si>
    <t>CiBeez is in the field of mobility management for the autonomous vehicle and transport and delivery markets.</t>
  </si>
  <si>
    <t>Pessy Holl</t>
  </si>
  <si>
    <t>pessy@cibeez.com</t>
  </si>
  <si>
    <t>http://www.cibeez.com</t>
  </si>
  <si>
    <t>Autonomous Car, Transport and Delivery Markets.</t>
  </si>
  <si>
    <t>Autonomous vehicles, Big Data, Mobiliy Management, Business Analytics</t>
  </si>
  <si>
    <t>Albus</t>
  </si>
  <si>
    <t>Albus Technologies develops and products of custom-tailored compact electric motors and generators in a wide power range, performing a high power density and efficiency.</t>
  </si>
  <si>
    <t>Yigal Schw</t>
  </si>
  <si>
    <t>yigal@albus-tech.com</t>
  </si>
  <si>
    <t>https://www.albus-tech.com</t>
  </si>
  <si>
    <t>89 Ha-Atzmaut St.</t>
  </si>
  <si>
    <t>info@albus-tech.com</t>
  </si>
  <si>
    <t>972-77-560-6141</t>
  </si>
  <si>
    <t>Electric and Hybrid Electric Vehicles (EV/HEV), Manned &amp; Unmanned aircraft vehicles (UAV, drones, copters), Alternators for turbo and wind-generators, Industrial centrifuges, Rotating apparatuses.</t>
  </si>
  <si>
    <t>Axial flux electric machines with permanent magnets.</t>
  </si>
  <si>
    <t>Revoltz</t>
  </si>
  <si>
    <t>Revoltz develops and potentially commercializes EV-based micro-mobility vehicles for urban and last mile logistics transportation, under a JV between Medigus and EMuze.</t>
  </si>
  <si>
    <t>https://revoltzev.com</t>
  </si>
  <si>
    <t>64 Hatachana St.</t>
  </si>
  <si>
    <t>info@revoltzev.com</t>
  </si>
  <si>
    <t>Individual urban use, and last mile cargo delivery.</t>
  </si>
  <si>
    <t>EV micro-mobility vehicles</t>
  </si>
  <si>
    <t>SiliB</t>
  </si>
  <si>
    <t>Silib is developing and scaling up the manufacturing of Li-ion battery technology which can increase the battery capacity by up to 40% while maintain the same form factor.</t>
  </si>
  <si>
    <t>https://www.si-lib.com</t>
  </si>
  <si>
    <t>info@si-lib.com</t>
  </si>
  <si>
    <t>Automotive industry, consumer electronics, battery cell makers.</t>
  </si>
  <si>
    <t>Silib utilizeS 100% pure silicon anodes in an innovative low-cost manufacturing process. By replacing the graphite anode with our pure Si anodes, the company are applying an innovative low cost manufacturing process which allows it to compete with graphite in terms of cost per unit of energy.</t>
  </si>
  <si>
    <t>IBC Coating</t>
  </si>
  <si>
    <t>IBC’s expertise is in surface engineering, providing advanced surface treatment technologies for wear resistant, corrosion resistant applications and fatigue of tools and components. The company's innovative surface treatments are based on low pressure plasma and thermo-chemical reactions.
 IBC innovative surface treatments, based on Plasma-chemical and Diffusion reactions - Boriding, Nitrocarburizing, Chrome Carbide, Vanadium Carbide, etc. are used in different applications with very good results.
 The company has expanded the array of its services in material treatments with advanced Ion Plasma Nitriding, Diamond Like Carbon- DLC coatings, Deep Case Boriding, Laser Cladding, and Deep Case Vanadium Carbide.</t>
  </si>
  <si>
    <t>Solomon Be</t>
  </si>
  <si>
    <t>sb@ibccoatings.com</t>
  </si>
  <si>
    <t>https://www.ibccoatings.com</t>
  </si>
  <si>
    <t>902 Hendricks Dr.</t>
  </si>
  <si>
    <t>Lebanon</t>
  </si>
  <si>
    <t>IN</t>
  </si>
  <si>
    <t>info@ibccoatings.com</t>
  </si>
  <si>
    <t>1-765-482-9802</t>
  </si>
  <si>
    <t>Automotive, Aerospace, Agriculture, Oil &amp; Gas, Power Generation, Nuclear, Tool &amp; Die, Metal Forming, Military &amp; Defense, and Food Processing Industries.</t>
  </si>
  <si>
    <t>IBC’s proprietary plasma electrolytic technologies are based on custom power supplies and processing chemistries that are unmatched in the industry. IBC has a full-scale service facility for the development and application of both its CeraTough™ Plasma Electrolytic Oxidation coating and its Electrolytic Stripping process. Additionally, IBC offers the opportunity for interested parties to purchase a fully functioning PEO system, whether it be for university research or mass production.
 IBC Coating Technologies has an established service and development center that offers the following surface treatment technologies:
 Ion Plasma Nitriding
 Thermal Diffusion (TD) Coatings
 Boriding/Boronizing 
 Chrome/Chromium Carbide 
 Aluminizing
 Tantalum Coating
 PVD Coatings (CrN, TiN, Al-N, ZrN)
 Heat Treatment
 Diamond-Like Carbon (DLC) Coatings
 Plasma Electrolytic Oxidation and Diffusion
 Thermal Spray (HVAF, Cold Spray)
 Salt Bath Nitriding (DHN)
 Laser Welding
 Vacuum Carburizing</t>
  </si>
  <si>
    <t>GIV Solutions</t>
  </si>
  <si>
    <t>GIV Solutions specializes in deploying end-to-end operational solutions in infrastructure-intensive industries with over 60 EAM consultants, operating in all sectors of the economy in Israel. The company offers a suite of products designed to optimize operations and maintenance for asset-intensive organizations, including solutions for smart cities, transportation infrastructure and property management. GIV Solutions primarily serves service-oriented industries that rely on large-scale or complex infrastructures and logistics.</t>
  </si>
  <si>
    <t>Yossi Efro</t>
  </si>
  <si>
    <t>yossi@giv-solutions.com</t>
  </si>
  <si>
    <t>https://www.giv-solutions.com</t>
  </si>
  <si>
    <t>17 Tidhar St., Hatamar Bldg.</t>
  </si>
  <si>
    <t>contact@giv-solutions.com</t>
  </si>
  <si>
    <t>972-9-775-7117</t>
  </si>
  <si>
    <t>Water corporations, energy and real estate sectors, transportations, local authorities, hospitals, hotels, universities &amp; campuses, pharmaceuticals, critical infrastructures, companies that operate highways, tunnels, light rail and metro, pharmaceutical, energy and water industries.</t>
  </si>
  <si>
    <t>GIV Solutions develops a drone, which knows how to penetrate "chimneys, crevices, elevator shafts" and other places to provide decision makers critical information about critical infrastructures.</t>
  </si>
  <si>
    <t>Automotive, Drones, Smart City</t>
  </si>
  <si>
    <t>Cello Ltd.</t>
  </si>
  <si>
    <t>Cellopark offers a payment app for mobile parking in blue and white and parking lots all over the country. The app automatically adjusts the parking for the resident with a resident character, displays the parking history for control purposes and creates a personal profile with a photo for each vehicle. It also allows the users to search for a parking lot by area before reaching their destination.</t>
  </si>
  <si>
    <t>Guy Selok</t>
  </si>
  <si>
    <t>https://cello-app.com/global</t>
  </si>
  <si>
    <t>5 Menachem Begin St.</t>
  </si>
  <si>
    <t>office@cellopark.com</t>
  </si>
  <si>
    <t>972-3-718-7711</t>
  </si>
  <si>
    <t>info@cello-group.net</t>
  </si>
  <si>
    <t>Public Parking Customers.</t>
  </si>
  <si>
    <t>A payment app for mobile parking.</t>
  </si>
  <si>
    <t>Epsilor</t>
  </si>
  <si>
    <t>Epsilor is a globally recognized developer and manufacturer of custom and standard batteries, chargers and mobile power management systems. The company serves customers all over the world in the defense, aerospace and marine industries. Recently, Epsilor completed the development of the COMBATT ELI-52526-GM military lithium-ion battery, which is available in a 6T package. The company's battery provides a voltage of 25.2V with a total energy stored in it is 4,400Wh/174Ah and it weighs 27 kg.</t>
  </si>
  <si>
    <t>Ronen Badi</t>
  </si>
  <si>
    <t>https://www.epsilor.com</t>
  </si>
  <si>
    <t>1 HaSollela St., Western Industrial Park</t>
  </si>
  <si>
    <t>Beit Shemesh</t>
  </si>
  <si>
    <t>info@epsilor.com</t>
  </si>
  <si>
    <t>Military organizations, defense, aerospace, marine, automotive and safety markets, medical device manufacturers, yachts and industrial boating shipyards, boat leasing companies.</t>
  </si>
  <si>
    <t>Epsilor specializes in the design and manufacture of high-end rechargeable and primary batteries and charger systems for the defense, aerospace, medical device, marine, automotive and safety markets.</t>
  </si>
  <si>
    <t>Check Point</t>
  </si>
  <si>
    <t>Check Point Software Technologies is a leading AI-powered, cloud-delivered cyber security platform provider protecting over 100,000 organizations worldwide. Check Point leverages the power of AI everywhere to enhance cyber security efficiency and accuracy through its Infinity Platform, with industry-leading catch rates enabling proactive threat anticipation and smarter, faster response times. The comprehensive platform includes cloud-delivered technologies consisting of Check Point Harmony to secure the workspace, Check Point CloudGuard to secure the cloud, Check Point Quantum to secure the network, and Check Point Infinity Core Services for collaborative security operations and services.</t>
  </si>
  <si>
    <t>Nadav Zafr</t>
  </si>
  <si>
    <t>nzafrir@checkpoint.com</t>
  </si>
  <si>
    <t>http://www.checkpoint.com</t>
  </si>
  <si>
    <t>5 Shlomo Kaplan St.</t>
  </si>
  <si>
    <t>info@checkpoint.com</t>
  </si>
  <si>
    <t>972-3-753-4599</t>
  </si>
  <si>
    <t>Retail, Financial Services, Federal Government, State &amp; Local Government, Healthcare, Telco Service Provider, Education, Enterprises, Small &amp; Medium Businesses.</t>
  </si>
  <si>
    <t>Hybrid Cloud, Generative AI, Zero Trust &amp; Least Privilege, Developer Security &amp; Operations. IoT Security Solutions, Anti-Ransomware, SD-WAN.</t>
  </si>
  <si>
    <t>Automotive, Big Data, Cloud, Cyber Security, Generative AI, IoT, Web3</t>
  </si>
  <si>
    <t>ADASKY</t>
  </si>
  <si>
    <t>ADASKY is a developer of an advanced thermal sensing technology, designed to increase the safety and performance of self-driven vehicles. The company's system combines a far infrared thermal camera with advanced machine vision algorithms that sense and analyze its surroundings by passively collecting finite impulse response signals through the detection of thermal energy radiated from objects and their body heat, providing clients with autonomous vehicles to see and understand the road in any lighting and weather conditions.</t>
  </si>
  <si>
    <t>Yakov Shah</t>
  </si>
  <si>
    <t>yakov.s@adasky.com</t>
  </si>
  <si>
    <t>https://www.adasky.com</t>
  </si>
  <si>
    <t>7 Hamada St.</t>
  </si>
  <si>
    <t>contact@adasky.com</t>
  </si>
  <si>
    <t>972-77-251-8840</t>
  </si>
  <si>
    <t>Automotive industry, smart cities, public areas (airports, hospitals, supermarkets and other areas with significant foot traffic).</t>
  </si>
  <si>
    <t>ADASKY is a developer and manufacturer of intelligent thermal sensing technologies within the automotive and smart city sectors. The company offers high-resolution, long-wave infrared (LWIR) thermal cameras designed to enhance vehicle safety and perception systems, as well as smart city applications for roadway safety.</t>
  </si>
  <si>
    <t>Artificial Intelligence, Automotive, Deep Tech, Digital Health, Machine Vision, Smart City</t>
  </si>
  <si>
    <t>Foresight Autonomous</t>
  </si>
  <si>
    <t>Foresight's flagship product is QuadSight system, a multi-spectral computerized vision solution, based on two stereoscopic daylight cameras and two long-wave thermal infrared cameras. Designed as the central vision system for autonomous and semi-autonomous vehicles, the system is capable of detecting any type of obstacle and allowing safe driving without interruption throughout the day, even in harsh lighting and weather conditions.</t>
  </si>
  <si>
    <t>Haim Sibon</t>
  </si>
  <si>
    <t>https://www.foresightauto.com</t>
  </si>
  <si>
    <t>3 Golda Meir St.</t>
  </si>
  <si>
    <t>info@foresightauto.com</t>
  </si>
  <si>
    <t>972-77-970-9030</t>
  </si>
  <si>
    <t>Autonomous driving market, OEMs, Automotive industry.</t>
  </si>
  <si>
    <t>Foresight's solutions are based on stereoscopic image technology.​ It’s unique solutions create and analyse a one-of-a-kind 3D image in order to foresee possible collisions with vehicles, pedestrians, cyclists and other obstacles, while providing highly accurate real time alerts with minimum false alerts. Foresight’s solutions employ the use of a two-camera layout (visible light conditions) or a four-camera layout (24/7, all weather and lighting conditions) for a complete 3D image of the driving environment.</t>
  </si>
  <si>
    <t>Artificial Intelligence, Automotive, Machine Vision</t>
  </si>
  <si>
    <t>Friendly Technologies</t>
  </si>
  <si>
    <t>Friendly Technologies is committed to delivering industry-leading solutions that foster improved device management and connectivity across telecommunications, utilities, and IoT industries. With a focus on innovation and user experience, Friendly Technologies continues to lead the way in making technology friendlier and more accessible.</t>
  </si>
  <si>
    <t>Ilan Migda</t>
  </si>
  <si>
    <t>ilan.migdal@friendly-tech.com</t>
  </si>
  <si>
    <t>https://friendly-tech.com</t>
  </si>
  <si>
    <t>94-01 68th Ave.</t>
  </si>
  <si>
    <t>Forest Hills</t>
  </si>
  <si>
    <t>sales.hq@friendly-tech.com</t>
  </si>
  <si>
    <t>1-866-447-8640</t>
  </si>
  <si>
    <t>support@friendly-tech.com</t>
  </si>
  <si>
    <t>xSPs &amp; Carriers, Service Providers, CPE Manufacturers, Energy and Utilities, Agriculture, Smart City, Retail, Healthcare, Security, Manufacturing, Fleet Management, Automotive, Asset Tracking industries</t>
  </si>
  <si>
    <t>Solutions
 Carriers and Service Providers:
 TR-069 Device Management for DSL, FTTH, Cable, Wireless and Satellite Networks
 TR-069 Device Management for Wireless Broadband
 QoE Monitoring of Data, VoIP and IPTV services
 TR-069 Device Management on a Cloud (SaaS)
 Internet of Things:
 Full Smart Home Management Solution
 Internet of Things Management Platform
 Friendly IoT Vertical Applications
 TR-069 Automated Tester Tool</t>
  </si>
  <si>
    <t>Automotive, Construction Tech, IoT, PropTech, SaaS</t>
  </si>
  <si>
    <t>Plataine</t>
  </si>
  <si>
    <t>Plataine’s solution is a TaaS (Tracking as a Service) solution, providing an innovative solution for production optimization and automation solutions to bridge the gap between CAD, ERP and the production gloor, enabling manufacturers to be more competitive by increasing material utilization, improving productivity, controlling quality and shortening manufacturing cycles to ensure on-time delivery of products to customers. Plataine’s solutions are based on unique proprietary optimization algorithms that automatically and simultaneously perform schedule production tasks, according to manufacturing goals, policies and constraints.</t>
  </si>
  <si>
    <t>Avner Ben-</t>
  </si>
  <si>
    <t>avner.benbassat@plataine.com</t>
  </si>
  <si>
    <t>https://www.plataine.com</t>
  </si>
  <si>
    <t>400 Lindsay St., High Point</t>
  </si>
  <si>
    <t>NC</t>
  </si>
  <si>
    <t>info@plataine.com</t>
  </si>
  <si>
    <t>1-336-905-0900</t>
  </si>
  <si>
    <t>Aerospace, automotive, composite material manufacturing, furniture, industrial manufacturing and wind energy sectors.</t>
  </si>
  <si>
    <t>Plataine focuses on AI-based smart manufacturing solutions that optimize advanced manufacturing processes across various industries. The company offers products for production efficiency, including scheduling, asset tracking and material utilization optimization. Plataine's solutions cater to sectors, such as aerospace, automotive, composite material manufacturing, furniture, industrial manufacturing and wind energy.</t>
  </si>
  <si>
    <t>Rav-Bariach Satellite Location</t>
  </si>
  <si>
    <t>Rav-Bariach Satellite Location is focused in the field of vehicle location tracking and advanced anti car theft protection solutions. The company develops and markets Skylock, an advanced satellite locating system that uses GPS technology.</t>
  </si>
  <si>
    <t>https://www.skylock.co.il</t>
  </si>
  <si>
    <t>Kiriyat Rav-Bariach</t>
  </si>
  <si>
    <t>info@skylock.co.il</t>
  </si>
  <si>
    <t>972-8-942-4280</t>
  </si>
  <si>
    <t>Transportation Companies, Shipping Companies, Car Companies, Car Rental Companies</t>
  </si>
  <si>
    <t>Satellite Locating Systems, GPS Technology, Vehicle Fleet Management Services</t>
  </si>
  <si>
    <t>Plasan</t>
  </si>
  <si>
    <t>Plasan is a global leader in survivability and armor solutions, committed to protecting those who protect us across land, air, and sea. The company provides comprehensive survivability solutions, from armored vehicles designed and manufactured by Plasan to tailored protection and integrated systems for OEM platforms. Owing to its innovation mindset and forward-thinking approach, Plasan continuously introduces to market groundbreaking products and technologies like the ATeMM (All-Terrain Electric Mission Module), a robotic platform designed to deliver energy to the battlefield, reduce the logistical burden, and extend operational reach.</t>
  </si>
  <si>
    <t>Moshe Elaz</t>
  </si>
  <si>
    <t>moshe.elazar@plasan.com</t>
  </si>
  <si>
    <t>http://www.plasan.com</t>
  </si>
  <si>
    <t>M.P. Merom Hagalil</t>
  </si>
  <si>
    <t>Kibbutz Sasa</t>
  </si>
  <si>
    <t>info@plasan.com</t>
  </si>
  <si>
    <t>972-4-680-9000</t>
  </si>
  <si>
    <t>plasan@plasan.com</t>
  </si>
  <si>
    <t>Defence Forces, Government Authorities, Homeland Security, Automotive Industry, Aerospace Industry, Security Industries.</t>
  </si>
  <si>
    <t>Survivability Solutions, Armored Fighting Vehicles Protection, Tactical Armored Vehicles, Armored Civilian Vehicles.
 ATeMM - Electric Robotic System enabling efficient, mission modular mobilization to all stages of the battlefield for various usages: Logistics, Energy, Munition, Sensors, Effectors and more.</t>
  </si>
  <si>
    <t>Bmax</t>
  </si>
  <si>
    <t>Bmax is a multi-national company heavily invested in research and development for the advancement of ultra-high speed processes and simulation technology. Bmax is a leading provider of advanced metal processing solutions offering industrial-grade systems for Forming, Welding, Crimping &amp; Expansion applications. The Bmax Systems are based on Magnetic Pulse (MP) and Electro-hydraulic (EH) processes. Bmax systems are currently being used for mass production of parts in automotive, aerospace, packaging and many other industries. Welding aluminum to steel in drive shafts and forming deep and sharp details in packaging are just two commercial examples of how our technology has helped product managers and designers realize their never-thought-possible products.</t>
  </si>
  <si>
    <t>Kevin Kenn</t>
  </si>
  <si>
    <t>kevin.kennedy@bmax.com</t>
  </si>
  <si>
    <t>http://www.bmax.com</t>
  </si>
  <si>
    <t>30 Bd de Thibaud, Toulouse Cedex 1</t>
  </si>
  <si>
    <t>Toulouse</t>
  </si>
  <si>
    <t>CS 10433</t>
  </si>
  <si>
    <t>France</t>
  </si>
  <si>
    <t>contact@bmax.com</t>
  </si>
  <si>
    <t>33-811-694-769</t>
  </si>
  <si>
    <t>Automotive, Aerospace, Packaging, White Goods, Energy, Construction, Cables, Gas, Fluid and Heat Exchangers ndustries / Sectors</t>
  </si>
  <si>
    <t>Magnetic Pulse (MP) and Electro-hydraulic (EH) processes</t>
  </si>
  <si>
    <t>Remote Energy</t>
  </si>
  <si>
    <t>Remote Energy’s developments utilize electric field charging, a solution that enhances cost-effectiveness, employs lightweight and compact components and grants exceptional freedom to drivers and operators.</t>
  </si>
  <si>
    <t>Amir Levit</t>
  </si>
  <si>
    <t>amir@remot.energy</t>
  </si>
  <si>
    <t>https://remot.energy</t>
  </si>
  <si>
    <t>4 Yehiel Drezner St.</t>
  </si>
  <si>
    <t>972-54-548-8210</t>
  </si>
  <si>
    <t>Wireless car market.</t>
  </si>
  <si>
    <t>Remote Energy’s technology enables wireless charging, based on electric fields (CWPT).</t>
  </si>
  <si>
    <t>Tervizio</t>
  </si>
  <si>
    <t>Tervizio is a developer of 3D imaging for the automotive industry, intending to improve safety. The company utilizes thermal energy to optimize 3D laser imaging detection and ranging technology at the pixel level to provide any range of resolution, thus enabling clients with obstacle detection and avoidance and safe navigation in non-autonomous and autonomous vehicles.</t>
  </si>
  <si>
    <t>Amit Frank</t>
  </si>
  <si>
    <t>amitfr@tervizio.com</t>
  </si>
  <si>
    <t>https://tervizio.com</t>
  </si>
  <si>
    <t>50 Borochov St.</t>
  </si>
  <si>
    <t>972-52-945-2563</t>
  </si>
  <si>
    <t>3D, Automotive, Artificial intelligence.</t>
  </si>
  <si>
    <t>RoadSense</t>
  </si>
  <si>
    <t>RoadSense enhances traffic safety, helps to reduce car accidents and provides technological infrastructure to all types of vehicles by using sustainable energy.</t>
  </si>
  <si>
    <t>Baruch Gue</t>
  </si>
  <si>
    <t>baruch@roadsense.tech</t>
  </si>
  <si>
    <t>https://www.roadsense.tech</t>
  </si>
  <si>
    <t>150 Menachem Begin Blvd.</t>
  </si>
  <si>
    <t>office@roadsense.tech</t>
  </si>
  <si>
    <t>972-54-692-5546</t>
  </si>
  <si>
    <t>Road Operators, Drivers.</t>
  </si>
  <si>
    <t>A new approach to enhance traffic safety by designing responsive elements on the pavement. These elements respond to dynamic and challenging driving conditions by changing their color using IOT technology and by communicating with the car. Another unique advantage is RoadSense's self-energy power source for recharging each element using green resources.</t>
  </si>
  <si>
    <t>Automotive, Cloud, Generative AI, IoT, Machine Learning, Smart City</t>
  </si>
  <si>
    <t>TankU</t>
  </si>
  <si>
    <t>TankU is a technology and services company, committed to bringing the best possible technology to the gas service stations industry. TankU's innovative fully-automated fueling app improves customer satisfaction and increases company's loyal customer base.</t>
  </si>
  <si>
    <t>Dan Valdho</t>
  </si>
  <si>
    <t>dan@tanku.co</t>
  </si>
  <si>
    <t>https://www.tanku.com</t>
  </si>
  <si>
    <t>97 Beit Lechem St.</t>
  </si>
  <si>
    <t>info@tanku.com</t>
  </si>
  <si>
    <t>972-55-882-5808</t>
  </si>
  <si>
    <t>Gas service stations, customers</t>
  </si>
  <si>
    <t>TankU's advanced technology integrates between the diverse systems inside the forecourt and the customers' smartphones, to create a quick and convenient automated refueling process and to offer a wide variety of payment options. The registration process is easy, requiring only a quick download of the TankU app and registering a log in ID. Every TankU user is a member with a custom-fit loyalty agreement. Management of customers, loyalty agreement sales and tailoring of the contract are fully automatic, and don't require any attendants.
 TankU is a unique platform that integrates fuel and none-fuel sales, and tailors its offers to each customer by measuring and analyzing customer behavior patterns.</t>
  </si>
  <si>
    <t>Artificial Intelligence, Automotive, FinTech</t>
  </si>
  <si>
    <t>AD Knight</t>
  </si>
  <si>
    <t>AD Knight solution improves pedestrian safety in obscured and low visibility scenarios, where common ADAS systems often fail to detect. With 360˚ coverage, AD Knight sensors detect pedestrians’ personal devices, estimate their distance from the vehicle, and therefore enhance and complement the ADAS systems.</t>
  </si>
  <si>
    <t>Jonathan A</t>
  </si>
  <si>
    <t>jonathan@ad-knight.com</t>
  </si>
  <si>
    <t>https://www.ad-knight.com</t>
  </si>
  <si>
    <t>32 Dov Hoz St.</t>
  </si>
  <si>
    <t>info@ad-knight.com</t>
  </si>
  <si>
    <t>972-52-862-2103</t>
  </si>
  <si>
    <t>Automotive market, vehicles, pedestrians, and other vulnerable road users</t>
  </si>
  <si>
    <t>A sensor which detects and estimate the distance to pedestrians’ personal devices (WiFi, Bluetooth, and Cellular).</t>
  </si>
  <si>
    <t>Zamir Mobility</t>
  </si>
  <si>
    <t>Medical Devices</t>
  </si>
  <si>
    <t>Zamir was founded in 2010 on the assumption that the industry needs a strong, independent player with an undisciplined view to cater to its customers. The company deals with innovative products and their entry into the market in favor of providing creative solutions to everyday and simple problems that have not yet been answered. The company has several products in the areas of interest that are related to each other and complement antagonists. Given that the name of the game is a matter of flexibility, a matter of openness. Our goal is to inform our clients of the best at a low cost for their investment.
 In addition, Zamir serves as the exclusive importer and develops a variety of quality auxiliary products for the disabled and their caregivers. In this framework, the company incorporated its first product, Firefly - an electric bicycle installed in a standard wheelchair. This product strengthens the independence of the disabled person, allows him mobility in a wide range of activities, and significantly improves his quality of life. So is the exclusive importation of Firefly Friends products, products for preschoolers, to encourage their independence in the natural space.</t>
  </si>
  <si>
    <t>https://www.zamir.cc</t>
  </si>
  <si>
    <t>27 Haam Hatzarfati Ave.</t>
  </si>
  <si>
    <t>972-54-422-5502</t>
  </si>
  <si>
    <t>info@zamir.cc</t>
  </si>
  <si>
    <t>Disabled individuals, Caregivers of disabled individuals, Medical equipment distributors, Special needs organizations, Health and wellness organizations.</t>
  </si>
  <si>
    <t>Tupaia</t>
  </si>
  <si>
    <t>Tupaia specializes in high precision positioning solutions within the cloud computing industry. The company offers a cloud-based positioning service that integrates with GNSS receivers and provides accurate location data for various applications. Tupaia's services cater to sectors, such as telecommunications, automotive, drones, IoT, micromobility, and mobile devices.</t>
  </si>
  <si>
    <t>Nadav Lavi</t>
  </si>
  <si>
    <t>nadav.lavi@tupaia-pos.com</t>
  </si>
  <si>
    <t>https://www.tupaia-pos.com</t>
  </si>
  <si>
    <t>24 Raoul Wallenberg St.</t>
  </si>
  <si>
    <t>info@tupaia-pos.com</t>
  </si>
  <si>
    <t>Telecommunications, Automotive, Drones, IoT, Micromobility and mobile devices sectors.</t>
  </si>
  <si>
    <t>Tupaia's algorithms combine data from the user's mobile GNSS (Global Navigation Satellite System) with fixed locations of satellite navigation receivers, such as those installed on fixed cellular reception antennas.</t>
  </si>
  <si>
    <t>Artificial Intelligence, Automotive, Cloud, Construction Tech, Deep Tech, Drones, IoT, Smart City, SpaceTech</t>
  </si>
  <si>
    <t>EllR</t>
  </si>
  <si>
    <t>EllR leverages an advanced IoT solution, global connectivity and social trends to speed up recovery of riders &amp; bikes in emergency situations. EllR connects the community of riders in a smart and seamless way to support each other, efficiently and effectively in emergency situations such as accident, theft or a breakdown of the bike.</t>
  </si>
  <si>
    <t>Raz Tsafri</t>
  </si>
  <si>
    <t>raz@ellr.bike</t>
  </si>
  <si>
    <t>https://www.ellr.bike</t>
  </si>
  <si>
    <t>1 Sailershäuser Straße, Obertheres</t>
  </si>
  <si>
    <t>Motorcycle Riders</t>
  </si>
  <si>
    <t>A robust, compact, water-proof, FCC/CE certified tracking device, with internal battery and advanced sensors that help keep the bike secured.</t>
  </si>
  <si>
    <t>SafeFields</t>
  </si>
  <si>
    <t>SafeFields presents a novel technology that reduces exposure to electromagnetic radiation, emitted by electric drive systems in all different modes of the vehicle, including idling, driving at different speeds and accelerating and decelerating. The company's system measures the magnetic field in real time, analyzes it and generates a phase-inverse field that is offset from the original field. Safefields' system includes sensors to monitor the magnetic field, a real-time digital and analog signal processing unit and actuators that generate the opposing field. The company's system is placed under the car seats in the problematic areas of the vehicle and can be transferred from one vehicle to another in the event of selling the vehicle.</t>
  </si>
  <si>
    <t>Shaul Shul</t>
  </si>
  <si>
    <t>Co-CEO &amp; Co-Founder</t>
  </si>
  <si>
    <t>shaul@safefields-tech.com</t>
  </si>
  <si>
    <t>https://www.safefields-tech.com</t>
  </si>
  <si>
    <t>32 Maskit St.</t>
  </si>
  <si>
    <t>office@safefields-tech.com</t>
  </si>
  <si>
    <t>972-54-520-2120</t>
  </si>
  <si>
    <t>Car industry.</t>
  </si>
  <si>
    <t>SafeFields' system neutralizes the magnetic field by producing a counter field. The company's technology enables the necessary transition to greener transportation without compromising user safety.</t>
  </si>
  <si>
    <t>Exelerate Smart Traffic</t>
  </si>
  <si>
    <t>Exelerate Smart Traffic develops and deploys "Falcon", one of the world's most advanced urban traffic control systems. The system can control urban traffic in any city as it can connect to all of the traffic controllers and sensors found on the street. Falcon can provide a wide range of traffic-light control techniques including time-of-day, semi-adaptive and adaptive control. The system can also control priority for public transportation of all kinds, adaptive green waves, and in the future – it will connect and integrate with autonomous vehicles. Falcon easy-to-use and operate system is ready to be deployed and has already been proven in complex traffic control scenarios in several cities. The company is in significant growth and expansion worldwide.</t>
  </si>
  <si>
    <t>Ziv Neuman</t>
  </si>
  <si>
    <t>zivn@exelerate.com</t>
  </si>
  <si>
    <t>https://www.exelerate.com</t>
  </si>
  <si>
    <t>main@exelerate.com</t>
  </si>
  <si>
    <t>972-52-306-5360</t>
  </si>
  <si>
    <t>Municipalities and Governmental authorities</t>
  </si>
  <si>
    <t>Exelerate's technology, named "Falcon", has been in development for over 8 years and is currently deployed in 8 municipalities, alongside the traffic-light controlled intersections in all of Israel's light-rail networks, and in 50% of the intersections in Israel Highways (Netivei Israel). Altogether the system is deployed in 30% of the traffic lighted intersections nationwide.</t>
  </si>
  <si>
    <t>Alma Technologies</t>
  </si>
  <si>
    <t>ALMA develops a system that knows which terrain route the vehicle is on, what is its angular position, what is the exact speed at which it is traveling and more. This data is combined with advanced information fusion schemes that finally provide the location of the vehicle. The company's system knows how to work alongside the GPS and improve the quality and frequency of the location solution.</t>
  </si>
  <si>
    <t>Barak Or</t>
  </si>
  <si>
    <t>https://www.almatechnologies.com</t>
  </si>
  <si>
    <t>9 Andre Saharov St., Matam</t>
  </si>
  <si>
    <t>info@almatechnologies.com</t>
  </si>
  <si>
    <t>Car drivers, Scooter riders.</t>
  </si>
  <si>
    <t>ALMA has developed a system that allows the users to navigate without GPS. The company's inertial system, based on the sensors that are in every smartphone, such as a gyroscope and an accelerometer.</t>
  </si>
  <si>
    <t>Electricare</t>
  </si>
  <si>
    <t>Electricare aspires to create a hassle-free experience through a mobile energy supply platform for electric vehicles, transforming vehicle charging from a nuisance to a service at the touch of a button, freeing up consumers to spend time doing what they enjoy, thus boosting the adoption of electric vehicle technology.</t>
  </si>
  <si>
    <t>Esther Wes</t>
  </si>
  <si>
    <t>https://electricare-ev.com</t>
  </si>
  <si>
    <t>78 Haegoz St.</t>
  </si>
  <si>
    <t>Neve Yarak</t>
  </si>
  <si>
    <t>info@electicare-ev.com</t>
  </si>
  <si>
    <t>972-3-381-0101</t>
  </si>
  <si>
    <t>EV fleet managers, EV charging providers, EV users.</t>
  </si>
  <si>
    <t>IRP Systems</t>
  </si>
  <si>
    <t>IRP systems delivers innovative high-performance E-powertrain systems. Its goal is to make electric mobility technology affordable for the mass market, making electric vehicles accessible to everyone, everywhere. Leveraging its breakthrough technology in control algorithms and powertrain design, their systems reach an unprecedented level of efficiency and performance. Evver, the company's wide product portfolio serves a wide variety of e-mobility platforms, providing high performance, a unique driving experience, and advanced functionality while being cost-effective.</t>
  </si>
  <si>
    <t>Moran Pric</t>
  </si>
  <si>
    <t>https://www.irpsystems.com</t>
  </si>
  <si>
    <t>5 Golda Meir St., Ness Ziona Science Park</t>
  </si>
  <si>
    <t>info@irpsystems.com</t>
  </si>
  <si>
    <t>972-72-241-5626</t>
  </si>
  <si>
    <t>E-mobility sector, Automotive and Micro-mobility manufacturers.</t>
  </si>
  <si>
    <t>TrueDrive™ portfolio of electric motors and controllers offers a high level of powertrain efficiency, range and performance, while minimizing total powertrain costs. IRP Systems' technology can be used for platforms, ranging from electric mopeds to fully electric and hybrid vehicles.</t>
  </si>
  <si>
    <t>StoreDot</t>
  </si>
  <si>
    <t>StoreDot is a manufacturer of batteries and lithium-ion components designed for electric cars. The company offers XFC (Extreme Fast Charging) batteries for electric vehicles by combining nano-structural materials with organic and inorganic compounds and proprietary electrolytes, utilizing artificial intelligence algorithms to optimize batteries for electric vehicles, enabling clients to meet their requisite power needs, switch to electric cars and decrease emissions.</t>
  </si>
  <si>
    <t>Doron Myer</t>
  </si>
  <si>
    <t>doron@store-dot.com</t>
  </si>
  <si>
    <t>https://www.store-dot.com</t>
  </si>
  <si>
    <t>3 Shenkar St.</t>
  </si>
  <si>
    <t>info@store-dot.com</t>
  </si>
  <si>
    <t>972-73-253-5400</t>
  </si>
  <si>
    <t>Electric vehicle &amp; automotive manufacturers.</t>
  </si>
  <si>
    <t>StoreDot developed FlashBattery technology that accelerates charging times for lithium-ion batteries in vehicles. The company's technology is based on a scientific discovery by Prof. Ehud Gazit and his research team from Tel Aviv University, who developed new crystals, called Nanodots, each 2 nanometers in size, which have special properties such as high capacitance. On this basis, StoreDot developed the eXtreme Fast Charging (XFC) battery technology for electric vehicles.</t>
  </si>
  <si>
    <t>Pango Pay &amp; Go</t>
  </si>
  <si>
    <t>Pango provides a comprehensive turnkey mobile payment parking solution to local government and parking lot owners with outstanding successful performance. The Pango App has become synonymous with driver and vehicle solutions. It is one of the most widespread applications in Israel in terms of the number of downloads and frequency of use.</t>
  </si>
  <si>
    <t>https://en.pango.co.il</t>
  </si>
  <si>
    <t>49 Hasivim St.</t>
  </si>
  <si>
    <t>support@pango.co.il</t>
  </si>
  <si>
    <t>972-72-224-0800</t>
  </si>
  <si>
    <t>Municipalities, Enterprises, Drivers</t>
  </si>
  <si>
    <t>Remote Cellular Parking Payment System. Pango has expanded the technological platform and provides a comprehensive solution for passengers with a variety of information and payment solutions available and convenient.
 In the past year Pango has significantly expanded its basket of solutions also for payment for refueling and purchase in convenience stores in partnership with Sonol, payment for public transport together with Mobit through the existing Pango account.</t>
  </si>
  <si>
    <t>Gett</t>
  </si>
  <si>
    <t>Gett is a leading ground transportation management platform that streamlines business travel by connecting organizations with a global network of vetted transportation providers. Through its cloud-based solution, Gett enables companies to book, manage, and optimize rides for employees, offering enhanced control, cost-efficiency, and real-time visibility. Serving major markets including the UK and Israel, Gett is trusted by thousands of businesses to simplify ground travel logistics and improve the overall travel experience.</t>
  </si>
  <si>
    <t>Matteo de</t>
  </si>
  <si>
    <t>matteo@gett.com</t>
  </si>
  <si>
    <t>https://gett.com/il</t>
  </si>
  <si>
    <t>19 Habarzel St.</t>
  </si>
  <si>
    <t>sales@gettaxi.com</t>
  </si>
  <si>
    <t>972-3-644-8299</t>
  </si>
  <si>
    <t>Consumers and businesses with on-demand mobility needs across transportation, delivery &amp; logistics.</t>
  </si>
  <si>
    <t>On-demand ride booking, Predictive algorithms, Artificial intelligence.</t>
  </si>
  <si>
    <t>Artificial Intelligence, Automotive, Big Data, Machine Learning, SaaS, Travel Tech</t>
  </si>
  <si>
    <t>Anachoic</t>
  </si>
  <si>
    <t>Anachoic specializes in the development of Advanced Rider Assistance Systems (ARAS) for the Powered Two-Wheeler market. The company’s micro-radar platform provides riders with real-time 360◦ protection via its patented spatial audio HMI.</t>
  </si>
  <si>
    <t>Eric Tamma</t>
  </si>
  <si>
    <t>etammam@anachoic.com</t>
  </si>
  <si>
    <t>https://www.anachoic.com</t>
  </si>
  <si>
    <t>7 Abba Hillel Silver St., Silver House</t>
  </si>
  <si>
    <t>info@anachoic.com</t>
  </si>
  <si>
    <t>972-54-471-4121</t>
  </si>
  <si>
    <t>Pedestrians, Bicycle riders, Motorcyclists.</t>
  </si>
  <si>
    <t>Anachoic has developed tiny sensors, synthesized audio and artificial intelligence that are embedded in a helmet or headset and through, which the system detects threats and transmits them to the user naturally and immersively.</t>
  </si>
  <si>
    <t>Intuition Robotics</t>
  </si>
  <si>
    <t>Intuition Robotics is on a mission to empower older adults to live happier, healthier, and more independent lives at home. The company's award-winning product, ElliQ®, is a proactive care companion for older adults. ElliQ helps keep users healthy, engaged, and informed, while alleviating the effects of loneliness and social isolation.</t>
  </si>
  <si>
    <t>Dor Skuler</t>
  </si>
  <si>
    <t>http://www.intuitionrobotics.com</t>
  </si>
  <si>
    <t>3 Hayezira St.,</t>
  </si>
  <si>
    <t>info@intuitionrobotics.com</t>
  </si>
  <si>
    <t>972-54-255-6606</t>
  </si>
  <si>
    <t>The elderly, Caregivers, Retirement homes, Automotive industry.</t>
  </si>
  <si>
    <t>ElliQ is a proactive, voice-operated care companion designed to empower independence and support you in taking control of your social, mental and physical wellbeing. ElliQ proactively initiates conversation and projects empathy to foster collaboration and trust, while employing the AI's character and multi-modal communication ability in generating unprecedented levels of engagement.
 Digital companion agents, Artificial Intelligence, Robotics, Social Robots, Social companion technologies.</t>
  </si>
  <si>
    <t>AgeTech, Artificial Intelligence, Automotive, Cloud, Deep Tech, Digital Health, Generative AI, Machine Learning, Machine Vision, Robotics, Wellness</t>
  </si>
  <si>
    <t>HopOn</t>
  </si>
  <si>
    <t>HopOn's mobile ticketing platform streamlines payment and validation processes for public and shared transportation. HopOn's patented, hardware-free solution enables multiple simultaneous validations, shortening boarding time in any scenario, from CICO/CIBO to full BIBO. The platform also enables a smooth transition to account-based post-payment. While passengers enjoy seamless mobility, the HopOn solution enables operators and municipalities to collect valuable real-time data on passenger behavior, optimize their service and deliver targeted content to passengers. HopOn's solutions have been implemented in major European cities and integrated with leading banks.</t>
  </si>
  <si>
    <t>Amir Rosen</t>
  </si>
  <si>
    <t>amir@hopon.co</t>
  </si>
  <si>
    <t>https://hopon.co</t>
  </si>
  <si>
    <t>3 Ha-Yetsira St.</t>
  </si>
  <si>
    <t>contact@hopon.co.il</t>
  </si>
  <si>
    <t>972-77-531-4838</t>
  </si>
  <si>
    <t>Public and private Transit Operators, Banks , Payment providers , Cellular operators , Utility Companies.</t>
  </si>
  <si>
    <t>HopOn provides seamless mobility and data collection solutions for any means of public and shared transportation. HopOn cloud-based Platform provides transportation companies, municipalities, and smart city organizations real-time data on passenger volumes and journeys, enabling them to analyze trends, optimize their service and smoothly transition to ABT (Account-Based Ticketing), Post Paid , Best price and to advanced BIBO validation.
 • MaaS , Seamless mobility and data collection
 • Support any means of public and shared transportation
 • Cloud-based technology 
 • Real-time data on passenger volumes and journeys
 • Pre-paid with transition to post-paid, ABT (account-based ticketing) and to advanced BIBO validation
 • Analyze trends, optimize service
 • Riders no longer need to purchase a ticket, tap or scan to make a journey and benefit from best fare policies using their mobile device</t>
  </si>
  <si>
    <t>Automotive, Big Data, FinTech, IoT, Smart City, Travel Tech</t>
  </si>
  <si>
    <t>Telit Cinterion</t>
  </si>
  <si>
    <t>Telit Cinterion is a global enabler of the intelligent edge providing complete solutions that reduce time to market and costs, delivering custom designed, ready for market connected devices in addition to maintaining the industry's broadest portfolio of enterprise-grade wireless communication and positioning modules, cellular MVNO connectivity plans and management services, edge-cloud software and data orchestration, and IoT and Industrial IoT platforms. As the largest western provider pioneering IoT innovation, Telit Cinterion delivers award-winning and highly secure IoT solutions, modules and services for the industry's top brands.</t>
  </si>
  <si>
    <t>Paolo Dal</t>
  </si>
  <si>
    <t>paolo.dalpino@telit.com</t>
  </si>
  <si>
    <t>https://www.telit.com</t>
  </si>
  <si>
    <t>Irvine</t>
  </si>
  <si>
    <t>investorsinfo@telit.com</t>
  </si>
  <si>
    <t>Communications solutions providers and systems integrators.</t>
  </si>
  <si>
    <t>End-to-end IoT Solutions, Cloud-based M2M / IoT Platform-as-a-Service (PaaS), GNSS</t>
  </si>
  <si>
    <t>Automotive, Industry 4.0, IoT, Smart City</t>
  </si>
  <si>
    <t>Addionics</t>
  </si>
  <si>
    <t>Addionics' core technology is based on the development of smart metals and 3D current collectors for lithium-ion batteries, replacing flat metal sheets with an advanced porous structure. This structural change improves current conduction within the cell, enables more efficient heat dissipation, extends battery life and supports high-power charging and discharging, all without changing the battery chemistry or requiring adjustments to existing production lines. The ability of Addionics' technology to deliver high power without compromising cell stability and longevity positions it as a relevant solution for next-generation electric and hybrid military platforms.</t>
  </si>
  <si>
    <t>Moshiel Bi</t>
  </si>
  <si>
    <t>moshiel@addionics.com</t>
  </si>
  <si>
    <t>https://www.addionics.com</t>
  </si>
  <si>
    <t>80 Wood Lane</t>
  </si>
  <si>
    <t>W12 0BZ</t>
  </si>
  <si>
    <t>info@addionics.com</t>
  </si>
  <si>
    <t>Electric vehicles and battery manufacturers, automakers, energy storage industry.</t>
  </si>
  <si>
    <t>Addionics is a developer of Smart 3D current collectors, designed to improve battery performance across existing and emerging chemistries, operating in the energy storage industry. The company offers technology that boosts capacity, enhances safety, shortens charging times and extends battery life, seamlessly integrating into current manufacturing lines, enabling next-generation battery advancements.</t>
  </si>
  <si>
    <t>Artificial Intelligence, Automotive, Climate Tech, Deep Tech, Impact</t>
  </si>
  <si>
    <t>עק</t>
  </si>
  <si>
    <t>Search Criteria:</t>
  </si>
  <si>
    <t>Location: Middle East &gt; Israel; Emerging Spaces: Energy &gt; Batteryless IoT Sensors; Energy &gt; Electric Vehicle Charging Infrastructure; Consumer Products and Services (B2C) &gt; Air Taxis; Consumer Products and Services (B2C) &gt; Electric Vehicle Platforms; Keywords: fleet management; fleet connectivity; Industries: Consumer Products and Services (B2C) &gt; Transportation &gt; Automotive; Consumer Products and Services (B2C) &gt; Transportation &gt; Rail; Consumer Products and Services (B2C) &gt; Transportation &gt; Marine; Consumer Products and Services (B2C) &gt; Transportation &gt; Air; Business Products and Services (B2B) &gt; Commercial Transportation &gt; Road; Verticals: Autonomous cars; Micro-Mobility; Mobility Tech; Search Emerging Spaces OR Keywords OR Industries OR Verticals;</t>
  </si>
  <si>
    <t>Total Raised</t>
  </si>
  <si>
    <t>Companies</t>
  </si>
  <si>
    <t>Company Former Name</t>
  </si>
  <si>
    <t>Company Also Known As</t>
  </si>
  <si>
    <t>Company Legal Name</t>
  </si>
  <si>
    <t>Competitors</t>
  </si>
  <si>
    <t>Description</t>
  </si>
  <si>
    <t>Primary Industry Sector</t>
  </si>
  <si>
    <t>Primary Industry Group</t>
  </si>
  <si>
    <t>Primary Industry Code</t>
  </si>
  <si>
    <t>All Industries</t>
  </si>
  <si>
    <t>Verticals</t>
  </si>
  <si>
    <t>Keywords</t>
  </si>
  <si>
    <t>Company Financing Status</t>
  </si>
  <si>
    <t>Company ID</t>
  </si>
  <si>
    <t>Business Status</t>
  </si>
  <si>
    <t>Ownership Status</t>
  </si>
  <si>
    <t>Universe</t>
  </si>
  <si>
    <t>LinkedIn URL</t>
  </si>
  <si>
    <t>Employees</t>
  </si>
  <si>
    <t>Employee History</t>
  </si>
  <si>
    <t>Exchange</t>
  </si>
  <si>
    <t>Ticker</t>
  </si>
  <si>
    <t>Year Founded</t>
  </si>
  <si>
    <t>Parent Company</t>
  </si>
  <si>
    <t>Daily Updates</t>
  </si>
  <si>
    <t>Weekly Updates</t>
  </si>
  <si>
    <t>Revenue</t>
  </si>
  <si>
    <t>Gross Profit</t>
  </si>
  <si>
    <t>Net Income</t>
  </si>
  <si>
    <t>Enterprise Value</t>
  </si>
  <si>
    <t>EBITDA</t>
  </si>
  <si>
    <t>EBIT</t>
  </si>
  <si>
    <t>Market Cap</t>
  </si>
  <si>
    <t>Net Debt</t>
  </si>
  <si>
    <t>Revenue Growth %</t>
  </si>
  <si>
    <t>Fiscal Period</t>
  </si>
  <si>
    <t>Primary Contact PBId</t>
  </si>
  <si>
    <t>Primary Contact</t>
  </si>
  <si>
    <t>Primary Contact Title</t>
  </si>
  <si>
    <t>Primary Contact Email</t>
  </si>
  <si>
    <t>Primary Contact Phone</t>
  </si>
  <si>
    <t>HQ Location</t>
  </si>
  <si>
    <t>HQ Address Line 1</t>
  </si>
  <si>
    <t>HQ Address Line 2</t>
  </si>
  <si>
    <t>HQ State/Province</t>
  </si>
  <si>
    <t>HQ Post Code</t>
  </si>
  <si>
    <t>HQ Country/Territory/Region</t>
  </si>
  <si>
    <t>HQ Fax</t>
  </si>
  <si>
    <t>HQ Email</t>
  </si>
  <si>
    <t>HQ Global Region</t>
  </si>
  <si>
    <t>HQ Global Sub Region</t>
  </si>
  <si>
    <t>Financing Status Note</t>
  </si>
  <si>
    <t>Active Investors</t>
  </si>
  <si>
    <t># Active Investors</t>
  </si>
  <si>
    <t>Acquirers</t>
  </si>
  <si>
    <t>Former Investors</t>
  </si>
  <si>
    <t>Other Investors</t>
  </si>
  <si>
    <t>Active Investors Websites</t>
  </si>
  <si>
    <t>Former Investors Websites</t>
  </si>
  <si>
    <t>Other Investors Websites</t>
  </si>
  <si>
    <t>General Services</t>
  </si>
  <si>
    <t>Services on a Deal</t>
  </si>
  <si>
    <t>First Financing Date</t>
  </si>
  <si>
    <t>First Financing Size</t>
  </si>
  <si>
    <t>First Financing Size Status</t>
  </si>
  <si>
    <t>First Financing Valuation</t>
  </si>
  <si>
    <t>First Financing Valuation Status</t>
  </si>
  <si>
    <t>First Financing Deal Type</t>
  </si>
  <si>
    <t>First Financing Deal Type 2</t>
  </si>
  <si>
    <t>First Financing Deal Type 3</t>
  </si>
  <si>
    <t>First Financing Deal Class</t>
  </si>
  <si>
    <t>First Financing Debt</t>
  </si>
  <si>
    <t>First Financing Status</t>
  </si>
  <si>
    <t>Last Financing Date</t>
  </si>
  <si>
    <t>Last Financing Size</t>
  </si>
  <si>
    <t>Last Financing Size Status</t>
  </si>
  <si>
    <t>Last Financing Valuation</t>
  </si>
  <si>
    <t>Last Financing Valuation Status</t>
  </si>
  <si>
    <t>Last Financing Deal Type</t>
  </si>
  <si>
    <t>Last Financing Deal Type 2</t>
  </si>
  <si>
    <t>Last Financing Deal Type 3</t>
  </si>
  <si>
    <t>Last Financing Deal Class</t>
  </si>
  <si>
    <t>Last Financing Debt Date</t>
  </si>
  <si>
    <t>Last Financing Debt Size</t>
  </si>
  <si>
    <t>Last Financing Debt</t>
  </si>
  <si>
    <t>Last Financing Status</t>
  </si>
  <si>
    <t>Growth Rate</t>
  </si>
  <si>
    <t>Growth Rate Percentile</t>
  </si>
  <si>
    <t>Growth Rate Change</t>
  </si>
  <si>
    <t>Growth Rate % Change</t>
  </si>
  <si>
    <t>Web Growth Rate</t>
  </si>
  <si>
    <t>Web Growth Rate Percentile</t>
  </si>
  <si>
    <t>SimilarWeb Growth Rate</t>
  </si>
  <si>
    <t>SimilarWeb Growth Rate Percentile</t>
  </si>
  <si>
    <t>Majestic Growth Rate</t>
  </si>
  <si>
    <t>Majestic Growth Rate Percentile</t>
  </si>
  <si>
    <t>Size Multiple</t>
  </si>
  <si>
    <t>Size Multiple Percentile</t>
  </si>
  <si>
    <t>Size Multiple Change</t>
  </si>
  <si>
    <t>Size Multiple % Change</t>
  </si>
  <si>
    <t>Web Size Multiple</t>
  </si>
  <si>
    <t>Web Size Multiple Percentile</t>
  </si>
  <si>
    <t>SimilarWeb Size Multiple</t>
  </si>
  <si>
    <t>SimilarWeb Size Multiple Percentile</t>
  </si>
  <si>
    <t>Majestic Size Multiple</t>
  </si>
  <si>
    <t>Majestic Size Multiple Percentile</t>
  </si>
  <si>
    <t>SimilarWeb Unique Visitors</t>
  </si>
  <si>
    <t>SimilarWeb Unique Visitors Change</t>
  </si>
  <si>
    <t>SimilarWeb Unique Visitors % Change</t>
  </si>
  <si>
    <t>Majestic Referring Domains</t>
  </si>
  <si>
    <t>Majestic Referring Domains Change</t>
  </si>
  <si>
    <t>Majestic Referring Domains % Change</t>
  </si>
  <si>
    <t>Profile Data Source</t>
  </si>
  <si>
    <t>Last Updated Date</t>
  </si>
  <si>
    <t>Total Patent Documents</t>
  </si>
  <si>
    <t>Total Patent Families</t>
  </si>
  <si>
    <t>Active Patent Documents</t>
  </si>
  <si>
    <t>Pending Patent Documents</t>
  </si>
  <si>
    <t>Patents Expiring the Next Year</t>
  </si>
  <si>
    <t>Inactive Family Documents</t>
  </si>
  <si>
    <t>Top CPC Codes</t>
  </si>
  <si>
    <t>Opportunity Score</t>
  </si>
  <si>
    <t>Success Class</t>
  </si>
  <si>
    <t>Success Probability</t>
  </si>
  <si>
    <t>No Exit Probability</t>
  </si>
  <si>
    <t>Predicted Exit Type</t>
  </si>
  <si>
    <t>IPO Probability</t>
  </si>
  <si>
    <t>M&amp;A Probability</t>
  </si>
  <si>
    <t>Last Known Valuation</t>
  </si>
  <si>
    <t>Last Known Valuation Date</t>
  </si>
  <si>
    <t>Last Known Valuation Deal Type</t>
  </si>
  <si>
    <t># of UCC Filings</t>
  </si>
  <si>
    <t>Last UCC Filing Date</t>
  </si>
  <si>
    <t>Last UCC Expiration Date</t>
  </si>
  <si>
    <t>Emerging Spaces</t>
  </si>
  <si>
    <t>Clinical Trials Matching Criteria</t>
  </si>
  <si>
    <t>Total Clinical Trials</t>
  </si>
  <si>
    <t>Last Valuation Step-Up</t>
  </si>
  <si>
    <t>Last Known Valuation Step-Up</t>
  </si>
  <si>
    <t>View Company Online</t>
  </si>
  <si>
    <t>Package.ai</t>
  </si>
  <si>
    <t>Jenny Labs Ltd.</t>
  </si>
  <si>
    <t>Developer of a shipment tracking platform designed to optimize delivery routes and facilitate last-minute deliveries using artificial intelligence technology. The company's platform offers a virtual logistics management system that integrates a chatbot application to optimize delivery routes, communicate instructions from recipients, track shipment status, and share it with consumers through real-time updates, enabling logistics service providers to monitor and improve driver's performance, save gas, shorten delivery routes, and reduce delivery time for secured shipment deliveries.</t>
  </si>
  <si>
    <t>Information Technology</t>
  </si>
  <si>
    <t>Software</t>
  </si>
  <si>
    <t>Business/Productivity Software</t>
  </si>
  <si>
    <t>Business/Productivity Software*, Logistics</t>
  </si>
  <si>
    <t>Artificial Intelligence &amp; Machine Learning, Mobility Tech, SaaS</t>
  </si>
  <si>
    <t>ai logistics, delivery management software, delivery tracking, logistics platform, logistics tracking, shipment tracker</t>
  </si>
  <si>
    <t>Venture Capital-Backed</t>
  </si>
  <si>
    <t>186678-28</t>
  </si>
  <si>
    <t>Generating Revenue</t>
  </si>
  <si>
    <t>Privately Held (backing)</t>
  </si>
  <si>
    <t>Venture Capital</t>
  </si>
  <si>
    <t>www.package.ai</t>
  </si>
  <si>
    <t>http://www.linkedin.com/company/package.ai</t>
  </si>
  <si>
    <t>2017: 6, 2020: 6, 2021: 10, 2022: 15, 2023: 20, 2024: 25, 2025: 23, 2026: 33</t>
  </si>
  <si>
    <t>80329-42P</t>
  </si>
  <si>
    <t>Ziv Fass</t>
  </si>
  <si>
    <t>Co-Founder &amp; Chief Executive Officer</t>
  </si>
  <si>
    <t>ziv@package.ai</t>
  </si>
  <si>
    <t>Tel Aviv, Israel</t>
  </si>
  <si>
    <t>94 Yigal Alon Street</t>
  </si>
  <si>
    <t>info@package.ai</t>
  </si>
  <si>
    <t>Middle East</t>
  </si>
  <si>
    <t>The company raised $14 million through a combination debt and Series A venture funding in a deal led by Susquehanna Growth Equity on January 21, 2025, putting the company's pre-money valuation at $33.03 million. Meta3Ventures and Other undisclosed investors also participated in the round.</t>
  </si>
  <si>
    <t>AltaIR Capital, ICONYC Labs, Kobi Bensimon, Meta3Ventures, Nielsen Innovate, Shai Rephaeli, Susquehanna Growth Equity, ToDay Ventures, Udi Netzer</t>
  </si>
  <si>
    <t>AltaIR Capital (www.altair.vc), ICONYC Labs (www.iconyclabs.com), Meta3Ventures (www.meta3ventures.com), Nielsen Innovate (www.nif.vc), Susquehanna Growth Equity (www.sgep.com), ToDay Ventures (www.today.ventures)</t>
  </si>
  <si>
    <t>01-ספט-2017</t>
  </si>
  <si>
    <t>Accelerator/Incubator</t>
  </si>
  <si>
    <t>Other</t>
  </si>
  <si>
    <t>Completed</t>
  </si>
  <si>
    <t>21-ינו-2025</t>
  </si>
  <si>
    <t>Actual</t>
  </si>
  <si>
    <t>Later Stage VC</t>
  </si>
  <si>
    <t>Series A</t>
  </si>
  <si>
    <t>Other - 2.99M $</t>
  </si>
  <si>
    <t>5.96x</t>
  </si>
  <si>
    <t>0.00x</t>
  </si>
  <si>
    <t>13.22x</t>
  </si>
  <si>
    <t>PitchBook Research</t>
  </si>
  <si>
    <t>22-ינו-2026</t>
  </si>
  <si>
    <t>Success</t>
  </si>
  <si>
    <t>M&amp;A</t>
  </si>
  <si>
    <t>infiniDome</t>
  </si>
  <si>
    <t>GPSdome</t>
  </si>
  <si>
    <t>InfiniDome, Ltd.</t>
  </si>
  <si>
    <t>Tualcom, NovAtel, Elbit Systems, BAE Systems, Mayflower (High Wycombe)</t>
  </si>
  <si>
    <t>Developer of global positioning system cyber devices designed to defend unmanned aerial vehicles from jamming attacks. The company's platform deploys GPS protection and navigation resiliency solutions tailored to defend UAVs and other vehicles from GPS electronic warfare attacks (like jamming and spoofing), its solutions are the most C-SWaP (Cost, Size, Weight, and Power) optimized GPS protection solutions in the world and already defending thousands of platforms worldwide in combat, enabling companies to protect against low-cost global positioning system jammers through location and time synchronization from short-range disruptors.</t>
  </si>
  <si>
    <t>Computer Hardware</t>
  </si>
  <si>
    <t>Electronic Equipment and Instruments</t>
  </si>
  <si>
    <t>Aerospace and Defense, Electronic Equipment and Instruments*, Government, Network Management Software</t>
  </si>
  <si>
    <t>Mobility Tech</t>
  </si>
  <si>
    <t>aerial drones, anti-jamming antenna, anti-spoofing antenna, aviation navigation system, drones logistics, global positioning system, gnss, gps, gps spoofing detection, gps system, uav</t>
  </si>
  <si>
    <t>171283-60</t>
  </si>
  <si>
    <t>www.infinidome.com</t>
  </si>
  <si>
    <t>http://www.linkedin.com/company/gps-dome-ltd</t>
  </si>
  <si>
    <t>2017: 3, 2020: 11, 2021: 15, 2022: 23, 2023: 27, 2024: 25, 2025: 29</t>
  </si>
  <si>
    <t>158475-16P</t>
  </si>
  <si>
    <t>Omer Sharar</t>
  </si>
  <si>
    <t>Co-Founder, Chief Executive Officer &amp; Founding Partner</t>
  </si>
  <si>
    <t>omer@infinidome.com</t>
  </si>
  <si>
    <t>Caesarea, Israel</t>
  </si>
  <si>
    <t>7 Ha'eshel Street Industrial Park South</t>
  </si>
  <si>
    <t>PO Box 3358</t>
  </si>
  <si>
    <t>Caesarea</t>
  </si>
  <si>
    <t>Hefa</t>
  </si>
  <si>
    <t>info@infinidome.com</t>
  </si>
  <si>
    <t>The company raised $2.7 million of venture funding from Texas Venture Partners and ArtofIn on December 1, 2024.</t>
  </si>
  <si>
    <t>ArtofIn, Aston Ventures, Boundary Holding, Drive TLV, Hanwha Aerospace Company, Honeywell Ventures, Innovation Authority, K2X, La Chela, LiteCap, MobilityXlab, Next Gear Ventures, Pointman I, Texas Venture Partners, VentureIsrael</t>
  </si>
  <si>
    <t>Aston Capital</t>
  </si>
  <si>
    <t>ArtofIn (artofin.com), Aston Ventures (www.astonventures.com), Boundary Holding (www.boundaryholding.com), Drive TLV (www.drivetlv.com/fastlane), Hanwha Aerospace Company (www.hanwhaaerospace.com), Innovation Authority (innovationisrael.org.il), K2X (k2x.capital), LiteCap (www.lite-cap.com), MobilityXlab (www.mobilityxlab.com), Next Gear Ventures (www.nextgear.fund), Texas Venture Partners (www.texasventurepartners.com), VentureIsrael (www.ventureisrael.com)</t>
  </si>
  <si>
    <t>Deloitte(Auditor), Ernst &amp; Young Global(Auditor), Naschitz Brandes Amir(Legal Advisor), Schindler Financial Group(Accounting)</t>
  </si>
  <si>
    <t>Naschitz Brandes Amir(Legal Advisor), Schindler Financial Group(Accounting)</t>
  </si>
  <si>
    <t>01-דצמ-2024</t>
  </si>
  <si>
    <t>6.35x</t>
  </si>
  <si>
    <t>23-ינו-2026</t>
  </si>
  <si>
    <t>Antennas, Radio direction-finding, Secret communication, Transmission, Wireless communication networks</t>
  </si>
  <si>
    <t>24-אפר-2023</t>
  </si>
  <si>
    <t>C2A-SEC Ltd</t>
  </si>
  <si>
    <t>TowerSec, Shield-IoT, Ordr (Network Management Software), Axonius, Firedome, Escrypt, Claroty, ForeScout Technologies, Dellfer, Sternum, AttackIQ, Cybereason, Attila Security, CyberX (Network Management Software), Armis, Valtix, ExtraHop Networks, Darktrace, Cybeats Technologies, Mocana, Skybox Security, Indegy, Swivel Secure, Palo Alto Networks, Intrinsic ID, GlobaliD, Jumio, Digital Shadows, TrapX Security, Karamba Security, Trillium (Network Management Software), Vectra, PlaxidityX, eG Innovations, SafeBreach, Trustwave, Blackberry, SCADAfence, Polyverse, Keypasco, Mitek Systems, Regulus Cyber, Cylance, Salient Systems, Excelfore, VDOO, Mandiant, Sysdig, Upstream Solutions (Business/Productivity Software), NetScout Systems, IDology (Network Management Software), GuardKnox</t>
  </si>
  <si>
    <t>Developer of an end-to-end vehicle automotive cybersecurity platform designed to protect a vehicle's internal systems against cyber attacks. The company's platform offers services to detect and mitigate cyber-attacks, ranging from autonomous systems hacks to chip-level vulnerabilities, enabling original equipment manufacturers with visibility over a tailored and scalable software suite for the entire vehicle lifecycle.</t>
  </si>
  <si>
    <t>Network Management Software</t>
  </si>
  <si>
    <t>Network Management Software*</t>
  </si>
  <si>
    <t>Artificial Intelligence &amp; Machine Learning, Big Data, Cybersecurity, Internet of Things, Mobility Tech, SaaS</t>
  </si>
  <si>
    <t>cyber attack defence, cyber attack security, cyber security system, electric vehicle charging, endpoint security, fleet connectivity, fleet management, iot security, mobility tech, ot security, vehicle protection</t>
  </si>
  <si>
    <t>186693-94</t>
  </si>
  <si>
    <t>www.c2a-sec.com</t>
  </si>
  <si>
    <t>http://www.linkedin.com/company/c2a-security</t>
  </si>
  <si>
    <t>2019: 20, 2020: 24, 2021: 29, 2022: 34, 2023: 35, 2025: 38</t>
  </si>
  <si>
    <t>171198-55P</t>
  </si>
  <si>
    <t>Michael Dick</t>
  </si>
  <si>
    <t>Founder, President &amp; Board Member</t>
  </si>
  <si>
    <t>mdick@c2a-sec.com</t>
  </si>
  <si>
    <t>Jerusalem, Israel</t>
  </si>
  <si>
    <t>16 Hartom Street</t>
  </si>
  <si>
    <t>RAD Building</t>
  </si>
  <si>
    <t>The company raised an undisclosed amount of venture funding from Bossa Invest on June 1, 2023.</t>
  </si>
  <si>
    <t>Bossa Invest, Labs/02, Maniv Mobility, MassChallenge, MIH Consortium, MobilityXlab, MoreVC, OurCrowd, Plug and Play Tech Center, Ramot at Tel Aviv University</t>
  </si>
  <si>
    <t>Bossa Invest (bossainvest.com), Labs/02 (www.labs02.com), Maniv Mobility (www.maniv.com), MassChallenge (www.masschallenge.org), MIH Consortium (www.mih-ev.org), MobilityXlab (www.mobilityxlab.com), MoreVC (www.morevc.com), OurCrowd (www.ourcrowd.com), Plug and Play Tech Center (www.plugandplaytechcenter.com), Ramot at Tel Aviv University (ramot.org)</t>
  </si>
  <si>
    <t>Amar Reiter Jeanne Shochatovitch &amp; Co(Legal Advisor)</t>
  </si>
  <si>
    <t>01-ינו-2016</t>
  </si>
  <si>
    <t>University Spin-Out</t>
  </si>
  <si>
    <t>Corporate</t>
  </si>
  <si>
    <t>01-יונ-2023</t>
  </si>
  <si>
    <t>01-נוב-2020</t>
  </si>
  <si>
    <t>9.00x</t>
  </si>
  <si>
    <t>08-דצמ-2025</t>
  </si>
  <si>
    <t>Conjoint control of vehicle sub-units of different type or different function, Electric digital data processing, Signalling systems, Transmission of digital information</t>
  </si>
  <si>
    <t>Early Stage VC</t>
  </si>
  <si>
    <t>IoT Security</t>
  </si>
  <si>
    <t>Aurora Labs</t>
  </si>
  <si>
    <t>Aurora</t>
  </si>
  <si>
    <t>Aurora Labs Ltd.</t>
  </si>
  <si>
    <t>Airbiquity, MileIQ, KloudFuse, Ulu, Adups, 3YOURMIND, NexTraq, Axestrack, AutoWiz, Red Bend Software, Excelfore, Elektrobit Automotive, AssetTrackr</t>
  </si>
  <si>
    <t>Developer of an AI-based vehicle software management technology designed to solve the challenge of automotive software development. The company's platform offers artificial intelligence-based vehicle software intelligence for the entire lifecycle of a vehicle, from software development to testing, integration, quality control, continuous certification, and on-the-road over-the-air software updates, enabling businesses with predictive software maintenance throughout the vehicle lifecycle and improving performance.</t>
  </si>
  <si>
    <t>Business/Productivity Software*, Road, Software Development Applications</t>
  </si>
  <si>
    <t>Artificial Intelligence &amp; Machine Learning, Autonomous cars, Mobility Tech, SaaS</t>
  </si>
  <si>
    <t>autonomous machine, autonomous vehicle, connected service, connected vehicles, devops security platform, fleet connectivity, fleet management, software intelligence</t>
  </si>
  <si>
    <t>180618-31</t>
  </si>
  <si>
    <t>www.auroralabs.com</t>
  </si>
  <si>
    <t>http://www.linkedin.com/company/auroralabs</t>
  </si>
  <si>
    <t>2018: 21, 2019: 25, 2020: 33, 2021: 51, 2022: 74, 2023: 82, 2025: 56</t>
  </si>
  <si>
    <t>82637-47P</t>
  </si>
  <si>
    <t>Zohar Fox</t>
  </si>
  <si>
    <t>Co-Founder, Chief Executive Officer &amp; Board Member</t>
  </si>
  <si>
    <t>zohar@auroralabs.com</t>
  </si>
  <si>
    <t>Rothschild Boulevard 45</t>
  </si>
  <si>
    <t>3rd floor</t>
  </si>
  <si>
    <t>info@auroralabs.com</t>
  </si>
  <si>
    <t>The company joined Amazon Web Services on May 12, 2025. No equity or funding was exchanged as a result of this program.</t>
  </si>
  <si>
    <t>Amazon Web Services, Brandon Calder, Champion Motors, Colmobil, David Bennett, Expansion Venture Capital, FM Capital (Transportation Tech), Jules Walker, LG Technology Ventures, Makai VC, Maniv Mobility, Marius Nacht, MizMaa Ventures, MobilityXlab, Moore Strategic Ventures, Oliver Mitchell, Pierre Schurmann, Plug and Play Tech Center, Porsche Automobil Holding, Sommet, Startup Autobahn, TA Ventures, Toyota Tsusho, Trucks Venture Capital, Twelve19 Ventures, UL Ventures</t>
  </si>
  <si>
    <t>5xmais, Autonomy Ventures</t>
  </si>
  <si>
    <t>Amazon Web Services (www.aws.amazon.com), Champion Motors (www.championmotors.co.il), Colmobil (colmobil.co.il), Expansion Venture Capital (www.expansionvc.com), FM Capital (Transportation Tech) (www.fmcap.com), LG Technology Ventures (www.lgtechventures.com), Makai VC (www.makaivc.com), Maniv Mobility (www.maniv.com), MizMaa Ventures (www.mizmaa.com), MobilityXlab (www.mobilityxlab.com), Plug and Play Tech Center (www.plugandplaytechcenter.com), Porsche Automobil Holding (www.porsche-se.com), Sommet (sommet.se), Startup Autobahn (www.startup-autobahn.com), TA Ventures (taventures.vc), Toyota Tsusho (www.toyota-tsusho.com), Trucks Venture Capital (www.trucks.vc), Twelve19 Ventures (www.twelve19ventures.com)</t>
  </si>
  <si>
    <t>5xmais (www.5xmais.com.br), Autonomy Ventures (www.autonomyventures.com)</t>
  </si>
  <si>
    <t>Shibolet &amp; Company(Legal Advisor)</t>
  </si>
  <si>
    <t>30-נוב-2017</t>
  </si>
  <si>
    <t>Estimated</t>
  </si>
  <si>
    <t>Seed Round</t>
  </si>
  <si>
    <t>12-מאי-2025</t>
  </si>
  <si>
    <t>12.96x</t>
  </si>
  <si>
    <t>18.91x</t>
  </si>
  <si>
    <t>28-נוב-2025</t>
  </si>
  <si>
    <t>Electric digital data processing, Electric discharge tubes or discharge lamps, Shaping or joining of plastics</t>
  </si>
  <si>
    <t>13-אוג-2020</t>
  </si>
  <si>
    <t>DevSecOps</t>
  </si>
  <si>
    <t>Upstream Security Ltd.</t>
  </si>
  <si>
    <t>Downstream Impact</t>
  </si>
  <si>
    <t>Developer of a cloud-based automotive cybersecurity platform designed to protect the technologies and applications of connected and autonomous vehicles. The company's platform provides big data and machine learning, which utilizes several layers of security gateway and analytics engine, enabling clients to get real-time visibility and actionable insights on security, privacy, and fraud alerts.</t>
  </si>
  <si>
    <t>Automotive, Business/Productivity Software, Network Management Software*</t>
  </si>
  <si>
    <t>Autonomous cars, Big Data, Cybersecurity, Internet of Things, Mobility Tech</t>
  </si>
  <si>
    <t>automotive data management, cybersecurity platform, data management, endpoint security, fleet connectivity, fleet management, machine learning, threat intelligence, transportation security</t>
  </si>
  <si>
    <t>181995-04</t>
  </si>
  <si>
    <t>www.upstream.auto</t>
  </si>
  <si>
    <t>http://www.linkedin.com/company/upstream-security</t>
  </si>
  <si>
    <t>2017: 15, 2019: 40, 2020: 46, 2021: 76, 2022: 120, 2024: 132, 2025: 152</t>
  </si>
  <si>
    <t>FY 2024</t>
  </si>
  <si>
    <t>165858-67P</t>
  </si>
  <si>
    <t>Herzliya, Israel</t>
  </si>
  <si>
    <t>7 Sapir Street</t>
  </si>
  <si>
    <t>Post Office Box 13019</t>
  </si>
  <si>
    <t>The company joined European Startup Prize for Mobility as a part of its 6th edition on April 25, 2025. No equity or funding was exchanged as a result of this program.</t>
  </si>
  <si>
    <t>57 Stars, Alliance Ventures, BMW i Ventures, Carriage House Rock, Cisco Investments, Connect Ventures, CRV, Delek US Holdings, Drive TLV, European Startup Prize for Mobility, Flight Ventures, Glilot Capital Partners, Hyundai Autoever, Hyundai CRADLE, IDI Insurance, La Maison Partners, Maniv Mobility, Michele Attisani, Mitsui Sumitomo Insurance, Nationwide Ventures, Salesforce Ventures, Volvo Group Venture Capital</t>
  </si>
  <si>
    <t>Renault Venture Capital</t>
  </si>
  <si>
    <t>57 Stars (www.57stars.com), BMW i Ventures (www.bmwiventures.com), Carriage House Rock (www.carriagehouserock.com), Cisco Investments (www.ciscoinvestments.com), Connect Ventures (www.connect-ventures.com), CRV (www.crv.com), Delek US Holdings (www.delekus.com), Drive TLV (www.drivetlv.com/fastlane), European Startup Prize for Mobility (www.startupprize.eu), Flight Ventures (flightventures.godaddysites.com), Glilot Capital Partners (www.glilotcapital.com), Hyundai Autoever (www.hyundai-autoever.com), Hyundai CRADLE (www.cradleinc.com), IDI Insurance (www.555.co.il), La Maison Partners (www.lamaisonpartners.fr), Maniv Mobility (www.maniv.com), Mitsui Sumitomo Insurance (www.ms-ins.com), Nationwide Ventures (nationwideventures.com), Salesforce Ventures (www.salesforceventures.com)</t>
  </si>
  <si>
    <t>Meitar Law Offices(Legal Advisor)</t>
  </si>
  <si>
    <t>25-אפר-2025</t>
  </si>
  <si>
    <t>24-אוג-2021</t>
  </si>
  <si>
    <t>35.87x</t>
  </si>
  <si>
    <t>23-ספט-2025</t>
  </si>
  <si>
    <t>Computing arrangements based on specific computational models, Conjoint control of vehicle sub-units of different type or different function, Time or attendance registers, Transmission of digital information, Wireless communication networks</t>
  </si>
  <si>
    <t>Cognata Ltd.</t>
  </si>
  <si>
    <t>Waymo, rFpro, Metamoto, May Mobility, AImotive, Vires Simulationstechnologie, Cruise, Optimus Ride, AVSimulation, Applied Intuition, Zoox, Nuro, Exa (Business/Productivity Software), dSPACE (Germany), Gamma Technologies</t>
  </si>
  <si>
    <t>Developer of a virtual reality-based driving validation platform designed to transform the autonomous vehicle industry. The company's platform uses patented computer vision and deep learning algorithms to automatically generate a detailed city simulator at scale, enabling autonomous car manufacturers to run thousands of different scenarios based on various geographic locations, driver behavior and road sharing in less time.</t>
  </si>
  <si>
    <t>Automotive, Business/Productivity Software*</t>
  </si>
  <si>
    <t>Autonomous cars, Mobility Tech, Virtual Reality</t>
  </si>
  <si>
    <t>autonomous driving, autonomous machine, autonomous vehicle, autonomous vehicle simulation, computer vision technology, synthetic data, virtual reality platform, virtual reality simulator</t>
  </si>
  <si>
    <t>181015-84</t>
  </si>
  <si>
    <t>Debt Financed, Venture Capital</t>
  </si>
  <si>
    <t>www.cognata.com</t>
  </si>
  <si>
    <t>http://www.linkedin.com/company/cognata-ltd</t>
  </si>
  <si>
    <t>2018: 28, 2020: 41, 2021: 47, 2022: 52</t>
  </si>
  <si>
    <t>47741-32P</t>
  </si>
  <si>
    <t>Danny Atsmon</t>
  </si>
  <si>
    <t>Rehovot, Israel</t>
  </si>
  <si>
    <t>2 Pekeris</t>
  </si>
  <si>
    <t>The company raised $4.3 million of venture funding from IDEA Fund Partners and other undisclosed investors on June 16, 2023. Previously, the company received debt financing in the form of a loan from Kreos Capital in approximately December 2022. Previously, the company joined EIT KIC Urban Mobility in 2022 and received $2,500 in funding in the form of grant.</t>
  </si>
  <si>
    <t>Airbus Ventures, COMEUP STARS, EIT KIC Urban Mobility, Emerge Ventures (Tel Aviv), GiTV, IBM Alpha Zone Accelerator, IDEA Fund Partners, Maniv Mobility, Microsoft for Startups, Scale Venture Partners</t>
  </si>
  <si>
    <t>Airbus Ventures (www.airbusventures.vc), COMEUP STARS (www.comeup.org/en/whatiscomeupstars), EIT KIC Urban Mobility (www.eiturbanmobility.eu), Emerge Ventures (Tel Aviv) (emerge.ventures), GiTV (www.gitv.vc), IDEA Fund Partners (www.ideafundpartners.com), Maniv Mobility (www.maniv.com), Microsoft for Startups (startups.microsoft.com), Scale Venture Partners (www.scalevp.com)</t>
  </si>
  <si>
    <t>Kreos Capital(Debt Financing), McCarter &amp; English(Legal Advisor)</t>
  </si>
  <si>
    <t>16-יונ-2023</t>
  </si>
  <si>
    <t>03-אוק-2022</t>
  </si>
  <si>
    <t>05-אוג-2025</t>
  </si>
  <si>
    <t>Computing arrangements based on specific computational models, Conjoint control of vehicle sub-units of different type or different function, Electric digital data processing, Image data processing or generation, in general, Image or video recognition or understanding</t>
  </si>
  <si>
    <t>17-אוק-2018</t>
  </si>
  <si>
    <t>Autonomous Vehicle Simulation, Synthetic Data</t>
  </si>
  <si>
    <t>NoTraffic Ltd.</t>
  </si>
  <si>
    <t>Wayve, EasyMile, DeepRoute.Ai, Baraja, Velodyne Lidar, Nauto, DeepScale, Autobrains Technologies, Roadstar.AI, DeepMap, May Mobility, Nuro, Zubie, Bestmile, Local Motors, ISEE, AEye, QCraft, Waymo, Five, Comma, Boxbot</t>
  </si>
  <si>
    <t>Developer of an autonomous traffic management platform intended to reduce traffic congestion. The company's platform modernizes cities by transforming signalized intersections into a connected digital transportation network that enhances efficiency assures safety and maximizes infrastructure utilization, uses plug-and-play artificial intelligence sensors to offer road-user detection and classification via a fusion of machine vision and radar, enabling users to identify, categorize, and predict buses, cyclists, electric scooters and pedestrians from the time of arrival at an intersection thus improving road safety in real-time.</t>
  </si>
  <si>
    <t>Automotive, Business/Productivity Software*, Electronic Equipment and Instruments, Road</t>
  </si>
  <si>
    <t>Artificial Intelligence &amp; Machine Learning, Autonomous cars, Internet of Things, Mobility Tech, SaaS</t>
  </si>
  <si>
    <t>artificial intelligence firm, cyclists product, fleet connectivity, fleet management, traffic congestion, traffic congestion analysis, traffic management technology</t>
  </si>
  <si>
    <t>185061-52</t>
  </si>
  <si>
    <t>www.notraffic.com</t>
  </si>
  <si>
    <t>http://www.linkedin.com/company/notraffic</t>
  </si>
  <si>
    <t>2020: 23, 2021: 31, 2022: 66, 2023: 100, 2024: 124, 2025: 158</t>
  </si>
  <si>
    <t>196143-31P</t>
  </si>
  <si>
    <t>Tal Kreisler</t>
  </si>
  <si>
    <t>Co-Founder &amp; Chief Executive Officer &amp; Board Member</t>
  </si>
  <si>
    <t>tal@notraffic.tech</t>
  </si>
  <si>
    <t>53 Igal Alon Street</t>
  </si>
  <si>
    <t>The company raised $20 million of venture funding from Life Extension Ventures and other undisclosed investors on September 17, 2024, putting the company's pre-money valuation at an estimated $825.68 million.</t>
  </si>
  <si>
    <t>2xN, Alchimia Investments, Aleph (Israel), Balderton Capital, Drive TLV, Grove Ventures, Lars Fjeldsoe-Nielsen, Leading Cities, Life Extension Ventures, lool ventures, M&amp;G, Menora Mivtachim Holdings, Naftali Udi Recanati, Next Gear Ventures, North First Ventures, Plug and Play Tech Center, Rami Lipman, Tal Recanati, Teramips Technologies, The Israeli Insurtech Accelerator, The Nielsen Company, The Prudential Assurance Company, UMC Capital, Uri Rubin, Vektor Partners, VNV Global</t>
  </si>
  <si>
    <t>Goldberg Ventures, Meitav Investment House</t>
  </si>
  <si>
    <t>2xN (2xn.vc), Alchimia Investments (www.alchimiainvestments.com), Aleph (Israel) (www.aleph.vc), Balderton Capital (www.balderton.com), Drive TLV (www.drivetlv.com/fastlane), Grove Ventures (www.grovevc.com), Leading Cities (leadingcities.org), Life Extension Ventures (www.lifex.vc), lool ventures (www.lool.vc), M&amp;G (www.mandg.com), Menora Mivtachim Holdings (www.menoramivt.co.il), Next Gear Ventures (www.nextgear.fund), North First Ventures (n1v.com), Plug and Play Tech Center (www.plugandplaytechcenter.com), Teramips Technologies (www.teramips.com), The Israeli Insurtech Accelerator (itiaccelerator.com), The Nielsen Company (www.nielsen.com), UMC Capital (www.umccapital.com), Uri Rubin (urirubin.com), Vektor Partners (www.vektorpartners.com), VNV Global (vnv.global)</t>
  </si>
  <si>
    <t>Goldberg Ventures (www.goldberg-ventures.com), Meitav Investment House (www.meitav.co.il)</t>
  </si>
  <si>
    <t>Pearl Cohen(Legal Advisor)</t>
  </si>
  <si>
    <t>17-ספט-2024</t>
  </si>
  <si>
    <t>05-יול-2018</t>
  </si>
  <si>
    <t>14.29x</t>
  </si>
  <si>
    <t>8.83x</t>
  </si>
  <si>
    <t>11.02x</t>
  </si>
  <si>
    <t>6.65x</t>
  </si>
  <si>
    <t>11-דצמ-2025</t>
  </si>
  <si>
    <t>Computing arrangements based on specific computational models, Radio direction-finding, Traffic control systems</t>
  </si>
  <si>
    <t>Airwayz</t>
  </si>
  <si>
    <t>Airwayz Drones Ltd.</t>
  </si>
  <si>
    <t>Developer of an unmanned traffic management system designed to manage urban airspace for drone operations. The company's system offers an autonomous platform for drone management in dynamic environments, intelligent software for real-time control and tactical deconfliction, enabling unmanned aircraft system operators to ensure safe and efficient large-scale commercial drone operations.</t>
  </si>
  <si>
    <t>Aerospace and Defense, Business/Productivity Software*, Other Hardware</t>
  </si>
  <si>
    <t>AgTech, Artificial Intelligence &amp; Machine Learning, CloudTech &amp; DevOps, Robotics and Drones, SaaS</t>
  </si>
  <si>
    <t>autonomous machine, drone technology, drones fleet management, fleet management, fleet monitoring, intelligent robotics, precision agriculture, thermal sensor technology</t>
  </si>
  <si>
    <t>462883-96</t>
  </si>
  <si>
    <t>www.airwayz.co</t>
  </si>
  <si>
    <t>http://www.linkedin.com/company/airwayz</t>
  </si>
  <si>
    <t>2021: 10, 2022: 16, 2024: 30, 2025: 38</t>
  </si>
  <si>
    <t>281166-94P</t>
  </si>
  <si>
    <t>HaNehoshet Street 3</t>
  </si>
  <si>
    <t>Yafo</t>
  </si>
  <si>
    <t>The company raised an undisclosed amount of venture funding from Dhuna Ventures in approximately December 2025.</t>
  </si>
  <si>
    <t>Ashdod Port Accelerator, Besadno Group, BuiltUp Ventures (BUV), Dhuna Ventures, Iron Nation Fund, NextLeap Ventures, Xegasus Aviation Investments</t>
  </si>
  <si>
    <t>Besadno Group (www.besadno-i.co.il), BuiltUp Ventures (BUV) (builtupventures.com), Dhuna Ventures (www.dhunaventures.com), Iron Nation Fund (www.ironnation.org), NextLeap Ventures (www.nextleapventures.com), Xegasus Aviation Investments (www.xegasus.com)</t>
  </si>
  <si>
    <t>Investination(Lead Manager or Arranger)</t>
  </si>
  <si>
    <t>Angel (individual)</t>
  </si>
  <si>
    <t>Individual</t>
  </si>
  <si>
    <t>01-דצמ-2025</t>
  </si>
  <si>
    <t>1.83x</t>
  </si>
  <si>
    <t>0.02x</t>
  </si>
  <si>
    <t>3.65x</t>
  </si>
  <si>
    <t>18-דצמ-2025</t>
  </si>
  <si>
    <t>Ottopia Technologies, Ltd.</t>
  </si>
  <si>
    <t>Developer of an autonomous vehicle technology designed to offer remote assistance for self-driving cars. The company's technology combines artificial intelligence with remote humans to address all the core challenges in teleoperation and negotiate edge cases, maximizes efficiency by reducing costs and emissions for trucks operating in logistics centers and ports, and improves safety in hazardous environments, enabling users to guide autonomous vehicles in a way that is safe, reliable, scalable, and cyber-secure.</t>
  </si>
  <si>
    <t>Artificial Intelligence &amp; Machine Learning, Autonomous cars, Mobility Tech</t>
  </si>
  <si>
    <t>autonomous drives, autonomous driving, autonomous driving technology, autonomous machine, autonomous vehicle, autonomous vehicle safety, enterprise asset management, enterprise resource planning, teleoperation services, teleoperations technology</t>
  </si>
  <si>
    <t>234903-25</t>
  </si>
  <si>
    <t>www.ottopia.tech</t>
  </si>
  <si>
    <t>http://www.linkedin.com/company/ottopia</t>
  </si>
  <si>
    <t>2020: 17, 2021: 25, 2022: 45, 2023: 47, 2024: 41, 2025: 34</t>
  </si>
  <si>
    <t>198601-48P</t>
  </si>
  <si>
    <t>Amit Rosenzweig</t>
  </si>
  <si>
    <t>Founder, Chief Executive Officer &amp; Board Member</t>
  </si>
  <si>
    <t>amit@ottopia.tech</t>
  </si>
  <si>
    <t>HaMelacha Street 2</t>
  </si>
  <si>
    <t>AI Alliance Fund sold a stake in the company to an undisclosed buyer.</t>
  </si>
  <si>
    <t>Bestmile, ComfortDelGro, Drive TLV, EIT KIC Urban Mobility, Glory Ventures, Hyundai CRADLE, IN Venture, Maven Ventures, May Mobility, MizMaa Ventures, Next Gear Ventures, Oren Buskila, Plug and Play Tech Center, Shift4Good, Startup Autobahn</t>
  </si>
  <si>
    <t>AI Alliance Fund</t>
  </si>
  <si>
    <t>Bestmile (www.bestmile.com), ComfortDelGro (www.comfortdelgro.com), Drive TLV (www.drivetlv.com/fastlane), EIT KIC Urban Mobility (www.eiturbanmobility.eu), Glory Ventures (www.glory-ventures.com), Hyundai CRADLE (www.cradleinc.com), IN Venture (www.in-venture.com), Maven Ventures (www.mavenventures.com), May Mobility (www.maymobility.com), MizMaa Ventures (www.mizmaa.com), Next Gear Ventures (www.nextgear.fund), Plug and Play Tech Center (www.plugandplaytechcenter.com), Shift4Good (www.shift4good.com), Startup Autobahn (www.startup-autobahn.com)</t>
  </si>
  <si>
    <t>AI Alliance Fund (www.theaialliancefund.com)</t>
  </si>
  <si>
    <t>FISCHER(Legal Advisor)</t>
  </si>
  <si>
    <t>20-דצמ-2018</t>
  </si>
  <si>
    <t>Other - 0.23M $</t>
  </si>
  <si>
    <t>Secondary Transaction - Private</t>
  </si>
  <si>
    <t>23-אפר-2021</t>
  </si>
  <si>
    <t>4.25x</t>
  </si>
  <si>
    <t>28-ינו-2026</t>
  </si>
  <si>
    <t>Image data processing or generation, in general, Information and communication technology [ict] specially adapted for administrative, commercial, financial, managerial or supervisory purposes, Systems for controlling or regulating non-electric variables, Transmission of digital information, Wireless communication networks</t>
  </si>
  <si>
    <t>06-מאי-2022</t>
  </si>
  <si>
    <t>Intelligent Traffic Control</t>
  </si>
  <si>
    <t>Intelligent Traffic Control LTD</t>
  </si>
  <si>
    <t>NoTraffic, Iteris (Technology Company), Kapsch Trafficcom (Railway Traffic Operation)</t>
  </si>
  <si>
    <t>Developer of a 5G-based traffic management software designed to predict traffic patterns and solve traffic jams. The company's software offers computer vision and machine learning algorithms to predict traffic patterns and enforce municipal traffic policies, such as public transport, bicycle, and pedestrian prioritization, enabling businesses to minimize waiting time and predict traffic jams before they start to accumulate.</t>
  </si>
  <si>
    <t>Automotive, Business/Productivity Software*, Road</t>
  </si>
  <si>
    <t>Artificial Intelligence &amp; Machine Learning, Big Data, Mobility Tech</t>
  </si>
  <si>
    <t>co2 emission reduction, enterprise resource planning, mobility data analytics, public mobility, public mobility solutions, real time analysis, road management, traffic control, traffic management</t>
  </si>
  <si>
    <t>338698-99</t>
  </si>
  <si>
    <t>www.itc.city</t>
  </si>
  <si>
    <t>http://www.linkedin.com/company/itc-city</t>
  </si>
  <si>
    <t>2021: 10, 2022: 17, 2023: 15, 2024: 27</t>
  </si>
  <si>
    <t>214131-88P</t>
  </si>
  <si>
    <t>Aharon Brauner</t>
  </si>
  <si>
    <t>Co-Founder, Chief Executive Officer &amp; CSO</t>
  </si>
  <si>
    <t>aharon@itc.city</t>
  </si>
  <si>
    <t>Ramat Gan, Israel</t>
  </si>
  <si>
    <t>Jabotinsky 7, 46th floor</t>
  </si>
  <si>
    <t>info@itc.city</t>
  </si>
  <si>
    <t>The company joined Florida-Israel Business Accelerator as a part of its Pitch on the Florida Capitol program in 2024. No equity or funding was exchanged as a result of this program.</t>
  </si>
  <si>
    <t>Champel Capital, CityZone (Israel), Earth Venture Capital, EIT Climate-KIC, EIT KIC Urban Mobility, Fit 4 Start, Florida-Israel Business Accelerator, Fresh.Fund, Highroad (Israel), Isreal Innovation Authority, J1-LED, Luxinnovation, Mobilitech Capital, PGL, Shikun &amp; Binui, Singularity Capital, Smart Open Lisboa, TLV Seed, XYZ Venture Capital</t>
  </si>
  <si>
    <t>Champel Capital (www.champelcapital.com), CityZone (Israel) (city-zone.co), Earth Venture Capital (www.earth.vc), EIT Climate-KIC (www.climate-kic.org), EIT KIC Urban Mobility (www.eiturbanmobility.eu), Florida-Israel Business Accelerator (www.fiba.io), Fresh.Fund (www.fresh.fund), Highroad (Israel) (highroad.to), J1-LED (www.j1led.com), Luxinnovation (www.luxinnovation.lu), Mobilitech Capital (www.mobilitech-capital.com), PGL (www.pgl.co.il), Shikun &amp; Binui (www.shikunbinui.com), Singularity Capital (singularitycapital.us), Smart Open Lisboa (smartopenlisboa.com), TLV Seed (www.tlvseed.com), XYZ Venture Capital (www.xyz.vc)</t>
  </si>
  <si>
    <t>01-ינו-2019</t>
  </si>
  <si>
    <t>01-ינו-2024</t>
  </si>
  <si>
    <t>1.39x</t>
  </si>
  <si>
    <t>0.92x</t>
  </si>
  <si>
    <t>1.87x</t>
  </si>
  <si>
    <t>24-מרץ-2025</t>
  </si>
  <si>
    <t>21-דצמ-2022</t>
  </si>
  <si>
    <t>Valerann Ltd.</t>
  </si>
  <si>
    <t>WayCare, Wintics, NoTraffic, NetraDyne, Remix Technologies, Econolite Group, Isotrak, Vnomics, Clever Devices, GoodVision (Software), Idelic, StreetLight Data, Nauto, INRIX, Citi Logik, Omnitracs, Citilog, TransCore, Brisk Synergies, DataFromSky, MicroTraffic, Motive (Hardware), Sensys Networks, Numina, SWARCO McCain, Airsage, Teralytics, Routematch Software, Autoscope Technologies, Masternaut, IdealSpot, Haas Alert, PiinPoint, SmartDrive Systems, SiteZeus</t>
  </si>
  <si>
    <t>Developer of a traffic management platform designed for mobility and roadway operations. The company's artificial intelligence web-based platform transforms roads into data-generating infrastructure that offers real-time and comprehensive information, enabling road operators to react to any situation resulting in fewer accidents, better traffic flow, increased revenues, and reduced costs.</t>
  </si>
  <si>
    <t>Business Products and Services (B2B)</t>
  </si>
  <si>
    <t>Commercial Transportation</t>
  </si>
  <si>
    <t>Road</t>
  </si>
  <si>
    <t>Business/Productivity Software, Electronic Equipment and Instruments, Media and Information Services (B2B), Road*</t>
  </si>
  <si>
    <t>Artificial Intelligence &amp; Machine Learning, Big Data, Internet of Things, Mobility Tech</t>
  </si>
  <si>
    <t>analytics platform, autonomous driving, connected service, data science platform, mobility data analytics, road monitoring system, road traffic management, traffic control system, traffic management platform, traffic management system</t>
  </si>
  <si>
    <t>159383-44</t>
  </si>
  <si>
    <t>www.valerann.com</t>
  </si>
  <si>
    <t>http://www.linkedin.com/company/valerann</t>
  </si>
  <si>
    <t>2016: 16, 2018: 18, 2019: 25, 2021: 23, 2022: 32, 2023: 38, 2024: 37, 2025: 27</t>
  </si>
  <si>
    <t>135994-33P</t>
  </si>
  <si>
    <t>Gabriel Jacobson</t>
  </si>
  <si>
    <t>gabriel@valerann.com</t>
  </si>
  <si>
    <t>Shoken 32</t>
  </si>
  <si>
    <t>2nd Floor</t>
  </si>
  <si>
    <t>The company joined Plug and Play Tech Center as a part of the Orlando Spring 2025 smart cities program on March 19, 2025. No equity or funding was exchanged as a result of this program.</t>
  </si>
  <si>
    <t>2B.VC, 76fwd, Connected Places Catapult, Dan Public Transportation, HG Ventures, Intelligent Mobility Accelerator, MassChallenge, Openvia Mobility, Plug and Play Tech Center, PUBLIC Group International, Qualcomm Ventures, RIO Ventures Holdings, Telefónica, Wayra UK, Westcott Business Incubation Centre</t>
  </si>
  <si>
    <t>Pitch@Palace</t>
  </si>
  <si>
    <t>2B.VC (www.2b.vc), 76fwd (www.76forward.com), Connected Places Catapult (cp.catapult.org.uk), Dan Public Transportation (www.dan.co.il), HG Ventures (www.hgventures.com), MassChallenge (www.masschallenge.org), Openvia Mobility (www.openvia.io), Plug and Play Tech Center (www.plugandplaytechcenter.com), PUBLIC Group International (www.public.io), Qualcomm Ventures (www.qualcommventures.com), RIO Ventures Holdings (rio-ventures.com), Telefónica (www.telefonica.com), Wayra UK (www.wayra.uk), Westcott Business Incubation Centre (www.westcottspacecluster.org.uk)</t>
  </si>
  <si>
    <t>Pitch@Palace (www.pitchatpalace.com)</t>
  </si>
  <si>
    <t>19-מרץ-2025</t>
  </si>
  <si>
    <t>01-דצמ-2021</t>
  </si>
  <si>
    <t>10.70x</t>
  </si>
  <si>
    <t>24-דצמ-2025</t>
  </si>
  <si>
    <t>Additional work, such as equipping roads or the construction of platforms, helicopter landing stages, signs, snow fences, or the like, Electric digital data processing, Image data processing or generation, in general, Image or video recognition or understanding, Traffic control systems</t>
  </si>
  <si>
    <t>Xpand (Logistics)</t>
  </si>
  <si>
    <t>1MRobotics</t>
  </si>
  <si>
    <t>1MRobotics, Inc.</t>
  </si>
  <si>
    <t>Exotec, Ambi Robotics, ATTAbotics, Nimble Robotics, Scallog, HighJump, GreyOrange, TGW Logistics Group, Ocado Mobile Robot System, Seegrid, Berkshire Grey, Dematic, MSI Automate, Bossa Nova, Fetch Robotics, Swisslog Holding, Onward Robotics, AutoStore, Oxipital AI, KNAPP, Agility Robotics, Clearpath Robotics, SVT Robotics, Takeoff, inVia Robotics, Locus Robotics, Robotiq, System Logistics, Grabit ( Machinery (B2B)), Simbe Robotics</t>
  </si>
  <si>
    <t>Provider of an artificial intelligence-driven autonomous retail store service intended to revolutionize hyperlocal logistics for various sectors. The company's modular, off-the-shelf, and container-sized technologies enable deployment anywhere while minimizing labor, it empowers retailers to grow their market footprint, build consumer loyalty, and access unreachable locations with an innovative retail format, its unmanned stores can be deployed or redeployed effortlessly as plug-and-play units, allowing entry into new markets, real estate optimization, and improved consumer experiences, enabling businesses to achieve operational efficiencies at any scale.</t>
  </si>
  <si>
    <t>Commercial Services</t>
  </si>
  <si>
    <t>Logistics</t>
  </si>
  <si>
    <t>Automation/Workflow Software, Business/Productivity Software, Logistics*, Other Hardware</t>
  </si>
  <si>
    <t>Advanced Manufacturing, Artificial Intelligence &amp; Machine Learning, Mobility Tech, Robotics and Drones, Supply Chain Tech</t>
  </si>
  <si>
    <t>artificial intelligence learning, autonomous machine, computer vision, ecommerce personalization, grocery store tech, grocery store technology, intelligent robotics, internet publishing, last mile delivery, warehouse automation, warehousing technology</t>
  </si>
  <si>
    <t>482622-49</t>
  </si>
  <si>
    <t>www.xpand.us</t>
  </si>
  <si>
    <t>http://www.linkedin.com/company/xpand-today</t>
  </si>
  <si>
    <t>2021: 15, 2022: 29, 2023: 49, 2024: 50, 2025: 40</t>
  </si>
  <si>
    <t>44319-52P</t>
  </si>
  <si>
    <t>Eyal Yair</t>
  </si>
  <si>
    <t>Co-Founder, Co-Chief Executive Officer &amp; Chief Commercial Officer</t>
  </si>
  <si>
    <t>eyal@xpand.us</t>
  </si>
  <si>
    <t>Hazerem Street 7</t>
  </si>
  <si>
    <t>contact@1mrobotics.com</t>
  </si>
  <si>
    <t>The company raised $6 million of venture funding in a deal led by Ibex Investors and Emerge Ventures on August 10, 2025. Joel Bar-El and other undisclosed investors also participated in the round. The funds will be used for the company's next phase of growth, beginning with the launch of its first smart autonomous store in Vienna.</t>
  </si>
  <si>
    <t>Emerge Ventures (Tel Aviv), Ibex Investors, INT3, Intel Ignite, NewGate Capital, Target Global</t>
  </si>
  <si>
    <t>Emerge Ventures (Tel Aviv) (emerge.ventures), Ibex Investors (www.ibexinvestors.com), INT3 (int3.com), Intel Ignite (intelignite.com), NewGate Capital (www.newgate.capital), Target Global (www.targetglobal.vc)</t>
  </si>
  <si>
    <t>01-מרץ-2021</t>
  </si>
  <si>
    <t>10-אוג-2025</t>
  </si>
  <si>
    <t>3.37x</t>
  </si>
  <si>
    <t>1.74x</t>
  </si>
  <si>
    <t>11-אוג-2025</t>
  </si>
  <si>
    <t>Information and communication technology [ict] specially adapted for administrative, commercial, financial, managerial or supervisory purposes, Machines, apparatus or devices for, or methods of, packaging articles or materials, Manipulators, Transport or storage devices</t>
  </si>
  <si>
    <t>Warehouse Robotics</t>
  </si>
  <si>
    <t>Optibus Ltd.</t>
  </si>
  <si>
    <t>Omnitracs, Clever Devices, Pantonium, 3Gtms, Door2Door, Fleetx, Reveal Management Services, GIRO, Cloud Logistics, Routematch Software, DRVR, TransLoc, Transporeon, Geotab, Locus, Ecolane, FarEye, Spireon, Supply Vision, LLamasoft, Institute of Information Technology, Decklar, Hacon Ingenieurges, Westfalia, Fleetmatics Group, Soloplan, Wise Systems, AMCS Group, GetSwift, ALK Technologies, GPS Trackit, Alpega Group, ServiceNow, Matrix42, Onfleet, Route4Me, Trapeze Group, Routific, Magaya, Paragon Software Systems, Motive (Hardware), Logility (Acquired), Badger Maps, DispatchTrack, Mandata (Business/Productivity Software), FourKites, SolarWinds, Microlise Group, Elemica, OptimoRoute, JUSDA International Supply Chain Management, CTSI-Global, GeoConcept, Route Monkey, ShipFusion, OnTime 360, Appian, TranSend Solutions, HanseCom Public Transport Ticketing Solutions, Paessler, Masternaut, JRNI, GT Nexus, Nagios, Ridecell, LiveAction, Sinefa, Sunstice, Quintiq, LogiNext, Teletrac Navman Group, Ridango, Telogis, One Network Enterprises, Icomera, Trustwave, ShippingEasy, Transfinder</t>
  </si>
  <si>
    <t>Developer of a cloud-based platform designed to facilitate mass transportation through artificial intelligence and optimization algorithms. The company's platform creates an operational plan and schedule that orchestrates the movements of every vehicle and driver in a city-wide transportation ecosystem, enabling businesses to offer improved services and transportation facilities and operate at reduced operating costs.</t>
  </si>
  <si>
    <t>Business/Productivity Software, Road*</t>
  </si>
  <si>
    <t>Artificial Intelligence &amp; Machine Learning, Climate Tech, Mobility Tech, SaaS</t>
  </si>
  <si>
    <t>cloud computing, enterprise resource planning, fleet management software, operating system, public mobility, public mobility solutions, transit operations, transport operation, transportation ecosystem, transportation scheduling</t>
  </si>
  <si>
    <t>104125-78</t>
  </si>
  <si>
    <t>www.optibus.com</t>
  </si>
  <si>
    <t>http://www.linkedin.com/company/optibus</t>
  </si>
  <si>
    <t>2016: 16, 2017: 43, 2018: 75, 2019: 75, 2020: 118, 2021: 213, 2022: 300, 2023: 386, 2024: 400, 2025: 366</t>
  </si>
  <si>
    <t>FY 2023</t>
  </si>
  <si>
    <t>126552-16P</t>
  </si>
  <si>
    <t>Amos Haggiag</t>
  </si>
  <si>
    <t>amos.haggiag@optibus.com</t>
  </si>
  <si>
    <t>Leonardo da Vinci 2</t>
  </si>
  <si>
    <t>39th floor</t>
  </si>
  <si>
    <t>The company raised $100 million of Series D venture funding through a combination of debt and equity on May 10, 2022, putting the company's pre-money valuation at $1.22 billion. Equity portion of $79.93 was provided from Verizon Ventures, MindUP, Volvo Group Venture Capital. Izaki Ventures, and 8 other investors also participated in the round. The transaction was supported by $20.06 of debt financing from undisclosed investors. The funds will be used to further expand the company's product suite and increase its business presence.</t>
  </si>
  <si>
    <t>Alibaba Group, BD Partners, Bessemer Venture Partners, BlueRed Partners, Dynamic Loop Capital, HighSage Ventures, IBM Alpha Zone Accelerator, Insight Partners (New York), Izaki Ventures, MindUP, New Era Capital Partners, Pitango Venture Capital, Ronald Cohen, Stagecoach Services, State Of Mind Ventures, Tencent Holdings, Verizon Ventures, Volvo Group Venture Capital, Wind Ventures</t>
  </si>
  <si>
    <t>Alibaba Group (www.alibabagroup.com), BD Partners (www.bdpartners.cz), Bessemer Venture Partners (www.bvp.com), BlueRed Partners (www.blueredpartners.com), Dynamic Loop Capital (www.dlcap.com), HighSage Ventures (highsage.com), Insight Partners (New York) (www.insightpartners.com), Izaki Ventures (www.izakivc.com), MindUP (www.mindup.co.il), New Era Capital Partners (www.newera.vc), Pitango Venture Capital (www.pitango.com), Ronald Cohen (www.sirronaldcohen.org), Stagecoach Services (www.stagecoachbus.com), State Of Mind Ventures (somv.com), Tencent Holdings (www.tencent.com), Wind Ventures (www.windventures.vc)</t>
  </si>
  <si>
    <t>01-יול-2014</t>
  </si>
  <si>
    <t>10-מאי-2022</t>
  </si>
  <si>
    <t>Series D</t>
  </si>
  <si>
    <t>Other - 20.06M $</t>
  </si>
  <si>
    <t>06-נוב-2025</t>
  </si>
  <si>
    <t>Mobility Insight</t>
  </si>
  <si>
    <t>Mobility Insight Ltd.</t>
  </si>
  <si>
    <t>INRIX, Econolite Group, Cubic, Kapsch TrafficCom, Parsons</t>
  </si>
  <si>
    <t>Developer of an AI-powered intelligent decision system designed to reduce traffic congestion. The company's platform is built around vehicle-to-vehicle and vehicle-to-infrastructure communication and gathers data from several sources, including sensors, cell phones, and apps, it offers awareness, foresight, and actionable insight to policymakers, transportation planners, planners for operations, and traffic managers, enabling clients to cover the operational cycle from data fusion to traffic plan automation.</t>
  </si>
  <si>
    <t>Business/Productivity Software*, Information Services (B2C), Road</t>
  </si>
  <si>
    <t>ai automation platform, decision optimization, events data management, policy compliance management, public mobility solutions, traffic anomaly detection</t>
  </si>
  <si>
    <t>104107-69</t>
  </si>
  <si>
    <t>www.mobilityinsight.net</t>
  </si>
  <si>
    <t>http://www.linkedin.com/company/mobi---mobility-insight</t>
  </si>
  <si>
    <t>2017: 15, 2020: 6, 2021: 7, 2022: 20, 2023: 20, 2024: 20</t>
  </si>
  <si>
    <t>169566-31P</t>
  </si>
  <si>
    <t>Kfar Saba, Israel</t>
  </si>
  <si>
    <t>HaTahana Street 1</t>
  </si>
  <si>
    <t>The company was in talks to receive Series A venture funding on an undisclosed date. Subsequently, the deal was cancelled. Previously, the company joined Florida-Israel Business Accelerator as a part of its 2024 Cohort on February 28, 2024. No equity or funding was exchanged as a result of this program.</t>
  </si>
  <si>
    <t>365x, Ariel Bentov, Arieli Group, Blockchain Fond, Florida-Israel Business Accelerator, Global Blockchain Ventures, Sarona Ventures</t>
  </si>
  <si>
    <t>The Technion DRIVE Accelerator</t>
  </si>
  <si>
    <t>365x (www.365x.io), Arieli Group (www.arieli-group.com), Blockchain Fond (www.blockchainfond.dk), Florida-Israel Business Accelerator (www.fiba.io), Global Blockchain Ventures (www.gbv.fund), Sarona Ventures (sarona.vc)</t>
  </si>
  <si>
    <t>The Technion DRIVE Accelerator (techniondrive.com)</t>
  </si>
  <si>
    <t>ExitValley(Lead Manager or Arranger), The Iftach Group(Consulting)</t>
  </si>
  <si>
    <t>01-ינו-2017</t>
  </si>
  <si>
    <t>Failed/Cancelled</t>
  </si>
  <si>
    <t>8.91x</t>
  </si>
  <si>
    <t>12-נוב-2025</t>
  </si>
  <si>
    <t>Questar (Business/Productivity Software)</t>
  </si>
  <si>
    <t>Traffilog Ltd.</t>
  </si>
  <si>
    <t>MotionTag, HanseCom Public Transport Ticketing Solutions, iBlocks, GIRO, Trapeze Group, SmartDrive Systems, Routematch Software, Telogis</t>
  </si>
  <si>
    <t>Developer of a mobility data platform designed to provide data-driven fleet management, vehicle diagnostics, and connectivity services. The company's platform features big-data analytics that generate predictive models and provide users with actionable insights and maintenance, enabling companies to access driver and vehicle insights, predictive maintenance services, and more.</t>
  </si>
  <si>
    <t>Automotive, Business/Productivity Software*, Media and Information Services (B2B)</t>
  </si>
  <si>
    <t>Artificial Intelligence &amp; Machine Learning, Big Data, Mobility Tech, SaaS, TMT</t>
  </si>
  <si>
    <t>analytics platform, automotive solutions, big data technology, fleet management, fleet payment, mobility data analytics, mobility management platform, mobility solutions, vehicle diagnostics, vertical application</t>
  </si>
  <si>
    <t>437302-36</t>
  </si>
  <si>
    <t>www.questarauto.com</t>
  </si>
  <si>
    <t>http://www.linkedin.com/company/questarauto</t>
  </si>
  <si>
    <t>2021: 134, 2022: 177</t>
  </si>
  <si>
    <t>411968-26P</t>
  </si>
  <si>
    <t>Ortal Zanzuri</t>
  </si>
  <si>
    <t>Chief Financial Officer</t>
  </si>
  <si>
    <t>ortalz@questarauto.com</t>
  </si>
  <si>
    <t>Herzelia, Israel</t>
  </si>
  <si>
    <t>1 Aba Even Street</t>
  </si>
  <si>
    <t>Herzelia</t>
  </si>
  <si>
    <t>The company raised an undisclosed amount of venture funding from ST Engineering Ventures in 2023.</t>
  </si>
  <si>
    <t>co-pace, ST Engineering Ventures, Tene Capital</t>
  </si>
  <si>
    <t>co-pace (www.co-pace.com), Tene Capital (www.tenecapital.com)</t>
  </si>
  <si>
    <t>30-נוב-2006</t>
  </si>
  <si>
    <t>01-ינו-2023</t>
  </si>
  <si>
    <t>2.26x</t>
  </si>
  <si>
    <t>Conjoint control of vehicle sub-units of different type or different function, Measuring linear or angular speed, acceleration, deceleration, or shock, Time or attendance registers, Vehicles, vehicle fittings, or vehicle parts, not otherwise provided for, Wireless communication networks</t>
  </si>
  <si>
    <t>02-ינו-2020</t>
  </si>
  <si>
    <t>Adasky</t>
  </si>
  <si>
    <t>Adasky Ltd.</t>
  </si>
  <si>
    <t>TriEye, Baraja, Smr Automotive, Blackmore, Princeton Lightwave, Velodyne Lidar, Seyond, Optimus Ride, AEye, Blickfeld</t>
  </si>
  <si>
    <t>Developer of an advanced thermal sensing technology designed to increase the safety and performance of self-driven vehicles. The company's system combines a far infrared thermal camera with advanced machine vision algorithms that sense and analyze its surroundings by passively collecting finite impulse response signals through the detection of thermal energy radiated from objects and their body heat, enabling clients to get autonomous vehicles to see and understand the road in any lighting and weather conditions.</t>
  </si>
  <si>
    <t>Application Specific Semiconductors, Automotive, Electronic Equipment and Instruments*</t>
  </si>
  <si>
    <t>Artificial Intelligence &amp; Machine Learning, Mobility Tech</t>
  </si>
  <si>
    <t>autonomous driving, autonomous vehicles systems, imaging camera, infrared thermal camera, thermal camera, thermal sensing</t>
  </si>
  <si>
    <t>175396-42</t>
  </si>
  <si>
    <t>www.adasky.com</t>
  </si>
  <si>
    <t>http://www.linkedin.com/company/adasky</t>
  </si>
  <si>
    <t>2020: 70, 2022: 85, 2023: 80, 2024: 71, 2025: 68, 2026: 67</t>
  </si>
  <si>
    <t>173440-81P</t>
  </si>
  <si>
    <t>Avi Katz</t>
  </si>
  <si>
    <t>Co-Founder, Co-Chief Executive Officer, Chief Technology Officer and President</t>
  </si>
  <si>
    <t>Yokneam, Israel</t>
  </si>
  <si>
    <t>7 Hamada Street Illit</t>
  </si>
  <si>
    <t>Yokneam</t>
  </si>
  <si>
    <t>The company raised $30 million of Series B venture funding in a deal led by Gentex on May 2, 2023. Other undisclosed investors also participated in the round. The funds will be used to make mobility safer by way of advanced thermal sensing technologies.</t>
  </si>
  <si>
    <t>Gentex, Kyocera, SungWoo Hightec</t>
  </si>
  <si>
    <t>Gentex (www.gentex.com), Kyocera (global.kyocera.com), SungWoo Hightec (www.swhitech.com)</t>
  </si>
  <si>
    <t>15-נוב-2018</t>
  </si>
  <si>
    <t>02-מאי-2023</t>
  </si>
  <si>
    <t>Series B</t>
  </si>
  <si>
    <t>7.38x</t>
  </si>
  <si>
    <t>6.39x</t>
  </si>
  <si>
    <t>29-ינו-2026</t>
  </si>
  <si>
    <t>Apparatus or arrangements for taking photographs or for projecting or viewing them, Image data processing or generation, in general, Image or video recognition or understanding, Measurement of intensity, velocity, spectral content, polarisation, phase or pulse characteristics of infrared, visible or ultraviolet light, Pictorial communication</t>
  </si>
  <si>
    <t>DriveU Tech Ltd.</t>
  </si>
  <si>
    <t>Developer of a connectivity platform designed to enable the safe teleoperation of autonomous vehicles. The company's platform uses cellular bonding and dynamic encoding to provide high-speed, low latency, and reliable transmission video, audio streams, high-speed data, and control channels and to be implemented on autonomous trucks, delivery robots and last-mile delivery vehicles, enabling clients to control autonomous vehicles without any hassle.</t>
  </si>
  <si>
    <t>Road*</t>
  </si>
  <si>
    <t>Autonomous cars, Mobility Tech, Robotics and Drones, SaaS</t>
  </si>
  <si>
    <t>autonomous driving, autonomous trucking, autonomous vehicles, connectivity platform, connectivity system, data transmission, remote assistance, teleoperation services</t>
  </si>
  <si>
    <t>436428-73</t>
  </si>
  <si>
    <t>www.driveu.auto</t>
  </si>
  <si>
    <t>http://www.linkedin.com/company/driveu-tech</t>
  </si>
  <si>
    <t>2020: 18, 2021: 20, 2022: 24, 2023: 33, 2024: 32, 2025: 31</t>
  </si>
  <si>
    <t>137219-95P</t>
  </si>
  <si>
    <t>Alon Podhurst</t>
  </si>
  <si>
    <t>Chief Executive Officer &amp; Board Member</t>
  </si>
  <si>
    <t>5 Hagavish Street</t>
  </si>
  <si>
    <t>The company raised an undisclosed amount of venture funding from Mobilion Ventures, theDOCK and MoreVC on January 1, 2025. Shmulik Wasserman and 4 other investors also participated in the round.</t>
  </si>
  <si>
    <t>12A Venture Capital, Amit Gilon, Ascend Capital Partners, Avi Feldman, Francisco Partners, iAngels, Kaedan Capital, Meny Benady, Michal Gilon-Yanai, Mobilion Ventures, MoreVC, Plug and Play Tech Center, Proeza Ventures, Shmulik Wasserman, theDOCK, Timothy Papandreou, Two Lanterns Venture Capital, Yigal Jacoby, Zohar Zisapel</t>
  </si>
  <si>
    <t>TWO39 Ventures</t>
  </si>
  <si>
    <t>Ascend Capital Partners (www.ascend-cp.com), Francisco Partners (www.franciscopartners.com), iAngels (www.iangels.com), Kaedan Capital (www.kaedan.com), Mobilion Ventures (www.mobilion-vc.com), MoreVC (www.morevc.com), Plug and Play Tech Center (www.plugandplaytechcenter.com), Proeza Ventures (www.proezaventures.com), theDOCK (www.thedockinnovation.com), Two Lanterns Venture Capital (www.2l.vc)</t>
  </si>
  <si>
    <t>TWO39 Ventures (www.two39ventures.com)</t>
  </si>
  <si>
    <t>01-ינו-2025</t>
  </si>
  <si>
    <t>8.61x</t>
  </si>
  <si>
    <t>12-ינו-2026</t>
  </si>
  <si>
    <t>Conjoint control of vehicle sub-units of different type or different function, Systems for controlling or regulating non-electric variables, Wireless communication networks</t>
  </si>
  <si>
    <t>23-יונ-2020</t>
  </si>
  <si>
    <t>Autonomous Trucking</t>
  </si>
  <si>
    <t>Bluewhite</t>
  </si>
  <si>
    <t>Blue White RoboticsLtd.</t>
  </si>
  <si>
    <t>Clearpath Robotics, American Robotics, Aigen, Blue River Technology, Farm-ng</t>
  </si>
  <si>
    <t>Developer of AI-based autonomous mobility systems designed for critical off-road operational tasks. The company's platform uses a proprietary autonomy engine, sensor integration, data-processing functions, and configurable workflow tools to automate equipment movement, support consistent task execution, reduce reliance on manual labor, improve safety conditions, and enable operators across agriculture and other off-road sectors to manage field activities with greater efficiency and reliability.</t>
  </si>
  <si>
    <t>Other Hardware</t>
  </si>
  <si>
    <t>Other Hardware*</t>
  </si>
  <si>
    <t>Advanced Manufacturing, AgTech, Artificial Intelligence &amp; Machine Learning, Autonomous cars, SaaS</t>
  </si>
  <si>
    <t>abi custom application, agriculture system, autonomous technologies, farming techniques, farming technology, industrial data analytics</t>
  </si>
  <si>
    <t>434442-79</t>
  </si>
  <si>
    <t>www.bluewhite.ai</t>
  </si>
  <si>
    <t>http://www.linkedin.com/company/bluewhite</t>
  </si>
  <si>
    <t>2020: 50, 2021: 105, 2022: 128, 2023: 172, 2024: 194, 2025: 183</t>
  </si>
  <si>
    <t>228442-69P</t>
  </si>
  <si>
    <t>Ben Alfi</t>
  </si>
  <si>
    <t>alfi@bluewhite.ai</t>
  </si>
  <si>
    <t>116 Derech Menachem Begin</t>
  </si>
  <si>
    <t>info@bw-robotics.com</t>
  </si>
  <si>
    <t>The company raised $38.94 million of Series C venture funding in a deal led by Insight Partners on January 23, 2024, putting the company's pre-money valuation at $147.64 million. TELUS Global Ventures and 9 other investors also participated in the round.</t>
  </si>
  <si>
    <t>Allied Group (Israel), Alumni Ventures, BIRD Foundation, Clal Insurance Enterprises Holdings, CNH Industrial Ventures, Entrée Capital, Insight Partners (New York), INSPYRE, Jesselson Capital, Khasm Labs, LIP Ventures, New York State, Peregrine Ventures, Ran Sarig, Regah Ventures, SVB Financial Group (Dallas), TELUS Global Ventures, Western Growers Center for Innovation &amp; Technology</t>
  </si>
  <si>
    <t>Food Lab Capital</t>
  </si>
  <si>
    <t>Alumni Ventures (www.av.vc), BIRD Foundation (www.birdf.com), Clal Insurance Enterprises Holdings (www.clalbit.co.il), Entrée Capital (www.entreecap.com), Insight Partners (New York) (www.insightpartners.com), INSPYRE (www.inspyrehub.com), Khasm Labs (khasmlabs.com), LIP Ventures (www.lip.lat), Peregrine Ventures (www.peregrinevc.com), Regah Ventures (www.regahventures.com), SVB Financial Group (Dallas) (www.svbfg.com), TELUS Global Ventures (ventures.telus.com), Western Growers Center for Innovation &amp; Technology (www.wginnovation.com)</t>
  </si>
  <si>
    <t>Food Lab Capital (www.foodlabcapital.com)</t>
  </si>
  <si>
    <t>Erdinast, Ben Nathan, Toledano &amp; Co. With Hamburger Evron(Legal Advisor), Fox Rothschild(Legal Advisor)</t>
  </si>
  <si>
    <t>01-מרץ-2019</t>
  </si>
  <si>
    <t>Other - 0.15M $</t>
  </si>
  <si>
    <t>23-ינו-2024</t>
  </si>
  <si>
    <t>Series C</t>
  </si>
  <si>
    <t>15-ספט-2020</t>
  </si>
  <si>
    <t>14.51x</t>
  </si>
  <si>
    <t>6.15x</t>
  </si>
  <si>
    <t>4.52x</t>
  </si>
  <si>
    <t>7.78x</t>
  </si>
  <si>
    <t>Radio direction-finding, Soil working in agriculture or forestry, Systems for controlling or regulating non-electric variables, Traffic control systems, Transmission of digital information</t>
  </si>
  <si>
    <t>Opsys Technologies</t>
  </si>
  <si>
    <t>Opsys Tech Ltd.</t>
  </si>
  <si>
    <t>Sense Photonics, XenomatiX, AEye, Quanergy Systems, Velodyne Lidar, LeddarTech Holdings, Innoviz Technologies, Luminar Technologies</t>
  </si>
  <si>
    <t>Developer of optic-based technology sensors designed to provide high-resolution, long-range, and scanning across the full field of view. The company's technology utilizes optics to convert electrical and optical signals it is optimized for the original equipment manufacturer's cost, performance, and reliability, enabling clients to develop adept devices, sensors, optical switches, and lidar technology for automobiles.</t>
  </si>
  <si>
    <t>Electronic Equipment and Instruments*, Industrial Supplies and Parts, Road</t>
  </si>
  <si>
    <t>Advanced Manufacturing, Mobility Tech</t>
  </si>
  <si>
    <t>autonomous driving, electro-optics technology, fiber optics components, fiber optics technology, fiber optics transmission, mobility tech, motor vehicle manufacturing</t>
  </si>
  <si>
    <t>230475-52</t>
  </si>
  <si>
    <t>www.opsys-tech.com</t>
  </si>
  <si>
    <t>http://www.linkedin.com/company/opsys-technologies</t>
  </si>
  <si>
    <t>2020: 26, 2021: 38, 2022: 80, 2023: 109, 2024: 140, 2025: 106, 2026: 97</t>
  </si>
  <si>
    <t>Promotion (New) Eitan Gertel, Co-Founder &amp; Executive Chairman Board of Directors</t>
  </si>
  <si>
    <t>123982-30P</t>
  </si>
  <si>
    <t>Yochai Rozenblat</t>
  </si>
  <si>
    <t>Chief Executive Officer</t>
  </si>
  <si>
    <t>yochai.rozenblat@opsys-tech.com</t>
  </si>
  <si>
    <t>Holon, Israel</t>
  </si>
  <si>
    <t>Campus Amot Building. 2 Harokmim Street</t>
  </si>
  <si>
    <t>14th Floor</t>
  </si>
  <si>
    <t>The company raised $51 million of Series C venture funding from Saban Ventures, TransLink Capital, and 83North on April 1, 2022. Osage University Partners, Hyundai CRADLE also participated in the round. The funds will be used to support the ramp of commercial automotive production quantities of its sensor solutions.</t>
  </si>
  <si>
    <t>83North, BIRD Foundation, Hyundai CRADLE, Osage University Partners, Saban Ventures, TransLink Capital</t>
  </si>
  <si>
    <t>83North (www.83north.com), BIRD Foundation (www.birdf.com), Hyundai CRADLE (www.cradleinc.com), Osage University Partners (oup.vc), Saban Ventures (www.sabanventures.com), TransLink Capital (www.translinkcapital.com)</t>
  </si>
  <si>
    <t>28-יונ-2017</t>
  </si>
  <si>
    <t>Grant</t>
  </si>
  <si>
    <t>01-אפר-2022</t>
  </si>
  <si>
    <t>10.87x</t>
  </si>
  <si>
    <t>9.61x</t>
  </si>
  <si>
    <t>Measuring electric variables, Radio direction-finding</t>
  </si>
  <si>
    <t>07-ינו-2020</t>
  </si>
  <si>
    <t>Lidar</t>
  </si>
  <si>
    <t>TriEye Ltd.</t>
  </si>
  <si>
    <t>Developer of short-wave infrared imaging systems designed to save lives and reduce risks of accidents in all weather and lighting conditions. The company's semiconductor technology and products are used to accelerate pixel-level imaging in a camera, which solves the automotive low-visibility challenge by providing cost-effective and enhanced resolution, enabling clients to equip their autonomous vehicles with optimal sight under common low-visibility conditions.</t>
  </si>
  <si>
    <t>Application Specific Semiconductors</t>
  </si>
  <si>
    <t>Application Specific Semiconductors*, Automotive, Electronic Equipment and Instruments, Road</t>
  </si>
  <si>
    <t>Advanced Manufacturing, Internet of Things, Manufacturing, Mobility Tech</t>
  </si>
  <si>
    <t>av technology, chips semiconductor, dms technology, field iot, infrared imaging system, machine vision sensor, precision agriculture, semiconductor manufacturing</t>
  </si>
  <si>
    <t>227184-58</t>
  </si>
  <si>
    <t>www.trieye.tech</t>
  </si>
  <si>
    <t>http://www.linkedin.com/company/trieye</t>
  </si>
  <si>
    <t>2018: 12, 2019: 25, 2020: 50, 2021: 71, 2022: 102, 2023: 117, 2024: 109, 2025: 98</t>
  </si>
  <si>
    <t>182635-57P</t>
  </si>
  <si>
    <t>avi@trieye-tech.com</t>
  </si>
  <si>
    <t>82 Yigal Alon</t>
  </si>
  <si>
    <t>The company joined Drive TLV as part of Batch 3 on an undisclosed date. No equity or funding was exchanged as a result of this program.</t>
  </si>
  <si>
    <t>Alicorn, Allied Group (Holding Companies), Atinum Investment, Climate First, Deep Insight (Herzliya), DeepStream Global Management, Discount Capital, Drive TLV, Grove Ventures, High House Investment, Intel Capital, M&amp;G, Marius Nacht, MassChallenge, Next Gear Ventures, Porsche Ventures, Samsung Electronics, Samsung Venture Investment, Startup Autobahn, Tawazun Strategic Development Fund, Varana Capital, Yissum</t>
  </si>
  <si>
    <t>Alicorn (www.alicorn-vp.com), Allied Group (Holding Companies) (www.alliedgroup.com.hk), Atinum Investment (www.atinuminvest.co.kr), Climate First (climatefirst.vc), Deep Insight (Herzliya) (www.deepinsight.co.il), DeepStream Global Management (www.deepstreamgm.com), Discount Capital (www.dcapital.co.il), Drive TLV (www.drivetlv.com/fastlane), Grove Ventures (www.grovevc.com), High House Investment (high-house.vc), Intel Capital (www.intelcapital.com), M&amp;G (www.mandg.com), MassChallenge (www.masschallenge.org), Next Gear Ventures (www.nextgear.fund), Porsche Ventures (www.porsche.ventures), Samsung Electronics (www.samsung.com), Samsung Venture Investment (samsungventure.co.kr), Startup Autobahn (www.startup-autobahn.com), Tawazun Strategic Development Fund (www.sdf.ae), Varana Capital (www.varanacapital.com), Yissum (www.yissum.co.il)</t>
  </si>
  <si>
    <t>12-ספט-2017</t>
  </si>
  <si>
    <t>9.82x</t>
  </si>
  <si>
    <t>7.39x</t>
  </si>
  <si>
    <t>10-דצמ-2025</t>
  </si>
  <si>
    <t>Devices using the process of light amplification by stimulated emission of radiation [laser] to amplify or generate light, Domestic washing or cleaning, Inorganic semiconductor devices sensitive to infrared radiation, light, electromagnetic radiation of shorter wavelength or corpuscular radiation, Pictorial communication, Radio direction-finding</t>
  </si>
  <si>
    <t>19-יונ-2018</t>
  </si>
  <si>
    <t>Karamba Security</t>
  </si>
  <si>
    <t>Karamba Security Ltd.</t>
  </si>
  <si>
    <t>PlaxidityX, Finite State, Firedome, Dellfer, Sternum, Secunet, Red Balloon Security, Escrypt, Sheelds, Cybeats Technologies, Cybellum, Keypasco, Swivel Secure, Upstream Solutions (Business/Productivity Software), BlackBerry QNX, Mitek Systems, Vector (Hardware), CyMotive Technologies</t>
  </si>
  <si>
    <t>Developer of automotive cybersecurity software designed to prevent hackers from attacking all types of connected systems. The company's software provides a vulnerability data management portfolio, which enables electric and software-defined vehicle original equipment manufacturers and suppliers to accelerate compliance with global cybersecurity regulations, without affecting supply chain and post-production processes, enabling clients to prevent cyberattacks with zero false positives and secure communications, including over-the-air updates.</t>
  </si>
  <si>
    <t>IT Consulting and Outsourcing, Network Management Software*</t>
  </si>
  <si>
    <t>Artificial Intelligence &amp; Machine Learning, Cybersecurity, Internet of Things</t>
  </si>
  <si>
    <t>auto cybersecurity, automotive security, cybersecurity platform, electric automobile, endpoint security, fleet connectivity, fleet management, iot security, supply chain security, vulnerability management</t>
  </si>
  <si>
    <t>156664-81</t>
  </si>
  <si>
    <t>www.karambasecurity.com</t>
  </si>
  <si>
    <t>http://www.linkedin.com/company/karamba-security</t>
  </si>
  <si>
    <t>2016: 14, 2017: 20, 2018: 40, 2019: 40, 2021: 31, 2022: 31, 2023: 44, 2024: 40, 2025: 27</t>
  </si>
  <si>
    <t>132284-62P</t>
  </si>
  <si>
    <t>Tal Ben-David</t>
  </si>
  <si>
    <t>Co-Founder, Vice President, Research &amp; Development and Board Member</t>
  </si>
  <si>
    <t>tal.bendavid@karambasecurity.com</t>
  </si>
  <si>
    <t>Hod Hasharon, Israel</t>
  </si>
  <si>
    <t>24 HaNagar Street</t>
  </si>
  <si>
    <t>The company raised $22 million of Series B venture funding in a deal led by VinFast Auto on December 2, 2021. Liberty Mutual Strategic Ventures and 8 other investors also participated in the round. Initially a part of the total funding was raised in the form of convertible debt that subsequently got converted to equity.</t>
  </si>
  <si>
    <t>Asgent, Cahn Capital, Fontinalis Partners, GlenRock Israel, Liberty Mutual Strategic Ventures, Paladin Capital Group, Presidio Ventures, Samsung Venture Investment, VinFast Auto, YL Ventures</t>
  </si>
  <si>
    <t>Asgent (www.asgent.co.jp), Cahn Capital (www.cahncapital.com), Fontinalis Partners (www.fontinalis.com), GlenRock Israel (www.grg.co.il), Liberty Mutual Strategic Ventures (www.lmsv.vc), Paladin Capital Group (www.paladincapgroup.com), Presidio Ventures (www.presidio-ventures.com), Samsung Venture Investment (samsungventure.co.kr), VinFast Auto (www.vinfast.com), YL Ventures (www.ylventures.com)</t>
  </si>
  <si>
    <t>Ernst &amp; Young Global(Auditor)</t>
  </si>
  <si>
    <t>Epstein Rosenblum Maoz (ERM)(Legal Advisor), Western Technology Investment(Debt Financing)</t>
  </si>
  <si>
    <t>06-אפר-2016</t>
  </si>
  <si>
    <t>02-דצמ-2021</t>
  </si>
  <si>
    <t>10-אפר-2018</t>
  </si>
  <si>
    <t>13.11x</t>
  </si>
  <si>
    <t>0.04x</t>
  </si>
  <si>
    <t>26.17x</t>
  </si>
  <si>
    <t>25-נוב-2025</t>
  </si>
  <si>
    <t>Electric digital data processing, Transmission of digital information</t>
  </si>
  <si>
    <t>Bringg</t>
  </si>
  <si>
    <t>Bringg Delivery Technologies Ltd.</t>
  </si>
  <si>
    <t>Routific, GetSwift, LLamasoft, FarEye, Magaya, Onfleet, OneRail, ShipBob, Deliverr, Temando, Convey (Business/Productivity Software), EasyPost, Fabric (Logistics), Shippo, Centiro Solutions, Deliv, DeliveryCircle, Bond ( Business/Productivity Software), Qapla', Seven Senders, LogiNext, Dispatch (Boston), Sendcloud, Cogoport, Sorted (Logistics), Wuunder Nederland, MetaPack, Cubyn, Veeqo, Iterate.ai, Narvar, parcelLab, Logility (Acquired), ProShip, Green Rabbit (Logistics), Xeneta, Linc (Business/Productivity Software), Dakosy, Axtria, Innovel Solutions, Fleetmatics Group, Final Mile Logistics, AfterShip, Freightos</t>
  </si>
  <si>
    <t>Developer of a logistics operations platform designed to manage local and last-mile deliveries. The company's cloud platform helps to digitize, optimize, and automate supply chain systems and processes to engineer the right logistic models based on business requirements and goals, enabling organizations to improve their customer experience by making fast, convenient and cost-effective delivery a reality.</t>
  </si>
  <si>
    <t>Automation/Workflow Software, Business/Productivity Software*, Logistics, Other Commercial Services</t>
  </si>
  <si>
    <t>Mobility Tech, SaaS, Supply Chain Tech</t>
  </si>
  <si>
    <t>delivery monitoring, ecommerce personalization, last mile delivery, mobile transportation app, sales and operations technology, supply chain management, supply chain tech</t>
  </si>
  <si>
    <t>82677-34</t>
  </si>
  <si>
    <t>www.bringg.com</t>
  </si>
  <si>
    <t>http://www.linkedin.com/company/bringg</t>
  </si>
  <si>
    <t>2015: 20, 2017: 50, 2018: 70, 2019: 130, 2020: 176, 2021: 210, 2022: 310, 2023: 257, 2024: 220, 2025: 204</t>
  </si>
  <si>
    <t>198427-78P</t>
  </si>
  <si>
    <t>Guy Bloch</t>
  </si>
  <si>
    <t>gbloch@bringg.com</t>
  </si>
  <si>
    <t>132 Derech Menachem Begin</t>
  </si>
  <si>
    <t>19th Floor</t>
  </si>
  <si>
    <t>info@bringg.com</t>
  </si>
  <si>
    <t>The company raised $100 million of Series E venture funding in a deal led by Insight Partners on June 16, 2021, putting the company's pre-money valuation at $900 million. Salesforce Ventures and 8 other investors also participated in the round. The funds will be used to continue growing the company's customer base and also likely for acquisitions to consolidate some of the links that go into the logistics and fulfillment chain.</t>
  </si>
  <si>
    <t>Aleph (Israel), AxessVentures, Cambridge Capital, Eyal Ofer, GLP, Insight Partners (New York), Ituran Location &amp; Control, N47, Nimrod Cohen, O.G. Venture Partners, Pereg Ventures, Regah Ventures, Salesforce Ventures, Shmuel Harlap, Viola Growth</t>
  </si>
  <si>
    <t>Coca-Cola Ventures, Himel Capital, The Bridge by Coca-Cola</t>
  </si>
  <si>
    <t>Aleph (Israel) (www.aleph.vc), AxessVentures (www.axessventures.com), Cambridge Capital (cambridgecapital.com), GLP (www.glp.com/global), Insight Partners (New York) (www.insightpartners.com), Ituran Location &amp; Control (www.ituran.com), N47 (www.n47.com), Nimrod Cohen (www.nimrodcohen.com), O.G. Venture Partners (og-vp.com), Pereg Ventures (www.peregventures.com), Regah Ventures (www.regahventures.com), Salesforce Ventures (www.salesforceventures.com), Viola Growth (www.violape.com)</t>
  </si>
  <si>
    <t>Himel Capital (www.himelcapital.com), The Bridge by Coca-Cola (www.thebridgebycocacola.com)</t>
  </si>
  <si>
    <t>Landmark Ventures(Advisor: General)</t>
  </si>
  <si>
    <t>BG Strategic Advisors(Advisor: General), Gross &amp; Co.(Legal Advisor), Meitar Law Offices(Legal Advisor)</t>
  </si>
  <si>
    <t>01-דצמ-2013</t>
  </si>
  <si>
    <t>16-יונ-2021</t>
  </si>
  <si>
    <t>Series E</t>
  </si>
  <si>
    <t>25.70x</t>
  </si>
  <si>
    <t>0.03x</t>
  </si>
  <si>
    <t>49.56x</t>
  </si>
  <si>
    <t>29.55x</t>
  </si>
  <si>
    <t>69.57x</t>
  </si>
  <si>
    <t>14-אוק-2025</t>
  </si>
  <si>
    <t>Information and communication technology [ict] specially adapted for administrative, commercial, financial, managerial or supervisory purposes, Measuring distances, levels or bearings, Wireless communication networks</t>
  </si>
  <si>
    <t>EVR Motors</t>
  </si>
  <si>
    <t>E.V.R. Motors Ltd.</t>
  </si>
  <si>
    <t>RACEnergy, Gegadyne Energy, Phinergy, Grinntech, Log9 Materials, Revolt Motors, Attron Automotive, NWO Commute</t>
  </si>
  <si>
    <t>Developer of electric motors designed to meet the scalability requirements of the e-automotive industry. The company's motors are ferrite-based with patented dual-sided revolutions per minute architecture with light and high power density and torque density, enabling businesses to manufacture e-bikes, e-trucks, and battery and hybrid electric vehicles with sustainable and price-competitive electric motors.</t>
  </si>
  <si>
    <t>Commercial Products</t>
  </si>
  <si>
    <t>Electrical Equipment</t>
  </si>
  <si>
    <t>Electrical Equipment*</t>
  </si>
  <si>
    <t>motor manufacturer, motor technology, power generation, power technology, vehicle supplier, wind turbine</t>
  </si>
  <si>
    <t>103950-46</t>
  </si>
  <si>
    <t>www.evr-motors.com</t>
  </si>
  <si>
    <t>http://www.linkedin.com/company/evr-motors</t>
  </si>
  <si>
    <t>2021: 12, 2022: 16, 2023: 28, 2024: 34, 2025: 50</t>
  </si>
  <si>
    <t>215561-44P</t>
  </si>
  <si>
    <t>Eli Rozinsky</t>
  </si>
  <si>
    <t>Co-Founder, President &amp; Chief Operating Officer</t>
  </si>
  <si>
    <t>eli@evr-motors.com</t>
  </si>
  <si>
    <t>Petah Tikva, Israel</t>
  </si>
  <si>
    <t>31, Modi'in Street</t>
  </si>
  <si>
    <t>Petah Tikva</t>
  </si>
  <si>
    <t>HaMerkaz</t>
  </si>
  <si>
    <t>The company raised an undisclosed amount of Series A venture funding from Climate First and High House Investment on July 31, 2022.</t>
  </si>
  <si>
    <t>Climate First, High House Investment, Horizon 2020, Marius Nacht, Southern Israel Bridging Fund, Teramips Technologies, Varana Capital</t>
  </si>
  <si>
    <t>Horizon GreenTech Ventures</t>
  </si>
  <si>
    <t>Climate First (climatefirst.vc), High House Investment (high-house.vc), Southern Israel Bridging Fund (www.sibf.vc), Teramips Technologies (www.teramips.com), Varana Capital (www.varanacapital.com)</t>
  </si>
  <si>
    <t>Horizon GreenTech Ventures (www.h-v.co.il)</t>
  </si>
  <si>
    <t>01-מאי-2012</t>
  </si>
  <si>
    <t>31-יול-2022</t>
  </si>
  <si>
    <t>4.99x</t>
  </si>
  <si>
    <t>3.74x</t>
  </si>
  <si>
    <t>31-אוק-2025</t>
  </si>
  <si>
    <t>Dynamo-electric machines, Impedance networks, Propulsion of electrically-propelled vehicles</t>
  </si>
  <si>
    <t>Saiflow</t>
  </si>
  <si>
    <t>Saiflow Cyber Ltd.</t>
  </si>
  <si>
    <t>Developer of a cybersecurity platform intended to protect EV charging sites and distributed energy resources. The company's platform automatically maps and constructs visuals of the smart-grid network to provide posture and risk management and offers real-time automated monitoring of the network that identifies and flags attacks and suspicious behavior, enabling the electric vehicle industry to safeguard its infrastructure against cyber threats and ensure operational continuity.</t>
  </si>
  <si>
    <t>Business/Productivity Software, Network Management Software*</t>
  </si>
  <si>
    <t>Big Data, Cybersecurity</t>
  </si>
  <si>
    <t>cyber security company, distributed energy asset, network security tool, renewable energy, robust security technology, security monitoring service</t>
  </si>
  <si>
    <t>507072-61</t>
  </si>
  <si>
    <t>www.saiflow.com</t>
  </si>
  <si>
    <t>http://www.linkedin.com/company/saiflow</t>
  </si>
  <si>
    <t>2024: 11, 2025: 12</t>
  </si>
  <si>
    <t>315171-73P</t>
  </si>
  <si>
    <t>Ron Tiberg-Shachar</t>
  </si>
  <si>
    <t>ron@saiflow.com</t>
  </si>
  <si>
    <t>45 Rothschild Boulevard</t>
  </si>
  <si>
    <t>contact@saiflow.com</t>
  </si>
  <si>
    <t>The company joined AWS &amp; Crowdstrike Cybersecurity Accelerator as a part of second annual program on February 24, 2025, and received an undisclosed amount of funding.</t>
  </si>
  <si>
    <t>AWS &amp; CrowdStrike Cybersecurity Accelerator, Drive TLV, Next Gear Ventures, Zarco Investment Group</t>
  </si>
  <si>
    <t>Drive TLV (www.drivetlv.com/fastlane), Next Gear Ventures (www.nextgear.fund), Zarco Investment Group (www.zigfund.com)</t>
  </si>
  <si>
    <t>01-נוב-2022</t>
  </si>
  <si>
    <t>24-פבר-2025</t>
  </si>
  <si>
    <t>0.91x</t>
  </si>
  <si>
    <t>30-ינו-2026</t>
  </si>
  <si>
    <t>Electric Vehicle Charging Infrastructure</t>
  </si>
  <si>
    <t>Kardome Technology Ltd</t>
  </si>
  <si>
    <t>Sensory, MindMeld, Mycroft AI., Slang Labs, Xtone ( Business/Productivity Software), Interactions, Kore.ai, AudioTelligence, Snips, Speechly, DSP Concepts, Fluent.ai, Aiqudo, Sayspring, Jargon (Software Development Applications), Smartly.ai, Dialogflow, Speechmatics, nVoq, Cerence AI</t>
  </si>
  <si>
    <t>Developer of a voice-control artificial intelligence technology designed to integrate the platform with existing microphone systems found in consumer electronics and automotive infotainment systems. The company's technology uses algorithms to isolate the user's voice in a noisy environment with multiple speakers and background noises that are active simultaneously, enabling customers to have access to a seamless voice control experience in acoustically challenging environments.</t>
  </si>
  <si>
    <t>Business/Productivity Software*, Communication Software, Electronic Equipment and Instruments</t>
  </si>
  <si>
    <t>Artificial Intelligence &amp; Machine Learning, AudioTech, Augmented Reality, Mobility Tech, SaaS</t>
  </si>
  <si>
    <t>interface technology, natural language technology, software modem, voice control application, voice device, voice-controlled devices</t>
  </si>
  <si>
    <t>268143-58</t>
  </si>
  <si>
    <t>www.kardome.com</t>
  </si>
  <si>
    <t>http://www.linkedin.com/company/kardome</t>
  </si>
  <si>
    <t>2020: 12, 2021: 17, 2022: 19, 2024: 23, 2025: 33</t>
  </si>
  <si>
    <t>68735-26P</t>
  </si>
  <si>
    <t>Dani Cherkassky</t>
  </si>
  <si>
    <t>7 Shevah Street</t>
  </si>
  <si>
    <t>The company raised $10.00 million of Series A venture funding in a deal led by Korea Investment Partners on October 31, 2024, putting the company's pre-money valuation at $18.41 million. Hyundai Motor Group Zero One, and 8 other investors also participated in the round. The funds will be used to accelerate its development of spatial audio software for wearables and other computing devices.</t>
  </si>
  <si>
    <t>Amazon Alexa Fund, Atooro Fund, Automobile Fund, Drive TLV, GiTV, Honey Stone VC, Hyundai CRADLE, Hyundai Motor Group Zero One, Hyundai Motors Group, J-Ventures, KB Investment, Korea Investment Partners, LG Nova, MarkLines, Next Gear Ventures, Nextgear Invest, OurCrowd, Talcar Group, Techstars</t>
  </si>
  <si>
    <t>Atooro Fund (www.atooro.com), Drive TLV (www.drivetlv.com/fastlane), GiTV (www.gitv.vc), Honey Stone VC (www.honeystonevc.com), Hyundai CRADLE (www.cradleinc.com), Hyundai Motors Group (www.hyundaimotorgroup.com), J-Ventures (j-ventures.com), KB Investment (www.kbic.co.kr/main/index), Korea Investment Partners (partners.koreainvestment.com), LG Nova (www.lgnova.com), MarkLines (www.marklines.com), Next Gear Ventures (www.nextgear.fund), OurCrowd (www.ourcrowd.com), Techstars (www.techstars.com)</t>
  </si>
  <si>
    <t>03-פבר-2020</t>
  </si>
  <si>
    <t>31-אוק-2024</t>
  </si>
  <si>
    <t>13.95x</t>
  </si>
  <si>
    <t>23.78x</t>
  </si>
  <si>
    <t>04-דצמ-2025</t>
  </si>
  <si>
    <t>Speech analysis techniques or speech synthesis</t>
  </si>
  <si>
    <t>Edgybees</t>
  </si>
  <si>
    <t>Edgybees Ltd.</t>
  </si>
  <si>
    <t>AirMap, Prenav, DroneDeploy, Skycatch, Pix4D, Datumate, Enview, senseFly, We Do Sky, Bee Maps, PrecisionHawk, Propeller (Business/Productivity Software), Skydio, Aerialtronics, Hangar, Agribotix</t>
  </si>
  <si>
    <t>Developer of a first response application designed to enable augmented reality on high-speed platforms like drones and cars. The company's application creates realistic and immersive experiences that layer three-dimensional visuals over live videos from fast-moving cameras mounted on cars, aerial platforms, or body-worn accessories to stream videos and data, enabling military and emergency businesses to maximize the effectiveness of aerial operations.</t>
  </si>
  <si>
    <t>Aerospace and Defense, Business/Productivity Software*, Media and Information Services (B2B)</t>
  </si>
  <si>
    <t>Advanced Manufacturing, Artificial Intelligence &amp; Machine Learning, Augmented Reality, Autonomous cars, Robotics and Drones</t>
  </si>
  <si>
    <t>analytics platform, autonomous machine, autonomous vehicle, computer vision, first response, location intelligence platform, natural disaster response, visual intelligence</t>
  </si>
  <si>
    <t>185202-19</t>
  </si>
  <si>
    <t>www.edgybees.com</t>
  </si>
  <si>
    <t>http://www.linkedin.com/company/edgybees-ltd</t>
  </si>
  <si>
    <t>2017: 10, 2018: 12, 2019: 10, 2020: 33, 2021: 45, 2022: 46, 2023: 45, 2024: 37, 2025: 47</t>
  </si>
  <si>
    <t>171104-32P</t>
  </si>
  <si>
    <t>Menashe Haskin</t>
  </si>
  <si>
    <t>Co-Founder, Chief Experience Officer, Co-Chief Technology Officer &amp; Board Member</t>
  </si>
  <si>
    <t>menashe@edgybees.com</t>
  </si>
  <si>
    <t>85 Medinat ha-Yehudim Street</t>
  </si>
  <si>
    <t>info@edgybees.com</t>
  </si>
  <si>
    <t>The company raised an undisclosed amount of Series A venture funding from SHIFT Ventures and other undisclosed investors in January 2024.</t>
  </si>
  <si>
    <t>8VC, AFWERX, Aspect Ventures, AWS Startups, iHLS Security Accelerator, Kodem Growth Partners, LG Technology Ventures, NFX, Noah Pickholtz, OurCrowd, Plug and Play Tech Center, Refinery Ventures, Responder Ventures, Seraphim Space, SHIFT Ventures (London), TechNexus Venture Collaborative, United States Air Force, United States Department of War, Verizon Ventures</t>
  </si>
  <si>
    <t>Motorola Solutions Venture Capital, The Bridge by Coca-Cola</t>
  </si>
  <si>
    <t>8VC (www.8vc.com), AFWERX (afwerx.com), Aspect Ventures (www.aspectventures.com), AWS Startups (aws-startup-lofts.com), iHLS Security Accelerator (accelerator.i-hls.com), Kodem Growth Partners (www.kodemgrowth.com), LG Technology Ventures (www.lgtechventures.com), NFX (www.nfx.com), OurCrowd (www.ourcrowd.com), Plug and Play Tech Center (www.plugandplaytechcenter.com), Refinery Ventures (www.refinery.com), Responder Ventures (www.respondercorp.com), Seraphim Space (www.seraphim.vc), SHIFT Ventures (London) (www.shift-v.com), TechNexus Venture Collaborative (www.technexus.com), United States Air Force (www.airforce.com), United States Department of War (www.war.gov)</t>
  </si>
  <si>
    <t>The Bridge by Coca-Cola (www.thebridgebycocacola.com)</t>
  </si>
  <si>
    <t>01-יול-2017</t>
  </si>
  <si>
    <t>01-פבר-2022</t>
  </si>
  <si>
    <t>13.74x</t>
  </si>
  <si>
    <t>09-ספט-2025</t>
  </si>
  <si>
    <t>Image or video recognition or understanding, Pictorial communication</t>
  </si>
  <si>
    <t>Natural Disaster Preparedness &amp; Response</t>
  </si>
  <si>
    <t>MMD</t>
  </si>
  <si>
    <t>Make My Day Ltd</t>
  </si>
  <si>
    <t>Driivz, Electriphi, Autofleet, eIQ Mobility, Chargetrip, ChargeLab, EV Connect, Pionix, ChargePoint, GreenFlux, IoTecha, InCharge Energy, Chargepoint Services, Rolling Energy Resources, Electrify America, Synop, ViriCiti, FreeWire, EVconnect (Internet Retail), ChargeMap, Assam Bio Ethanol</t>
  </si>
  <si>
    <t>Developer of smart mobility technology designed to enhance the charging experience for electric vehicle drivers and fleets. The company's platform offers complete managed-to-charge services, including EV route planning and charging optimization for single and multiple vehicles, enabling automotive leaders to provide the best charging options for both B2C and B2B customers.</t>
  </si>
  <si>
    <t>Business/Productivity Software*, Road</t>
  </si>
  <si>
    <t>Artificial Intelligence &amp; Machine Learning, Big Data, CleanTech, Mobility Tech, SaaS</t>
  </si>
  <si>
    <t>ev fleet charging, ev fleet management, green vehicle, mobility data analytics, route planning software, traffic information, traffic monitoring, vertical application</t>
  </si>
  <si>
    <t>183027-70</t>
  </si>
  <si>
    <t>www.makemydayapp.com</t>
  </si>
  <si>
    <t>http://www.linkedin.com/company/makemyday1</t>
  </si>
  <si>
    <t>2017: 2, 2018: 2, 2019: 2, 2020: 2, 2021: 4, 2022: 12, 2023: 14, 2024: 15, 2025: 14</t>
  </si>
  <si>
    <t>166499-29P</t>
  </si>
  <si>
    <t>Cnaan Aviv</t>
  </si>
  <si>
    <t>Co-Founder &amp; Chief Technology Officer</t>
  </si>
  <si>
    <t>cnaan@makemydayapp.com</t>
  </si>
  <si>
    <t>Deborah HaNaviya 121</t>
  </si>
  <si>
    <t>Building 2</t>
  </si>
  <si>
    <t>The company closed on $1 million out of targeted $3 million of venture funding on an undisclosed date. It plans to close the round by Q3 of 2025. Previously, the company joined Free Electrons in 2025. No equity or funding was exchanged as a result of this program.</t>
  </si>
  <si>
    <t>Capital Nature, Chevron Technology Ventures, CityZone (Israel), Consensus Business Group, Drive TLV, EIT KIC Urban Mobility, Free Electrons, Google for Startups, Innovation Authority, MIH Consortium, Next Gear Ventures, Plug and Play Tech Center, Sente Ventures, Smart Open Lisboa, Startup Autobahn, Startupbootcamp Holding, Volkswagen Future Mobility Incubator</t>
  </si>
  <si>
    <t>Capital Nature (www.capitalnature.com), CityZone (Israel) (city-zone.co), Consensus Business Group (www.cbg.uk.com), Drive TLV (www.drivetlv.com/fastlane), EIT KIC Urban Mobility (www.eiturbanmobility.eu), Free Electrons (www.freeelectrons.org), Google for Startups (startup.google.com), Innovation Authority (innovationisrael.org.il), MIH Consortium (www.mih-ev.org), Next Gear Ventures (www.nextgear.fund), Plug and Play Tech Center (www.plugandplaytechcenter.com), Sente Ventures (www.sente.vc), Smart Open Lisboa (smartopenlisboa.com), Startup Autobahn (www.startup-autobahn.com), Startupbootcamp Holding (www.startupbootcamp.org)</t>
  </si>
  <si>
    <t>Deloitte(Auditor), LeumiTech(General Business Banking), Meitar Law Offices(Legal Advisor)</t>
  </si>
  <si>
    <t>22-מרץ-2017</t>
  </si>
  <si>
    <t>Announced/In Progress</t>
  </si>
  <si>
    <t>10.91x</t>
  </si>
  <si>
    <t>07-אוק-2025</t>
  </si>
  <si>
    <t>Measuring distances, levels or bearings</t>
  </si>
  <si>
    <t>16-מאי-2022</t>
  </si>
  <si>
    <t>Galileo Wheel</t>
  </si>
  <si>
    <t>Galileo Wheel Ltd.</t>
  </si>
  <si>
    <t>Manufacturer of off-road airless tires and tracks designed to offer sustainable mobility to clients. The company's tires combine the traction and flotation advantages of rubber tracks with the road ability, efficiency and compatibility advantages of radial tires, enabling clients to have a beneficial, affordable, and road-friendly hybrid alternative.</t>
  </si>
  <si>
    <t>Other Commercial Products</t>
  </si>
  <si>
    <t>Other Commercial Products*, Road</t>
  </si>
  <si>
    <t>airless tires, farming tires, off road tires, skid steer tires, tires maker, tires manufacturing, tires parts, tractor tires</t>
  </si>
  <si>
    <t>268787-17</t>
  </si>
  <si>
    <t>www.galileowheel.com</t>
  </si>
  <si>
    <t>http://www.linkedin.com/company/galileo-wheel</t>
  </si>
  <si>
    <t>2019: 10, 2021: 10, 2022: 15, 2024: 22, 2025: 16</t>
  </si>
  <si>
    <t>439526-08P</t>
  </si>
  <si>
    <t>Sasha Karagaeva</t>
  </si>
  <si>
    <t>Vice President</t>
  </si>
  <si>
    <t>sasha.karagaeva@galileowheel.com</t>
  </si>
  <si>
    <t>Ha-Tokhen Street 2</t>
  </si>
  <si>
    <t>info@galileowheel.com</t>
  </si>
  <si>
    <t>The company raised venture funding from undisclosed investors on October 21, 2025. The funds will be used to fund North American sales and marketing operations, manufacturing working capital and additional product development as Galileo projects continued strong year-over-year growth.</t>
  </si>
  <si>
    <t>Climate First, Crimson International Investment, High House Investment, Marubeni, Stine Seed Company, Teramips Technologies, Varana Capital</t>
  </si>
  <si>
    <t>Climate First (climatefirst.vc), Crimson International Investment (www.crimsonii.com), High House Investment (high-house.vc), Marubeni (www.marubeni.com), Stine Seed Company (www.stineseed.com), Teramips Technologies (www.teramips.com), Varana Capital (www.varanacapital.com)</t>
  </si>
  <si>
    <t>Bank Leumi le-Israel(General Business Banking), Ernst &amp; Young Global(Auditor), FISCHER(Legal Advisor), SVB Financial Group (Dallas)(General Business Banking)</t>
  </si>
  <si>
    <t>29-אוג-2013</t>
  </si>
  <si>
    <t>21-אוק-2025</t>
  </si>
  <si>
    <t>2.43x</t>
  </si>
  <si>
    <t>2.87x</t>
  </si>
  <si>
    <t>17-נוב-2025</t>
  </si>
  <si>
    <t>Vehicle tyres, Vehicle wheels</t>
  </si>
  <si>
    <t>02-פבר-2022</t>
  </si>
  <si>
    <t>EyeNet Ltd.</t>
  </si>
  <si>
    <t>NetraDyne, May Mobility</t>
  </si>
  <si>
    <t>Developer of a V2X collision prevention platform designed to enhance road safety through real-time predictive technology. The company offers software services that integrate with third-party applications and automotive systems and utilizes a sophisticated probability analysis for spatial cross-correlation of bearing, velocity, and acceleration to determine an imminent collision with near-zero false alarm rate, enabling shared mobility services and vehicle manufacturers to reduce accidents and improve user safety.</t>
  </si>
  <si>
    <t>Communication Software</t>
  </si>
  <si>
    <t>Communication Software*, Vertical Market Software</t>
  </si>
  <si>
    <t>Artificial Intelligence &amp; Machine Learning, Internet of Things, Micro-Mobility</t>
  </si>
  <si>
    <t>accident prevention app, alert system, collision avoidance, connected car, mobile tech, road safety, road safety app, safety tech, smart mobility, v2x, v2x communication technology</t>
  </si>
  <si>
    <t>458710-66</t>
  </si>
  <si>
    <t>www.eyenet-mobile.com</t>
  </si>
  <si>
    <t>http://www.linkedin.com/company/eyenet-mobile</t>
  </si>
  <si>
    <t>2019: 10, 2020: 15, 2021: 18, 2022: 22, 2023: 20, 2024: 25, 2025: 27</t>
  </si>
  <si>
    <t>168728-68P</t>
  </si>
  <si>
    <t>Haim Siboni</t>
  </si>
  <si>
    <t>Founder, &amp; Board Member</t>
  </si>
  <si>
    <t>haim@foresightauto.com</t>
  </si>
  <si>
    <t>Ness Ziona, Israel</t>
  </si>
  <si>
    <t>5 Golda Meir Street</t>
  </si>
  <si>
    <t>Weizmann Science Park</t>
  </si>
  <si>
    <t>The company raised an estimated $5 million of venture funding on an undisclosed date.</t>
  </si>
  <si>
    <t>Software Republique</t>
  </si>
  <si>
    <t>Software Republique (www.softwarerepublique.eu/en/incubator)</t>
  </si>
  <si>
    <t>Deloitte(Auditor), Sullivan &amp; Worcester(Legal Advisor)</t>
  </si>
  <si>
    <t>20-נוב-2023</t>
  </si>
  <si>
    <t>2.57x</t>
  </si>
  <si>
    <t>06-ינו-2026</t>
  </si>
  <si>
    <t>Radio direction-finding, Traffic control systems, Transmission of digital information</t>
  </si>
  <si>
    <t>No Exit</t>
  </si>
  <si>
    <t>13-מרץ-2025</t>
  </si>
  <si>
    <t>V2X</t>
  </si>
  <si>
    <t>Autobrains Technologies</t>
  </si>
  <si>
    <t>Cartica AI, Cartica AI Ltd., Cortica Automotive</t>
  </si>
  <si>
    <t>Autobrains Technologies Ltd.</t>
  </si>
  <si>
    <t>Velodyne Lidar, Wayve, Roadstar.AI, DeepScale, nuTonomy, Oxa Autonomy, Mobileye Global, AEye, LeddarTech Holdings, Otonomo Technologies</t>
  </si>
  <si>
    <t>Developer of a visual intelligence platform intended to provide safer and more effective autonomous driving service. The company's platform utilizes artificial intelligence and signature-based representation structures coupled with unsupervised learning methodologies that enhance applications including advanced driver assistance systems, mobility, and localization, enabling customers to increase car safety and lowering casualties on the global motorways.</t>
  </si>
  <si>
    <t>Artificial Intelligence &amp; Machine Learning, SaaS</t>
  </si>
  <si>
    <t>artificial intelligence, assistance systems, autonomous driving, autonomous driving technology, autonomous machine, autonomous vehicle, driver assistance system, intelligence platform, visual intelligence</t>
  </si>
  <si>
    <t>Private Equity-Backed</t>
  </si>
  <si>
    <t>279952-84</t>
  </si>
  <si>
    <t>Private Equity, Venture Capital</t>
  </si>
  <si>
    <t>www.autobrains.ai</t>
  </si>
  <si>
    <t>http://www.linkedin.com/company/autobrains-technologies</t>
  </si>
  <si>
    <t>2019: 45, 2020: 45, 2021: 100, 2022: 116, 2023: 135, 2024: 144, 2025: 113</t>
  </si>
  <si>
    <t>42705-28P</t>
  </si>
  <si>
    <t>Igal Raichelgauz</t>
  </si>
  <si>
    <t>Founder &amp; Chief Executive Officer</t>
  </si>
  <si>
    <t>igal.raichelgauz@cortica.com</t>
  </si>
  <si>
    <t>Derech Menachem Begin 52</t>
  </si>
  <si>
    <t>Momentum sold its stake in the company to an undisclosed buyer on November 1, 2024. Previously, the company received development capital from Trivian Capital on an undisclosed date.</t>
  </si>
  <si>
    <t>2Sky Ventures, Asian Capital Alliance (Asia), Autel, BMW i Ventures, Continental, co-pace, Karl-Thomas Neumann, Knorr-Bremse, LIP Ventures, Magna International, OurCrowd, Temasek Holdings, Toyota Ventures, Trivian Capital, VinFast Auto</t>
  </si>
  <si>
    <t>Cortica (Multimedia and Design Software), Momentum (Singapore)</t>
  </si>
  <si>
    <t>2Sky Ventures (www.2sky.vc), Asian Capital Alliance (Asia) (acainc.jp), Autel (www.auteltech.cn), BMW i Ventures (www.bmwiventures.com), Continental (www.continental.com), co-pace (www.co-pace.com), Knorr-Bremse (www.knorr-bremse.de), LIP Ventures (www.lip.lat), Magna International (www.magna.com), OurCrowd (www.ourcrowd.com), Temasek Holdings (www.temasek.com.sg), Toyota Ventures (www.toyota.ventures), Trivian Capital (www.triviancapital.com), VinFast Auto (www.vinfast.com)</t>
  </si>
  <si>
    <t>Cortica (Multimedia and Design Software) (www.cortica.com)</t>
  </si>
  <si>
    <t>Herzog Fox &amp; Neeman(Legal Advisor), J.P. Morgan (New York)(Advisor: General), OurCrowd(Lead Manager or Arranger), Rothschild &amp; Co(Advisor: General)</t>
  </si>
  <si>
    <t>Spin-Off</t>
  </si>
  <si>
    <t>01-נוב-2024</t>
  </si>
  <si>
    <t>14.13x</t>
  </si>
  <si>
    <t>Computing arrangements based on specific computational models, Conjoint control of vehicle sub-units of different type or different function, Image data processing or generation, in general, Image or video recognition or understanding, Traffic control systems</t>
  </si>
  <si>
    <t>01-נוב-2021</t>
  </si>
  <si>
    <t>AIR</t>
  </si>
  <si>
    <t>AIR VEV Ltd</t>
  </si>
  <si>
    <t>Manufacturer of personal electric vertical takeoff and landing aircraft intended to seize the power of personal flight. The company's aircraft are tailored for personal use, have collapsible wings for easy parking, and can take off from or land on any flat surface, enabling individuals to have an everyday alternative for short-distance commuting in the sky.</t>
  </si>
  <si>
    <t>Aerospace and Defense</t>
  </si>
  <si>
    <t>Aerospace and Defense*</t>
  </si>
  <si>
    <t>Artificial Intelligence &amp; Machine Learning, Climate Tech, Manufacturing, Mobility Tech</t>
  </si>
  <si>
    <t>advances air mobility, aerospace data, aerospace design, aerospace services, autonomous machine, autonomous vehicle, electric aircraft, electric plane</t>
  </si>
  <si>
    <t>471322-18</t>
  </si>
  <si>
    <t>www.airev.aero</t>
  </si>
  <si>
    <t>http://www.linkedin.com/company/air-ev</t>
  </si>
  <si>
    <t>2018: 3, 2019: 6, 2020: 12, 2021: 25, 2022: 30, 2023: 32, 2024: 42, 2025: 60</t>
  </si>
  <si>
    <t>213796-09P</t>
  </si>
  <si>
    <t>rani@airev.aero</t>
  </si>
  <si>
    <t>Pardes Hanna-Karkur, Israel</t>
  </si>
  <si>
    <t>Savyon Street 2</t>
  </si>
  <si>
    <t>North</t>
  </si>
  <si>
    <t>Pardes Hanna-Karkur</t>
  </si>
  <si>
    <t>The company raised $23 million of Series A venture funding in a deal led by Entrée Capital on July 30, 2025. Canopus Advisors, Gaingels, OurCrowd, Shmuel Harlap and other undisclosed investors also participated in the round. The funds will be used to scale electric aircraft for personal and cargo use.</t>
  </si>
  <si>
    <t>Canopus Advisors, Entrée Capital, Gaingels, OurCrowd, Shmuel Harlap</t>
  </si>
  <si>
    <t>Canopus Advisors (canopusadvisors.com), Entrée Capital (www.entreecap.com), Gaingels (www.gaingels.com), OurCrowd (www.ourcrowd.com)</t>
  </si>
  <si>
    <t>22-ספט-2020</t>
  </si>
  <si>
    <t>01-אוק-2024</t>
  </si>
  <si>
    <t>30-יול-2025</t>
  </si>
  <si>
    <t>Aeroplanes, Equipment for fitting in or to aircraft, Vehicles adapted for load transportation or to transport, to carry, or to comprise special loads or objects</t>
  </si>
  <si>
    <t>MobiWize</t>
  </si>
  <si>
    <t>Tactile Mobility Ltd.</t>
  </si>
  <si>
    <t>DRVR, Idelic, Ulu, Airsage, Perceptive Automata, Nauto, Linktoany, Valerann, Omnitracs, NetraDyne, GPS Insight, Isotrak, Vnomics, Titan GPS, Teraki, Zubie, Coretex, Geotab, Octo Telematics, WayCare, Veltec Soluções Tecnológicas, NoTraffic, Xevo, Zendrive, Lytx, Gfi Systems, Argo AI (Electronic Equipment and Instruments), Microlise Group, Brisk Synergies, RoadBounce, Masternaut, SmartDrive Systems, The Floow, Nira Dynamics, Pilot AI, Citilog</t>
  </si>
  <si>
    <t>Developer of a device-sensing platform designed to transform the mobility industry. The company develops technology that analyzes data using artificial intelligence from car sensors and enables autonomous vehicles of different levels to get a feel of the road, comprising two software modules that can be provided as standalone or combined to gather signal processing information, enabling clients to offer a safer, efficient, and enjoyable driving experience.</t>
  </si>
  <si>
    <t>Business/Productivity Software, Media and Information Services (B2B), Road*</t>
  </si>
  <si>
    <t>autonomous driving, autonomous machine, autonomous vehicle, autonomous vehicles, connected service, connected vehicles, enterprise asset management, enterprise resource planning, mobility data, mobility device, mobility tech, signal processing, signal processing system, v2x processor</t>
  </si>
  <si>
    <t>97689-52</t>
  </si>
  <si>
    <t>www.tactilemobility.com</t>
  </si>
  <si>
    <t>http://www.linkedin.com/company/tactile-mobility</t>
  </si>
  <si>
    <t>2014: 5, 2019: 22, 2020: 30, 2021: 50, 2022: 46, 2023: 40, 2024: 39, 2025: 33</t>
  </si>
  <si>
    <t>194226-13P</t>
  </si>
  <si>
    <t>Boaz Mizrachi</t>
  </si>
  <si>
    <t>boaz.mizrachi@tactilemobility.com</t>
  </si>
  <si>
    <t>Haifa, Israel</t>
  </si>
  <si>
    <t>Derech Ha'atzmaut 61</t>
  </si>
  <si>
    <t>The company raised $27 million of Series C venture funding in a deal led by Delek Motors on October 27, 2021. Porsche Ventures and 6 other investors also participated in the round. The funds will be used to support the rapidly growing demand for the company's sensing technology and data offerings, expand into new segments among vehicle manufacturers, tier-1's, insurers, tire manufacturers, and more, and deepen its offerings, including additional virtual sensors and expand the company's cloud platform. Previously, the company graduated Drive TLV as a part of Batch 3 on July 6, 2021. No equity or funding was exchanged as a result of this program.</t>
  </si>
  <si>
    <t>BM Holdings, Delek Motors, Doron Livnat, Drive TLV, Giora Ackerstein, Goodyear Ventures, L.N. Green Technological Incubator, Nexteer Automotive Group, Porsche Ventures, Startup Autobahn, The Group Ventures, Union Group, Union Tech Ventures, Zvi Neta</t>
  </si>
  <si>
    <t>Motus Ventures</t>
  </si>
  <si>
    <t>BM Holdings (www.bmhold.com), Delek Motors (www.delek-motors.co.il), Drive TLV (www.drivetlv.com/fastlane), Goodyear Ventures (www.goodyearventures.com), L.N. Green Technological Incubator (www.lngreentech.com), Nexteer Automotive Group (www.nexteer.com), Porsche Ventures (www.porsche.ventures), Startup Autobahn (www.startup-autobahn.com), The Group Ventures (www.thegroup.ventures), Union Group (www.uniongrp.com), Union Tech Ventures (uniontech.vc)</t>
  </si>
  <si>
    <t>Motus Ventures (motusventures.com)</t>
  </si>
  <si>
    <t>01-דצמ-2011</t>
  </si>
  <si>
    <t>27-אוק-2021</t>
  </si>
  <si>
    <t>4.13x</t>
  </si>
  <si>
    <t>Conjoint control of vehicle sub-units of different type or different function, Measuring distances, levels or bearings, Time or attendance registers, Vehicle tyres</t>
  </si>
  <si>
    <t>PxE Holographic Imaging</t>
  </si>
  <si>
    <t>PxE Computational Imaging</t>
  </si>
  <si>
    <t>PxE Computational Imaging Ltd</t>
  </si>
  <si>
    <t>Developer of a three-dimensional imaging technology designed to augment standard complementary metal oxide semiconductor cameras. The company's proprietary algorithm retrieves a high-resolution three-dimensional image of any scene in real-time architecture with a simple, passive optical element used to generate white-light holograms, enabling clients to achieve the next generation of consumer electronics and advanced driver assistance systems with a simple, easily deployable sensor.</t>
  </si>
  <si>
    <t>Electrical Equipment, Electronic Equipment and Instruments*</t>
  </si>
  <si>
    <t>3D Printing, Advanced Manufacturing, Artificial Intelligence &amp; Machine Learning, Autonomous cars, Big Data, Manufacturing, SaaS, Virtual Reality</t>
  </si>
  <si>
    <t>3d camera, 3d sensor, algorithm based, camera technology, data center, data infrastructure, drivers safety, imaging system, imaging technology device, processor design</t>
  </si>
  <si>
    <t>465726-43</t>
  </si>
  <si>
    <t>www.pxeimaging.com</t>
  </si>
  <si>
    <t>http://www.linkedin.com/company/pxe-holographic-imaging</t>
  </si>
  <si>
    <t>2021: 3, 2023: 7, 2024: 10, 2025: 10</t>
  </si>
  <si>
    <t>261616-42P</t>
  </si>
  <si>
    <t>Yoav Berlatzky</t>
  </si>
  <si>
    <t>yoav@pxeimaging.com</t>
  </si>
  <si>
    <t>Yavne, Israel</t>
  </si>
  <si>
    <t>HaKishon Street 18</t>
  </si>
  <si>
    <t>Center District</t>
  </si>
  <si>
    <t>The company raised $6.5 million of seed funding in a deal led by M Ventures and Koch Disruptive Technologies on March 30, 2023. Other undisclosed investors also participated in the round. The funds will be used to accelerate the current efforts and partner with more customers to integrate the enhanced capabilities of the company's cameras into their products.</t>
  </si>
  <si>
    <t>Intel Ignite, Koch Disruptive Technologies, M Ventures</t>
  </si>
  <si>
    <t>Intel Ignite (intelignite.com), Koch Disruptive Technologies (kochdisruptivetechnologies.com), M Ventures (www.m-ventures.com)</t>
  </si>
  <si>
    <t>01-יונ-2019</t>
  </si>
  <si>
    <t>30-מרץ-2023</t>
  </si>
  <si>
    <t>1.25x</t>
  </si>
  <si>
    <t>01-ספט-2025</t>
  </si>
  <si>
    <t>Image data processing or generation, in general, Measurement of intensity, velocity, spectral content, polarisation, phase or pulse characteristics of infrared, visible or ultraviolet light, Measuring length, thickness or similar linear dimensions, Optical elements, systems or apparatus, Pictorial communication</t>
  </si>
  <si>
    <t>TankU, Ltd.</t>
  </si>
  <si>
    <t>Developer of a mobile sensor fusion platform designed to provide payment loyalty and fleet management services. The company's platform leverages artificial intelligence and multiple sensors in mobile devices to offer personalized and interactive services such as fueling, charging, deliveries and shopping and also provides data for businesses and insights on customer behavior, enabling businesses to optimize operations, user experience and customer acquisition and loyalty.</t>
  </si>
  <si>
    <t>Business/Productivity Software*, Media and Information Services (B2B), Road</t>
  </si>
  <si>
    <t>Advanced Manufacturing, Artificial Intelligence &amp; Machine Learning, Big Data, Manufacturing, Mobile, SaaS</t>
  </si>
  <si>
    <t>electric vehicle design, machine learning system, mobility data analytics, outdoor retail center, station management, vehicle manufacturing business</t>
  </si>
  <si>
    <t>433211-68</t>
  </si>
  <si>
    <t>www.tanku.com</t>
  </si>
  <si>
    <t>http://www.linkedin.com/company/tanku</t>
  </si>
  <si>
    <t>2022: 25, 2023: 13, 2025: 19</t>
  </si>
  <si>
    <t>225169-48P</t>
  </si>
  <si>
    <t>Dan Valdhorn</t>
  </si>
  <si>
    <t>d.valdhorn@tanku.com</t>
  </si>
  <si>
    <t>Derech Ha'atzmaut 82</t>
  </si>
  <si>
    <t>1st floor</t>
  </si>
  <si>
    <t>The company raised $8 million of venture funding in a deal led by Champel Capital on March 29, 2022. Jean-Baptiste Renard, Israel Oil and Gas Fund and Innovation Authority also participated in the round. The funds will be used to enable the augmentation of the company's operations in the markets in which it operates and its expansion to additional countries.</t>
  </si>
  <si>
    <t>8200 EISP, ANC Capital, Champel Capital, HiCenter, Innovation Authority, Israel Oil and Gas Fund, Jean-Baptiste Renard, Road2 Innovation</t>
  </si>
  <si>
    <t>8200 EISP (www.eisp.org.il), ANC Capital (www.anc.capital), Champel Capital (www.champelcapital.com), HiCenter (www.hicenter.co.il), Innovation Authority (innovationisrael.org.il), Road2 Innovation (www.road2.co.il)</t>
  </si>
  <si>
    <t>PwC Israel(Auditor), S. Friedman &amp; Co.(Legal Advisor)</t>
  </si>
  <si>
    <t>06-דצמ-2017</t>
  </si>
  <si>
    <t>29-מרץ-2022</t>
  </si>
  <si>
    <t>1.30x</t>
  </si>
  <si>
    <t>19-דצמ-2025</t>
  </si>
  <si>
    <t>Information and communication technology [ict] specially adapted for administrative, commercial, financial, managerial or supervisory purposes</t>
  </si>
  <si>
    <t>Vayyar Imaging Ltd.</t>
  </si>
  <si>
    <t>Ezurio, NewSight Imaging, Microchip Technology</t>
  </si>
  <si>
    <t>Developer of imaging sensor products designed to create resolution images in real-time based on advanced radio frequency technology. The company's products offer various imaging and radar bands with transmitters and receivers which are improved by integrated, performance digital signal processors with large internal memory, enabling clients to receive safe, mobile, low-cost four-dimensional space imaging sensors.</t>
  </si>
  <si>
    <t>General Purpose Semiconductors, Other Hardware*</t>
  </si>
  <si>
    <t>Autonomous cars, Internet of Things</t>
  </si>
  <si>
    <t>4d imaging radar, autonomous driving, image sensor developer, iot hardware, radio frequency sensors, robotics sensors, semiconductor company, smart home technology</t>
  </si>
  <si>
    <t>58764-70</t>
  </si>
  <si>
    <t>www.vayyar.com</t>
  </si>
  <si>
    <t>http://www.linkedin.com/company/vayyar</t>
  </si>
  <si>
    <t>2016: 36, 2017: 50, 2018: 90, 2019: 150, 2021: 200, 2022: 330, 2023: 330, 2024: 288, 2025: 330</t>
  </si>
  <si>
    <t>66754-81P</t>
  </si>
  <si>
    <t>Raviv Melamed</t>
  </si>
  <si>
    <t>Co-Founder, Chief Executive Officer &amp; Chairman</t>
  </si>
  <si>
    <t>Yehud-Monosson, Israel</t>
  </si>
  <si>
    <t>Shabazi Street 26</t>
  </si>
  <si>
    <t>The company raised an undisclosed amount of venture funding from Pegasus Tech Ventures in 2025.</t>
  </si>
  <si>
    <t>A&amp;E Investments, Amiti Ventures, Arc Ventures (United States), Atreides Management, Battery Ventures, Bessemer Venture Partners, Celesta Capital, ClalTech, Glory Ventures, GLY Capital Management, Hatch (Singapore), Investec, ITI Venture Capital Partners, Koch Disruptive Technologies, MoreVC, Pacven Walden Management, Pegasus Tech Ventures, Plug and Play Tech Center, Regal Four, Seamless Ventures, Startup Autobahn, TSC Capital, Zollhof</t>
  </si>
  <si>
    <t>A&amp;E Investments (www.aeinvestments.com), Amiti Ventures (www.amiti.vc), Arc Ventures (United States) (www.arc-vc.com), Atreides Management (atreidesmgmt.com), Battery Ventures (www.battery.com), Bessemer Venture Partners (www.bvp.com), Celesta Capital (www.celesta.vc), ClalTech (www.claltech.com), Glory Ventures (www.glory-ventures.com), GLY Capital Management (www.glycm.com), Hatch (Singapore) (www.thehatchx.com), Investec (www.investec.com), ITI Venture Capital Partners (www.itivcp.com), Koch Disruptive Technologies (kochdisruptivetechnologies.com), MoreVC (www.morevc.com), Pacven Walden Management (www.waldenintl.com), Pegasus Tech Ventures (www.pegasustechventures.com), Plug and Play Tech Center (www.plugandplaytechcenter.com), Seamless Ventures (seamlessventures.com), Startup Autobahn (www.startup-autobahn.com), TSC Capital (www.tsccapital.co.za), Zollhof (zollhof.de)</t>
  </si>
  <si>
    <t>China International Capital Corporation(Advisor: General), Meitar Law Offices(Legal Advisor)</t>
  </si>
  <si>
    <t>01-אוג-2012</t>
  </si>
  <si>
    <t>23.62x</t>
  </si>
  <si>
    <t>8.76x</t>
  </si>
  <si>
    <t>38.48x</t>
  </si>
  <si>
    <t>27-אוק-2025</t>
  </si>
  <si>
    <t>Antennas, Diagnosis, Investigating or analysing materials by determining their chemical or physical properties, Radio direction-finding, Transmission</t>
  </si>
  <si>
    <t>IPO</t>
  </si>
  <si>
    <t>25-מאי-2022</t>
  </si>
  <si>
    <t>Foretellix Ltd.</t>
  </si>
  <si>
    <t>KloudFuse, Environmental Systems Research Institute, Swiftly (Business/Productivity Software), ALK Technologies, Applied Intuition, INRIX, Oxa Autonomy, Caliper (Newton), Paramics Microsimulation, Five, TransLoc, Remix Technologies, Immense, inthinc Technology Solutions, Bestmile, Nauto, Latent Logic, Phantom AI, Routematch Software, Phantom Cyber, DeepMap, Velodyne Lidar, May Mobility, Wayve, LeddarTech Holdings, Siemens Energy &amp; Automation (Halmar Robicon power control technology)</t>
  </si>
  <si>
    <t>Developer of a vehicle verification platform designed to automate the measurable safety of automated driving systems. The company's tool automates the analytics of safety-related coverage metrics and represents the percentage of scenarios proven to work in a wide range of possible situations, enabling clients to have full coverage verification services to ensure that the vehicles behave properly during critical driving scenarios and are safe for broad deployment.</t>
  </si>
  <si>
    <t>Automation/Workflow Software, Business/Productivity Software*, Media and Information Services (B2B)</t>
  </si>
  <si>
    <t>autonomous driving, autonomous vehicle, autonomous vehicles testing, car verification, drivers assistance, validation platform, vehicle assistance, vehicle safety platform, vehicle safety system</t>
  </si>
  <si>
    <t>227245-42</t>
  </si>
  <si>
    <t>www.foretellix.com</t>
  </si>
  <si>
    <t>http://www.linkedin.com/company/foretellix</t>
  </si>
  <si>
    <t>2020: 60, 2021: 60, 2022: 83, 2023: 180, 2024: 141</t>
  </si>
  <si>
    <t>183717-28P</t>
  </si>
  <si>
    <t>Yoav Hollander</t>
  </si>
  <si>
    <t>Co-Founder, Chief Technology Officer &amp; Board Member</t>
  </si>
  <si>
    <t>yoav.hollander@foretellix.com</t>
  </si>
  <si>
    <t>11 Menachem Begin Road</t>
  </si>
  <si>
    <t>The company raised $85 million of Series C venture funding in a deal led by 83North on December 5, 2023, putting the company's pre-money valuation at $111.43 million. Volvo Group Venture Capital and 14 other investors also participated in the round. The funds will be used to accelerate the development of the company's expanding product portfolio and address the worldwide demand for its solutions.</t>
  </si>
  <si>
    <t>57 Stars, 83North, Amiram Yehudai, ArtofIn, Benny Schneider, ComfortDelGro Ventures, Dancap Family Investment Office, Drive TLV, Emerson Ventures, FinTLV Ventures, Gil Agmon, Isuzu Motors Sales, Jump Capital, MobilityXlab, MoreTech Ventures, Moshe Gavrielov, National Instruments, Nationwide Ventures, Next Gear Ventures, Nvidia, OurCrowd, Plug and Play Tech Center, Synapse Partners, TA Ventures, Temasek Holdings, The Chartered Group, Volvo Group Venture Capital, Woven Capital, Zohar Zisapel</t>
  </si>
  <si>
    <t>57 Stars (www.57stars.com), 83North (www.83north.com), ArtofIn (artofin.com), Dancap Family Investment Office (www.dancap.ca), Drive TLV (www.drivetlv.com/fastlane), FinTLV Ventures (www.fintlv.com), Isuzu Motors Sales (www.isuzu-motors-sales.co.jp), Jump Capital (jumpcap.com), MobilityXlab (www.mobilityxlab.com), MoreTech Ventures (moretech.vc), National Instruments (www.ni.com), Nationwide Ventures (nationwideventures.com), Next Gear Ventures (www.nextgear.fund), Nvidia (www.nvidia.com), OurCrowd (www.ourcrowd.com), Plug and Play Tech Center (www.plugandplaytechcenter.com), Synapse Partners (synapsepartners.co), TA Ventures (taventures.vc), Temasek Holdings (www.temasek.com.sg), The Chartered Group (www.charteredgroup.com), Woven Capital (www.woven.vc)</t>
  </si>
  <si>
    <t>Drake Star(Advisor: General), Erdinast, Ben Nathan, Toledano &amp; Co. With Hamburger Evron(Legal Advisor), Improved Corporate Finance(Advisor: General)</t>
  </si>
  <si>
    <t>05-דצמ-2023</t>
  </si>
  <si>
    <t>34.09x</t>
  </si>
  <si>
    <t>-0.04x</t>
  </si>
  <si>
    <t>Conjoint control of vehicle sub-units of different type or different function, Electric digital data processing</t>
  </si>
  <si>
    <t>CT, Citytransformer</t>
  </si>
  <si>
    <t>Citytransformer Ltd.</t>
  </si>
  <si>
    <t>XEV</t>
  </si>
  <si>
    <t>Developer of an urban electric vehicle designed to provide an upgraded driving experience. The company designs dimensions and riding behavior while driving, to meet the complex challenges of a conventional passenger car, when in driving mode to that of a motorcycle in parking mode so that the driver can leave the car in parking spaces reserved for motorists, enabling people to park easily and maneuver better in the city.</t>
  </si>
  <si>
    <t>Consumer Products and Services (B2C)</t>
  </si>
  <si>
    <t>Transportation</t>
  </si>
  <si>
    <t>Automotive*</t>
  </si>
  <si>
    <t>CleanTech, Industrials, Mobility Tech, TMT</t>
  </si>
  <si>
    <t>compact car, electric car developer, electric car maker, passenger cars, smart city, urban electric vehicle</t>
  </si>
  <si>
    <t>101176-21</t>
  </si>
  <si>
    <t>www.citytransformer.com</t>
  </si>
  <si>
    <t>http://www.linkedin.com/company/city-transformer</t>
  </si>
  <si>
    <t>2016: 8, 2021: 18, 2022: 23, 2023: 17, 2024: 21, 2025: 15</t>
  </si>
  <si>
    <t>151963-75P</t>
  </si>
  <si>
    <t>Asaf Formoza</t>
  </si>
  <si>
    <t>121 Devora Hanevia Street</t>
  </si>
  <si>
    <t>The company is in the process of raising $20 million of Series B venture funding on October 1, 2025. Previously, the company raised $10 million of Series A venture funding in a deal led by Lubinski Group on May 24, 2022, putting the company's pre-money valuation at $90 million. Afifi Group and other undisclosed investors also participated in the round. The funds will be used to start series production of the CT-1.</t>
  </si>
  <si>
    <t>ADI Technologies, Afifi Group, CityZone (Israel), EcoMotion, Lubinski Group, MassChallenge, Microsoft for Startups, The Energy and Water Resources Ministry of Israel</t>
  </si>
  <si>
    <t>Afifi Group (www.afifi-group.com), CityZone (Israel) (city-zone.co), EcoMotion (www.ecomotion.org.il), Lubinski Group (www.lubinski.co.il), MassChallenge (www.masschallenge.org), Microsoft for Startups (startups.microsoft.com)</t>
  </si>
  <si>
    <t>Together (Crowdfunding Platform)(Lead Manager or Arranger)</t>
  </si>
  <si>
    <t>01-דצמ-2014</t>
  </si>
  <si>
    <t>01-אוק-2025</t>
  </si>
  <si>
    <t>9.42x</t>
  </si>
  <si>
    <t>16.96x</t>
  </si>
  <si>
    <t>02-דצמ-2025</t>
  </si>
  <si>
    <t>Motor vehicles, Vehicle wheels</t>
  </si>
  <si>
    <t>24-מאי-2022</t>
  </si>
  <si>
    <t>IRP Systems, Ltd.</t>
  </si>
  <si>
    <t>e-Traction, Delphi Technologies, ebm-papst Mulfingen, Aveox, AC Propulsion, Protean Electric, Workhorse Group, Nordresa, Hyliion Holdings, Mission Motor, Energy Control Technologies, Yasa, WITTENSTEIN ( Industrial Supplies and Parts), Enviolo, Elaphe, Maxon., Portescap, Calnetix Technologies, Dana (Automotive), Sevcon, Dunkermotoren, CIMA (Industrial Supplies and Parts), Saietta Group, Visedo, Tevva, Valeo Engine and Electrical Systems India</t>
  </si>
  <si>
    <t>Developer of software-defined electric vehicle propulsion control systems designed for high-performance and efficient vehicle electrification. The company's platform utilizes unique control algorithms that provide unprecedented levels of electrical efficiency, high-dynamic power management, and swift system response times, alongside a rich set of core functionality, robust hardware integration capabilities, and extensive software customization options designed to adhere to rigorous safety standards, enabling automotive Original Equipment Manufacturers to rapidly optimize their powertrain systems for enhanced driving experiences and long-term operational durability.</t>
  </si>
  <si>
    <t>Automotive*, Electrical Equipment, Other Commercial Products</t>
  </si>
  <si>
    <t>CleanTech, Climate Tech, Industrials, Manufacturing, Mobility Tech, TMT</t>
  </si>
  <si>
    <t>battery electric vehicle motor, battery electric vehicle powertrain, electric motor control, electric motorcycle, electric vehicle, mobility solutions, motor controller, powertrain solutions</t>
  </si>
  <si>
    <t>231697-54</t>
  </si>
  <si>
    <t>www.irpsystems.com</t>
  </si>
  <si>
    <t>http://www.linkedin.com/company/irp-systems</t>
  </si>
  <si>
    <t>2020: 40, 2021: 70, 2022: 67, 2023: 77, 2024: 78, 2025: 88</t>
  </si>
  <si>
    <t>190986-49P</t>
  </si>
  <si>
    <t>Moran Price</t>
  </si>
  <si>
    <t>moran@irpsystems.com</t>
  </si>
  <si>
    <t>Ness Ziona Science Park</t>
  </si>
  <si>
    <t>The company raised $31 million of Series C venture funding in a deal led by Altshuler Shaham Investment House and Clal Insurance Enterprises Holdings on April 28, 2021, putting the company's pre-money valuation at $111.35 million. Champion Motors and 9 other investors also participated in the round. The funds will be used to further accelerate the company's Electric Vehicle (EV) powertrain offerings and expand its global reach. Previously, the company joined Israel India Innovation Accelerator as a part of First cohort in February 2021. No equity or funding was exchanged as a result of this program.</t>
  </si>
  <si>
    <t>Altshuler Shaham Investment House, Carasso Motors, Cendana Capital, Champion Motors, Clal Insurance Enterprises Holdings, Entrée Capital, Fosun RZ Capital, Israel India Innovation Accelerator, JAL Ventures, S. Shlomo Holdings, Samsung Venture Investment, Tal Ventures, Union Tech Ventures</t>
  </si>
  <si>
    <t>Altshuler Shaham Investment House (www.as-invest.co.il), Carasso Motors (www.freesbe.com), Cendana Capital (www.cendanacapital.com), Champion Motors (www.championmotors.co.il), Clal Insurance Enterprises Holdings (www.clalbit.co.il), Entrée Capital (www.entreecap.com), Fosun RZ Capital (www.frzcapital.cn/index.php), JAL Ventures (www.jalventures.com), S. Shlomo Holdings (www.shlomo.co.il), Samsung Venture Investment (samsungventure.co.kr), Tal Ventures (tal-ventures.com), Union Tech Ventures (uniontech.vc)</t>
  </si>
  <si>
    <t>01-ינו-2018</t>
  </si>
  <si>
    <t>28-אפר-2021</t>
  </si>
  <si>
    <t>8.28x</t>
  </si>
  <si>
    <t>5.57x</t>
  </si>
  <si>
    <t>14-ינו-2026</t>
  </si>
  <si>
    <t>Safefields Ltd</t>
  </si>
  <si>
    <t>Manufacturer of a protection system intended to reduce and manage electromagnetic fields generated by electric vehicles. The company's product facilitates the reduction of excessive radiation down to safe levels, utilizing active dynamic cancelation of magnetic fields without compromising in any way the operation or performance of the vehicle, enabling automotive manufacturers to reduce unhealthy magnetic radiation from powertrains of electrified vehicles.</t>
  </si>
  <si>
    <t>Electrical Equipment*, Other Commercial Products, Road</t>
  </si>
  <si>
    <t>automotive safety parts, electric vehicle components, electromagnetic field reduction, interference suppression, protection system, safety technology</t>
  </si>
  <si>
    <t>515043-64</t>
  </si>
  <si>
    <t>www.safefields-tech.com</t>
  </si>
  <si>
    <t>http://www.linkedin.com/company/safefields-technologies</t>
  </si>
  <si>
    <t>324947-08P</t>
  </si>
  <si>
    <t>Oded Einat</t>
  </si>
  <si>
    <t>Co-Founder &amp; Co-Chief Executive Officer</t>
  </si>
  <si>
    <t>oded@safefields-tech.com</t>
  </si>
  <si>
    <t>Maskit Street 32</t>
  </si>
  <si>
    <t>The company raised an undisclosed amount of venture funding from Aristagora VC, Next Gear Ventures, and Liam Cohen in September 2022.</t>
  </si>
  <si>
    <t>Aristagora VC, Drive TLV, Liam Cohen, Next Gear Ventures</t>
  </si>
  <si>
    <t>Aristagora VC (www.aristagoravc.com), Drive TLV (www.drivetlv.com/fastlane), Next Gear Ventures (www.nextgear.fund)</t>
  </si>
  <si>
    <t>01-ספט-2022</t>
  </si>
  <si>
    <t>0.27x</t>
  </si>
  <si>
    <t>0.52x</t>
  </si>
  <si>
    <t>02-פבר-2026</t>
  </si>
  <si>
    <t>Electric power networks, Measuring electric variables, Printed circuits</t>
  </si>
  <si>
    <t>BaTTeRi</t>
  </si>
  <si>
    <t>Batteri Thomas Ltd.</t>
  </si>
  <si>
    <t>Provider of electric vehicle charging services intended to reach zero carbon from transportation. The company develops a zero-infrastructure EV-charging-as-a-service solution based on its proprietary autonomous, automatic and wireless DC charging robot, enabling sites and parking lots to offer rapid DC EV charging in every parking spot.</t>
  </si>
  <si>
    <t>CleanTech, Robotics and Drones</t>
  </si>
  <si>
    <t>charging point, charging station, ev charging, ev charging points, ev charging station, ev charging systems</t>
  </si>
  <si>
    <t>528586-12</t>
  </si>
  <si>
    <t>www.batteri.energy</t>
  </si>
  <si>
    <t>http://www.linkedin.com/company/batteri</t>
  </si>
  <si>
    <t>2023: 3, 2024: 4</t>
  </si>
  <si>
    <t>349841-98P</t>
  </si>
  <si>
    <t>Tomer Shahaf</t>
  </si>
  <si>
    <t>tomer@batteri.energy</t>
  </si>
  <si>
    <t>Rofe Hamahtarot 34</t>
  </si>
  <si>
    <t>info@batteri.energy</t>
  </si>
  <si>
    <t>The company raised an undisclosed amount of seed funding from Environmental Sustainability Innovation Lab on February 1, 2024.</t>
  </si>
  <si>
    <t>CityZone (Israel), Environmental Sustainability Innovation Lab</t>
  </si>
  <si>
    <t>CityZone (Israel) (city-zone.co), Environmental Sustainability Innovation Lab (esil.co.il)</t>
  </si>
  <si>
    <t>01-פבר-2024</t>
  </si>
  <si>
    <t>1.17x</t>
  </si>
  <si>
    <t>11-נוב-2025</t>
  </si>
  <si>
    <t>Propulsion of electrically-propelled vehicles</t>
  </si>
  <si>
    <t>Anachoic Ltd.</t>
  </si>
  <si>
    <t>Operator of a micro-radar platform intended to develop advanced rider assistance systems (ARAS) for the powered two-wheeler markets. The company's offering adds value and is based on micro-radars, sensor fusion algorithms, patented spatial audio HMI and back-end telematics service, enabling users, operators, insurance providers and regulators to have mass adoption of two-wheelers in the urban mobility landscape by making the platforms safer and efficient through advanced rider assistance and telematics technologies.</t>
  </si>
  <si>
    <t>Communications and Networking</t>
  </si>
  <si>
    <t>Connectivity Products</t>
  </si>
  <si>
    <t>Connectivity Products*, Electronics (B2C), Information Services (B2C), Software Development Applications</t>
  </si>
  <si>
    <t>assistance systems, rider assistance system, rider device, rider safety, spatial audio, spatial audio system, two wheeler transportation</t>
  </si>
  <si>
    <t>431273-80</t>
  </si>
  <si>
    <t>www.anachoic.com</t>
  </si>
  <si>
    <t>http://www.linkedin.com/company/anachoic</t>
  </si>
  <si>
    <t>2022: 9, 2023: 8, 2024: 7, 2025: 6</t>
  </si>
  <si>
    <t>299733-49P</t>
  </si>
  <si>
    <t>Eric Tammam</t>
  </si>
  <si>
    <t>eric@proscout.ai</t>
  </si>
  <si>
    <t>Silver House</t>
  </si>
  <si>
    <t>The company raised $750,000 of seed funding from undisclosed investors in January 2023.</t>
  </si>
  <si>
    <t>Brian Acrish, Daniel Ramot</t>
  </si>
  <si>
    <t>01-פבר-2020</t>
  </si>
  <si>
    <t>0.70x</t>
  </si>
  <si>
    <t>04-אפר-2025</t>
  </si>
  <si>
    <t>Hats, Stereophonic systems</t>
  </si>
  <si>
    <t>Ride Vision Ltd.</t>
  </si>
  <si>
    <t>Developer of an automated driver assistance system designed to sense, predict, and warn riders of threats on the road. The company's system offers vision-based collision avoidance technology to leverage standard hardware and cameras, delivering warning signals within a hundred milliseconds, enabling motorcyclists to avail themselves of safety and have an improved riding experience.</t>
  </si>
  <si>
    <t>Automotive, Electronic Equipment and Instruments*, Vertical Market Software</t>
  </si>
  <si>
    <t>Artificial Intelligence &amp; Machine Learning, E-Commerce</t>
  </si>
  <si>
    <t>automated drivers assistance, computer vision, driver assistance system, drivers assistance system, edge computing, smart mobility platform</t>
  </si>
  <si>
    <t>229778-83</t>
  </si>
  <si>
    <t>www.ride.vision</t>
  </si>
  <si>
    <t>http://www.linkedin.com/company/ridevision</t>
  </si>
  <si>
    <t>2019: 10, 2020: 20, 2021: 15, 2022: 19, 2023: 15, 2024: 13, 2025: 14</t>
  </si>
  <si>
    <t>187487-74P</t>
  </si>
  <si>
    <t>Galgalei ha-Plada Street 11</t>
  </si>
  <si>
    <t>ask@ride.vision</t>
  </si>
  <si>
    <t>The company raised $1.15 million of venture funding from undisclosed investors on November 26, 2021.</t>
  </si>
  <si>
    <t>Coloured Ties Capital, IDI Insurance, Metagal, Mobilion Ventures, OurCrowd, YL Ventures</t>
  </si>
  <si>
    <t>Coloured Ties Capital (www.colouredtiescapital.com), IDI Insurance (www.555.co.il), Metagal (www.metagal.com.br), Mobilion Ventures (www.mobilion-vc.com), OurCrowd (www.ourcrowd.com), YL Ventures (www.ylventures.com)</t>
  </si>
  <si>
    <t>OurCrowd(Lead Manager or Arranger)</t>
  </si>
  <si>
    <t>14-יונ-2018</t>
  </si>
  <si>
    <t>26-נוב-2021</t>
  </si>
  <si>
    <t>19-מאי-2025</t>
  </si>
  <si>
    <t>Cycle saddles or seats</t>
  </si>
  <si>
    <t>Pick a Pier</t>
  </si>
  <si>
    <t>Pick a Pier Ltd.</t>
  </si>
  <si>
    <t>Developer of a marina optimization platform designed to make sailing more accessible, convenient and sustainable. The company's platform utilizes advanced machine learning technology to streamline communication, gain real-time insights into activities and operations and also provide data analytics and connect boaters with marinas, enabling boaters from around the world to connect and do more with their resources by saving time on repetitive tasks.</t>
  </si>
  <si>
    <t>Media and Information Services (B2B)</t>
  </si>
  <si>
    <t>Information Services (B2C), Marine, Media and Information Services (B2B)*</t>
  </si>
  <si>
    <t>Artificial Intelligence &amp; Machine Learning, Big Data, SaaS</t>
  </si>
  <si>
    <t>boating community, boating marketplace, marina management, marina service, marine data provider, sustainable use</t>
  </si>
  <si>
    <t>265782-70</t>
  </si>
  <si>
    <t>company.pickapier.com</t>
  </si>
  <si>
    <t>http://www.linkedin.com/company/pickapier</t>
  </si>
  <si>
    <t>2021: 26, 2022: 24, 2023: 20, 2024: 16, 2025: 13</t>
  </si>
  <si>
    <t>201732-40P</t>
  </si>
  <si>
    <t>Idan Cohen</t>
  </si>
  <si>
    <t>idan@pickapier.com</t>
  </si>
  <si>
    <t>Hashlosha Street 2</t>
  </si>
  <si>
    <t>Building C, 7th Floor</t>
  </si>
  <si>
    <t>office@pickapier.com</t>
  </si>
  <si>
    <t>The company joined Blue Launchpad on an undisclosed date. No equity or funding was exchanged as a result of this program.</t>
  </si>
  <si>
    <t>HiCenter, Israeli National Center of Blue Economy, Jonathan Lampert, Lane Bess, NGN Partners, Reichman University, theDOCK</t>
  </si>
  <si>
    <t>HiCenter (www.hicenter.co.il), Israeli National Center of Blue Economy (blueconomy-il.com), NGN Partners (www.ngnpartners.com), Reichman University (www.runi.ac.il), theDOCK (www.thedockinnovation.com)</t>
  </si>
  <si>
    <t>01-נוב-2018</t>
  </si>
  <si>
    <t>Developer of in-vehicle electromagnetic radiation detection technology designed to monitor and manage predictive maintenance for a sustainable future. The company's AI technology energy profiler provides a unique and accurate analysis of energy usage in EVs and helps to make more intelligent decisions about energy management, battery optimization, and overall performance, enabling electric vehicle automakers to efficiently detect magnetic flux density emission throughout the vehicle's lifetime.</t>
  </si>
  <si>
    <t>Automotive, Electronic Equipment and Instruments*</t>
  </si>
  <si>
    <t>Artificial Intelligence &amp; Machine Learning, CleanTech, LOHAS &amp; Wellness, Mobility Tech</t>
  </si>
  <si>
    <t>auto industry, electric vehicle, electric vehicle software, electromagnetic flowmeters, electromagnetic system, energy consumption, sustainability project</t>
  </si>
  <si>
    <t>454511-08</t>
  </si>
  <si>
    <t>www.v-hola.com</t>
  </si>
  <si>
    <t>http://www.linkedin.com/company/vhola</t>
  </si>
  <si>
    <t>2021: 2, 2022: 4, 2023: 6, 2024: 8, 2025: 7</t>
  </si>
  <si>
    <t>250893-28P</t>
  </si>
  <si>
    <t>Peter Mertens</t>
  </si>
  <si>
    <t>Chairman</t>
  </si>
  <si>
    <t>Kefar Sava, Israel</t>
  </si>
  <si>
    <t>1 Atir Yeda Street</t>
  </si>
  <si>
    <t>Kefar Sava</t>
  </si>
  <si>
    <t>The company raised venture funding in a deal led by Afifi Group. Other undisclosed investors also participated in the round.</t>
  </si>
  <si>
    <t>Afifi Group, Michael Mueller, Peter Mertens</t>
  </si>
  <si>
    <t>Afifi Group (www.afifi-group.com)</t>
  </si>
  <si>
    <t>19-ינו-2021</t>
  </si>
  <si>
    <t>0.66x</t>
  </si>
  <si>
    <t>0.44x</t>
  </si>
  <si>
    <t>0.05x</t>
  </si>
  <si>
    <t>0.83x</t>
  </si>
  <si>
    <t>19-ספט-2025</t>
  </si>
  <si>
    <t>Brightmerge</t>
  </si>
  <si>
    <t>Brightmerge Ltd.</t>
  </si>
  <si>
    <t>Xendee, HOMER Energy, Aurora Solar</t>
  </si>
  <si>
    <t>Developer of a performance optimization platform designed to simulate and optimize electric vehicle fleet conversions and charging hub business cases. The company's platform facilitates an intuitive interface, AI-driven optimization, and real-time analysis, enabling energy developers, financiers, and fleet managers to reduce risks and improve financial performance in microgrid projects.</t>
  </si>
  <si>
    <t>Business/Productivity Software*, Other Energy Services</t>
  </si>
  <si>
    <t>Advanced Manufacturing, Artificial Intelligence &amp; Machine Learning, CleanTech, LOHAS &amp; Wellness, SaaS</t>
  </si>
  <si>
    <t>ev fleet, industrial data analytics, microgrids software, performance optimization platform, renewable energy, smart grid system, vertical application</t>
  </si>
  <si>
    <t>277674-13</t>
  </si>
  <si>
    <t>www.brightmerge.com</t>
  </si>
  <si>
    <t>http://www.linkedin.com/company/brightmerge</t>
  </si>
  <si>
    <t>2019: 3, 2020: 6, 2021: 12, 2022: 9, 2023: 9</t>
  </si>
  <si>
    <t>209304-64P</t>
  </si>
  <si>
    <t>Daniel Schwab</t>
  </si>
  <si>
    <t>Co-Founder, Co-Chief Executive Officer, Board Member &amp; Advisor</t>
  </si>
  <si>
    <t>daniel.schwab@brightmerge.com</t>
  </si>
  <si>
    <t>info@brightmerge.com</t>
  </si>
  <si>
    <t>The company raised $550,000 of seed funding from undisclosed investors in February 2023. Previously, the company joined EIT KIC Urban Mobility as part of its Market Readiness Accelerator in 2023 and received EUR 2,500 in grant funding.</t>
  </si>
  <si>
    <t>365x, Arava Power, BIRD Foundation, Drive TLV, EIT KIC Urban Mobility, Environmental Sustainability Innovation Lab, Innovation Authority, MassChallenge, U.S. Department of Energy</t>
  </si>
  <si>
    <t>365x (www.365x.io), Arava Power (www.aravapower.com), BIRD Foundation (www.birdf.com), Drive TLV (www.drivetlv.com/fastlane), EIT KIC Urban Mobility (www.eiturbanmobility.eu), Environmental Sustainability Innovation Lab (esil.co.il), Innovation Authority (innovationisrael.org.il), MassChallenge (www.masschallenge.org), U.S. Department of Energy (www.energy.gov)</t>
  </si>
  <si>
    <t>01-פבר-2023</t>
  </si>
  <si>
    <t>3.70x</t>
  </si>
  <si>
    <t>StoreDot Ltd.</t>
  </si>
  <si>
    <t>Enevate, Tesla, Amprius Technologies, QuantumScape, Contemporary Amperex Technology, LG Chem</t>
  </si>
  <si>
    <t>Manufacturer of batteries and lithium-ion components designed for electric cars. The company offers XFC (Extreme Fast Charging) batteries for Electric Vehicles by combining nano-structural materials with organic and inorganic compounds and proprietary electrolytes, utilizing artificial intelligence algorithms to optimize batteries for electric vehicles, enabling clients to meet their requisite power needs, switch to electric cars, and decrease emissions.</t>
  </si>
  <si>
    <t>Automotive*, Other Equipment</t>
  </si>
  <si>
    <t>Advanced Manufacturing, CleanTech, Industrials, Manufacturing, Mobility Tech, Nanotechnology</t>
  </si>
  <si>
    <t>automotive technology, autonomous machine, autonomous vehicle, battery material, battery technology, charging technology, electric vehicle, electric vehicle battery, fast charging</t>
  </si>
  <si>
    <t>58184-92</t>
  </si>
  <si>
    <t>M&amp;A, Venture Capital</t>
  </si>
  <si>
    <t>www.store-dot.com</t>
  </si>
  <si>
    <t>http://www.linkedin.com/company/storedot</t>
  </si>
  <si>
    <t>2013: 30, 2014: 40, 2015: 47, 2018: 108, 2019: 112, 2020: 116, 2021: 119, 2022: 125, 2023: 143, 2024: 135, 2025: 105</t>
  </si>
  <si>
    <t>53326-90P</t>
  </si>
  <si>
    <t>Doron Myersdorf</t>
  </si>
  <si>
    <t>3 Shenkar Street</t>
  </si>
  <si>
    <t>PO Box 12914</t>
  </si>
  <si>
    <t>The company reached a definitive agreement to be acquired by Andretti Acquisition (Special Purpose Acquisition Company) through a reverse merger, resulting in the combined entity trading on the Nasdaq Stock Market under the ticker symbol Pubco on December 3, 2025. Previously, the company raised Series E venture funding from MicroVentures on an undisclosed date. The company is being actively tracked by PitchBook.</t>
  </si>
  <si>
    <t>A.Partners, Adam Krongold, Alpha Wave Global, AltaIR Capital, Amplefields Investments, Andretti Acquisition (Special Purpose Acquisition Company), Andrey Vyshlov, ATU Partners, bpVentures, Chernovetskyi Investment Group, Chimera Capital, EG Capital Advisors, Enlight Ventures, EVE Energy, GlenRock Israel, Golden Energy Global Investment, Golden Falcon Capital, Gonzalo de Azagra, Joint Journey Intelligent Investments, Justart Venture Studio, Kenges Rakishev, Lucion Venture Capital, Maximize Capital, Mercedes-Benz Group, MicroVentures, Nation-E, NP Capital, Ola Electric, Orbita Capital Partners, Polestar (Automotive), Quonota, Raison Asset Management, Rhodium, Samsung Venture Investment, TDK, Tel-Aviv University, The Millhouse, Valeriy Prisedskiy, Veligera Capital, VI Ventures, VinFast Auto, Volvo Cars Technology Fund, Xploration Capital, Yelzhan Kushekbayev, Yozma Group Korea, Yulia Zarezina</t>
  </si>
  <si>
    <t>Crosesell, Norma Investments, Singulariteam</t>
  </si>
  <si>
    <t>A.Partners (www.apartners.capital), Alpha Wave Global (www.alphawaveglobal.com), AltaIR Capital (www.altair.vc), Amplefields Investments (www.amplefields.com), ATU Partners (atupartners.com), Chernovetskyi Investment Group (www.cig.vc), Chimera Capital (www.chimerainvestment.com), EG Capital Advisors (www.egcapitaladvisors.com), Enlight Ventures (www.enlightvc.com), EVE Energy (www.evebattery.com), GlenRock Israel (www.grg.co.il), Golden Falcon Capital (www.falconcapital.vc), Joint Journey Intelligent Investments (jj.capital), Justart Venture Studio (justart.kz), Lucion Venture Capital (www.600783.cn), Maximize Capital (www.mxmz.capital), Mercedes-Benz Group (www.group.mercedes-benz.com), MicroVentures (www.microventures.com), Nation-E (nation-e.com), NP Capital (www.npcapital.lu), Ola Electric (www.olaelectric.com), Orbita Capital Partners (orbitacapital.com), Polestar (Automotive) (www.polestar.com), Quonota (www.quonota.com), Raison Asset Management (raison.am), Rhodium (www.rhodium.co.il), Samsung Venture Investment (samsungventure.co.kr), TDK (www.tdk.com), Tel-Aviv University (www.moodle.tau.ac.il), Veligera Capital (veligera.com), VI Ventures (www.en.vi-ventures.com), VinFast Auto (www.vinfast.com), Volvo Cars Technology Fund (group.volvocars.com), Xploration Capital (www.xplorationcapital.com), Yozma Group Korea (korea.yozma.asia)</t>
  </si>
  <si>
    <t>Crosesell (www.crosesell.com), Singulariteam (www.singulariteam.com)</t>
  </si>
  <si>
    <t>PwC Israel(Auditor)</t>
  </si>
  <si>
    <t>Cantor Fitzgerald (New York)(Advisor: General), J.P. Morgan (New York)(General Business Banking), King &amp; Spalding(Legal Advisor)</t>
  </si>
  <si>
    <t>01-ספט-2012</t>
  </si>
  <si>
    <t>03-דצמ-2025</t>
  </si>
  <si>
    <t>Reverse Merger</t>
  </si>
  <si>
    <t>51.96x</t>
  </si>
  <si>
    <t>Arrangements or circuits for control of indicating devices using static means to present variable information, Electric power networks, Optical devices or arrangements for the control of light by modification of the optical properties of the media of the elements involved therein, Processes or means, Propulsion of electrically-propelled vehicles</t>
  </si>
  <si>
    <t>01-מאי-2022</t>
  </si>
  <si>
    <t>Urban Aeronautics</t>
  </si>
  <si>
    <t>UrbanAero, UA</t>
  </si>
  <si>
    <t>Urban Aeronautics Ltd.</t>
  </si>
  <si>
    <t>EHang, ICON Aircraft, Drone Aviation, TCOM, Hermeus, Aerostar International, Pilatus Aircraft, Gravity Industries, Boom Supersonic, Airbus Group, Prioria, Britten-Norman, Volocopter, Compass Systems (Aerospace and Defense), AeroVironment, Joby Aviation, Quest Aircraft, SureFly, Lilium, Spike Aerospace, Kittyhawk., Boeing, Jaunt Air Mobility, Skydio, Volocopter Chengdu Technology</t>
  </si>
  <si>
    <t>Developer of an aerodynamic technology designed to offer vertical takeoff and landing aircraft. The company's technology designs vertical-take-off and landing rotor-less aircraft for aerial medical access and evacuation, power-line maintenance, bridge inspection and ship-to-shore taxi services, enabling government agencies to facilitate operational requirements inside complex urban and natural environments.</t>
  </si>
  <si>
    <t>Climate Tech, Industrials, Manufacturing, Mobility Tech, Robotics and Drones</t>
  </si>
  <si>
    <t>advances air mobility, aerospace design, air taxi, aviation technology, electric vtol, evtol aircraft, urban air mobility, vtol aircraft</t>
  </si>
  <si>
    <t>103295-53</t>
  </si>
  <si>
    <t>www.urbanaero.com</t>
  </si>
  <si>
    <t>http://www.linkedin.com/company/urban-aeronautics</t>
  </si>
  <si>
    <t>2019: 25, 2021: 20, 2022: 16, 2023: 12</t>
  </si>
  <si>
    <t>123135-85P</t>
  </si>
  <si>
    <t>Eran Ron</t>
  </si>
  <si>
    <t>Interim Chief Executive Officer &amp; Board Member</t>
  </si>
  <si>
    <t>eran@urbanaero.com</t>
  </si>
  <si>
    <t>10 Nahal Snir Street</t>
  </si>
  <si>
    <t>PO Box 13137</t>
  </si>
  <si>
    <t>info@urbanaero.com</t>
  </si>
  <si>
    <t>The company raised $10 million of Series A venture funding from undisclosed investors on September 14, 2021. The funds will be used for hydrogen-fueled, fancraf technology in latest cityhawk models for inner-city air charter and ems flights.</t>
  </si>
  <si>
    <t>Bseed Investments, Nettuno Capital, RiverPark Ventures</t>
  </si>
  <si>
    <t>Bseed Investments (www.bseedinvest.com), Nettuno Capital (www.nettunocapital.com), RiverPark Ventures (www.riverparkvc.com)</t>
  </si>
  <si>
    <t>Arad &amp; Co.(Legal Advisor), Castle Placement(Advisor: General)</t>
  </si>
  <si>
    <t>Hamburger Evron &amp; Co.(Legal Advisor)</t>
  </si>
  <si>
    <t>26-מאי-2019</t>
  </si>
  <si>
    <t>14-ספט-2021</t>
  </si>
  <si>
    <t>21.26x</t>
  </si>
  <si>
    <t>10-אוק-2025</t>
  </si>
  <si>
    <t>Adhesives, Aeroplanes, Air-cushion vehicles, Macromolecular compounds obtained otherwise than by reactions only involving unsaturated carbon-to-carbon bonds, Unmanned aerial vehicles [uav]</t>
  </si>
  <si>
    <t>Air Taxis</t>
  </si>
  <si>
    <t>Crispify</t>
  </si>
  <si>
    <t>Crispify Ltd</t>
  </si>
  <si>
    <t>Developer of an air monitoring and analyzing platform designed to ensure a clean, healthy, and comfortable in-cabin environment. The company's platform uses gas and particle sensors to collect real-time data on air quality parameters through artificial intelligence algorithms, enabling fleet managers to take prompt action to keep cabin air fresh to enhance customer satisfaction.</t>
  </si>
  <si>
    <t>Artificial Intelligence &amp; Machine Learning, Big Data, Internet of Things</t>
  </si>
  <si>
    <t>air monitoring, air quality management, clean air, connected service, connected vehicles, data driven decision, proactive maintenance, real time data</t>
  </si>
  <si>
    <t>277426-27</t>
  </si>
  <si>
    <t>www.crispify.io</t>
  </si>
  <si>
    <t>http://www.linkedin.com/company/crispifyio</t>
  </si>
  <si>
    <t>2020: 4, 2021: 6, 2022: 3, 2023: 3, 2024: 3, 2025: 3</t>
  </si>
  <si>
    <t>211888-81P</t>
  </si>
  <si>
    <t>Adam Feldman</t>
  </si>
  <si>
    <t>adamf@crispify.io</t>
  </si>
  <si>
    <t>Arik Einstein Street 3</t>
  </si>
  <si>
    <t>info@crispify.io</t>
  </si>
  <si>
    <t>The company joined Techstars as part of its Smart Mobility 2021 program on September 14, 2021 and received $120,000 in funding.</t>
  </si>
  <si>
    <t>Avis Budget Group, Connetic Ventures, Fusion VC, GoAhead Ventures, Hatcher+, MTT Ventures, Plug and Play Tech Center, Sente Ventures, Start-Up Chile, Techstars</t>
  </si>
  <si>
    <t>Avis Budget Group (www.avisbudgetgroup.com), Connetic Ventures (www.conneticventures.com), Fusion VC (www.fusion-vc.com), GoAhead Ventures (www.goaheadvc.com), Hatcher+ (hq.hatcher.com), MTT Ventures (www.mttventures.co), Plug and Play Tech Center (www.plugandplaytechcenter.com), Sente Ventures (www.sente.vc), Start-Up Chile (www.startupchile.org/en), Techstars (www.techstars.com)</t>
  </si>
  <si>
    <t>08-אוק-2012</t>
  </si>
  <si>
    <t>17-ספט-2020</t>
  </si>
  <si>
    <t>1.70x</t>
  </si>
  <si>
    <t>13-יונ-2025</t>
  </si>
  <si>
    <t>Arrangements of heating, cooling, ventilating or other air-treating devices specially adapted for passenger or goods spaces of vehicles</t>
  </si>
  <si>
    <t>RoadSense Advanced Technologies LTD.</t>
  </si>
  <si>
    <t>WayCare, Valerann, Hikvision USA, Genetec</t>
  </si>
  <si>
    <t>Developer of a platform as a service platform designed to change the way cities utilize data to improve public spaces. The company's platform analyzes data collected from public spaces and provides valuable insights to cities, which helps them address various challenges and improve overall efficiency, enabling traffic officials to optimize traffic flow and safety measures.</t>
  </si>
  <si>
    <t>Artificial Intelligence &amp; Machine Learning, Internet of Things</t>
  </si>
  <si>
    <t>connected service, generative ai, privacy protector, public data analysis, public security system, safety management, sensor networking technology, smart city</t>
  </si>
  <si>
    <t>443120-95</t>
  </si>
  <si>
    <t>www.roadsense.tech</t>
  </si>
  <si>
    <t>http://www.linkedin.com/company/roadsense-advanced-technologies</t>
  </si>
  <si>
    <t>2019: 2, 2020: 4, 2021: 4, 2022: 6, 2023: 4, 2024: 5, 2025: 5, 2026: 4</t>
  </si>
  <si>
    <t>245019-88P</t>
  </si>
  <si>
    <t>Baruch Gueta</t>
  </si>
  <si>
    <t>Menachem Begin 150</t>
  </si>
  <si>
    <t>The company was in talks to receive venture funding on an undisclosed date. Subsequently, the deal was canceled. Previously, the company joined 365x on February 1, 2023 and received $150,000 in funding.</t>
  </si>
  <si>
    <t>365x, Blue Tulip Awards, Capital Nature, CityZone (Israel), Curiosity Lab (Georgia), Highroad (Israel)</t>
  </si>
  <si>
    <t>365x (www.365x.io), Blue Tulip Awards (www.bluetulipawards.nl), Capital Nature (www.capitalnature.com), CityZone (Israel) (city-zone.co), Curiosity Lab (Georgia) (curiositylabptc.com), Highroad (Israel) (highroad.to)</t>
  </si>
  <si>
    <t>Bank Leumi le-Israel(General Business Banking), KPMG(Auditor), Shibolet &amp; Company(Legal Advisor)</t>
  </si>
  <si>
    <t>1.35x</t>
  </si>
  <si>
    <t>Rav-Pass</t>
  </si>
  <si>
    <t>HopOn, Rav-Pass App</t>
  </si>
  <si>
    <t>HopOn Ltd.</t>
  </si>
  <si>
    <t>MotionTag, TransLoc, Routematch Software, GIRO, Door2Door, Vix Technology, Masabi, Trapeze Group, Ecolane, Infospread Euro, HanseCom Public Transport Ticketing Solutions, Clever Devices, Isotrak, Vnomics, Halan, Transit (Application Software), SmartDrive Systems, Q-Free, Scheidt &amp; Bachmann, Cubic, Passport (Business/Productivity Software)</t>
  </si>
  <si>
    <t>Developer of a mobility ticketing and big data platform designed to simplify urban mobility. The company's platform provides a unified system for ticketing, routing and navigation across all modes of public and shared transportation, enabling transportation operators to improve efficiency, reduce costs and provide a good experience for passengers.</t>
  </si>
  <si>
    <t>Business/Productivity Software*, Media and Information Services (B2B), Other Transportation</t>
  </si>
  <si>
    <t>Big Data, CloudTech &amp; DevOps, Mobile, Mobility Tech, SaaS</t>
  </si>
  <si>
    <t>bus booking, mobility solutions, multimodal booking, public mobility solutions, public transportation ticketing, shuttle and multimodal booking, transport management, transport management platform, transport management software, transport management system, transport management tool</t>
  </si>
  <si>
    <t>97312-24</t>
  </si>
  <si>
    <t>www.ravpass.co.il</t>
  </si>
  <si>
    <t>http://www.linkedin.com/company/hopon---travel-smart</t>
  </si>
  <si>
    <t>2014: 12, 2017: 11, 2019: 25, 2020: 33, 2021: 60, 2022: 60, 2023: 100, 2025: 38</t>
  </si>
  <si>
    <t>FY 2022</t>
  </si>
  <si>
    <t>99476-56P</t>
  </si>
  <si>
    <t>Ofer Sinai</t>
  </si>
  <si>
    <t>Co-Founder &amp; Business Development Manager</t>
  </si>
  <si>
    <t>ofer@hopon.co.il</t>
  </si>
  <si>
    <t>Ha-Yetsira Street 3</t>
  </si>
  <si>
    <t>Global Fintech Solutions sold its stake in the company to an undisclosed buyer in approximately January 2023.</t>
  </si>
  <si>
    <t>8200 EISP, Bank Hapoalim, Clear Future, Dan Public Transportation, Future Energy Ventures, Innogy Innovation Hub, Plug and Play Tech Center, Prytek, Standard Bank, Startup Autobahn, UMI Service</t>
  </si>
  <si>
    <t>Global Fintech Solutions, Moneta Venture Capital</t>
  </si>
  <si>
    <t>8200 EISP (www.eisp.org.il), Bank Hapoalim (www.bankhapoalim.com), Clear Future (clear-future.com), Dan Public Transportation (www.dan.co.il), Future Energy Ventures (www.fev.vc), Innogy Innovation Hub (innovationhub.innogy.com), Plug and Play Tech Center (www.plugandplaytechcenter.com), Prytek (prytek.com), Standard Bank (www.standardbankpa.com), Startup Autobahn (www.startup-autobahn.com), UMI Service (www.umiservice.co.il)</t>
  </si>
  <si>
    <t>Global Fintech Solutions (www.gfs-technologies.com), Moneta Venture Capital (www.monetavc.com)</t>
  </si>
  <si>
    <t>Value Base(Advisor: General)</t>
  </si>
  <si>
    <t>01-נוב-2013</t>
  </si>
  <si>
    <t>02-ינו-2023</t>
  </si>
  <si>
    <t>20.00x</t>
  </si>
  <si>
    <t>38.34x</t>
  </si>
  <si>
    <t>1.65x</t>
  </si>
  <si>
    <t>11-יול-2025</t>
  </si>
  <si>
    <t>26-מאי-2021</t>
  </si>
  <si>
    <t>Ception</t>
  </si>
  <si>
    <t>StreetLight Solutions, StreetLight AI</t>
  </si>
  <si>
    <t>Ception Technologies Ltd</t>
  </si>
  <si>
    <t>Developer of an artificial intelligence-powered system designed for heavy equipment, to improve operational safety, productivity, and sustainability. The company's system is based on high-definition mapping and non-global positioning system precise localization technologies, using advanced computer vision and deep learning algorithms, enabling machinery operators with real-time alerts and guidance, while collecting data and providing job site-related insights to the site managers.</t>
  </si>
  <si>
    <t>Automation/Workflow Software, Business/Productivity Software*, Other Hardware</t>
  </si>
  <si>
    <t>collision warning system, computer vision, deep learning, heavy equipment, mining solution, process plant, situational awareness</t>
  </si>
  <si>
    <t>327214-00</t>
  </si>
  <si>
    <t>www.ception.ai</t>
  </si>
  <si>
    <t>http://www.linkedin.com/company/ception</t>
  </si>
  <si>
    <t>2020: 10, 2021: 11, 2022: 20, 2023: 14, 2024: 12</t>
  </si>
  <si>
    <t>16 Hartom</t>
  </si>
  <si>
    <t>Har Hotzvim</t>
  </si>
  <si>
    <t>info@ception.ai</t>
  </si>
  <si>
    <t>The company joined CEMEX Ventures's LeapLab Accelerator Program as a part of its First Cohort on December 12, 2022. Previously, the company raised $6.5 million of venture funding from Shapir Engineering and Industry, MoreVC, and other undisclosed investors in September 2022.</t>
  </si>
  <si>
    <t>Cemex Ventures, Innovation Authority, MoreVC, Shapir Engineering and Industry</t>
  </si>
  <si>
    <t>Cemex Ventures (www.cemexventures.com), Innovation Authority (innovationisrael.org.il), MoreVC (www.morevc.com), Shapir Engineering and Industry (www.shapir.co.il)</t>
  </si>
  <si>
    <t>20-פבר-2019</t>
  </si>
  <si>
    <t>12-דצמ-2022</t>
  </si>
  <si>
    <t>13-נוב-2025</t>
  </si>
  <si>
    <t>Conjoint control of vehicle sub-units of different type or different function, Image data processing or generation, in general, Image or video recognition or understanding, Measuring distances, levels or bearings</t>
  </si>
  <si>
    <t>Synvertec</t>
  </si>
  <si>
    <t>Synvertec Ltd.</t>
  </si>
  <si>
    <t>Tesla</t>
  </si>
  <si>
    <t>Developer of a control algorithm software designed to provide grid stability services. The company's software empowers the transition of grids worldwide by replacing traditional thermal energy generation with inverter-based renewable energy sources, enabling businesses to enhance yields and maximize the utilization of electricity provided by renewable energy sources in traditional and micro smart grid topologies.</t>
  </si>
  <si>
    <t>Alternative Energy Equipment, Business/Productivity Software*, Other Energy Services</t>
  </si>
  <si>
    <t>CleanTech, Climate Tech, SaaS</t>
  </si>
  <si>
    <t>ancillary services, control algorithm, electric vehicle, ev charging, grid infrastructure, grid stability, power electronics</t>
  </si>
  <si>
    <t>159289-21</t>
  </si>
  <si>
    <t>www.synvertec.com</t>
  </si>
  <si>
    <t>http://www.linkedin.com/company/synvertec</t>
  </si>
  <si>
    <t>2020: 5, 2021: 8, 2022: 6, 2023: 3, 2024: 5</t>
  </si>
  <si>
    <t>137592-73P</t>
  </si>
  <si>
    <t>George Weiss</t>
  </si>
  <si>
    <t>6 Galgaley Haplada</t>
  </si>
  <si>
    <t>info@synvertec.com</t>
  </si>
  <si>
    <t>CLP-OSEG sold its stake in the company to an undisclosed buyer.</t>
  </si>
  <si>
    <t>BioSphere Capital, Free Electrons, Horizon 2020, I'mnovation, Israel Electric, Ministry of Energy, Southern Israel Bridging Fund</t>
  </si>
  <si>
    <t>CLP-OSEG, Ramot at Tel Aviv University</t>
  </si>
  <si>
    <t>BioSphere Capital (www.biosphere-capital.com), Free Electrons (www.freeelectrons.org), I'mnovation (imnovation.acciona.com), Israel Electric (www.iec.co.il), Southern Israel Bridging Fund (www.sibf.vc)</t>
  </si>
  <si>
    <t>CLP-OSEG (www.clp-oseg.com), Ramot at Tel Aviv University (ramot.org)</t>
  </si>
  <si>
    <t>01-ינו-2014</t>
  </si>
  <si>
    <t>1.09x</t>
  </si>
  <si>
    <t>0.10 of a Second Ltd</t>
  </si>
  <si>
    <t>Developer of vehicle behavior tracker intended to increase road safety. The company's product tracks vehicle behavior generates intelligent indications, improves response time for all road users and alerts pedestrians, other drivers, especially the two-wheelers community to a variety of potential road hazards by illuminating the blind area and by better communicating the intentions of both human drivers and autonomous driving systems.</t>
  </si>
  <si>
    <t>acceleration indicators, brake indicators, compensating indication, deceleration indicators, road safety system</t>
  </si>
  <si>
    <t>Corporation</t>
  </si>
  <si>
    <t>463135-51</t>
  </si>
  <si>
    <t>Privately Held (no backing)</t>
  </si>
  <si>
    <t>Other Private Companies</t>
  </si>
  <si>
    <t>www.0-10s.com</t>
  </si>
  <si>
    <t>257278-24P</t>
  </si>
  <si>
    <t>Michael Elgrably</t>
  </si>
  <si>
    <t>Co-Founder and Chief Executive Officer</t>
  </si>
  <si>
    <t>michael@0-10s.com</t>
  </si>
  <si>
    <t>1.52x</t>
  </si>
  <si>
    <t>A.D Knight</t>
  </si>
  <si>
    <t>A.D Knight Ltd.</t>
  </si>
  <si>
    <t>Savari, Vizible Zone, Foresight Autonomous (Eye-Net accident prevention system)</t>
  </si>
  <si>
    <t>Developer of a wireless sensing technology designed to detect road users based on signals from personal devices. The company provides sensors that identify and locate devices in the environment, estimate road users' trajectories, and detect potential risk conditions, enabling clients to incorporate traffic-safety functions into their systems for protecting pedestrians, cyclists, and other vulnerable road users in low-visibility environments.</t>
  </si>
  <si>
    <t>Business/Productivity Software, Electronic Equipment and Instruments*, Road</t>
  </si>
  <si>
    <t>Advanced Manufacturing, Internet of Things, Mobility Tech</t>
  </si>
  <si>
    <t>accident prevention system, connected service, pedestrian detection, road safety, smart city technologies, traffic analytics, traffic monitoring</t>
  </si>
  <si>
    <t>416586-88</t>
  </si>
  <si>
    <t>www.ad-knight.com</t>
  </si>
  <si>
    <t>http://www.linkedin.com/company/ad-knight</t>
  </si>
  <si>
    <t>2020: 8, 2023: 9, 2024: 9, 2025: 7</t>
  </si>
  <si>
    <t>221266-72P</t>
  </si>
  <si>
    <t>Jonathan Abir</t>
  </si>
  <si>
    <t>Prof. Haim Pekeris Street 4</t>
  </si>
  <si>
    <t>The company joined HARDS on an undisclosed date.</t>
  </si>
  <si>
    <t>CityZone (Israel), Drive TLV, EIT KIC Urban Mobility, HARDS, Leading Cities, MassChallenge, White Hibiscus Capital</t>
  </si>
  <si>
    <t>Capsula TAU, Smart Futures Lab, The Technion DRIVE Accelerator</t>
  </si>
  <si>
    <t>CityZone (Israel) (city-zone.co), Drive TLV (www.drivetlv.com/fastlane), EIT KIC Urban Mobility (www.eiturbanmobility.eu), HARDS (www.hards.com.br), Leading Cities (leadingcities.org), MassChallenge (www.masschallenge.org), White Hibiscus Capital (www.whitehibiscuscapital.com)</t>
  </si>
  <si>
    <t>Capsula TAU (www.capsula-tau.com), Smart Futures Lab (www.smartfutureslab.com), The Technion DRIVE Accelerator (techniondrive.com)</t>
  </si>
  <si>
    <t>Ernst &amp; Young Global(Auditor), Meitar Law Offices(Legal Advisor)</t>
  </si>
  <si>
    <t>1.13x</t>
  </si>
  <si>
    <t>Traffic control systems</t>
  </si>
  <si>
    <t>A.D.I. Systems</t>
  </si>
  <si>
    <t>Edi Systems</t>
  </si>
  <si>
    <t>AD Systems</t>
  </si>
  <si>
    <t>ADI Car Stereo and Alarm Systems Ltd</t>
  </si>
  <si>
    <t>Provider of safety and multimedia systems for vehicles based in Rishon LeZion, Israel. The company is engaged in the import, development and installation of a variety of safety systems, tracking systems, audio and multimedia systems for private vehicles and heavy vehicles.</t>
  </si>
  <si>
    <t>Automotive*, Other Commercial Products</t>
  </si>
  <si>
    <t>audio system, car system, multimedia system, safety system, safety system installation, safety system products, tracking system, vehicle safety system, vehicle tracking system</t>
  </si>
  <si>
    <t>Corporate Backed or Acquired</t>
  </si>
  <si>
    <t>163960-93</t>
  </si>
  <si>
    <t>Acquired/Merged (Operating Subsidiary)</t>
  </si>
  <si>
    <t>www.adi-system.co.il</t>
  </si>
  <si>
    <t>http://www.linkedin.com/company/a.d.i-system-ltd</t>
  </si>
  <si>
    <t>E.Schnapp &amp; Co. Works</t>
  </si>
  <si>
    <t>FY 2015</t>
  </si>
  <si>
    <t>142602-76P</t>
  </si>
  <si>
    <t>Tzeela Chen</t>
  </si>
  <si>
    <t>Co-Chief Financial Officer</t>
  </si>
  <si>
    <t>tzeela@adi-system.co.il</t>
  </si>
  <si>
    <t>Rishon LeZion, Israel</t>
  </si>
  <si>
    <t>Eliyahu Eitan Street 1</t>
  </si>
  <si>
    <t>Rishon LeZion</t>
  </si>
  <si>
    <t>The company was acquired by E.Schnapp &amp; Co. Works (TAE: SHNP) for ILS 75 million on January 1, 2017.</t>
  </si>
  <si>
    <t>Merger/Acquisition</t>
  </si>
  <si>
    <t>Term Loan</t>
  </si>
  <si>
    <t>30-ספט-2025</t>
  </si>
  <si>
    <t>A.L. Group</t>
  </si>
  <si>
    <t>AL Filter, AL Group</t>
  </si>
  <si>
    <t>AL Group LTD</t>
  </si>
  <si>
    <t>Manufacturer and designer of tailor-made, private-label automotive filters intended for OEM customers. The company produces advanced filtration systems by combining the latest design, and technology based on customer requirements, enabling automotive and HD industries to put into service custom-made filtration systems.</t>
  </si>
  <si>
    <t>Industrial Supplies and Parts</t>
  </si>
  <si>
    <t>Industrial Supplies and Parts*, Road</t>
  </si>
  <si>
    <t>Manufacturing</t>
  </si>
  <si>
    <t>air filter, automotive filters, automotive filters manufacturer, cabins filter, filtration solutions, fuel filter</t>
  </si>
  <si>
    <t>100732-33</t>
  </si>
  <si>
    <t>Private Equity</t>
  </si>
  <si>
    <t>www.algroup.com</t>
  </si>
  <si>
    <t>http://www.linkedin.com/company/a-l-group</t>
  </si>
  <si>
    <t>2018: 1450, 2022: 1450, 2023: 1450</t>
  </si>
  <si>
    <t>FY 2016</t>
  </si>
  <si>
    <t>273459-34P</t>
  </si>
  <si>
    <t>Asaf Britchner</t>
  </si>
  <si>
    <t>asafb@algroup.com</t>
  </si>
  <si>
    <t>Ashdod, Israel</t>
  </si>
  <si>
    <t>54 Hamada street</t>
  </si>
  <si>
    <t>North Industrial Zone</t>
  </si>
  <si>
    <t>contact@algroup.com</t>
  </si>
  <si>
    <t>The company was acquired by SKY Fund and Mr. Gideon Aloni through an estimated NIS 59.4 million LBO in January 2018. The transaction values the company at an estimated NIS 90 million.</t>
  </si>
  <si>
    <t>SKY Fund</t>
  </si>
  <si>
    <t>SKY Fund (www.skyfund.co.il)</t>
  </si>
  <si>
    <t>07-אפר-2015</t>
  </si>
  <si>
    <t>Buyout/LBO</t>
  </si>
  <si>
    <t>Management Buyout</t>
  </si>
  <si>
    <t>1.31x</t>
  </si>
  <si>
    <t>0.45x</t>
  </si>
  <si>
    <t>2.17x</t>
  </si>
  <si>
    <t>Ace Mobility</t>
  </si>
  <si>
    <t>Ahnafield Corporation</t>
  </si>
  <si>
    <t>ACE</t>
  </si>
  <si>
    <t>ACE Mobility, LLC</t>
  </si>
  <si>
    <t>Manufacturer of mobility systems designed to assist people with limited mobility in driving. The company's devices offer a range of installable products for all primary and secondary driving needs, including accelerator and brake, lifts, doors, windows, air conditioner and audio control, thereby enabling drivers with minor or substantial disabilities to perform all required functions while driving freely and safely.</t>
  </si>
  <si>
    <t>Automotive*, Electronics (B2C)</t>
  </si>
  <si>
    <t>Industrials, Manufacturing, Mobility Tech, TMT</t>
  </si>
  <si>
    <t>automotive, automotive device, automotive devices, automotive mobility, mobility services, mobility system</t>
  </si>
  <si>
    <t>Formerly VC-backed</t>
  </si>
  <si>
    <t>97611-40</t>
  </si>
  <si>
    <t>Acquired/Merged</t>
  </si>
  <si>
    <t>www.acemobility.us</t>
  </si>
  <si>
    <t>2016: 2, 2021: 4</t>
  </si>
  <si>
    <t>Tel Mond, Israel</t>
  </si>
  <si>
    <t>Mail box 8088</t>
  </si>
  <si>
    <t>The company was acquired by R.B Systems for an undisclosed amount on April 1, 2019. The acquisition will enable the R.B Systems to offer its product line in the US market. The company is no longer actively tracked by PitchBook.</t>
  </si>
  <si>
    <t>R.B Systems</t>
  </si>
  <si>
    <t>AGS Capital (Indianapolis)</t>
  </si>
  <si>
    <t>AGS Capital (Indianapolis) (www.ags-capital.com)</t>
  </si>
  <si>
    <t>01-ינו-2008</t>
  </si>
  <si>
    <t>01-אפר-2019</t>
  </si>
  <si>
    <t>23-פבר-2024</t>
  </si>
  <si>
    <t>ADAM CogTech</t>
  </si>
  <si>
    <t>ADAM CogTech Ltd.</t>
  </si>
  <si>
    <t>Developer of monitoring technology intended for measurement and enhancement of driver cognitive performance. The company's technology specializes in nonintrusive products and is able to measure the driver's cognitive resources available for the driving task via operations like stationary shift approval unit, in-cabin monitoring unit, and fleet management dashboard, enabling clients to get early indications of cognitive impairment which may have an immediate safety impact by saving hundreds of thousands of lives every year.</t>
  </si>
  <si>
    <t>Electronic Equipment and Instruments*, Road</t>
  </si>
  <si>
    <t>adaptive systems, attention sensing, automotive service, autonomous driving, car safety product, car safety system, car safety technology, monitoring technology</t>
  </si>
  <si>
    <t>339833-80</t>
  </si>
  <si>
    <t>www.adam-cogtec.com</t>
  </si>
  <si>
    <t>http://www.linkedin.com/company/adam-cogtec</t>
  </si>
  <si>
    <t>2020: 7, 2021: 6, 2022: 3, 2023: 3, 2025: 2, 2026: 2</t>
  </si>
  <si>
    <t>214721-11P</t>
  </si>
  <si>
    <t>Yair Be'ery</t>
  </si>
  <si>
    <t>Co-Founder &amp; Board Member</t>
  </si>
  <si>
    <t>Beit Yehoshua, Israel</t>
  </si>
  <si>
    <t>Argaman Street 6</t>
  </si>
  <si>
    <t>enquiries@adam-cogtec.com</t>
  </si>
  <si>
    <t>The company joined Drive LTV on an undisclosed date. No equity or funding were exchanged as a part of this program.</t>
  </si>
  <si>
    <t>Delphi Technologies, Drive TLV, Mitsubishi, Mobilion Ventures</t>
  </si>
  <si>
    <t>Delphi Technologies (www.delphi.com), Drive TLV (www.drivetlv.com/fastlane), Mitsubishi (www.mitsubishicorp.com), Mobilion Ventures (www.mobilion-vc.com)</t>
  </si>
  <si>
    <t>15-יונ-2020</t>
  </si>
  <si>
    <t>0.25x</t>
  </si>
  <si>
    <t>02-ינו-2026</t>
  </si>
  <si>
    <t>Diagnosis</t>
  </si>
  <si>
    <t>Aero Ice Free</t>
  </si>
  <si>
    <t>Aero Ice Free Ltd</t>
  </si>
  <si>
    <t>The company primarily operates in the Air industry. Aero Ice Free was founded in 2008 and is headquartered in Ramat Gan, Israel.</t>
  </si>
  <si>
    <t>Air</t>
  </si>
  <si>
    <t>Air*</t>
  </si>
  <si>
    <t>712758-79</t>
  </si>
  <si>
    <t>aeroicefree.com</t>
  </si>
  <si>
    <t>http://www.linkedin.com/company/aero-ice-free-ltd</t>
  </si>
  <si>
    <t>2025: 11, 2026: 11</t>
  </si>
  <si>
    <t>HaHilazon St.</t>
  </si>
  <si>
    <t>1.08x</t>
  </si>
  <si>
    <t>0.78x</t>
  </si>
  <si>
    <t>Technology Generated</t>
  </si>
  <si>
    <t>03-ינו-2026</t>
  </si>
  <si>
    <t>AeroCRS</t>
  </si>
  <si>
    <t>AeroCRS Ltd</t>
  </si>
  <si>
    <t>Trawex, DerbySoft, Travelport Worldwide, QuadLabs, Accelya Holding World, Revenue Management Systems, DHISCO, SQLI, Readify, Staah, Nats (Business/Productivity Software), Loyalty Prime, MoEngage, Airline Software, IBS Software, Laminaar Aviation Infotech, Farelogix, Chetu, Leon Software, Pegasus Solutions, Cornerstone Information Systems, Hitit Bilgisayar Hizmetleri, RateGain, Navitaire, Coforge, eRevMax, Maureva, Travel Technology Interactive, Skyvantage, Aviaso</t>
  </si>
  <si>
    <t>Developer of airline cloud reservations software intended to empower transport providers with the same tools that the large carriers use without breaking their budget. The company's system offers flight, departure, inventory, distribution, agents, content and reservation systems management, reports and business intelligence, internet booking engines and application program interfaces (APIs), enabling businesses to improve operations and increase sales and revenue.</t>
  </si>
  <si>
    <t>Business/Productivity Software*, IT Consulting and Outsourcing, Media and Information Services (B2B)</t>
  </si>
  <si>
    <t>Mobility Tech, SaaS</t>
  </si>
  <si>
    <t>aviation systems, reservation software, reservation software system, ticket booking, ticket booking portal, ticketing software, ticketing system</t>
  </si>
  <si>
    <t>Formerly PE-Backed</t>
  </si>
  <si>
    <t>100769-05</t>
  </si>
  <si>
    <t>www.aerocrs.com</t>
  </si>
  <si>
    <t>2021: 21, 2022: 23</t>
  </si>
  <si>
    <t>144 Derech Menachem Begin</t>
  </si>
  <si>
    <t>The company was acquired by 777 Partners through an LBO on May 4, 2022 for an undisclosed amount. Subsequently, the company was merged with 777 Partners portfolio company GO7 in 2023. The company is no longer actively tracked by PitchBook.</t>
  </si>
  <si>
    <t>GO7</t>
  </si>
  <si>
    <t>Cockpit Innovation, Kiwi.com</t>
  </si>
  <si>
    <t>777 Partners</t>
  </si>
  <si>
    <t>Cockpit Innovation (www.cockpitinnovation.com), Kiwi.com (www.kiwi.com)</t>
  </si>
  <si>
    <t>777 Partners (www.777part.com)</t>
  </si>
  <si>
    <t>04-מאי-2022</t>
  </si>
  <si>
    <t>Add-on</t>
  </si>
  <si>
    <t>19-אוג-2025</t>
  </si>
  <si>
    <t>Afcon Electric Transport</t>
  </si>
  <si>
    <t>Afcon Electric Transportation Ltd.</t>
  </si>
  <si>
    <t>Operator of an electric charging network dedicated to making electric charging capabilities accessible to every consumer, everywhere. The company develops, installs and operates charging stations for parking lots, public charging points, home and bus charging stations as well as fast-charging stations across Israel, helping customers to easily access and use charging infrastructure for their electric vehicles.</t>
  </si>
  <si>
    <t>Other Commercial Services</t>
  </si>
  <si>
    <t>Automotive, Other Commercial Services*, Road</t>
  </si>
  <si>
    <t>electric charging points, electric charging station, electric charging unit, electric vehicle support, home charging station, public charging stations</t>
  </si>
  <si>
    <t>484197-94</t>
  </si>
  <si>
    <t>www.afconev.co.il</t>
  </si>
  <si>
    <t>http://www.linkedin.com/company/afcon-electric-mobility</t>
  </si>
  <si>
    <t>Afcon Holdings</t>
  </si>
  <si>
    <t>158454-37P</t>
  </si>
  <si>
    <t>Ziv Morad</t>
  </si>
  <si>
    <t>ziv.morad@tadirantele.com</t>
  </si>
  <si>
    <t>1 Alexander Yanai</t>
  </si>
  <si>
    <t>The company was acquired by Helios Energy Investments through a ILS 55 million LBO on February 16, 2021. The transaction values the company at an estimated ILS 110 million.</t>
  </si>
  <si>
    <t>Afcon Holdings, Helios Energy Investments</t>
  </si>
  <si>
    <t>Afcon Holdings (www.afcon.co.il), Helios Energy Investments (www.heliosfund.com)</t>
  </si>
  <si>
    <t>16-פבר-2021</t>
  </si>
  <si>
    <t>7.59x</t>
  </si>
  <si>
    <t>13.66x</t>
  </si>
  <si>
    <t>20-יונ-2025</t>
  </si>
  <si>
    <t>aidymo-cv</t>
  </si>
  <si>
    <t>IonTerra</t>
  </si>
  <si>
    <t>aidymo-cv Ltd.</t>
  </si>
  <si>
    <t>Developer of a computer vision analysis platform designed for autonomous driving. The company's system uses low computing power computer vision algorithms, object identification, as well as sizing and locating by using sensors' raw data to create a unified perception of vehicles' surroundings, enabling the automobile and aviation industry to improve safety and reliability.</t>
  </si>
  <si>
    <t>Business/Productivity Software*, Media and Information Services (B2B)</t>
  </si>
  <si>
    <t>Artificial Intelligence &amp; Machine Learning, Autonomous cars, Big Data, Mobility Tech</t>
  </si>
  <si>
    <t>autonomous driving, autonomous driving platform, autonomous driving software, images processing, navigation model, parking control, parking spot, perception software, vertical application</t>
  </si>
  <si>
    <t>101478-25</t>
  </si>
  <si>
    <t>www.aidymo-cv.com</t>
  </si>
  <si>
    <t>http://www.linkedin.com/company/aidymo-cv</t>
  </si>
  <si>
    <t>2015: 3, 2021: 2, 2022: 2, 2023: 3, 2025: 3</t>
  </si>
  <si>
    <t>253951-84P</t>
  </si>
  <si>
    <t>Thorsten Buchmeier</t>
  </si>
  <si>
    <t>thorsten@aidymo-cv.com</t>
  </si>
  <si>
    <t>16/19 Shoam</t>
  </si>
  <si>
    <t>office@ionterra.com</t>
  </si>
  <si>
    <t>2B.VC, PLUS Ventures, Horizon 2020 SME Instrument, Hubraum, and S. Shlomo Holdings sold their stake in the company to an undisclosed buyer in approximately October 2024. The company is no longer actively tracked by PitchBook.</t>
  </si>
  <si>
    <t>2B.VC, Challenge Up!, Explore. Dream. Discover., Horizon 2020, Hubraum, PLUS Ventures, S. Shlomo Holdings</t>
  </si>
  <si>
    <t>2B.VC (www.2b.vc), Challenge Up! (www.challengeup.eu), Explore. Dream. Discover. (www.exploreventures.co.il), Hubraum (www.hubraum.com), PLUS Ventures (www.plus.ventures), S. Shlomo Holdings (www.shlomo.co.il)</t>
  </si>
  <si>
    <t>27-יונ-2025</t>
  </si>
  <si>
    <t>airHaifa</t>
  </si>
  <si>
    <t>Operator of airline services for various travel destinations. The airline offers flights to destinations such as Larnaca, Paphos, Athens, and Eilat, serving the northern region of Israel. The company provides services including booking and cancellation policies, parking, and travel options, with features like wireless internet and mileage rewards.</t>
  </si>
  <si>
    <t>772675-57</t>
  </si>
  <si>
    <t>airhaifa.com</t>
  </si>
  <si>
    <t>http://www.linkedin.com/company/air-haifa-ltd</t>
  </si>
  <si>
    <t>2025: 10, 2026: 10</t>
  </si>
  <si>
    <t>7.63x</t>
  </si>
  <si>
    <t>14.00x</t>
  </si>
  <si>
    <t>Ajo</t>
  </si>
  <si>
    <t>Aeterno</t>
  </si>
  <si>
    <t>S2 tikshuv ltd</t>
  </si>
  <si>
    <t>Developer of an enterprise asset and fleet management platform designed for structured data logging in field environments. The company focuses on replacing unstructured paper logs, spreadsheets, and informal messaging with a standardized, multilingual tool, enabling field workers and blue and white-collar workers to capture, access, and share information efficiently.</t>
  </si>
  <si>
    <t>Business/Productivity Software, Communication Software*</t>
  </si>
  <si>
    <t>Car-Sharing, SaaS</t>
  </si>
  <si>
    <t>assets managements, communication platform, cost control, deep insights, enterprise asset management, fleet management</t>
  </si>
  <si>
    <t>Accelerator/Incubator Backed</t>
  </si>
  <si>
    <t>707370-94</t>
  </si>
  <si>
    <t>Pre-venture</t>
  </si>
  <si>
    <t>www.ajo.im</t>
  </si>
  <si>
    <t>http://www.linkedin.com/company/ajo-im</t>
  </si>
  <si>
    <t>2025: 6</t>
  </si>
  <si>
    <t>478920-25P</t>
  </si>
  <si>
    <t>Alexey Sokolov</t>
  </si>
  <si>
    <t>Co-Founder &amp; CIO</t>
  </si>
  <si>
    <t>65 Tabenkin street</t>
  </si>
  <si>
    <t>info@ajo.im</t>
  </si>
  <si>
    <t>The company joined 365x in August 2020. No equity or funding was exchanged as a result of this program.</t>
  </si>
  <si>
    <t>365x</t>
  </si>
  <si>
    <t>365x (www.365x.io)</t>
  </si>
  <si>
    <t>01-אוג-2020</t>
  </si>
  <si>
    <t>0.65x</t>
  </si>
  <si>
    <t>Alfa Oto Filo Yönetimi ve Uzun Dönem Kiralama Hizmetleri</t>
  </si>
  <si>
    <t>Provider of automotive dealership services in Maltepe, Israel. The company's services include direct functions such as sales, active sales, fleet sales, service, spare parts trading, as well as indirect functions such as insurance and long term car rental, enabling clients to avail hassle free and quick car hiring service.</t>
  </si>
  <si>
    <t>Retail</t>
  </si>
  <si>
    <t>Specialty Retail</t>
  </si>
  <si>
    <t>Automotive, Specialty Retail*</t>
  </si>
  <si>
    <t>FinTech, Industrials, InsurTech, TMT</t>
  </si>
  <si>
    <t>automotive dealership company, insurance</t>
  </si>
  <si>
    <t>228107-98</t>
  </si>
  <si>
    <t>www.alfaoto.com.tr</t>
  </si>
  <si>
    <t>Maltepe, Israel</t>
  </si>
  <si>
    <t>Rıfkı Tongsir Cd. No: 62</t>
  </si>
  <si>
    <t>Maltepe</t>
  </si>
  <si>
    <t>The company was acquired by Hedef AraÃ§ Kiralama ve Servis for an undisclosed amount on March 10, 2018. The company is no longer actively tracked by PitchBook.</t>
  </si>
  <si>
    <t>Hedef Araç Kiralama ve Servis</t>
  </si>
  <si>
    <t>3 Seas Capital Partners(Advisor: General)</t>
  </si>
  <si>
    <t>10-מרץ-2018</t>
  </si>
  <si>
    <t>14-ספט-2023</t>
  </si>
  <si>
    <t>Amnon Mesilot</t>
  </si>
  <si>
    <t>Amnon Mesilot Ltd.</t>
  </si>
  <si>
    <t>Provider of transportation services catering to corporate and institutional transportation. The company specializes in setting up shuttle systems using buses, minibusses, microbuses and taxis for transporting employees to their workplace, thereby enabling businesses to reduce the burden of employee transportation.</t>
  </si>
  <si>
    <t>bus booking, multimodal booking, public mobility solutions, shuttle and multimodal booking, transportation, transportation company, transportation operator, transportation service, transportation service provider, transportation services firm</t>
  </si>
  <si>
    <t>462703-78</t>
  </si>
  <si>
    <t>www.amm.co.il</t>
  </si>
  <si>
    <t>2021: 200, 2024: 150</t>
  </si>
  <si>
    <t>Electra Israel</t>
  </si>
  <si>
    <t>FY 2019</t>
  </si>
  <si>
    <t>256284-28P</t>
  </si>
  <si>
    <t>Finnish Camry</t>
  </si>
  <si>
    <t>fcamry@ammg.co.il</t>
  </si>
  <si>
    <t>Carmiel, Israel</t>
  </si>
  <si>
    <t>11 Hanehoshet Street</t>
  </si>
  <si>
    <t>Carmiel</t>
  </si>
  <si>
    <t>The company, a subsidiary of Amnon Mesilot Group was acquired by Electra Israel (TAE: ELTR) for ILS 74 million on January 3, 2021. The company will receive a contingent payout of ILS 71 million upon the completion of the successful transition of the business under certain customer contracts. The acquisition is in line with Electra Israel's life cycle strategy and enabels it to expand in the field of transportation operation and maintenance in Israel.</t>
  </si>
  <si>
    <t>Amnon Mesilot Group</t>
  </si>
  <si>
    <t>Amnon Mesilot Group (www.ammg.co.il)</t>
  </si>
  <si>
    <t>03-ינו-2021</t>
  </si>
  <si>
    <t>AMSTAF UGV</t>
  </si>
  <si>
    <t>Automotive Robotic Industry Ltd.</t>
  </si>
  <si>
    <t>Manufacturer of advanced unmanned ground vehicles intended to serve military, civilian, and security forces. The company's products offer a wide range of features like surveillance, riot control, fire control, cargo transport, and open-area defense.</t>
  </si>
  <si>
    <t>Business/Productivity Software, Other Hardware, Road*</t>
  </si>
  <si>
    <t>Autonomous cars, Manufacturing, Robotics and Drones</t>
  </si>
  <si>
    <t>autonomous vehicle, autonomous vehicle robots, fire response, ground vehicles, surveillance radar, surveillance sensor</t>
  </si>
  <si>
    <t>820226-08</t>
  </si>
  <si>
    <t>www.amstaf-ugv.com</t>
  </si>
  <si>
    <t>http://www.linkedin.com/company/automotive-robotic-industry</t>
  </si>
  <si>
    <t>445670-92P</t>
  </si>
  <si>
    <t>Amos Goren</t>
  </si>
  <si>
    <t>Founder, Owner &amp; Chief Executive Officer</t>
  </si>
  <si>
    <t>amos@amstaf-ugv.com</t>
  </si>
  <si>
    <t>Nazareth, Israel</t>
  </si>
  <si>
    <t>41 Derech Haemek</t>
  </si>
  <si>
    <t>Nazerat Illit, Northern District</t>
  </si>
  <si>
    <t>info@amstaf-ugv.com</t>
  </si>
  <si>
    <t>6.52x</t>
  </si>
  <si>
    <t>08-מאי-2025</t>
  </si>
  <si>
    <t>App.raiser</t>
  </si>
  <si>
    <t>Developer of an automotive application designed to streamline the vehicle appraisal process. The company's application uses technology and a convenient and accessible system and damage monitoring system, enabling car rental companies to evaluate vehicle damage straight from smartphones.</t>
  </si>
  <si>
    <t>Automotive*, Business/Productivity Software</t>
  </si>
  <si>
    <t>Mobile</t>
  </si>
  <si>
    <t>damage monitoring, damage monitoring system, vehicle appraisal, vehicle appraisal software, vehicle damage assessment, vehicle damage determination</t>
  </si>
  <si>
    <t>442885-06</t>
  </si>
  <si>
    <t>Out of Business</t>
  </si>
  <si>
    <t>www.app-raiser.co</t>
  </si>
  <si>
    <t>The company is no longer actively in business as of January 11, 2022. The company is no longer tracked by PitchBook.</t>
  </si>
  <si>
    <t>Cactus Capital (Israel)</t>
  </si>
  <si>
    <t>Cactus Capital (Israel) (bgu.cactus.capital)</t>
  </si>
  <si>
    <t>20-אוג-2019</t>
  </si>
  <si>
    <t>11-ינו-2022</t>
  </si>
  <si>
    <t>Arbe Robotics (NAS: ARBE)</t>
  </si>
  <si>
    <t>Arbe Robotics Ltd.</t>
  </si>
  <si>
    <t>Ouster, Velodyne Lidar, Argo AI (Electronic Equipment and Instruments), Echodyne, Mobileye Global, Metawave, Uhnder, Texas Instruments, NXP Semiconductors (Television Systems and Set-Top Box Business Lines)</t>
  </si>
  <si>
    <t>Arbe Robotics Ltd is a provider of 4D Imaging Radar solutions enabling driver-assist systems while paving the way for fully autonomous driving. It is a research and development company in the field of chips for Advanced radar systems, which are mainly intended to be used as Advanced Driver Assistance Systems (ADAS) adapted for autonomous vehicles as well as for non-automotive uses. Its geographical segments include Sweden, China, Germany, Hong Kong, USA, Israel, Switzerland, Italy, and others.</t>
  </si>
  <si>
    <t>Business/Productivity Software*, Electronic Equipment and Instruments</t>
  </si>
  <si>
    <t>automotive radar, autonomous driving, autonomous machine, imaging radar, imaging sensors, radar chips, radar device</t>
  </si>
  <si>
    <t>170988-31</t>
  </si>
  <si>
    <t>Publicly Held</t>
  </si>
  <si>
    <t>Debt Financed, Private Equity, Publicly Listed, Venture Capital</t>
  </si>
  <si>
    <t>www.arberobotics.com</t>
  </si>
  <si>
    <t>http://www.linkedin.com/company/arbe-robotics</t>
  </si>
  <si>
    <t>2016: 12, 2017: 28, 2018: 55, 2019: 85, 2020: 70, 2021: 118, 2022: 136, 2023: 137, 2024: 144, 2025: 180</t>
  </si>
  <si>
    <t>NAS</t>
  </si>
  <si>
    <t>ARBE</t>
  </si>
  <si>
    <t>News (New)</t>
  </si>
  <si>
    <t>Deal (New) PIPE, 2026|Completed, News (New), News (New), News (New), News (New), News (New), Filing (New), Filing (New), Filing (New)</t>
  </si>
  <si>
    <t>TTM 3Q2025</t>
  </si>
  <si>
    <t>157960-72P</t>
  </si>
  <si>
    <t>Noam Arkind</t>
  </si>
  <si>
    <t>Chief Technology Officer, Technology &amp; Founder</t>
  </si>
  <si>
    <t>noam.a@arberobotics.com</t>
  </si>
  <si>
    <t>HaHashmonaim Street 107</t>
  </si>
  <si>
    <t>The company (NAS: ARBE) received approximately $18.52 million of development capital from Special Situations Funds and other undisclosed investors on January 27, 2026, through a private placement. The company intends to use the net proceeds from this offering for working capital and general corporate purposes.</t>
  </si>
  <si>
    <t>100Partner Capital, 360 Capital, AI Alliance Fund, Arc Ventures (United States), Beijing Automotive Group Industrial Investment, Canaan Partners Israel, Catalyst Investments, China Everbright, Climate First, Geneva Insurance, High House Investment, Hyundai CRADLE, iAngels, ICE.vc, Industrial Tech Acquisitions, Kreos Capital, LoftyInc Capital Management, M&amp;G, Maniv Mobility, MissionBlue Capital Partners, MobilityXlab, MoreTech Ventures, Next Gear Ventures, Noah Pickholtz, O.G. Venture Partners, OurCrowd, RIO Ventures Holdings, Silverhorn Investment Advisors, Special Situations Funds, Taya Ventures, Ten Venture Partners, Texas Ventures, Valhalla Investment Network, Varana Capital</t>
  </si>
  <si>
    <t>100Partner Capital (www.100partner.com), 360 Capital (www.360cap.vc), AI Alliance Fund (www.theaialliancefund.com), Arc Ventures (United States) (www.arc-vc.com), Beijing Automotive Group Industrial Investment (www.baiccapital.com), Canaan Partners Israel (www.canaanil.com), Catalyst Investments (www.catalyst-fund.com), China Everbright (www.everbright.com), Climate First (climatefirst.vc), Geneva Insurance (www.geneva-ppli.com), High House Investment (high-house.vc), Hyundai CRADLE (www.cradleinc.com), iAngels (www.iangels.com), ICE.vc (ice.vc), Kreos Capital (www.kreoscapital.com), LoftyInc Capital Management (www.loftyinc.vc), M&amp;G (www.mandg.com), Maniv Mobility (www.maniv.com), MissionBlue Capital Partners (missionbluecapital.com), MobilityXlab (www.mobilityxlab.com), MoreTech Ventures (moretech.vc), Next Gear Ventures (www.nextgear.fund), O.G. Venture Partners (og-vp.com), OurCrowd (www.ourcrowd.com), RIO Ventures Holdings (rio-ventures.com), Silverhorn Investment Advisors (www.silverhorngroup.com), Special Situations Funds (www.ssfund.com), Taya Ventures (www.tayaventures.com), Texas Ventures (www.texasventures.com), Valhalla Investment Network (www.valhalla-investment.com), Varana Capital (www.varanacapital.com)</t>
  </si>
  <si>
    <t>Canaccord Genuity (Toronto)(Underwriter), Cohen &amp; Company Capital Markets(Advisor: General), DLA Piper(Legal Advisor), Ellenoff Grossman &amp; Schole(Legal Advisor), Epsilon Investment House(Advisor: General), Erdinast, Ben Nathan, Toledano &amp; Co. With Hamburger Evron(Legal Advisor), KPMG(Accounting), Kreos Capital(Debt Financing), Lowenstein Sandler(Legal Advisor), Pava(Advisor: General), Poalim Equity(Advisor: General), ROTH Capital Partners(Advisor: General), Scintilla Fund(Debt Financing), TD Cowen(Advisor: General), Wells Fargo Securities(Advisor: General), WestPark Capital(Advisor: General)</t>
  </si>
  <si>
    <t>01-אפר-2016</t>
  </si>
  <si>
    <t>27-ינו-2026</t>
  </si>
  <si>
    <t>PIPE</t>
  </si>
  <si>
    <t>15-אוג-2021</t>
  </si>
  <si>
    <t>21.55x</t>
  </si>
  <si>
    <t>10.58x</t>
  </si>
  <si>
    <t>32.52x</t>
  </si>
  <si>
    <t>Antennas, Generic packages, interconnections, connectors or other constructional details of devices covered by class h10, Radio direction-finding, Systems for controlling or regulating non-electric variables</t>
  </si>
  <si>
    <t>07-אוק-2021</t>
  </si>
  <si>
    <t>Arbitrip</t>
  </si>
  <si>
    <t>Cheapopo</t>
  </si>
  <si>
    <t>Developer of a next-generation travel management platform intended to help enterprises manage their business travel. The company's platform uses intelligent algorithms to personalize each search to provide users with room recommendations tailored to their specific travel schedules and activities, enabling enterprises to reduce their travel costs.</t>
  </si>
  <si>
    <t>Business/Productivity Software, Other Commercial Services*</t>
  </si>
  <si>
    <t>Industrials, Mobility Tech, SaaS</t>
  </si>
  <si>
    <t>enterprise travel management, online booking platform, travel management application, travel management software, travel management system, travel management tool</t>
  </si>
  <si>
    <t>153146-62</t>
  </si>
  <si>
    <t>www.arbitrip.com</t>
  </si>
  <si>
    <t>http://www.linkedin.com/company/arbitrip</t>
  </si>
  <si>
    <t>2016: 2, 2021: 8, 2022: 12, 2023: 16, 2025: 38</t>
  </si>
  <si>
    <t>S. Shlomo Holdings</t>
  </si>
  <si>
    <t>127240-39P</t>
  </si>
  <si>
    <t>Orel Jossef</t>
  </si>
  <si>
    <t>orel@arbitrip.com</t>
  </si>
  <si>
    <t>Ramat Hasharon, Israel</t>
  </si>
  <si>
    <t>Haprachim 3</t>
  </si>
  <si>
    <t>Ramat Hasharon</t>
  </si>
  <si>
    <t>info@arbitrip.com</t>
  </si>
  <si>
    <t>The company was acquired by S. Shlomo Holdings for an undisclosed amount on August 2, 2022.</t>
  </si>
  <si>
    <t>Microsoft for Startups</t>
  </si>
  <si>
    <t>Teddy Sagi Group</t>
  </si>
  <si>
    <t>Microsoft for Startups (startups.microsoft.com)</t>
  </si>
  <si>
    <t>04-פבר-2016</t>
  </si>
  <si>
    <t>02-אוג-2022</t>
  </si>
  <si>
    <t>26-יונ-2018</t>
  </si>
  <si>
    <t>02-ספט-2025</t>
  </si>
  <si>
    <t>Arkia Israeli Airlines</t>
  </si>
  <si>
    <t>Eilata</t>
  </si>
  <si>
    <t>Arkia Israeli Airlines Ltd.</t>
  </si>
  <si>
    <t>easyJet, British Airways, Corsair International</t>
  </si>
  <si>
    <t>Provider of airline services based in Tel Aviv, Israel. The company operates charter and scheduled flights to a variety of destinations worldwide, flight and hotel packages to Europe, fly &amp; drive packages and organized tours.</t>
  </si>
  <si>
    <t>airline company, airline operations, airline operator, airline services, airline services company</t>
  </si>
  <si>
    <t>434345-68</t>
  </si>
  <si>
    <t>www.arkia.co.il</t>
  </si>
  <si>
    <t>http://www.linkedin.com/company/arkia</t>
  </si>
  <si>
    <t>2020: 550, 2021: 530, 2022: 204</t>
  </si>
  <si>
    <t>250366-96P</t>
  </si>
  <si>
    <t>Gadi Tepper</t>
  </si>
  <si>
    <t>gadit@arkia.co.il</t>
  </si>
  <si>
    <t>PO Box 39301</t>
  </si>
  <si>
    <t>Dov Airport</t>
  </si>
  <si>
    <t>The company was in talks to be acquired by El Al Airlines (TAE: ELAL) for an undisclosed amount on February 3, 2022. Subsequently, the deal was canceled. Previously, the company was acquired by Nakash Group of America for an undisclosed amount in 2006.</t>
  </si>
  <si>
    <t>01-ינו-2006</t>
  </si>
  <si>
    <t>03-פבר-2022</t>
  </si>
  <si>
    <t>20-ינו-2026</t>
  </si>
  <si>
    <t>13-ינו-2021</t>
  </si>
  <si>
    <t>Asana Technology</t>
  </si>
  <si>
    <t>Asana Technology Ltd.</t>
  </si>
  <si>
    <t>Developer of a smart car operating system designed to facilitate the transition to a software-centric vehicle. The company's operating system provides vehicle makers with services and in-car infrastructure software, enabling vehicle makers to innovate technologies for autonomous and connected cars.</t>
  </si>
  <si>
    <t>Operating Systems Software, Road*</t>
  </si>
  <si>
    <t>automotive software, automotive technology, car operating system, car technology, smart cars operations, smart cars tools</t>
  </si>
  <si>
    <t>234073-09</t>
  </si>
  <si>
    <t>www.asanatechnology.com</t>
  </si>
  <si>
    <t>Aluf Street 3</t>
  </si>
  <si>
    <t>The company is no longer actively in business as of July 1, 2018. The company is no longer tracked by PitchBook.</t>
  </si>
  <si>
    <t>01-אפר-2017</t>
  </si>
  <si>
    <t>Capitalization</t>
  </si>
  <si>
    <t>01-יול-2018</t>
  </si>
  <si>
    <t>Astras.</t>
  </si>
  <si>
    <t>Strasa</t>
  </si>
  <si>
    <t>Operator of a global autonomous fleet of High Altitude Pseudo-Satellite platforms intended for high-resolution imagery, at low prices, and on a large scale. The company's platform provides the service of flying partner payloads for long-duration missions, such as communication services in rural areas by using only renewable energy, and reducing costs, enabling clients to adopt high-resolution imagery and get high-altitude services.</t>
  </si>
  <si>
    <t>CleanTech, Space Technology</t>
  </si>
  <si>
    <t>autonomous fleet, autonomous fleet management, autonomous fleet operations, pseudo-satellite, satellite platform, satellite platform developer</t>
  </si>
  <si>
    <t>498320-74</t>
  </si>
  <si>
    <t>astras.tech</t>
  </si>
  <si>
    <t>http://www.linkedin.com/company/strasa-tech</t>
  </si>
  <si>
    <t>2022: 4</t>
  </si>
  <si>
    <t>info@strasa.tech</t>
  </si>
  <si>
    <t>The company is no longer actively tracked by PitchBook.</t>
  </si>
  <si>
    <t>07-ינו-2026</t>
  </si>
  <si>
    <t>Auto-Deal Car Sales</t>
  </si>
  <si>
    <t>Auto-Deal Car Sales 1997 Ltd.</t>
  </si>
  <si>
    <t>Operator of a trade-in chain for buying and selling new vehicles based in Bnei Brak, Israel. The company specializes in buying private cars firsthand, makes attractive trade-in deals and offers zero-kilometer vehicles and also offers an inventory of vehicles from all brands and segments, starting with super-mini cars, through family and commercial vehicles, recreational vehicles and electric vehicles, and ending with a luxury vehicle.</t>
  </si>
  <si>
    <t>car dealership, car dealership agency, new vehicle dealer, new vehicle sale, trade-in service, vehicle sale service</t>
  </si>
  <si>
    <t>328279-33</t>
  </si>
  <si>
    <t>www.auto-deal.co.il</t>
  </si>
  <si>
    <t>Allied Group (Israel)</t>
  </si>
  <si>
    <t>FY 2018</t>
  </si>
  <si>
    <t>416249-02P</t>
  </si>
  <si>
    <t>Dror Polus</t>
  </si>
  <si>
    <t>Bnei Brak, Israel</t>
  </si>
  <si>
    <t>Lehi 24 A.T.</t>
  </si>
  <si>
    <t>The company was acquired by Allied Group (Israel) for ILS 100 million on October 16, 2019. Previously, Mr. Meir Ohayon and Mr.Tomer Dotan sold a 49% stake in the company to Allied Group (Israel) for an undisclosed amount in 2005.</t>
  </si>
  <si>
    <t>01-ינו-2005</t>
  </si>
  <si>
    <t>16-אוק-2019</t>
  </si>
  <si>
    <t>7.65x</t>
  </si>
  <si>
    <t>12-דצמ-2024</t>
  </si>
  <si>
    <t>Autofleet</t>
  </si>
  <si>
    <t>Autofleet Ltd</t>
  </si>
  <si>
    <t>GIRO, TruTac, GPS Trackit, Linxup, Rarestep, Paragon Software Systems, Trapeze Group, Fleet Complete, Routematch Software, Ecolane, Masternaut, Hacon Ingenieurges, NexTraq, Pivotal Software, Ridecell, Teletrac Navman Group, FleetMaster Software, Donlen, FleetMind Solutions</t>
  </si>
  <si>
    <t>Developer of a fleet management optimization platform designed to automate and coordinate mobility operations. The company offers an artificial intelligence-powered platform with flexible configuration, operational automation, and support for diverse fleet models, enabling fleet operators and mobility service providers across commercial, logistics, service, rental, shared mobility, and autonomous vehicle use cases to improve operational efficiency and enhance customer experience.</t>
  </si>
  <si>
    <t>Business/Productivity Software*, Other Commercial Services, Road</t>
  </si>
  <si>
    <t>Artificial Intelligence &amp; Machine Learning, Mobility Tech, Ridesharing, SaaS</t>
  </si>
  <si>
    <t>automated routing planning, autonomous vehicle management, car rental software, cloud-based saas, fleet connectivity, fleet management software, fleet optimization, last mile delivery solutions, mobility management, pooled vehicles, postal software, ridesharing software</t>
  </si>
  <si>
    <t>226345-87</t>
  </si>
  <si>
    <t>www.autofleet.io</t>
  </si>
  <si>
    <t>http://www.linkedin.com/company/autofleet</t>
  </si>
  <si>
    <t>2020: 29, 2021: 30, 2022: 40, 2024: 70, 2025: 120</t>
  </si>
  <si>
    <t>Element Fleet Management</t>
  </si>
  <si>
    <t>471788-74P</t>
  </si>
  <si>
    <t>Sime Megrel</t>
  </si>
  <si>
    <t>sima@autofleet.io</t>
  </si>
  <si>
    <t>5 Hamelach Street</t>
  </si>
  <si>
    <t>contact@autofleet.io</t>
  </si>
  <si>
    <t>The company was acquired by Element Fleet Management (TSE: EFN) for $110 million on August 14, 2024.</t>
  </si>
  <si>
    <t>ABVCAP, Drive TLV, Fujitsu Ventures, Garage+, Goodyear Ventures, Keyframe Capital Partners, L Marks, Liil Ventures, Maniv Mobility, MizMaa Ventures, Next Gear Ventures, Plug and Play Tech Center, Quantum Hub, RISE Conference, Smart Open Lisboa, W2 Labs</t>
  </si>
  <si>
    <t>ABVCAP (abvcap.com.br/en), Drive TLV (www.drivetlv.com/fastlane), Garage+ (www.garageplus.asia/en), Goodyear Ventures (www.goodyearventures.com), Keyframe Capital Partners (www.keyframecapital.com), L Marks (www.lmarks.com), Liil Ventures (www.liil.city), Maniv Mobility (www.maniv.com), MizMaa Ventures (www.mizmaa.com), Next Gear Ventures (www.nextgear.fund), Plug and Play Tech Center (www.plugandplaytechcenter.com), Quantum Hub (www.quantum-hub.com), RISE Conference (www.riseconf.com), Smart Open Lisboa (smartopenlisboa.com), W2 Labs (www.w2labs.com)</t>
  </si>
  <si>
    <t>TD Securities(Advisor: General)</t>
  </si>
  <si>
    <t>14-אוג-2024</t>
  </si>
  <si>
    <t>Autotalks</t>
  </si>
  <si>
    <t>Autotalks Ltd.</t>
  </si>
  <si>
    <t>NimbeLink, Cohda Wireless</t>
  </si>
  <si>
    <t>Developer of semiconductors designed to offer vehicle-to-everything communication processors for manned and autonomous vehicles. The company provides communication modules in collaboration with semiconductors as well as automotive original equipment manufacturers, which enables vehicles to communicate and transmit data with other vehicles and roadside infrastructure, providing clients with technologies to reduce collisions on roadways and improve mobility.</t>
  </si>
  <si>
    <t>Application Specific Semiconductors*, Connectivity Products</t>
  </si>
  <si>
    <t>Autonomous cars, Manufacturing, Mobility Tech</t>
  </si>
  <si>
    <t>communication processor, connected service, connected vehicles, fabless semiconductor, mobility tech, semiconductors chips, semiconductors developer, v2x processor, vehicle communication, vehicle to everything</t>
  </si>
  <si>
    <t>55315-09</t>
  </si>
  <si>
    <t>www.auto-talks.com</t>
  </si>
  <si>
    <t>2013: 40, 2016: 60, 2018: 100, 2019: 100, 2021: 103, 2022: 110, 2023: 122, 2024: 126, 2025: 123</t>
  </si>
  <si>
    <t>FY 2021</t>
  </si>
  <si>
    <t>Kfar-Netter, Israel</t>
  </si>
  <si>
    <t>POB 3846</t>
  </si>
  <si>
    <t>Grand Netter Building</t>
  </si>
  <si>
    <t>Kfar-Netter</t>
  </si>
  <si>
    <t>The company was acquired by Qualcomm (NAS: QCOM) for an undisclosed amount on June 4, 2025. The company is no longer actively tracked by PitchBook.</t>
  </si>
  <si>
    <t>Qualcomm</t>
  </si>
  <si>
    <t>Amiti Ventures, Delek Motors, FIT Hon Teng, FM Capital (Transportation Tech), Gemini Israel Ventures, GlenRock Israel, Global Investment Group, Hyundai CRADLE, Liberty Ventures Group, Magenta Venture Partners, Magma Venture Partners, Maniv Mobility, Mirai Creation Capital, Mitsui Global Investment, Nuvoton Technology, Samsung Catalyst Fund, Samsung Oak Holdings, SMBC Trust Bank, SPARX Group Company, Sumitomo Mitsui Banking, Toyota Motor, Vintage (Private Equity)</t>
  </si>
  <si>
    <t>Amiti Ventures (www.amiti.vc), Delek Motors (www.delek-motors.co.il), FIT Hon Teng (www.fit-foxconn.com), FM Capital (Transportation Tech) (www.fmcap.com), Gemini Israel Ventures (www.gemini.co.il), GlenRock Israel (www.grg.co.il), Global Investment Group (www.standrewsgig.com), Hyundai CRADLE (www.cradleinc.com), Magenta Venture Partners (www.magenta.vc), Magma Venture Partners (www.magmavc.com), Maniv Mobility (www.maniv.com), Mirai Creation Capital (mirai.sparx.co.jp/en), Mitsui Global Investment (www.mitsui-global.com), Nuvoton Technology (www.nuvoton.com), Samsung Catalyst Fund (www.samsungcatalyst.com), SMBC Trust Bank (www.smbctb.co.jp), SPARX Group Company (www.sparx.jp), Sumitomo Mitsui Banking (www.smbc.co.jp), Toyota Motor (www.global.toyota), Vintage (Private Equity) (www.vintage-ip.com)</t>
  </si>
  <si>
    <t>White &amp; Case(Legal Advisor)</t>
  </si>
  <si>
    <t>04-יונ-2025</t>
  </si>
  <si>
    <t>Conjoint control of vehicle sub-units of different type or different function, Radio direction-finding, Wireless communication networks</t>
  </si>
  <si>
    <t>23-נוב-2021</t>
  </si>
  <si>
    <t>AutoTrust</t>
  </si>
  <si>
    <t>The company primarily operates in the Automotive industry. AutoTrust was founded in 2019 and is headquartered in Kefar Sava, Israel.</t>
  </si>
  <si>
    <t>545893-03</t>
  </si>
  <si>
    <t>autotrust.tech</t>
  </si>
  <si>
    <t>http://www.linkedin.com/company/autotrusttech</t>
  </si>
  <si>
    <t>Israel 19</t>
  </si>
  <si>
    <t>info@autotrust.tech</t>
  </si>
  <si>
    <t>0.35x</t>
  </si>
  <si>
    <t>10-ינו-2024</t>
  </si>
  <si>
    <t>Axilion (TAE: AILN)</t>
  </si>
  <si>
    <t>Axilion Ltd.</t>
  </si>
  <si>
    <t>Axilion Smart Mobility Ltd is an artificial intelligence-based software company. The company is focused on developing, applying, and implementing software systems (SaaS) based on artificial intelligence, which enables cities to manage their entire mobility system optimally. Its solutions optimize traffic light systems' timing using a comprehensive analysis of the traffic light network, road users, and network demand. These solutions help in reducing air pollution, prioritize public transit, and improve road-user safety.</t>
  </si>
  <si>
    <t>Business/Productivity Software*, Other Transportation</t>
  </si>
  <si>
    <t>Artificial Intelligence &amp; Machine Learning, Internet of Things, Mobility Tech, SaaS</t>
  </si>
  <si>
    <t>communication software system, enterprise asset management, enterprise resource planning, erp, intelligent transportation systems software, smart city application, smart traffic light, smart traffic light timing software, traffic signals network coordination, transit signal priority</t>
  </si>
  <si>
    <t>234068-14</t>
  </si>
  <si>
    <t>Generating Revenue/Not Profitable</t>
  </si>
  <si>
    <t>Publicly Listed, Venture Capital</t>
  </si>
  <si>
    <t>www.axilion.com</t>
  </si>
  <si>
    <t>http://www.linkedin.com/company/axilion-ltd</t>
  </si>
  <si>
    <t>2016: 3, 2017: 3, 2018: 3, 2019: 3, 2020: 23, 2021: 42, 2022: 48, 2023: 55, 2024: 43</t>
  </si>
  <si>
    <t>TAE</t>
  </si>
  <si>
    <t>AILN</t>
  </si>
  <si>
    <t>TTM 2Q2025</t>
  </si>
  <si>
    <t>47121-04P</t>
  </si>
  <si>
    <t>Coby Sella</t>
  </si>
  <si>
    <t>cobys@axilion.com</t>
  </si>
  <si>
    <t>Azrieli Sarona Tower - 30th Floor</t>
  </si>
  <si>
    <t>Derech Begin 121</t>
  </si>
  <si>
    <t>The company (TAE:AILN) received ILS 61 million of development capital from undisclosed investors on January 6, 2021 through a private placement. Previously, the company acquired Apio Africa (TAE: AILN) through a reverse merger, resulting in the combined entity trading on the TAE under the ticker symbol AILN on December 2, 2020. Also, the company joined EIT KIC Urban Mobility and UnternehmerTUM on December 2, 2020 and received EUR 3,000 in funding.</t>
  </si>
  <si>
    <t>Apio Africa, Ramot at Tel Aviv University</t>
  </si>
  <si>
    <t>Arik Steinberg, EIT KIC Urban Mobility, John Casesa, John Procari, Leading Cities, Mark Josephson, Shy Datika, UnternehmerTUM</t>
  </si>
  <si>
    <t>Apio Africa (www.apio.net), Ramot at Tel Aviv University (ramot.org)</t>
  </si>
  <si>
    <t>EIT KIC Urban Mobility (www.eiturbanmobility.eu), Leading Cities (leadingcities.org), UnternehmerTUM (www.unternehmertum.de)</t>
  </si>
  <si>
    <t>01-ינו-2009</t>
  </si>
  <si>
    <t>06-ינו-2021</t>
  </si>
  <si>
    <t>9.96x</t>
  </si>
  <si>
    <t>25-ספט-2025</t>
  </si>
  <si>
    <t>02-דצמ-2020</t>
  </si>
  <si>
    <t>Ayalon Highways</t>
  </si>
  <si>
    <t>Ayalon Highways Co.</t>
  </si>
  <si>
    <t>Operator of a website offering information on public transportation solutions in Israel. The website provides updates on transportation projects and initiatives, including the national drone project and bike paths, as well as information on road closures due to construction. Its objective is to improve transportation options and promote sustainability.</t>
  </si>
  <si>
    <t>Rail, Road*</t>
  </si>
  <si>
    <t>556361-47</t>
  </si>
  <si>
    <t>ayalonhw.co.il</t>
  </si>
  <si>
    <t>http://www.linkedin.com/company/ayalon-highways-co.</t>
  </si>
  <si>
    <t>2025: 51, 2026: 51</t>
  </si>
  <si>
    <t>9.78x</t>
  </si>
  <si>
    <t>13.19x</t>
  </si>
  <si>
    <t>12.46x</t>
  </si>
  <si>
    <t>13.91x</t>
  </si>
  <si>
    <t>08-מרץ-2024</t>
  </si>
  <si>
    <t>B.C Bike</t>
  </si>
  <si>
    <t>B.C Bike Ltd</t>
  </si>
  <si>
    <t>Manufacturer of hydraulic-electric bicycles intended to offer chain-free bicycle that works via hydraulic power. The company's bicycles use a drivetrain model technology, which is easy to use, safer, and maintenance-free, enabling riders to enjoy an innovative and exclusive riding experience.</t>
  </si>
  <si>
    <t>Manufacturing, Mobility Tech</t>
  </si>
  <si>
    <t>digital platform, electric bicycle, electric bicycle product, electric bikes, hydraulic model, hydraulic systems, micromobility, vehicle supplier</t>
  </si>
  <si>
    <t>437316-04</t>
  </si>
  <si>
    <t>www.chainfreebike.com</t>
  </si>
  <si>
    <t>2023: 2</t>
  </si>
  <si>
    <t>Luzit, Israel</t>
  </si>
  <si>
    <t>Luzit</t>
  </si>
  <si>
    <t>The company is no longer actively in business as of December 1, 2023. The company is no longer tracked by PitchBook.</t>
  </si>
  <si>
    <t>Ami Shanan, And Arieli, Avinoam Sapir, Binyamin Hadar, Einat Sapir, Headstart Advisers, Joshua Levinberg, Meitar Liquornik, Netanel Katz, Shmuel Huppert, Taga Innovations Ltd, Yoel Gat, Zohar Gillon, Zvi Lieberman</t>
  </si>
  <si>
    <t>Headstart Advisers (www.headstartadvisers.com), Taga Innovations Ltd (tagapro.com)</t>
  </si>
  <si>
    <t>FUND it(Lead Manager or Arranger)</t>
  </si>
  <si>
    <t>Equity Crowdfunding</t>
  </si>
  <si>
    <t>01-דצמ-2023</t>
  </si>
  <si>
    <t>30-ספט-2024</t>
  </si>
  <si>
    <t>01-ספט-2019</t>
  </si>
  <si>
    <t>BA Aero &amp; SW Engineering</t>
  </si>
  <si>
    <t>Developer of flight aiding platform designed to cater to aerial flight crews. The company's product offers the necessary flight-aiding system for the aerial fire-fighting fleet, thereby enabling flying in extreme conditions.</t>
  </si>
  <si>
    <t>Aerospace and Defense, Business/Productivity Software*, IT Consulting and Outsourcing</t>
  </si>
  <si>
    <t>aerial firefight, aerial firefighting, aerial flight services, firefighting, flight platform, flight systems</t>
  </si>
  <si>
    <t>510290-83</t>
  </si>
  <si>
    <t>www.ba-aero.com</t>
  </si>
  <si>
    <t>Bnei-Dror, Israel</t>
  </si>
  <si>
    <t>Arbel 15</t>
  </si>
  <si>
    <t>Bnei-Dror</t>
  </si>
  <si>
    <t>18-דצמ-2024</t>
  </si>
  <si>
    <t>Baba Wheels</t>
  </si>
  <si>
    <t>Provider of automotive and alternative transportation news intended to provide user reviews. The company's platform provides live feed of automotive related questions, provided by a team of experts, enabling customers to get reviews on new, used and classic car models, motorbikes, alternative transportation, electric vehicles, hybrid cars, market innovations.</t>
  </si>
  <si>
    <t>Social/Platform Software</t>
  </si>
  <si>
    <t>Automotive, Social/Platform Software*</t>
  </si>
  <si>
    <t>automotive platform, automotive platform software, automotive review, automotive software, transportation news</t>
  </si>
  <si>
    <t>Formerly Accelerator/Incubator backed</t>
  </si>
  <si>
    <t>99054-19</t>
  </si>
  <si>
    <t>www.babawheels.com</t>
  </si>
  <si>
    <t>The company is no longer actively in business on July 20 ,2020. The company is no longer actively tracked by PitchBook.</t>
  </si>
  <si>
    <t>Connector Media</t>
  </si>
  <si>
    <t>Connector Media (www.connectormedia.com)</t>
  </si>
  <si>
    <t>17-יול-2020</t>
  </si>
  <si>
    <t>Bambi Dynamic</t>
  </si>
  <si>
    <t>Bambi Dynamic Ltd.</t>
  </si>
  <si>
    <t>Trōv, Wrisk, Acko, Majesco, Root (Financial Software), Simplesurance, Zego, Cover (Financial Software), InsuranceDekho, Instanda, Slice (New York), REIN Technologies, Marshmallow, Clark, CoverGo, Virado, Symbo (Financial Software), Root Insurance, Insly, Quotall, DigiSure (IT Consulting and Outsourcing), PolicyBazaar, Obie, Bunker, Bimaplan, Friendsurance, Getsafe, Riskcovry, Wefox, Digital Insurance Group, Bomapp, Boost (Other Business Products and Services), SchemeServe, Sure, Upsie Technology, Next Insurance, Novidea, JustInCase, Coverfox, CoverHound, LeaseLock, Jetty (Property and Casualty Insurance), Benefix, Goji (Information Services), Turtlemint Fintech Solutions, CoverWallet</t>
  </si>
  <si>
    <t>Operator of a SaaS-based platform intended to offer embedded automobile insurance to own and control offerings. The company's cloud platform provides OEMs, mobility service providers, and insurers, car insurance products, combining usage, type of driving, relevant insurance coverage, and depersonalization along with car-sharing and ride-hailing, enabling customers to have innovative, digital, and personalized insurance products with end-to-end white-label alternatives.</t>
  </si>
  <si>
    <t>Automotive Insurance, Financial Software*, Other Insurance</t>
  </si>
  <si>
    <t>FinTech, InsurTech, Mobile, Mobility Tech, SaaS</t>
  </si>
  <si>
    <t>auto commerce, automobile insurance, automobile insurance platform, automobile insurance service, car insurance platform, distribution and intermediation, infrastructure and apis, insurance platform portal, mobility insurance, oem automobile</t>
  </si>
  <si>
    <t>265626-91</t>
  </si>
  <si>
    <t>Bankruptcy: Liquidation</t>
  </si>
  <si>
    <t>www.bambidynamic.com</t>
  </si>
  <si>
    <t>2018: 10, 2019: 12, 2020: 20, 2021: 30, 2022: 17, 2023: 11</t>
  </si>
  <si>
    <t>2 Raoul Wallenberg Street</t>
  </si>
  <si>
    <t>1st floor Merkaz</t>
  </si>
  <si>
    <t>The company liquidated and ceased its operation in approximately March 2024. The company is no longer actively tracked by PitchBook.</t>
  </si>
  <si>
    <t>MS&amp;AD Ventures, PIX (Phoenix Insurance), Plug and Play Tech Center</t>
  </si>
  <si>
    <t>MS&amp;AD Ventures (msad.vc), PIX (Phoenix Insurance) (www.pix.fnx.co.il), Plug and Play Tech Center (www.plugandplaytechcenter.com)</t>
  </si>
  <si>
    <t>01-מרץ-2024</t>
  </si>
  <si>
    <t>Bankruptcy</t>
  </si>
  <si>
    <t>07-מרץ-2024</t>
  </si>
  <si>
    <t>Auto Commerce</t>
  </si>
  <si>
    <t>BeepMe</t>
  </si>
  <si>
    <t>RideSmart Ltd.</t>
  </si>
  <si>
    <t>Developer of a ride-sharing application intended to serve the people of Israel. The company's application allows users to share rides with other people.</t>
  </si>
  <si>
    <t>Other Transportation</t>
  </si>
  <si>
    <t>Application Software, Other Transportation*</t>
  </si>
  <si>
    <t>Mobile, Mobility Tech, TMT</t>
  </si>
  <si>
    <t>online rides, online ridesharing, ridesharing, ridesharing application, shared transportation</t>
  </si>
  <si>
    <t>161904-34</t>
  </si>
  <si>
    <t>www.beepmeapp.com</t>
  </si>
  <si>
    <t>The company is no longer actively in business. The company is no longer actively tracked by PitchBook.</t>
  </si>
  <si>
    <t>8200 EISP</t>
  </si>
  <si>
    <t>8200 EISP (www.eisp.org.il)</t>
  </si>
  <si>
    <t>01-ינו-2013</t>
  </si>
  <si>
    <t>Better Place (Automotive)</t>
  </si>
  <si>
    <t>Better Place Holdings, Better PLC</t>
  </si>
  <si>
    <t>Better Place</t>
  </si>
  <si>
    <t>Better Place, Inc.</t>
  </si>
  <si>
    <t>Vivint Solar, StoreDot, EV Connect, Wallbox, EVgo, Greenlots, Voltera Power, AC Propulsion, Mercedes Benz, Tesla, Rivian Automotive, Blink Charging, SemaConnect, BYD Company</t>
  </si>
  <si>
    <t>Provider of battery-charging and battery-switching services intended for electric cars. The company is an electric vehicle services provider, that builds and operates an infrastructure and intelligent network to deliver services to drivers for the adoption of electric vehicles and optimization of energy use, providing car drivers with access to a network of charge spots, battery switch stations, and systems that optimize the driving experience.</t>
  </si>
  <si>
    <t>Alternative Energy Equipment, Automotive*</t>
  </si>
  <si>
    <t>CleanTech, Climate Tech, Industrials, LOHAS &amp; Wellness, Mobility Tech, TMT</t>
  </si>
  <si>
    <t>battery station, consumer battery electric vehicle, electric car, electric vehicle, electric vehicle network, electrical vehicles, ev battery charger, ev charging, gasoline alternative, mobility tech</t>
  </si>
  <si>
    <t>45284-77</t>
  </si>
  <si>
    <t>www.betterplace.com</t>
  </si>
  <si>
    <t>FY 2012</t>
  </si>
  <si>
    <t>Pi Glilot compound Ramat Hasharon</t>
  </si>
  <si>
    <t>The company was acquired by Sunrise Group for $12 million on July 12, 2013. The company is no longer actively tracked by PitchBook.</t>
  </si>
  <si>
    <t>Sunrise</t>
  </si>
  <si>
    <t>Ampal, GE Aerospace, General Electric Ventures, HSBC Holdings, Israel Corp, Lazard, Lendlease, M10 Partners, Maniv Mobility, Morgan Stanley Expansion Capital, Musea Ventures, Ørsted, QVIDTVM, UBS Group, VantagePoint Capital Partners, XT Group</t>
  </si>
  <si>
    <t>GE Aerospace (www.geaerospace.com), General Electric Ventures (www.geventures.com), HSBC Holdings (www.hsbc.com), Israel Corp (www.israelcorp.com), Lazard (www.lazard.com), Lendlease (www.lendlease.com), M10 Partners (www.m10-partners.com), Maniv Mobility (www.maniv.com), Musea Ventures (www.museaventures.com), Ørsted (www.orsted.com), QVIDTVM (www.qvidtvm.com), UBS Group (www.ubs.com), VantagePoint Capital Partners (vpcp.com), XT Group (www.xtholdings.com)</t>
  </si>
  <si>
    <t>Morgan Lewis(Legal Advisor)</t>
  </si>
  <si>
    <t>European Investment Bank(Debt Financing), Morgan Lewis(Legal Advisor)</t>
  </si>
  <si>
    <t>22-ינו-2008</t>
  </si>
  <si>
    <t>12-יול-2013</t>
  </si>
  <si>
    <t>19-נוב-2012</t>
  </si>
  <si>
    <t>17-דצמ-2025</t>
  </si>
  <si>
    <t>BionicHIVE</t>
  </si>
  <si>
    <t>BionicHIVE Ltd.</t>
  </si>
  <si>
    <t>Sereact, Oxipital AI, Savioke, KNAPP, Locus Robotics, Fetch Robotics, Bossa Nova, RightHand Robotics, inVia Robotics, Ocado Mobile Robot System, Grabit ( Machinery (B2B))</t>
  </si>
  <si>
    <t>Developer of an automatic warehouse system designed to provide end-to-end, floor-to-ceiling picking capabilities. The company's system is based on a fleet of synchronized autonomous robots with three-dimensional movement capabilities and extend the picking face from floor to ceiling that can be retrofitted onto existing warehouse infrastructure, enabling clients to get an algorithmic engine that permits incomparable flexibility to constantly changing operational needs.</t>
  </si>
  <si>
    <t>Electronic Equipment and Instruments, Logistics, Other Hardware*</t>
  </si>
  <si>
    <t>Advanced Manufacturing, Robotics and Drones, Supply Chain Tech</t>
  </si>
  <si>
    <t>automated warehouse, fleet management system, robotic device, supply chain tech, warehouse automation, warehouse management system, warehouse robotics, warehouse system, warehousing technology</t>
  </si>
  <si>
    <t>233837-56</t>
  </si>
  <si>
    <t>www.bionichive.com</t>
  </si>
  <si>
    <t>2021: 10, 2022: 23, 2023: 26, 2024: 30</t>
  </si>
  <si>
    <t>Sderot, Israel</t>
  </si>
  <si>
    <t>Sha'ar HaNegev Regional Council</t>
  </si>
  <si>
    <t>Negev</t>
  </si>
  <si>
    <t>The company was liquidated and ceased operation on December 23, 2024. The company is no longer tracked by PitchBook.</t>
  </si>
  <si>
    <t>Amazon Industrial Innovation Fund, Innovation Authority, L Marks, OurCrowd, Schneider Electric &amp; SOSA, SouthUp Ventures, W2 Labs, WorldQuant Ventures</t>
  </si>
  <si>
    <t>Amazon Industrial Innovation Fund (industrialinnovationfund.amazon), Innovation Authority (innovationisrael.org.il), L Marks (www.lmarks.com), OurCrowd (www.ourcrowd.com), Schneider Electric &amp; SOSA (www.go.sosa.co), SouthUp Ventures (www.southup.org), W2 Labs (www.w2labs.com), WorldQuant Ventures (www.worldquantventures.com)</t>
  </si>
  <si>
    <t>23-דצמ-2024</t>
  </si>
  <si>
    <t>Transport or storage devices</t>
  </si>
  <si>
    <t>Blitz Electric Motors (TAE: BLITZ-M)</t>
  </si>
  <si>
    <t>Blitz Electric Motors Ltd.</t>
  </si>
  <si>
    <t>Blitz Technologies Ltd is engaged in the development, planning, production, marketing, and sale of two-wheeled scooters and electric. The company geographically operates in Israel and Europe.</t>
  </si>
  <si>
    <t>Automotive*, Road</t>
  </si>
  <si>
    <t>electric scooter, electric scooter bikes, electric scooter manufacturer, electric scooter mobility, electric urban scooter</t>
  </si>
  <si>
    <t>454911-49</t>
  </si>
  <si>
    <t>Publicly Listed</t>
  </si>
  <si>
    <t>www.blitzmotors.com</t>
  </si>
  <si>
    <t>http://www.linkedin.com/company/blitz-motors</t>
  </si>
  <si>
    <t>2020: 9, 2022: 22, 2023: 25, 2024: 12</t>
  </si>
  <si>
    <t>BLITZ-M</t>
  </si>
  <si>
    <t>264558-07P</t>
  </si>
  <si>
    <t>Yaniv Haver</t>
  </si>
  <si>
    <t>yaniv@blitzmotors.com</t>
  </si>
  <si>
    <t>Yisra'el Bak Street 7</t>
  </si>
  <si>
    <t>The company acquired Inbar Group Finance through a reverse merger, resulting in the combined entity trading on the Tel Aviv Stock Exchange in May 2021.</t>
  </si>
  <si>
    <t>Inbar Group Finance</t>
  </si>
  <si>
    <t>Inbar Group Finance (www.inbar-group.com/en)</t>
  </si>
  <si>
    <t>01-מאי-2021</t>
  </si>
  <si>
    <t>BMS International Systems Development</t>
  </si>
  <si>
    <t>Developer of software solutions for vehicle rental, leasing, and fleet management companies. BMS Software offers modular software packages such as BMS Vehicle Rental, BMS Vehicle Leasing (LeaseWare), BMS Fleet Management, and BMS Outbound Reservations. With over 25 years of experience, the company aims to create products that increase profitability and reduce expenses for the vehicle rental and leasing fields. Jointly owned by the HMS - Halperin Consulting Group and Domicar.</t>
  </si>
  <si>
    <t>Software Development Applications</t>
  </si>
  <si>
    <t>Software Development Applications*</t>
  </si>
  <si>
    <t>fleet managment systems, software development, software project management, vehicle rental and leasing systems</t>
  </si>
  <si>
    <t>545188-33</t>
  </si>
  <si>
    <t>bmssys.com</t>
  </si>
  <si>
    <t>http://www.linkedin.com/company/bms-international-systems-development</t>
  </si>
  <si>
    <t>77 Ben-Gurion Ave.</t>
  </si>
  <si>
    <t>info@bmssys.com</t>
  </si>
  <si>
    <t>1.54x</t>
  </si>
  <si>
    <t>BNC Systems</t>
  </si>
  <si>
    <t>The company primarily operates in the Automotive industry. BNC Systems was founded in 2002 and is headquartered in Yokneam, Israel.</t>
  </si>
  <si>
    <t>and auto navigation, automobile systems engineering, hardware and software development, multimedia infotainment &amp; telematics</t>
  </si>
  <si>
    <t>545572-63</t>
  </si>
  <si>
    <t>bnc-s.com</t>
  </si>
  <si>
    <t>http://www.linkedin.com/company/bnc-systems</t>
  </si>
  <si>
    <t>2025: 7</t>
  </si>
  <si>
    <t>3 Hatamar St.</t>
  </si>
  <si>
    <t>0.57x</t>
  </si>
  <si>
    <t>0.26x</t>
  </si>
  <si>
    <t>BoatClick</t>
  </si>
  <si>
    <t>Developer and operator of maritime transportation platform designed to streamline boat equipment and service purchases. The company's platform enables users to access their boat model and search the equipment specific to their models and offers products like marine trip hooks, steel anchors, polyester systems, gangways and more, thereby enabling boater's ton get access to marine accessories and parts at affordable prices.</t>
  </si>
  <si>
    <t>Marine</t>
  </si>
  <si>
    <t>Application Software, Internet Retail, Marine*</t>
  </si>
  <si>
    <t>E-Commerce, SaaS</t>
  </si>
  <si>
    <t>boating marketplace, marine accessories, marine accessories retailer, marine equipment, marine equipment marketplace, maritime transportation solution</t>
  </si>
  <si>
    <t>509631-94</t>
  </si>
  <si>
    <t>www.boat-click.com</t>
  </si>
  <si>
    <t>http://www.linkedin.com/company/boat-click</t>
  </si>
  <si>
    <t>2022: 6</t>
  </si>
  <si>
    <t>318066-58P</t>
  </si>
  <si>
    <t>Ori Gal</t>
  </si>
  <si>
    <t>ori@boat-click.com</t>
  </si>
  <si>
    <t>info@boat-click.com</t>
  </si>
  <si>
    <t>0.43x</t>
  </si>
  <si>
    <t>14-נוב-2025</t>
  </si>
  <si>
    <t>Bon Tour</t>
  </si>
  <si>
    <t>Bon Tour Ltd.</t>
  </si>
  <si>
    <t>Operator of private buses intended to serve companies, factories, institutions, and schools sectors. The company's fleet of buses and minibusses provides advanced transportation service with the help of advanced driving control systems and mapping systems, thereby enabling clients to meet their schedules by reaching their destination in the shortest time.</t>
  </si>
  <si>
    <t>Automotive, Road*</t>
  </si>
  <si>
    <t>bus service, bus transportation service, events transportation, other support activities for transportation, shuttle service, transportation services, transportation services firm, wedding transport</t>
  </si>
  <si>
    <t>60127-84</t>
  </si>
  <si>
    <t>www.bontour.co.il</t>
  </si>
  <si>
    <t>http://www.linkedin.com/company/bon-tour-ltd-</t>
  </si>
  <si>
    <t>189019-81P</t>
  </si>
  <si>
    <t>Ofer Peleg</t>
  </si>
  <si>
    <t>oferp@bontour.co.il</t>
  </si>
  <si>
    <t>Or Yehuda, Israel</t>
  </si>
  <si>
    <t>7 HaPlada Street</t>
  </si>
  <si>
    <t>An undisclosed investor sold a 27% stake in the company to Leumi Partners for ILS 171 million on August 17, 2022.</t>
  </si>
  <si>
    <t>Leumi Partners, Shamrock Israel Growth Fund</t>
  </si>
  <si>
    <t>Leumi Partners (www.leumipartners.com), Shamrock Israel Growth Fund (www.shamrockisrael.com)</t>
  </si>
  <si>
    <t>01-מרץ-2013</t>
  </si>
  <si>
    <t>PE Growth/Expansion</t>
  </si>
  <si>
    <t>17-אוג-2022</t>
  </si>
  <si>
    <t>12-יונ-2025</t>
  </si>
  <si>
    <t>Bright Way Vision</t>
  </si>
  <si>
    <t>BrightWay Vision Ltd.</t>
  </si>
  <si>
    <t>Teledyne FLIR, Adasky, Hangzhou Hikvision Digital Technology Company</t>
  </si>
  <si>
    <t>Developer of a multi-functional vision and ranging system designed to deliver continuous, clear imagery across all weather and lighting conditions. The company offers cameras powered by patented GatedVision technology, enabling homeland security and autonomous operations, improved situational awareness in darkness, fog, rain, snow, and glare.</t>
  </si>
  <si>
    <t>Aerospace and Defense*, Electronic Equipment and Instruments</t>
  </si>
  <si>
    <t>Autonomous cars, Robotics and Drones</t>
  </si>
  <si>
    <t>24-hours security, all weather, anti-fogging technology, automotive systems, autonomous driving, autonomous vehicles, hls and dash monitoring tools, imaging technology device, vehicle cameras system, vision systems, vision technology</t>
  </si>
  <si>
    <t>101116-63</t>
  </si>
  <si>
    <t>www.brightwayvision.com</t>
  </si>
  <si>
    <t>http://www.linkedin.com/company/brightway-vision-ltd-</t>
  </si>
  <si>
    <t>2019: 16, 2021: 31, 2022: 37, 2023: 27, 2024: 21, 2025: 30, 2026: 7</t>
  </si>
  <si>
    <t>Promotion (New) Eyal Levi, Co-Founder, Chief Executive Officer &amp; Board Member, Departure (New) Ofer David, Co-Founder, Chief Technology Officer &amp; Chairman, Competitor (New) Hangzhou Hikvision Digital Technology Company, Competitor (New) Teledyne FLIR</t>
  </si>
  <si>
    <t>251478-64P</t>
  </si>
  <si>
    <t>eyal.levi@brightwayvision.com</t>
  </si>
  <si>
    <t>Tirat Carmel, Israel</t>
  </si>
  <si>
    <t>Nahum Het Street 5</t>
  </si>
  <si>
    <t>contact@brightwayvision.com</t>
  </si>
  <si>
    <t>The company raised $25 million of Series B venture funding from Koito Manufacturing, Elbit Systems and Magenta Venture Partners on June 27, 2019, putting the company's pre-money valuation at $40 million. The funds will be used for commercialization of the company's unique technology and enable to expand research and development activities.</t>
  </si>
  <si>
    <t>Elbit Systems, Koito Manufacturing, Lubinsky Group, Magenta Venture Partners</t>
  </si>
  <si>
    <t>Elbit Systems (www.elbitsystems.com), Koito Manufacturing (www.koito.co.jp), Magenta Venture Partners (www.magenta.vc)</t>
  </si>
  <si>
    <t>01-ינו-2011</t>
  </si>
  <si>
    <t>27-יונ-2019</t>
  </si>
  <si>
    <t>4.81x</t>
  </si>
  <si>
    <t>8.74x</t>
  </si>
  <si>
    <t>Arrangement of signalling or lighting devices, the mounting or supporting thereof or circuits therefor, for vehicles in general, Image data processing or generation, in general, Optical elements, systems or apparatus, Pictorial communication, Radio direction-finding</t>
  </si>
  <si>
    <t>Brodmann17</t>
  </si>
  <si>
    <t>Brodmann17 Ltd.</t>
  </si>
  <si>
    <t>LeapMind, Seldon, Graymatics, Beijing Momenta Technology Company, SiteSpect, Indico (Business/Productivity Software), UnitX (IT Consulting and Outsourcing), ArrayFire, Osaro, Scortex, Pathmind, KloudFuse, ImageVision, ParallelM, Xnor.ai, Ice Cream Labs Brand &amp; Advertising Technologies, Imagry, Deeplite, Deepomatic, Face++, Vertex.AI, Ersatz Labs, Black.ai, Graphcore, Fotonation, iLenze, ViDi Systems, Sentient (Business/Productivity Software)</t>
  </si>
  <si>
    <t>Developer of a computer-vision-centered technology designed to improve safety in mobility with vision-AI. The company's technology is based on deep learning neural networks that extract information from a video to significantly improve automated driving systems by optimally balancing performance, accuracy, hardware constraints, and price, enabling clients to move towards smart mobility that is accessible to everyone.</t>
  </si>
  <si>
    <t>Business/Productivity Software*, Electronics (B2C), IT Consulting and Outsourcing</t>
  </si>
  <si>
    <t>automated driving, automated driving assistance, automated driving platform, automated driving technology, autonomous driving, computer vision, fleet management technology, video telematics software</t>
  </si>
  <si>
    <t>181748-17</t>
  </si>
  <si>
    <t>www.brodmann17.com</t>
  </si>
  <si>
    <t>2019: 70, 2021: 31, 2022: 37</t>
  </si>
  <si>
    <t>17 Arania Osvaldo street</t>
  </si>
  <si>
    <t>The company is no longer actively in business as of December 2022. The company is no longer tracked by PitchBook.</t>
  </si>
  <si>
    <t>AI Alliance Fund, Curiosity Lab (Georgia), Hyundai CRADLE, Khasm Labs, La Maison Partners, lool ventures, Maniv Mobility, Momentum (Singapore), OurCrowd, Plug and Play Tech Center, Ramot at Tel Aviv University, Samsung NEXT Ventures, Sony Innovation Fund, Startup Autobahn, UL Ventures, Xilinx</t>
  </si>
  <si>
    <t>AI Alliance Fund (www.theaialliancefund.com), Curiosity Lab (Georgia) (curiositylabptc.com), Hyundai CRADLE (www.cradleinc.com), Khasm Labs (khasmlabs.com), La Maison Partners (www.lamaisonpartners.fr), lool ventures (www.lool.vc), Maniv Mobility (www.maniv.com), OurCrowd (www.ourcrowd.com), Plug and Play Tech Center (www.plugandplaytechcenter.com), Ramot at Tel Aviv University (ramot.org), Samsung NEXT Ventures (www.samsungnext.com), Sony Innovation Fund (www.sonyinnovationfund.com), Startup Autobahn (www.startup-autobahn.com), Xilinx (www.xilinx.com)</t>
  </si>
  <si>
    <t>01-דצמ-2022</t>
  </si>
  <si>
    <t>01-דצמ-2017</t>
  </si>
  <si>
    <t>27-יול-2021</t>
  </si>
  <si>
    <t>Caaresys</t>
  </si>
  <si>
    <t>Caaresys Ltd</t>
  </si>
  <si>
    <t>Neteera</t>
  </si>
  <si>
    <t>Developer of vehicle passenger monitoring system designed to prevent vehicle-related tragedies. The company's system is based on a contactless low-emission radio frequency radar which sends a warning to a paired mobile device and the car alarm is activated and features a vehicle occupancy sensor that counts the number of passengers and their positioning and a vital-sign sensor that monitors a rider's heart rate, respiratory rate, and movements, enabling users to detect danger well in advance and take necessary precaution.</t>
  </si>
  <si>
    <t>Automotive, Electronic Equipment and Instruments*, Electronics (B2C)</t>
  </si>
  <si>
    <t>Internet of Things, Mobility Tech</t>
  </si>
  <si>
    <t>biometrics system, monitoring system, passenger monitoring system, vehicle management system, vehicle monitoring system, vehicle sensor system</t>
  </si>
  <si>
    <t>339833-35</t>
  </si>
  <si>
    <t>www.caaresys.com</t>
  </si>
  <si>
    <t>2020: 9, 2021: 11, 2022: 6</t>
  </si>
  <si>
    <t>Netanya, Israel</t>
  </si>
  <si>
    <t>Ha Melacha 2, West Building</t>
  </si>
  <si>
    <t>The company was acquired by Harman International Industries, a subsidiary of Samsung Electronics, for an undisclosed amount on September 6, 2022. The company is no longer actively tracked by PitchBook.</t>
  </si>
  <si>
    <t>Harman International Industries (Electronics)</t>
  </si>
  <si>
    <t>Drive TLV, European Union, Next Gear Ventures, Plug and Play Tech Center, Startup Autobahn</t>
  </si>
  <si>
    <t>Drive TLV (www.drivetlv.com/fastlane), European Union (www.europa.eu), Next Gear Ventures (www.nextgear.fund), Plug and Play Tech Center (www.plugandplaytechcenter.com), Startup Autobahn (www.startup-autobahn.com)</t>
  </si>
  <si>
    <t>06-ספט-2022</t>
  </si>
  <si>
    <t>25-יול-2024</t>
  </si>
  <si>
    <t>Cal Auto</t>
  </si>
  <si>
    <t>Provider of automotive solutions based in Israel. The company specializes in providing car rental and vehicle sales services.</t>
  </si>
  <si>
    <t>automotive rental, automotive sales, automotive service, car company, car leasing, car rental, car seller</t>
  </si>
  <si>
    <t>435450-25</t>
  </si>
  <si>
    <t>www.calauto.co.il</t>
  </si>
  <si>
    <t>18 Hatzfira</t>
  </si>
  <si>
    <t>The company, a subsidiary of Easy Auto Group, was acquired by Freesbe (TAE: CRSM) for an undisclosed amount on May 26, 2020. The company is no longer actively tracked by PitchBook.</t>
  </si>
  <si>
    <t>Carasso Motors</t>
  </si>
  <si>
    <t>Easy Auto Group</t>
  </si>
  <si>
    <t>Shimonov &amp; Co.(Legal Advisor)</t>
  </si>
  <si>
    <t>26-מאי-2020</t>
  </si>
  <si>
    <t>Corporate Divestiture</t>
  </si>
  <si>
    <t>02-נוב-2023</t>
  </si>
  <si>
    <t>Cannabilog - Global Cannabis Logistics Solutions</t>
  </si>
  <si>
    <t>Global logistics provider for the cannabis industry, offering end-to-end supply chain solutions including import/export, storage, distribution, customs brokerage, and international trade and licenses. Cannabilog specializes in regulatory requirements and offers in-transit insurance. The company has experience in the global pharma and medical industry and provides consulting services for those interested in starting an export or import activity of cannabis.</t>
  </si>
  <si>
    <t>557421-85</t>
  </si>
  <si>
    <t>cannabilog.com</t>
  </si>
  <si>
    <t>http://www.linkedin.com/company/cannabilog-global-cannabis-logistics-solutions</t>
  </si>
  <si>
    <t>2025: 3</t>
  </si>
  <si>
    <t>Raanana, Israel</t>
  </si>
  <si>
    <t>20a Hamachtarot Street</t>
  </si>
  <si>
    <t>0.71x</t>
  </si>
  <si>
    <t>1.04x</t>
  </si>
  <si>
    <t>02-אוק-2025</t>
  </si>
  <si>
    <t>Developer of an automotive car industry platform designed to revolutionize the way people buy their cars. The company offers administrative services such as banking, insurance, registration, assistance as well as the delivery of vehicles, thereby helping people do the entire buying process online in a fast and easy way.</t>
  </si>
  <si>
    <t>SaaS</t>
  </si>
  <si>
    <t>administrative service provider, administrative services, automotive car, automotive car industry platform, car industry platform, vehicle delivery</t>
  </si>
  <si>
    <t>509941-27</t>
  </si>
  <si>
    <t>www.caradviser.io</t>
  </si>
  <si>
    <t>http://www.linkedin.com/company/car-adviser</t>
  </si>
  <si>
    <t>318174-76P</t>
  </si>
  <si>
    <t>ilan@caradviser.io</t>
  </si>
  <si>
    <t>Hakalir Street 11</t>
  </si>
  <si>
    <t>5.30x</t>
  </si>
  <si>
    <t>17-נוב-2022</t>
  </si>
  <si>
    <t>Car2go (Israel)</t>
  </si>
  <si>
    <t>Car2go Ltd.</t>
  </si>
  <si>
    <t>Europcar Mobility Group Denmark, Sixt, CARSDIRECT.co.za, SHARE NOW, Mercedes Benz, Avis(PIG), National Car Rental Systems, Peugeot Austria, Green Motion Finland, Bilkollektivet, Peugeot Nederland, Autohorn Fleet Services, PEUGEOT Australia, Silvercar, Dooley Car Rentals, P Automobil Import, Peugeot (Suisse), Greiner Ford of Casper, Green Motion Car And Van Rental, FlightCar, Car2go Hamburg, EasyCar.com, DriveNow, CarMax, Curb Mobility, Comuto, Europcar Ireland, HiyaCar</t>
  </si>
  <si>
    <t>Provider of car rental services in Israel. The company offers private cars like fashionable mini cars, family cars and light transport vehicles, around the clock, throughout the year to ensure comfort as well as pampering for its clients.</t>
  </si>
  <si>
    <t>Industrials</t>
  </si>
  <si>
    <t>car rental service, private car, transportation services</t>
  </si>
  <si>
    <t>229797-19</t>
  </si>
  <si>
    <t>car2go.co.il</t>
  </si>
  <si>
    <t>Carlebach Street 1</t>
  </si>
  <si>
    <t>Shagrir Systems acquired a 21% stake in the company on an undisclosed date. It now owns 72% of company's shares. The company is no longer actively tracked by PitchBook.</t>
  </si>
  <si>
    <t>Shagrir Systems</t>
  </si>
  <si>
    <t>18-מאי-2009</t>
  </si>
  <si>
    <t>Carasso Motors (TAE: CRSM)</t>
  </si>
  <si>
    <t>Carasso, Freesbe</t>
  </si>
  <si>
    <t>Carasso Motors Ltd</t>
  </si>
  <si>
    <t>Carasso Motors Ltd imports, distributes and sells all vehicle models manufactured by Renault, Nissan and Premium Infiniti Brand Models. It also provides maintenance and repair services, spare parts, and financing services for purchasing vehicles.</t>
  </si>
  <si>
    <t>automobile vehicle, automotive retail, infiniti car, passenger vehicle, renault, vehicles</t>
  </si>
  <si>
    <t>99926-02</t>
  </si>
  <si>
    <t>Profitable</t>
  </si>
  <si>
    <t>www.freesbe.com</t>
  </si>
  <si>
    <t>http://www.linkedin.com/company/freesbeisrael</t>
  </si>
  <si>
    <t>2019: 395, 2020: 634, 2021: 471, 2022: 464, 2023: 481, 2024: 504</t>
  </si>
  <si>
    <t>CRSM</t>
  </si>
  <si>
    <t>261117-19P</t>
  </si>
  <si>
    <t>Avi Kenet</t>
  </si>
  <si>
    <t>Chief Commercial Officer</t>
  </si>
  <si>
    <t>Bnei Ayish, Israel</t>
  </si>
  <si>
    <t>Park Ram Logistics Center</t>
  </si>
  <si>
    <t>PO Box 90</t>
  </si>
  <si>
    <t>Bnei Ayish</t>
  </si>
  <si>
    <t>The company completed its initial public offering on the Tel Aviv Stock Exchange under the ticker symbol of CRSM on June 6, 2012.</t>
  </si>
  <si>
    <t>06-יונ-2012</t>
  </si>
  <si>
    <t>Public Investment</t>
  </si>
  <si>
    <t>90.10x</t>
  </si>
  <si>
    <t>164.68x</t>
  </si>
  <si>
    <t>15.52x</t>
  </si>
  <si>
    <t>Cardboard Technologies</t>
  </si>
  <si>
    <t>Cardboard Technologies Ltd</t>
  </si>
  <si>
    <t>Provider of recycled product development and manufacturing services focused on converting waste cardboard into bikes. The company engages in recycling cardboard and transforming it into useful products like bicycles and furniture, enabling customers to get access to affordable and eco-friendly products.</t>
  </si>
  <si>
    <t>Automotive, Other Commercial Products*, Other Consumer Durables</t>
  </si>
  <si>
    <t>bicycle seller, cardboard balances bikes, cardboard bikes, cardboard recycling service, cardboard wheelchair, recycling firm, recycling service</t>
  </si>
  <si>
    <t>264605-68</t>
  </si>
  <si>
    <t>www.cardboardtech.com</t>
  </si>
  <si>
    <t>P.O. Box: 3030</t>
  </si>
  <si>
    <t>The company is no longer actively in business as of March 1, 2019. The company is no longer tracked by PitchBook.</t>
  </si>
  <si>
    <t>RueOne Investments</t>
  </si>
  <si>
    <t>RueOne Investments (www.rueone.com)</t>
  </si>
  <si>
    <t>Indiegogo(Lead Manager or Arranger)</t>
  </si>
  <si>
    <t>26-יונ-2013</t>
  </si>
  <si>
    <t>Product Crowdfunding</t>
  </si>
  <si>
    <t>Brakes specially adapted for cycles(arrangements in cycles for adjusting wheel-braking force to meet varying vehicular or ground-surface conditions b60t8/00), Cycles, Devices for fastening or securing constructional elements or machine parts together, Layered products, Vehicle wheels</t>
  </si>
  <si>
    <t>CARPAS</t>
  </si>
  <si>
    <t>Developer of airborne collision avoidance technology for urban airspace platforms. CARPAS specializes in air taxis, cargo drones, and helicopters. The team is composed of aerospace professionals.</t>
  </si>
  <si>
    <t>air taxi, electric vtol, evtol aircraft, urban air mobility, vtol aircraft</t>
  </si>
  <si>
    <t>557094-25</t>
  </si>
  <si>
    <t>carpas.de</t>
  </si>
  <si>
    <t>http://www.linkedin.com/company/airborne-collision-avoidance</t>
  </si>
  <si>
    <t>2025: 3, 2026: 3</t>
  </si>
  <si>
    <t>0.21x</t>
  </si>
  <si>
    <t>CarsDome</t>
  </si>
  <si>
    <t>CarsDome Robotics, Inc.</t>
  </si>
  <si>
    <t>Provider of an automotive security platform designed to secure vehicles. The company's automotive security platform The company's automotive security platform incorporates several areas and multi-disciplines, such as IoT security, embedded software and algorithms, mechanical R&amp;D, cloud computing, composite materials and machine learning, providing an active and hermetic dome protection to most private cars, enabling consumers to keep their cars safe.</t>
  </si>
  <si>
    <t>Business/Productivity Software, Other Hardware*, Road</t>
  </si>
  <si>
    <t>Artificial Intelligence &amp; Machine Learning, Big Data, Internet of Things, SaaS, TMT</t>
  </si>
  <si>
    <t>automotive security, automotive security platform, automotive security system, security platform</t>
  </si>
  <si>
    <t>187471-72</t>
  </si>
  <si>
    <t>www.carsdome.com</t>
  </si>
  <si>
    <t>Rothschild Boulevard 55</t>
  </si>
  <si>
    <t>info@carsdome.com</t>
  </si>
  <si>
    <t>26-ינו-2025</t>
  </si>
  <si>
    <t>CellGuide</t>
  </si>
  <si>
    <t>CellGuide Ltd</t>
  </si>
  <si>
    <t>Manufacturer of Global Positioning System (GPS) chips. The company develops Global Positioning System (GPS) chips for mobile devices. It distributes cloud-based positioning while delivering low power consumption for mobility and applications.</t>
  </si>
  <si>
    <t>Application Specific Semiconductors*, Production (Semiconductors)</t>
  </si>
  <si>
    <t>Manufacturing, Mobile, Mobility Tech, SaaS, TMT</t>
  </si>
  <si>
    <t>application-specific semiconductors, cloud-based positioning, global positioning system, mobility tech</t>
  </si>
  <si>
    <t>55262-35</t>
  </si>
  <si>
    <t>www.cell-guide.com</t>
  </si>
  <si>
    <t>2008: 30, 2014: 11</t>
  </si>
  <si>
    <t>10 Giborei Israel</t>
  </si>
  <si>
    <t>Ha'Ogen Building B, 3rd floor, left entrance, New Industrial Zone</t>
  </si>
  <si>
    <t>The company was acquired by Lucidlogix on June 17, 2013. The company is no longer actively tracked by PitchBook.</t>
  </si>
  <si>
    <t>LucidLogix Technologies</t>
  </si>
  <si>
    <t>ABC., Cap Ventures, Giza Venture Capital, GlenRock Israel, The Evolution Group</t>
  </si>
  <si>
    <t>Cap Ventures (www.cap.com.ar), Giza Venture Capital (www.gizavc.com), GlenRock Israel (www.grg.co.il), The Evolution Group (www.evgplc.com)</t>
  </si>
  <si>
    <t>LEAP Capital Advisors(Advisor: General)</t>
  </si>
  <si>
    <t>17-יונ-2013</t>
  </si>
  <si>
    <t>Measuring distances, levels or bearings, Radio direction-finding, Wireless communication networks</t>
  </si>
  <si>
    <t>Cello</t>
  </si>
  <si>
    <t>Cellopark, Slopark</t>
  </si>
  <si>
    <t>Cellopark Technologies, Ltd.</t>
  </si>
  <si>
    <t>Provider of public parking management and payment services based in Bet Dagan, Israel. The company offers a wide range of services including on-street and off-street parking, roadside assistance, carwash, toll roads and public transportation payments designed to integrate into any parking ecosystem, allowing subscribers to pay for public parking using their cell phones.</t>
  </si>
  <si>
    <t>Other Commercial Services, Road*</t>
  </si>
  <si>
    <t>online payment management, parking management, parking management system, public parking, toll payment service, toll payment system</t>
  </si>
  <si>
    <t>458617-87</t>
  </si>
  <si>
    <t>www.cello-app.com</t>
  </si>
  <si>
    <t>http://www.linkedin.com/company/cellopark-israel</t>
  </si>
  <si>
    <t>2020: 19, 2022: 70</t>
  </si>
  <si>
    <t>254804-59P</t>
  </si>
  <si>
    <t>guy@cellopark.com</t>
  </si>
  <si>
    <t>26 Harokmim Street</t>
  </si>
  <si>
    <t>The company was acquired by Fortissimo Capital through an LBO on December 27, 2020 for an undisclosed amount.</t>
  </si>
  <si>
    <t>Fortissimo Capital</t>
  </si>
  <si>
    <t>Fortissimo Capital (www.ffcapital.com)</t>
  </si>
  <si>
    <t>27-דצמ-2020</t>
  </si>
  <si>
    <t>26.66x</t>
  </si>
  <si>
    <t>0.07x</t>
  </si>
  <si>
    <t>46.42x</t>
  </si>
  <si>
    <t>6.91x</t>
  </si>
  <si>
    <t>15-ספט-2025</t>
  </si>
  <si>
    <t>Chemichlor [2005] Chemical Marketing</t>
  </si>
  <si>
    <t>Chemichlor [2005] Chemical Marketing Ltd</t>
  </si>
  <si>
    <t>Provider of transportation services for the chemicals. The company's services offer delivery, import, export of chemicals, quality check of the product and material tests.</t>
  </si>
  <si>
    <t>Logistics*, Road</t>
  </si>
  <si>
    <t>delivery, delivery firm, export, import, import and export, logistics, material test, quality checking, road, transportation</t>
  </si>
  <si>
    <t>620736-58</t>
  </si>
  <si>
    <t>www.chemichlor.co.il</t>
  </si>
  <si>
    <t>Gadot Group</t>
  </si>
  <si>
    <t>407860-03P</t>
  </si>
  <si>
    <t>Shay Davidi</t>
  </si>
  <si>
    <t>shayd@chemichlor.co.il</t>
  </si>
  <si>
    <t>Kidama Street</t>
  </si>
  <si>
    <t>P.O. 12726</t>
  </si>
  <si>
    <t>The company was acquired by Gadot Group for an undisclosed amount in, 2005. The Davidi family owns 25 % and Gadot Chemical Tankers and Terminals Ltd owns 75 %.</t>
  </si>
  <si>
    <t>0.13x</t>
  </si>
  <si>
    <t>05-אוג-2024</t>
  </si>
  <si>
    <t>Cipia</t>
  </si>
  <si>
    <t>eyeSight Mobile Technologies, eyeSight</t>
  </si>
  <si>
    <t>Cipia Vision Ltd.</t>
  </si>
  <si>
    <t>Aquifi, PointGrab, Mobileye Global, Smart Eye, Seeing Machines</t>
  </si>
  <si>
    <t>Cipia Vision Ltd is a provider of in-cabin sensing solutions for the automotive industry. It offers driver monitoring systems (DMS), and occupancy monitoring systems (OMS) for cars and fleets. Its proprietary technology uses edge-based computer vision and artificial intelligence (AI) to create safer in-car experiences.</t>
  </si>
  <si>
    <t>Automation/Workflow Software, Electronic Equipment and Instruments*, Electronics (B2C), Media and Information Services (B2B)</t>
  </si>
  <si>
    <t>Artificial Intelligence &amp; Machine Learning, Augmented Reality, Mobility Tech</t>
  </si>
  <si>
    <t>computer vision company, drivers monitoring system, fleet connectivity, fleet management, gesture recognition, passenger experience, passenger safety, passenger safety &amp; experience, passenger safety and experience, pupil dilation measurement, user awareness</t>
  </si>
  <si>
    <t>60549-67</t>
  </si>
  <si>
    <t>M&amp;A, Publicly Listed, Venture Capital</t>
  </si>
  <si>
    <t>www.cipia.com</t>
  </si>
  <si>
    <t>2018: 50, 2020: 50, 2021: 56, 2024: 77</t>
  </si>
  <si>
    <t>8 Maskit Street</t>
  </si>
  <si>
    <t>Fl 8</t>
  </si>
  <si>
    <t>The company was acquired by Harman International Industries, a subsidiary of Samsung Electronics (KRX: 005930), for an undisclosed amount on June 17, 2025. The acquisition marks a strategic expansion of Harman's in-cabin experience portfolio and builds on the company's successful collaboration on next-generation sensing technologies, while also reinforcing Harman's commitment to advancing vehicle safety, intelligence, and the well-being of drivers and passengers through purpose-built innovation. The company is no longer actively tracked by PitchBook.</t>
  </si>
  <si>
    <t>Agate Medical Investments, Arie Capital, Cartridge Holdings, Ceva, Eli Talmor, GlenRock Israel, Intercapital Partners, Jebsen Capital, Jeremy Coller, Kuang-Chi, Mac Gp, Mitsui Global Investment, Mizrahi Tefahot Bank, Plug and Play Tech Center, Startup Autobahn, SYNP</t>
  </si>
  <si>
    <t>Agate Medical Investments (www.agate-invest.com), Arie Capital (www.ariecapital.com), Ceva (www.ceva-ip.com), GlenRock Israel (www.grg.co.il), Jebsen Capital (www.jebsen-capital.com), Kuang-Chi (www.kuang-chi.com/en), Mitsui Global Investment (www.mitsui-global.com), Mizrahi Tefahot Bank (www.mizrahi-tefahot.co.il), Plug and Play Tech Center (www.plugandplaytechcenter.com), Startup Autobahn (www.startup-autobahn.com), SYNP (www.m-vc.co.kr)</t>
  </si>
  <si>
    <t>Walker Sands(Advisor: Communications)</t>
  </si>
  <si>
    <t>Gross &amp; Co.(Legal Advisor), Katzanell Dimant(Legal Advisor), Orion (Israel)(Underwriter)</t>
  </si>
  <si>
    <t>17-יונ-2025</t>
  </si>
  <si>
    <t>24-נוב-2021</t>
  </si>
  <si>
    <t>CityPass Jerusalem Light Rail</t>
  </si>
  <si>
    <t>CityPass Jerusalem, CityPass</t>
  </si>
  <si>
    <t>CityPass Limited</t>
  </si>
  <si>
    <t>Provider of railway services based in Jerusalem, Israel. The company specializes in the operation of light rail as a form of public transportation system for residents of various neighborhoods, students, visitors and tourists.</t>
  </si>
  <si>
    <t>Rail</t>
  </si>
  <si>
    <t>Rail*</t>
  </si>
  <si>
    <t>metro rail, public transportation, rail transportation, railway network operator, railway services, railway train network</t>
  </si>
  <si>
    <t>58925-08</t>
  </si>
  <si>
    <t>www.citypass.co.il</t>
  </si>
  <si>
    <t>97 Jaffa Street</t>
  </si>
  <si>
    <t>Klal Building</t>
  </si>
  <si>
    <t>The company is no longer actively in business as of March 16, 2023. The company is no longer tracked by PitchBook.</t>
  </si>
  <si>
    <t>Ashtrom Properties, First Allied Holdings, Harel Insurance Investments &amp; Financial Services, Israel Infrastructure Fund, Polar Investments, Teachers' Continuing Education Fund, Transdev Group</t>
  </si>
  <si>
    <t>Ashtrom Properties (www.ashtromproperties.co.il), Harel Insurance Investments &amp; Financial Services (pr.harel-group.co.il), Israel Infrastructure Fund (www.iif.co.il), Polar Investments (www.pil.co.il), Transdev Group (www.transdev.com)</t>
  </si>
  <si>
    <t>16-מרץ-2023</t>
  </si>
  <si>
    <t>31-ינו-2024</t>
  </si>
  <si>
    <t>Clidrotech</t>
  </si>
  <si>
    <t>Clidrotech Ltd.</t>
  </si>
  <si>
    <t>Provider of a vehicle's weight monitoring system designed to optimize fleet efficiency and safety by checking and optimizing vehicle's weight in real-time. The company's load monitoring system combines with a passive sensor that provides vehicle's self weight at a resolution of 100 gram per Ton without the need for external scale, enabling fleet managers to calculate onboard scale of their vehicles at lower costs and avoid road accidents.</t>
  </si>
  <si>
    <t>Electrical Equipment*, Logistics, Other Commercial Products</t>
  </si>
  <si>
    <t>fleet management, fleet management system, fleet optimization, loading monitoring system, weight monitoring, weight tracking</t>
  </si>
  <si>
    <t>186695-20</t>
  </si>
  <si>
    <t>www.clidrotech.com</t>
  </si>
  <si>
    <t>Center District, Israel</t>
  </si>
  <si>
    <t>The company is no longer actively in business. The company is no longer tracked by PitchBook.</t>
  </si>
  <si>
    <t>MassChallenge</t>
  </si>
  <si>
    <t>MassChallenge (www.masschallenge.org)</t>
  </si>
  <si>
    <t>23-מאי-2017</t>
  </si>
  <si>
    <t>01-ספט-2018</t>
  </si>
  <si>
    <t>CMD Engineering Equipment Supply</t>
  </si>
  <si>
    <t>CMD Engineering Equipment Supply Ltd</t>
  </si>
  <si>
    <t>Distributor of engineering equipment and parts catering to earthworks contractors, infrastructure, mines and the industrial sectors. The company engages in the sale of equipment for earthworks and mines and the supply of spare parts also active in markets pumps, hydraulic piping, filters and oils designed for generators.</t>
  </si>
  <si>
    <t>Distributors/Wholesale</t>
  </si>
  <si>
    <t>Automotive, Distributors/Wholesale*, Machinery (B2B)</t>
  </si>
  <si>
    <t>construction equipment, earthworks, equipment manufacturer, equipment supplies, hydraulic, spare parts</t>
  </si>
  <si>
    <t>529157-98</t>
  </si>
  <si>
    <t>www.cmd.co.il</t>
  </si>
  <si>
    <t>http://www.linkedin.com/company/c-m-d-ltd</t>
  </si>
  <si>
    <t>Ramla, Israel</t>
  </si>
  <si>
    <t>2 Sheldag Street</t>
  </si>
  <si>
    <t>Ramla Industrial Area</t>
  </si>
  <si>
    <t>cmd@cmd.co.il</t>
  </si>
  <si>
    <t>The company was acquired by Carasso Motors (TAE: CRSM) for ILS 50 million on April 30, 2023. This acquisition will double the heavy engineering equipment activity of Caruso Motors, and fits into the expansion strategy of the group.</t>
  </si>
  <si>
    <t>Erdinast, Ben Nathan, Toledano &amp; Co. With Hamburger Evron(Legal Advisor)</t>
  </si>
  <si>
    <t>30-אפר-2023</t>
  </si>
  <si>
    <t>3.56x</t>
  </si>
  <si>
    <t>7.09x</t>
  </si>
  <si>
    <t>Co-moving</t>
  </si>
  <si>
    <t>Co-moving Carpool Ltd.</t>
  </si>
  <si>
    <t>Developer of fleet management platform designed for managing and measuring travel in an organization. The company's platform allows organizations to receive comprehensive real-time information and analysis of their vehicle fleet, thereby helping businesses to take actions and steps that will enable savings and improve the collaborative travel experience.</t>
  </si>
  <si>
    <t>Business/Productivity Software*</t>
  </si>
  <si>
    <t>fleet management, fleet management app, fleet management data, fleet management platform, fleet management software, fleet management system</t>
  </si>
  <si>
    <t>495908-02</t>
  </si>
  <si>
    <t>www.co-moving.com</t>
  </si>
  <si>
    <t>299777-32P</t>
  </si>
  <si>
    <t>Erez Rahamim</t>
  </si>
  <si>
    <t>erez@co-moving.com</t>
  </si>
  <si>
    <t>14 Tabiub</t>
  </si>
  <si>
    <t>bp@co-moving.com</t>
  </si>
  <si>
    <t>28-אוק-2025</t>
  </si>
  <si>
    <t>Colmobil</t>
  </si>
  <si>
    <t>Colmobil Corp</t>
  </si>
  <si>
    <t>Operator of a vehicle dealership headquartered in Rosh Haayin, Israel. The company offers cars, commercial vehicles, trucks, and buses, as well as provides financing, insurance and repair center services.</t>
  </si>
  <si>
    <t>Automotive*, Other Services (B2C Non-Financial), Specialty Retail</t>
  </si>
  <si>
    <t>car dealer, car dealership, commercial vehicle dealership, vehicle dealership, vehicle dealership company, vehicle dealership operator, vehicle dealership service, vehicle dealership site</t>
  </si>
  <si>
    <t>Failed Transaction (M&amp;A)</t>
  </si>
  <si>
    <t>340885-81</t>
  </si>
  <si>
    <t>colmobil.co.il</t>
  </si>
  <si>
    <t>2023: 1000, 2026: 1500</t>
  </si>
  <si>
    <t>370295-38P</t>
  </si>
  <si>
    <t>Yaniv Shirazi</t>
  </si>
  <si>
    <t>Chief Executive Officer &amp; President</t>
  </si>
  <si>
    <t>yshirazi@colmobil.co.il</t>
  </si>
  <si>
    <t>Rosh Haayin, Israel</t>
  </si>
  <si>
    <t>Amal Street 20 Park Afek</t>
  </si>
  <si>
    <t>Mr. Yoav Harlap is in talks to sell a 28% in the company to an undisclosed investor on October 14, 2024. Subsequently, the deal got cancelled.</t>
  </si>
  <si>
    <t>14-אוק-2024</t>
  </si>
  <si>
    <t>128.51x</t>
  </si>
  <si>
    <t>69.53x</t>
  </si>
  <si>
    <t>128.27x</t>
  </si>
  <si>
    <t>10.78x</t>
  </si>
  <si>
    <t>09-ינו-2026</t>
  </si>
  <si>
    <t>Colugo (Other Hardware)</t>
  </si>
  <si>
    <t>Colugo Systems Ltd</t>
  </si>
  <si>
    <t>Manufacturer of electric-powered vertical takeoff and landing (eVTOL) aircraft intended for urban air mobility, defense, disaster management, agriculture, infrastructure and delivery services. The company develops aircraft with adaptive wing technology that functions in various weather conditions, thereby enabling efficient transportation of passengers and cargo.</t>
  </si>
  <si>
    <t>Aerospace and Defense, Other Hardware*</t>
  </si>
  <si>
    <t>Manufacturing, Robotics and Drones</t>
  </si>
  <si>
    <t>air taxi, aviation technology, drone manufacturer, electric vtol, evtol aircraft, urban air mobility, vtol aircraft</t>
  </si>
  <si>
    <t>471990-97</t>
  </si>
  <si>
    <t>www.colugo-sys.com</t>
  </si>
  <si>
    <t>http://www.linkedin.com/company/colugo-systems</t>
  </si>
  <si>
    <t>2021: 11, 2025: 15</t>
  </si>
  <si>
    <t>273267-01P</t>
  </si>
  <si>
    <t>Amit Regev</t>
  </si>
  <si>
    <t>Founder &amp; Chief Technology Officer</t>
  </si>
  <si>
    <t>amit@colugo-sys.com</t>
  </si>
  <si>
    <t>Nahal Snir 2</t>
  </si>
  <si>
    <t>The company received $8.5 million of financing from Ayalon Insurance Company (TAE: AYAL) on June 5, 2025 valuing the company at $65 million before the new funding.. The funding will help Colugo Systems to scale its R&amp;D and accelerate commercial pilots.</t>
  </si>
  <si>
    <t>Ayalon Insurance Company, CTTSC3, European Union</t>
  </si>
  <si>
    <t>Ayalon Insurance Company (www.ayalon-ins.co.il), CTTSC3 (www.cttsc-x.com), European Union (www.europa.eu)</t>
  </si>
  <si>
    <t>05-יונ-2025</t>
  </si>
  <si>
    <t>7.43x</t>
  </si>
  <si>
    <t>24-ספט-2025</t>
  </si>
  <si>
    <t>Aeroplanes, Systems for controlling or regulating non-electric variables, Unmanned aerial vehicles [uav]</t>
  </si>
  <si>
    <t>Connect Jerusalem Light Rail</t>
  </si>
  <si>
    <t>Connex Jerusalem Light Rail, Connex Jerusalem</t>
  </si>
  <si>
    <t>Connect, JLRT</t>
  </si>
  <si>
    <t>Connect Jerusalem Light Rail Limited</t>
  </si>
  <si>
    <t>Operator of light rail trains across Israel. The company offers services catering to operations and maintenance of the carriages and the tracks as well as payment, customer service and transportation safety, ensuring smoothly running trains, reliable schedules and quality passenger experiences.</t>
  </si>
  <si>
    <t>rail operations, rail operator, rail system, railway service, railway service provider, railway services</t>
  </si>
  <si>
    <t>107679-97</t>
  </si>
  <si>
    <t>http://www.linkedin.com/company/connectlightrail</t>
  </si>
  <si>
    <t>326238-76P</t>
  </si>
  <si>
    <t>Galit Yosef</t>
  </si>
  <si>
    <t>Financial Controller</t>
  </si>
  <si>
    <t>PO Box 44466</t>
  </si>
  <si>
    <t>The company was acquired for an undisclosed amount in approximately June 2023. Previously, the company, a subsidiary of Transdev Group, was acquired by Harel Insurance Investments &amp; Financial Services, Israel Infrastructure Fund and Ashtrom Group through an estimated ILS 100 million LBO on August 6, 2015.</t>
  </si>
  <si>
    <t>Harel Insurance Investments &amp; Financial Services</t>
  </si>
  <si>
    <t>Ashtrom Properties, Israel Infrastructure Fund, Transdev Group</t>
  </si>
  <si>
    <t>Harel Insurance Investments &amp; Financial Services (pr.harel-group.co.il)</t>
  </si>
  <si>
    <t>Ashtrom Properties (www.ashtromproperties.co.il), Israel Infrastructure Fund (www.iif.co.il), Transdev Group (www.transdev.com)</t>
  </si>
  <si>
    <t>06-אוג-2015</t>
  </si>
  <si>
    <t>ConnVAS Ltd</t>
  </si>
  <si>
    <t>Developer of an AI-powered intersection management system designed to provide intelligent traffic management solutions for smart cities. The company provides real-time data and insights to transportation authorities to make informed decisions about infrastructure and traffic management, thereby enabling municipalities to optimize traffic flow, reduce congestion, and improve safety for pedestrians and vehicles.</t>
  </si>
  <si>
    <t>Automotive, Business/Productivity Software*, Other Commercial Services</t>
  </si>
  <si>
    <t>infrastructure management, intersection management, traffic management, traffic management solutions, traffic solutions, vehicles community</t>
  </si>
  <si>
    <t>547295-41</t>
  </si>
  <si>
    <t>www.connvas.com</t>
  </si>
  <si>
    <t>http://www.linkedin.com/company/connvas</t>
  </si>
  <si>
    <t>2024: 5, 2025: 7, 2026: 7</t>
  </si>
  <si>
    <t>55414-54P</t>
  </si>
  <si>
    <t>Danny Frydman</t>
  </si>
  <si>
    <t>9 Ben Zion</t>
  </si>
  <si>
    <t>Northern District</t>
  </si>
  <si>
    <t>0.74x</t>
  </si>
  <si>
    <t>0.61x</t>
  </si>
  <si>
    <t>10-ספט-2024</t>
  </si>
  <si>
    <t>Continual l</t>
  </si>
  <si>
    <t>CellMining</t>
  </si>
  <si>
    <t>Continual Ltd</t>
  </si>
  <si>
    <t>Continual Ltd is engaged in the development of AI platform for mobile connectivity. The solutions offered by the company include journey Analytics, Mobility Experience Optimization, Crowd &amp; Commute Analytics, and Mobility Experience Platform.</t>
  </si>
  <si>
    <t>Automotive, Connectivity Products*</t>
  </si>
  <si>
    <t>Artificial Intelligence &amp; Machine Learning, Big Data, Industrials, Mobility Tech</t>
  </si>
  <si>
    <t>connectivity solutions, crowd analytics, mobile network optimization, mobile operator, service assurance, smart mobility</t>
  </si>
  <si>
    <t>98391-61</t>
  </si>
  <si>
    <t>www.continualexperience.com</t>
  </si>
  <si>
    <t>2015: 21, 2020: 20, 2021: 28, 2022: 29</t>
  </si>
  <si>
    <t>10 Topaz Street</t>
  </si>
  <si>
    <t>The company was acquired by Radcom (NAS: RDCM) for $2.5 million on April 30, 2023. This acquisition will enrich RADCOM's analytics in location and mobility, thereby helping operators optimize the subscribers' journey while traveling and further enhancing its 5G analytics to ensure users enjoy the best customer experiences. The company is no longer actively tracked by PitchBook.</t>
  </si>
  <si>
    <t>Radcom</t>
  </si>
  <si>
    <t>CEIIF, Ibex Investors, Khasm Labs, Microsoft for Startups, Momenta Ventures</t>
  </si>
  <si>
    <t>CEIIF (ceiif.com), Ibex Investors (www.ibexinvestors.com), Khasm Labs (khasmlabs.com), Microsoft for Startups (startups.microsoft.com), Momenta Ventures (www.momenta.vc)</t>
  </si>
  <si>
    <t>25-אוג-2025</t>
  </si>
  <si>
    <t>Convas</t>
  </si>
  <si>
    <t>Developer of real-time technologies designed to share information between infrastructures at intersections, crossings, vehicles, and pedestrians. The company offers a connection to infrastructures such as bridges and traffic light controllers that allow receiving and providing information, along with the integration of advanced technologies such as AI that identify objectives and situations, enabling users to reduce road accidents.</t>
  </si>
  <si>
    <t>Media</t>
  </si>
  <si>
    <t>Information Services (B2C)</t>
  </si>
  <si>
    <t>Information Services (B2C)*, Road</t>
  </si>
  <si>
    <t>Artificial Intelligence &amp; Machine Learning</t>
  </si>
  <si>
    <t>mobility information, mobility news, mobility operations, mobility solution provider, mobility solutions, mobility system, pedestrian access, road accident</t>
  </si>
  <si>
    <t>Angel-Backed</t>
  </si>
  <si>
    <t>522621-46</t>
  </si>
  <si>
    <t>Startup</t>
  </si>
  <si>
    <t>341968-78P</t>
  </si>
  <si>
    <t>Danny Friedman</t>
  </si>
  <si>
    <t>The company raised ILS 2.7 million of angel funding in a deal led by Veyron Evron on April 2, 2023. Other undisclosed investors also participated in the round.</t>
  </si>
  <si>
    <t>Veyron Evron</t>
  </si>
  <si>
    <t>HiCenter(Advisor: General)</t>
  </si>
  <si>
    <t>02-אפר-2023</t>
  </si>
  <si>
    <t>14-ספט-2025</t>
  </si>
  <si>
    <t>Cybellum</t>
  </si>
  <si>
    <t>Cybellum Technologies</t>
  </si>
  <si>
    <t>Cybellum Ltd.</t>
  </si>
  <si>
    <t>ZeroNorth, Claroty, ForeScout Technologies, Skybox Security, Absolute Security (Network Management Software), SecPod, Trusted Knight, Barracuda Networks, CyberX (Network Management Software), Imperva, Exabeam, FireMon, NopSec, Fidelis Security, EScan, Securonix, RSA Security, Ping Identity, CloudPassage, JumpCloud, C2A Security, Trustwave, Secure Thingz, NetSPI, Tripwire, Mimecast, GuruCul, Outpost24, Lumeta (Network Management Software), Forcepoint, Panda Security, Delinea, RiskSense, Karamba Security, Rubica, Cybereason, Tanium, Quarri, AVG Technologies, ControlScan, Anomali, Sophos, McAfee, WatchGuard Technologies, PlaxidityX, Appthority, Tenable, Emsisoft, eSentire, Netskope, BitDefender, Bitium, Mandiant, Qualys, Endgame (Network Management Software), Greenbone ( Network Management Software), Kenna Security, Attivo Networks, Catbird Networks, SonicWall, Sqrrl, Optiv Security, One Identity, EnSilo, Digital Guardian, Echoworx, Rapid7, SecureWorks, ManTech Cyber Solutions International, Promisec, Cylance, Nexgate, Ziften, Gen Digital, Proofpoint, Alert Logic, Avira Operations, Micro Focus International, Interset, Kaspersky Lab, Resolution1 Security, Distil Networks, HackerOne, Gemalto, CrowdStrike Holdings, MobileIron, BMC Software, FishNet Security, ePlus, BeyondTrust, F-Secure, Malwarebytes, BullGuard, OneLogin, K7 Computing, M&amp;S Technologies (Network Management Software), SentinelOne, Zvelo, Carbon Black, Darktrace, Morphisec, Clearswift, AHEAD (Systems and Information Management), Ollion, Venafi, Solutionary, Smoothwall, Webroot, Infocyte, Mandiant (IT Consulting and Outsourcing), Juniper Networks, CyberArk Software</t>
  </si>
  <si>
    <t>Developer of a product security platform designed to keep the connected products cyber-secure and cyber-compliant. The company's platform manages cyber risk and compliance gaps in the context of the devices from individual products and components to multiple business units and conducts continuous security analysis and management, vulnerability management during development, and incident response, enabling security teams to manage cyber risk continuously.</t>
  </si>
  <si>
    <t>Network Management Software*, Other Healthcare Technology Systems</t>
  </si>
  <si>
    <t>Cybersecurity, SaaS, TMT</t>
  </si>
  <si>
    <t>auto cybersecurity, compliance validation software, cyber security software, cybercriminals protection, firmware analysis, fleet connectivity, fleet management, risk assessment, threat intelligence, threat protection, vulnerability management, web security services</t>
  </si>
  <si>
    <t>169956-91</t>
  </si>
  <si>
    <t>www.cybellum.com</t>
  </si>
  <si>
    <t>http://www.linkedin.com/company/cybellum</t>
  </si>
  <si>
    <t>2021: 50, 2024: 79, 2025: 74</t>
  </si>
  <si>
    <t>LG</t>
  </si>
  <si>
    <t>155320-21P</t>
  </si>
  <si>
    <t>Slava Bronfman</t>
  </si>
  <si>
    <t>slava@cybellum.com</t>
  </si>
  <si>
    <t>3 Aminadav Street</t>
  </si>
  <si>
    <t>info@cybellum.com</t>
  </si>
  <si>
    <t>The company joined Siemens Dynamo as part of its Siemens Digital Industries Software Partner Program on February 1, 2022. No equity or funding was exchanged as a result of this program.</t>
  </si>
  <si>
    <t>Siemens Dynamo</t>
  </si>
  <si>
    <t>Azure Ventures, Blumberg Capital, Drive TLV, ICON (Other Commercial Services), Inno-Negev, Plug and Play Tech Center, RSBG Ventures, Startup Autobahn, Target Global</t>
  </si>
  <si>
    <t>Azure Ventures (www.azureventure.com), Blumberg Capital (www.blumbergcapital.com), Drive TLV (www.drivetlv.com/fastlane), ICON (Other Commercial Services) (www.iconsv.org), Inno-Negev (www.innonegev.com), Plug and Play Tech Center (www.plugandplaytechcenter.com), Startup Autobahn (www.startup-autobahn.com), Target Global (www.targetglobal.vc)</t>
  </si>
  <si>
    <t>Barnea Jaffa Lande(Legal Advisor)</t>
  </si>
  <si>
    <t>22-ספט-2025</t>
  </si>
  <si>
    <t>23-ספט-2021</t>
  </si>
  <si>
    <t>CyMotive Technologies</t>
  </si>
  <si>
    <t>CyMotive Technologies Ltd.</t>
  </si>
  <si>
    <t>Provider of cybersecurity services intended to serve the automotive industry. The company specializes in automotive security solutions through a holistic offensive-defensive approach, catering to autonomous and semi-autonomous cars with an internet connection.</t>
  </si>
  <si>
    <t>Automotive, Network Management Software*</t>
  </si>
  <si>
    <t>TMT</t>
  </si>
  <si>
    <t>automotive electronics, internet connection, online security, security, system security</t>
  </si>
  <si>
    <t>166371-04</t>
  </si>
  <si>
    <t>www.cymotive.com</t>
  </si>
  <si>
    <t>http://www.linkedin.com/company/cymotive-technologies</t>
  </si>
  <si>
    <t>2016: 20, 2021: 140</t>
  </si>
  <si>
    <t>145425-07P</t>
  </si>
  <si>
    <t>Yuval Diskin</t>
  </si>
  <si>
    <t>Co-Founder &amp; Executive Chairman</t>
  </si>
  <si>
    <t>yuval.diskin@cymotive.com</t>
  </si>
  <si>
    <t>Tower 1</t>
  </si>
  <si>
    <t>The company was formed as a joint venture between Volkswagen (ETR: VOW), Mr. Yuval Diskin, Mr. Tsafrir Kats and Dr. Tamir Bechor on September 14, 2016.</t>
  </si>
  <si>
    <t>Volkswagen Group</t>
  </si>
  <si>
    <t>Volkswagen Group (www.volkswagen-group.com)</t>
  </si>
  <si>
    <t>14-ספט-2016</t>
  </si>
  <si>
    <t>Joint Venture</t>
  </si>
  <si>
    <t>26-נוב-2025</t>
  </si>
  <si>
    <t>Transmission of digital information</t>
  </si>
  <si>
    <t>Dan Public Transportation</t>
  </si>
  <si>
    <t>Dan - Public Transport Company Ltd</t>
  </si>
  <si>
    <t>Egged Bus Cooperative</t>
  </si>
  <si>
    <t>Provider of bus services in the Gush Dan region. The company offers services including travel planning, multi-line services, nightline services across Israel.</t>
  </si>
  <si>
    <t>bus service, bus service application, bus service company, bus service operator, bus service provider</t>
  </si>
  <si>
    <t>279450-55</t>
  </si>
  <si>
    <t>www.dan.co.il</t>
  </si>
  <si>
    <t>215237-35P</t>
  </si>
  <si>
    <t>Ofer Zilbiger</t>
  </si>
  <si>
    <t>Co-Chairman</t>
  </si>
  <si>
    <t>oferz@dan.co.il</t>
  </si>
  <si>
    <t>Dan House SAP Building 3</t>
  </si>
  <si>
    <t>Hayetzira Street</t>
  </si>
  <si>
    <t>A 40% stake in the company was acquired by Value Base, LBH Infrastructure fund, Hachshara Insurance Company, S. Shlomo Holdings, Discount Capital, Norstar Industries, Mr. Chen Lamdan, Mr. David Fattal, and Mr. Dan Propper for NIS 450 million on February 13, 2020.</t>
  </si>
  <si>
    <t>Discount Capital, Hachshara Insurance Company, Norstar Industries, S. Shlomo Holdings, Value Base</t>
  </si>
  <si>
    <t>Discount Capital (www.dcapital.co.il), Hachshara Insurance Company (www.hcsra.co.il), Norstar Industries (www.norstarindustries.ca), S. Shlomo Holdings (www.shlomo.co.il), Value Base (www.valuebase.co.il)</t>
  </si>
  <si>
    <t>13-פבר-2020</t>
  </si>
  <si>
    <t>30.52x</t>
  </si>
  <si>
    <t>03-יונ-2025</t>
  </si>
  <si>
    <t>Deezle</t>
  </si>
  <si>
    <t>Developer of a personal electric scooter sharing platform designed to easily rent scooters through a phone in Tel Aviv. The company gives access to scooters that can be picked up and dropped off anywhere, providing users with alternative transportation options and reducing traffic congestion.</t>
  </si>
  <si>
    <t>Other Transportation*</t>
  </si>
  <si>
    <t>Climate Tech, Micro-Mobility, Mobility Tech</t>
  </si>
  <si>
    <t>climate tech company, easy commute, electric vehicle, personal electric vehicle, scooter services, transportation</t>
  </si>
  <si>
    <t>279493-39</t>
  </si>
  <si>
    <t>www.deezle.co</t>
  </si>
  <si>
    <t>Hayarkon 10</t>
  </si>
  <si>
    <t>info@seeiceland.com</t>
  </si>
  <si>
    <t>06-פבר-2024</t>
  </si>
  <si>
    <t>Delek Automotive Systems (TAE: DLEA)</t>
  </si>
  <si>
    <t>Gal - Wisepiler and Karts Indsutiries</t>
  </si>
  <si>
    <t>Delek Automotive Systems Ltd</t>
  </si>
  <si>
    <t>Delek Automotive Systems Ltd is engaged in import, distribution, and marketing of vehicles and vehicle parts. The company is part of Delek Group, which is involved in energy and infrastructure, insurance and finance, automotive, and chemicals. Delek Automotive Systems mainly distributes Mazda, Ford, Lincoln, and BMW vehicles. Delek Automotive Systems operates two subsidiaries: Delek Motors and Kamor Motors.</t>
  </si>
  <si>
    <t>Automotive, Distributors/Wholesale*</t>
  </si>
  <si>
    <t>vehicle distribution, vehicle distributor, vehicle import services, vehicle marketing, vehicle showroom, vehicle spare parts</t>
  </si>
  <si>
    <t>165194-38</t>
  </si>
  <si>
    <t>M&amp;A, Publicly Listed</t>
  </si>
  <si>
    <t>2013: 129, 2014: 356, 2015: 358, 2016: 368, 2017: 394, 2018: 385, 2019: 144, 2020: 130, 2021: 140, 2022: 153, 2023: 153, 2024: 162</t>
  </si>
  <si>
    <t>DLEA</t>
  </si>
  <si>
    <t>380132-29P</t>
  </si>
  <si>
    <t>Vered Arbib</t>
  </si>
  <si>
    <t>Board Member</t>
  </si>
  <si>
    <t>Nir Tzvi, Israel</t>
  </si>
  <si>
    <t>P.O. Box 200</t>
  </si>
  <si>
    <t>Nir Zvi Industrial Zone</t>
  </si>
  <si>
    <t>Nir Tzvi</t>
  </si>
  <si>
    <t>Delek Group sold a 14.99% stake in the company to an undisclosed buyer for ILS 269 million on December 11, 2019. The sale of the group's stake in Delek Automotive is another strategic measure by the group aimed at focusing its activity on the energy sector in Israel and overseas.</t>
  </si>
  <si>
    <t>Delek Group</t>
  </si>
  <si>
    <t>Delek Group (www.delek-group.com)</t>
  </si>
  <si>
    <t>01-יונ-1995</t>
  </si>
  <si>
    <t>11-דצמ-2019</t>
  </si>
  <si>
    <t>19-יול-2025</t>
  </si>
  <si>
    <t>Deliverider</t>
  </si>
  <si>
    <t>Deliverider Ltd.</t>
  </si>
  <si>
    <t>Provider of technology-facilitated logistics services intended to consolidate packages from all sellers just in time for last-mile fulfillment. The company offers integration with local seller catalogs, smart routing of middle-mile logistics using trucks and scooters, and unified order handling for increased profitability, safeguarding of customer data, and reduced carbon footprint, enabling online retailers to ship both in-stock and non-inventory items together in a single basket, improving delivery efficiency and expanding product assortment.</t>
  </si>
  <si>
    <t>Business/Productivity Software, Logistics*</t>
  </si>
  <si>
    <t>Mobility Tech, Supply Chain Tech</t>
  </si>
  <si>
    <t>delivery care, inventory logistics service, last mile delivery, logistic firm, logistics support, online delivery</t>
  </si>
  <si>
    <t>506682-91</t>
  </si>
  <si>
    <t>www.deliverider.com</t>
  </si>
  <si>
    <t>http://www.linkedin.com/company/deliverider</t>
  </si>
  <si>
    <t>314210-80P</t>
  </si>
  <si>
    <t>Ido Raz</t>
  </si>
  <si>
    <t>ido@deliverider.com</t>
  </si>
  <si>
    <t>Azrieli Tower, Derech Menachem</t>
  </si>
  <si>
    <t>Begin 132</t>
  </si>
  <si>
    <t>office@deliverider.com</t>
  </si>
  <si>
    <t>The company raised $2 million of seed funding in a deal led by NC Capital and Millennium Group on August 25, 2022. Other undisclosed investors also participated in the round. The funds will be used to allow further product development and hiring and spur faster adoption of the platform amongst large e-commerce retailers looking to extend their catalog offering, boost online profits, and increase overall basket size.</t>
  </si>
  <si>
    <t>Millennium Group (Singapore), NC Capital (Venutre Capital)</t>
  </si>
  <si>
    <t>Millennium Group (Singapore) (www.milenium-group.com)</t>
  </si>
  <si>
    <t>25-אוג-2022</t>
  </si>
  <si>
    <t>Derech Eretz</t>
  </si>
  <si>
    <t>Derech Eretz Highways Limited</t>
  </si>
  <si>
    <t>Operator of a highway in Israel. The company's operations include finance, design, construction, operation and maintenance of the Route 6 Cross Israel Highway.</t>
  </si>
  <si>
    <t>Construction and Engineering, Road*</t>
  </si>
  <si>
    <t>highway construction, highway design, highway operator, street construction, toll road</t>
  </si>
  <si>
    <t>58925-62</t>
  </si>
  <si>
    <t>Debt Financed, Private Equity</t>
  </si>
  <si>
    <t>www.derech-eretz.com</t>
  </si>
  <si>
    <t>PO Box 374</t>
  </si>
  <si>
    <t>Israel Infrastructure Fund sold a 49% stake in the company to Noy Fund for ILS 1.4 billion on January 01, 2011.</t>
  </si>
  <si>
    <t>Aecon, Africa Israel Investments, Clal Insurance Enterprises Holdings, Israel Infrastructure Fund, Noy Fund, Shikun &amp; Binui Energy</t>
  </si>
  <si>
    <t>Aecon (www.aecon.com), Africa Israel Investments (www.afigroup-global.com), Clal Insurance Enterprises Holdings (www.clalbit.co.il), Israel Infrastructure Fund (www.iif.co.il), Noy Fund (www.noyfund.co.il), Shikun &amp; Binui Energy (www.shikunenergy.com)</t>
  </si>
  <si>
    <t>BDO USA(Advisor: General), Israel Infrastructure Fund(Debt Financing)</t>
  </si>
  <si>
    <t>01-דצמ-2008</t>
  </si>
  <si>
    <t>Mezzanine</t>
  </si>
  <si>
    <t>Debt</t>
  </si>
  <si>
    <t>Term Loan - (Mezzanine)</t>
  </si>
  <si>
    <t>01-יול-2020</t>
  </si>
  <si>
    <t>01-פבר-2015</t>
  </si>
  <si>
    <t>DirecTrainS</t>
  </si>
  <si>
    <t>DirecTrainSystems Tito Engineering &amp; Consulting Ltd.</t>
  </si>
  <si>
    <t>Developer of a novel rail transport technology designed to solve existing delays and congestion problems. The company's patented rail transport technology is a modular smart train platform that does not require different infrastructure or any addition to the railway stations and allows direct, smooth commuting through intermediate stations without disturbing transferring passengers, while using existing railway lines, thereby empowering cities with smarter and efficient transport designed to change the future of railway industry.</t>
  </si>
  <si>
    <t>Logistics*</t>
  </si>
  <si>
    <t>CleanTech, Climate Tech, E-Commerce, Mobility Tech, Supply Chain Tech</t>
  </si>
  <si>
    <t>modular smart train platform, modular train, moular train platform, rail transport, rail transport technology, smart train platform</t>
  </si>
  <si>
    <t>495908-83</t>
  </si>
  <si>
    <t>www.directrains.com</t>
  </si>
  <si>
    <t>http://www.linkedin.com/company/directrains</t>
  </si>
  <si>
    <t>2022: 4, 2025: 6</t>
  </si>
  <si>
    <t>151023-61P</t>
  </si>
  <si>
    <t>Alberto Mandler</t>
  </si>
  <si>
    <t>tito@directrains.com</t>
  </si>
  <si>
    <t>Menachem Begin 11</t>
  </si>
  <si>
    <t>8th Floor</t>
  </si>
  <si>
    <t>info@directrains.com</t>
  </si>
  <si>
    <t>The company is in the process of raising $5 million of seed funding from undisclosed investors on December 15, 2025. The funds will be used to support further development and planned field testing. Previously, the company was capitalized with $1 in funding on an undisclosed date.</t>
  </si>
  <si>
    <t>15-דצמ-2025</t>
  </si>
  <si>
    <t>0.99x</t>
  </si>
  <si>
    <t>1.37x</t>
  </si>
  <si>
    <t>Driivz</t>
  </si>
  <si>
    <t>Driivz Ltd.</t>
  </si>
  <si>
    <t>Electriphi, eIQ Mobility, ChargeLab, EV Connect, Smatrics, Chargepoint Services, ChargePoint, InCharge Energy, Electrify America, ViriCiti, Amply Power, Greenlots, FreeWire</t>
  </si>
  <si>
    <t>Developer of a charging management platform designed to offer an electric vehicle charging network. The company's platform offers operations management, grid management, user management, public and workplace charging management as well as various advanced billing capabilities and driver applications, enabling electric vehicle charging network operators to efficiently manage and develop their infrastructure.</t>
  </si>
  <si>
    <t>Climate Tech, Mobility Tech</t>
  </si>
  <si>
    <t>charging management platform, electric vehicle, energy management platform, enterprise resource planning, erp, ev charging infrastructure, ev charging network, fleet electrification, grid management, grid management technology, mobility tech, public charging infrastructure, vehicle charging network</t>
  </si>
  <si>
    <t>173331-01</t>
  </si>
  <si>
    <t>www.driivz.com</t>
  </si>
  <si>
    <t>http://www.linkedin.com/company/driivz</t>
  </si>
  <si>
    <t>2021: 80, 2024: 120</t>
  </si>
  <si>
    <t>Vontier</t>
  </si>
  <si>
    <t>125594-20P</t>
  </si>
  <si>
    <t>Shay Kirshblum</t>
  </si>
  <si>
    <t>shay.kirshblum@driivz.com</t>
  </si>
  <si>
    <t>Hod HaSharon, Israel</t>
  </si>
  <si>
    <t>4 Ha'Harash Street</t>
  </si>
  <si>
    <t>Hod HaSharon</t>
  </si>
  <si>
    <t>contactus@driivz.com</t>
  </si>
  <si>
    <t>The company joined LG Nova as a part of its Mission for the Future global challenge competition on June 20, 2022 and received $100,000 in funding in the form of grant. Previously, the company was acquired by Vontier (NYS: VNT) for $200 million on February 8, 2022.</t>
  </si>
  <si>
    <t>LG Nova</t>
  </si>
  <si>
    <t>Centrica Innovations, Free Electrons, Gilbarco Veeder-Root, Inven Capital, Mobility Tech Accelerator, Ombu Group, Salica Investments, Volvo Group Venture Capital</t>
  </si>
  <si>
    <t>LG Nova (www.lgnova.com)</t>
  </si>
  <si>
    <t>Free Electrons (www.freeelectrons.org), Gilbarco Veeder-Root (www.gilbarco.in), Inven Capital (www.invencapital.cz), Ombu Group (www.ombugroup.com), Salica Investments (www.salicainvestments.com)</t>
  </si>
  <si>
    <t>08-יונ-2017</t>
  </si>
  <si>
    <t>20-יונ-2022</t>
  </si>
  <si>
    <t>15-ינו-2026</t>
  </si>
  <si>
    <t>08-פבר-2022</t>
  </si>
  <si>
    <t>Dynamacs</t>
  </si>
  <si>
    <t>Developer of warehouse optimization software designed for fulfillment and logistics support. The company's platform incorporates real-time multi-agent coordination, proprietary storage and order-picking algorithms, and seamless integration with existing systems, enabling fulfillment centers and warehouse operators to increase throughput, minimize labor requirements, adapt to fluctuating demand, reduce operational costs, and improve overall resource utilization within complex distribution environments.</t>
  </si>
  <si>
    <t>Artificial Intelligence &amp; Machine Learning, Marketing Tech, Mobile, Mobility Tech, SaaS, Supply Chain Tech</t>
  </si>
  <si>
    <t>inventory management, logistics software, operational cost reduction, storage optimization, supply chain software, warehouse management software</t>
  </si>
  <si>
    <t>641386-99</t>
  </si>
  <si>
    <t>www.dynamacsiot.com</t>
  </si>
  <si>
    <t>http://www.linkedin.com/company/dynamacs</t>
  </si>
  <si>
    <t>2024: 2, 2025: 3</t>
  </si>
  <si>
    <t>411276-07P</t>
  </si>
  <si>
    <t>Ronny Antar</t>
  </si>
  <si>
    <t>ronny@dynamacsiot.com</t>
  </si>
  <si>
    <t>Mitar, Israel</t>
  </si>
  <si>
    <t>Shivta Street 10</t>
  </si>
  <si>
    <t>Mitar</t>
  </si>
  <si>
    <t>The company joined Yazamut 360 on an undisclosed date. No equity or funding was exchanged as a result of this program.</t>
  </si>
  <si>
    <t>Oazis, Yazamut 360</t>
  </si>
  <si>
    <t>Oazis (www.bgu-oazis.com)</t>
  </si>
  <si>
    <t>17-ספט-2025</t>
  </si>
  <si>
    <t>E-Drive Technology</t>
  </si>
  <si>
    <t>Developer of fleet management and telematics solutions for the automotive industry. E-Drive Technology's services include fuel management and real-time monitoring with their WorldFleetLog product, as well as EDT Speed Limiter and Beverage Cooler Tracking and Management solutions. They are a division of Ituran and specialize in proprietary hardware, firmware, and management software products. EDT is ISO 9002 and QS 9000 certified and prioritizes environmental responsibility.</t>
  </si>
  <si>
    <t>automotive telematics, fleet management system, fuel management system, saas &amp; smartphone fm solutions</t>
  </si>
  <si>
    <t>559531-99</t>
  </si>
  <si>
    <t>e-drivetech.com</t>
  </si>
  <si>
    <t>http://www.linkedin.com/company/e-drive-technology</t>
  </si>
  <si>
    <t>Tirat Hacarmel, Israel</t>
  </si>
  <si>
    <t>15th Keren Hayesod St.</t>
  </si>
  <si>
    <t>Tirat Hacarmel</t>
  </si>
  <si>
    <t>2.93x</t>
  </si>
  <si>
    <t>2.61x</t>
  </si>
  <si>
    <t>24-ינו-2024</t>
  </si>
  <si>
    <t>Egged Transportation Company, Ltd.</t>
  </si>
  <si>
    <t>Provider of public transportation services committed to continuing to develop the level of passenger service and contribute to achieving national goals for increasing the use of public transportation. The company offers maintenance, distribution, and manufacturing services along with research, development, and establishment of smart transportation systems and on-demand transportation, thereby providing easy mobility to residents and visitors.</t>
  </si>
  <si>
    <t>distribution services, maintenance services, public transportation company, public transportation operators, public transportation service, public transportation works</t>
  </si>
  <si>
    <t>494994-97</t>
  </si>
  <si>
    <t>www.egged.co.il</t>
  </si>
  <si>
    <t>http://www.linkedin.com/company/egged</t>
  </si>
  <si>
    <t>2022: 9000, 2025: 9000</t>
  </si>
  <si>
    <t>326443-78P</t>
  </si>
  <si>
    <t>Israel Rom</t>
  </si>
  <si>
    <t>Chief Information Officer</t>
  </si>
  <si>
    <t>israelr@egged.co.il</t>
  </si>
  <si>
    <t>Beit Dagan, Israel</t>
  </si>
  <si>
    <t>Egged House, 5 Menachem Begin Boulvard</t>
  </si>
  <si>
    <t>Park Tech</t>
  </si>
  <si>
    <t>The company was acquired by Keystone REIT through a ILS 2.8 billion LBO on May 31, 2022. The transaction values the company at ILS 4.77 billion.</t>
  </si>
  <si>
    <t>Keystone Infra</t>
  </si>
  <si>
    <t>Keystone Infra (www.keystoneisrael.com)</t>
  </si>
  <si>
    <t>Gross &amp; Co.(Legal Advisor)</t>
  </si>
  <si>
    <t>31-מאי-2022</t>
  </si>
  <si>
    <t>112.83x</t>
  </si>
  <si>
    <t>130.26x</t>
  </si>
  <si>
    <t>95.39x</t>
  </si>
  <si>
    <t>19-פבר-2025</t>
  </si>
  <si>
    <t>Egged Ta'avura</t>
  </si>
  <si>
    <t>Egged Ta'avura Ltd.</t>
  </si>
  <si>
    <t>Provider of special and public transportation services across Israel. The company offers regular transportation, private transportation, transportation to factories, transportation to institutions and tourist transportation to people across the country.</t>
  </si>
  <si>
    <t>Automotive, Other Transportation*</t>
  </si>
  <si>
    <t>public transportation, public transportation operator, public transportation service, transportation service, transportation service company, transportation service firm, transportation service provider, transportation services</t>
  </si>
  <si>
    <t>442797-76</t>
  </si>
  <si>
    <t>www.egged-taavura.co.il</t>
  </si>
  <si>
    <t>FY 2020</t>
  </si>
  <si>
    <t>Craft 21</t>
  </si>
  <si>
    <t>Malka Street</t>
  </si>
  <si>
    <t>The company, a subsidiary of Egged Bus Cooperative was acquired by Electra Afikim, a subsidiary of Electra Israel (TAE: ELTR) for NIS 200 million on August 31, 2021. The acquisition makes Electra Afikim the third largest bus company in Israel after Egged and Dan with a fleet of nearly 1,500 buses.The company is no longer actively tracked by PitchBook.</t>
  </si>
  <si>
    <t>Egged Bus Cooperative, Taavura Holdings</t>
  </si>
  <si>
    <t>Egged Bus Cooperative (www.egged.co.il), Taavura Holdings (www.taavura.com)</t>
  </si>
  <si>
    <t>Ernst &amp; Young Global(Advisor: General)</t>
  </si>
  <si>
    <t>31-אוג-2021</t>
  </si>
  <si>
    <t>El Al Israel Airlines (TAE: ELAL)</t>
  </si>
  <si>
    <t>EL AL, El Al Airlines</t>
  </si>
  <si>
    <t>El Al Israel Airlines Ltd.</t>
  </si>
  <si>
    <t>Ryanair Holdings, Thai Airways International, Egyptair, Société Air France, Turkish Airlines, Cyprus Airways, Air France-KLM, Air Mauritius, KLM Royal Dutch, Virgin Atlantic Airways, Malaysia Airlines, Alia - The Royal Jordanian Airlines, Qatar Airways Group, Swiss International Airlines, Cathay Pacific Airways, Southwest Airlines, Kenya Airways, Air Canada, Sun D'Or International Airlines, Societe Tunisienne, Air Seychelles, Gulf Air</t>
  </si>
  <si>
    <t>El AL Israel Airlines Ltd is an international airline company which provides air transportation of passengers and cargo in Israel and overseas, by means of passenger aircraft and cargo aircraft. The company's passenger aircraft mainly operate scheduled flights as well as charter flights. The group is engaged in activities related to the air transport operations, such as the sale of duty-free products, food production, and supply mainly to the company's aircraft, providing security services, ongoing maintenance services and overall maintenance services to aircraft of other airlines at Ben Gurion Airport, and managing travel agencies abroad. The reporting segments of the company are air transport on passenger aircraft, and air transport on cargo plane.</t>
  </si>
  <si>
    <t>Air*, Logistics</t>
  </si>
  <si>
    <t>Industrials, Mobility Tech</t>
  </si>
  <si>
    <t>air transportation, airline, airline company, airline company services, airline operator, airline operator firm, airline service provider, airline services, airline services company, airline travel, cargo aircraft, passenger transport</t>
  </si>
  <si>
    <t>59948-74</t>
  </si>
  <si>
    <t>www.elal.com</t>
  </si>
  <si>
    <t>http://www.linkedin.com/company/el-al-israel-airlines</t>
  </si>
  <si>
    <t>2011: 3836, 2012: 5775, 2013: 5749, 2014: 5923, 2015: 6109, 2017: 6216, 2018: 6178, 2019: 6303, 2020: 1472, 2021: 3485, 2022: 4545, 2023: 4980, 2024: 5540</t>
  </si>
  <si>
    <t>ELAL</t>
  </si>
  <si>
    <t>407936-44P</t>
  </si>
  <si>
    <t>Yacov Shahar</t>
  </si>
  <si>
    <t>yacovs@elal.co.il</t>
  </si>
  <si>
    <t>Lod, Israel</t>
  </si>
  <si>
    <t>Ben Gurion Airport</t>
  </si>
  <si>
    <t>The company (TAE: ELAL) was acquired by Government of Israel and Kanfei Nesharim for $180 million on September 17, 2020.</t>
  </si>
  <si>
    <t>Government of Israel, Kanfei Nesharim, Knafaim Holdings</t>
  </si>
  <si>
    <t>Government of Israel (www.gov.il), Knafaim Holdings (gkl-leasing.com)</t>
  </si>
  <si>
    <t>WNG Capital(Advisor: General)</t>
  </si>
  <si>
    <t>12-יונ-2003</t>
  </si>
  <si>
    <t>966.17x</t>
  </si>
  <si>
    <t>1,900.02x</t>
  </si>
  <si>
    <t>3,505.73x</t>
  </si>
  <si>
    <t>294.30x</t>
  </si>
  <si>
    <t>22-נוב-2025</t>
  </si>
  <si>
    <t>Elbit Transportation</t>
  </si>
  <si>
    <t>Provider of energy services based in Haifa, Israel. The company is currently operating in Stealth mode.</t>
  </si>
  <si>
    <t>Other Energy</t>
  </si>
  <si>
    <t>Other Energy*, Other Transportation</t>
  </si>
  <si>
    <t>CleanTech, Mobility Tech</t>
  </si>
  <si>
    <t>energy solutions developer, stealth company, stealth firm, stealth market, transport tech, transportation energy solutions</t>
  </si>
  <si>
    <t>437333-68</t>
  </si>
  <si>
    <t>Stealth</t>
  </si>
  <si>
    <t>Advanced Technology Center</t>
  </si>
  <si>
    <t>Post Office Box 539</t>
  </si>
  <si>
    <t>An undisclosed investor sold a stake in the company in approximately November 2023.</t>
  </si>
  <si>
    <t>01-יול-2016</t>
  </si>
  <si>
    <t>01-נוב-2023</t>
  </si>
  <si>
    <t>26-אפר-2024</t>
  </si>
  <si>
    <t>Eldan Transportation (TAE: ELDT)</t>
  </si>
  <si>
    <t>Eldan Transportation Ltd</t>
  </si>
  <si>
    <t>Eldan Transportation Ltd is a car rental company. The company offers its customers a variety of vehicles for rent in the deployment of branches nationwide, from Eilat in the south to Kiryat Shmona in the north, including the branch of Ben Gurion Airport.</t>
  </si>
  <si>
    <t>car rental, car rental company, car rental deals, car rental firm, leasing company, leasing of car</t>
  </si>
  <si>
    <t>895249-45</t>
  </si>
  <si>
    <t>www.eldan.co.il/en/rent</t>
  </si>
  <si>
    <t>http://www.linkedin.com/company/eldan</t>
  </si>
  <si>
    <t>ELDT</t>
  </si>
  <si>
    <t>455157-10P</t>
  </si>
  <si>
    <t>Shlomo Dahan</t>
  </si>
  <si>
    <t>Chief Executive Officer &amp; Director</t>
  </si>
  <si>
    <t>shlomo.d@eldan.co.il</t>
  </si>
  <si>
    <t>20 Sderot Hahaskala</t>
  </si>
  <si>
    <t>The company raised ILS 160 million in its initial public offering on the Tel Aviv Stock Exchange under the ticker symbol of ELDT on May 20, 2025. After the offering, the company was valued at ILS 760 million.</t>
  </si>
  <si>
    <t>20-מאי-2025</t>
  </si>
  <si>
    <t>20.48x</t>
  </si>
  <si>
    <t>15-אוק-2025</t>
  </si>
  <si>
    <t>Electreon Wireless (TAE: ELWS)</t>
  </si>
  <si>
    <t>ElectRoad</t>
  </si>
  <si>
    <t>ElectReon</t>
  </si>
  <si>
    <t>Electreon Wireless Ltd.</t>
  </si>
  <si>
    <t>Electreon Wireless Ltd is engaged in developing smart road technology designed for wireless charging solutions for electric vehicles (EVs). The company delivers cost-effective, end-to-end charging infrastructure and services. It also includes dynamic charging wireless Electric Roads, to fleet operators through flexible business models accelerating electric vehicle adoption.</t>
  </si>
  <si>
    <t>Automotive*, Other Energy</t>
  </si>
  <si>
    <t>charging services, electrical vehicles, green energy, green technology, wireless power, wireless power transfer</t>
  </si>
  <si>
    <t>123366-07</t>
  </si>
  <si>
    <t>www.electreon.com</t>
  </si>
  <si>
    <t>http://www.linkedin.com/company/electreon</t>
  </si>
  <si>
    <t>2017: 5, 2018: 14, 2019: 20, 2020: 35, 2021: 80, 2022: 94, 2024: 153</t>
  </si>
  <si>
    <t>ELWS</t>
  </si>
  <si>
    <t>113283-19P</t>
  </si>
  <si>
    <t>Beit Yanai, Israel</t>
  </si>
  <si>
    <t>Hadassah Neurim Youth Village</t>
  </si>
  <si>
    <t>The company (TAE: ELWS) received ILS 50 million of development capital from undisclosed investors in September 2024, through a private placement.</t>
  </si>
  <si>
    <t>Afcon Holdings, Biomedix Incubator, Clal Insurance Enterprises Holdings, Excellence Investments Management and Securities, Halman Aldubi Investment House, Migdal Insurance and Financial Holdings, Psagot Investment House</t>
  </si>
  <si>
    <t>Capital Nature, Government of Israel, Horizon 2020, Innovation Authority, Technion Israel Institute of Technology</t>
  </si>
  <si>
    <t>Afcon Holdings (www.afcon.co.il), Biomedix Incubator (www.biomedixincubator.com), Clal Insurance Enterprises Holdings (www.clalbit.co.il), Excellence Investments Management and Securities (www.xnes.co.il), Halman Aldubi Investment House (www.halmanaldubi.com), Migdal Insurance and Financial Holdings (www.migdal.co.il), Psagot Investment House (www.psagot.co.il)</t>
  </si>
  <si>
    <t>Capital Nature (www.capitalnature.com), Government of Israel (www.gov.il), Innovation Authority (innovationisrael.org.il), Technion Israel Institute of Technology (www1.technion.ac.il)</t>
  </si>
  <si>
    <t>Cybele Investment House(Advisor: General), Erdinast, Ben Nathan, Toledano &amp; Co. With Hamburger Evron(Legal Advisor), Value Base(Advisor: General)</t>
  </si>
  <si>
    <t>01-ינו-2015</t>
  </si>
  <si>
    <t>01-ספט-2024</t>
  </si>
  <si>
    <t>38.04x</t>
  </si>
  <si>
    <t>Electric power networks, Magnets, Propulsion of electrically-propelled vehicles</t>
  </si>
  <si>
    <t>25-יונ-2020</t>
  </si>
  <si>
    <t>ElectricCare</t>
  </si>
  <si>
    <t>Electriccare Ltd.</t>
  </si>
  <si>
    <t>Manufacturer and developer of infrastructure solutions designed to offer people convenient, cheap and user-friendly charging of electric vehicles. The company focuses on creating a solution of a network of fast-charging stations in areas of demand and in close proximity to major traffic arteries for fast charging during the daily use of the electric vehicle, thereby providing drivers who have decided to make the transition with reliable, convenient and inexpensive infrastructures.</t>
  </si>
  <si>
    <t>Other Commercial Products, Road*</t>
  </si>
  <si>
    <t>CleanTech, LOHAS &amp; Wellness, Manufacturing</t>
  </si>
  <si>
    <t>electric vehicle, electric vehicle charging network, electric vehicle charging point, electric vehicle unit, infrastructure solution, infrastructure solution provider</t>
  </si>
  <si>
    <t>495943-84</t>
  </si>
  <si>
    <t>www.electricare-ev.com</t>
  </si>
  <si>
    <t>22-יול-2025</t>
  </si>
  <si>
    <t>eLinkAir</t>
  </si>
  <si>
    <t>Developer of electric transportation technologies, offering comprehensive solutions for driverless, mass transportation. Our focus is on developing new technologies for electric transportation.</t>
  </si>
  <si>
    <t>current collector, dc charging, fast charging</t>
  </si>
  <si>
    <t>559698-85</t>
  </si>
  <si>
    <t>elinkair.com</t>
  </si>
  <si>
    <t>http://www.linkedin.com/company/elinkair</t>
  </si>
  <si>
    <t>2025: 2</t>
  </si>
  <si>
    <t>E17 4JP</t>
  </si>
  <si>
    <t>05-ינו-2026</t>
  </si>
  <si>
    <t>Elite Ambualnces</t>
  </si>
  <si>
    <t>Developer and distributor of emergency vehicles for global markets. Elite Ambulances specializes in providing customized solutions to meet specific customer needs and works with civil, private, and military sectors.</t>
  </si>
  <si>
    <t>660611-71</t>
  </si>
  <si>
    <t>eambulances.com</t>
  </si>
  <si>
    <t>http://www.linkedin.com/company/elite-ambualnces</t>
  </si>
  <si>
    <t>0.82x</t>
  </si>
  <si>
    <t>Elssway</t>
  </si>
  <si>
    <t>Elssway Ltd.</t>
  </si>
  <si>
    <t>Developer of a wireless charging technology designed to improve the utilization of the charging infrastructure. The company offers surface antenna technology that uses simple conductors, allowing for simple integration into any floor structure, enabling clients to easily set up charging systems for electric vehicles, bus fleets, e-bikes, and autonomous logistics robots.</t>
  </si>
  <si>
    <t>Other Energy*</t>
  </si>
  <si>
    <t>CleanTech, LOHAS &amp; Wellness, Mobility Tech</t>
  </si>
  <si>
    <t>charging infrastructure, electric charging, integrated charging, vehicle charging, wireless charger, wireless charging technology</t>
  </si>
  <si>
    <t>664198-75</t>
  </si>
  <si>
    <t>www.elssway.com</t>
  </si>
  <si>
    <t>http://www.linkedin.com/company/elssway</t>
  </si>
  <si>
    <t>2024: 5, 2025: 6</t>
  </si>
  <si>
    <t>122279-86P</t>
  </si>
  <si>
    <t>Asaf Elssibony</t>
  </si>
  <si>
    <t>info@elssway.com</t>
  </si>
  <si>
    <t>The company joined CityZone on an undisclosed date. No equity or funding was exchanged as a result of this program.</t>
  </si>
  <si>
    <t>CityZone (Israel), CreationsVC, Earth &amp; Beyond Ventures</t>
  </si>
  <si>
    <t>CityZone (Israel) (city-zone.co), CreationsVC (www.creations.vc), Earth &amp; Beyond Ventures (www.earthandbeyond.ventures)</t>
  </si>
  <si>
    <t>01-אפר-2024</t>
  </si>
  <si>
    <t>EMOTO Electric Motorcycles</t>
  </si>
  <si>
    <t>The company primarily operates in the Automotive industry. EMOTO Electric Motorcycles is headquartered in Tel Aviv, Israel.</t>
  </si>
  <si>
    <t>931926-61</t>
  </si>
  <si>
    <t>emoto.co.il</t>
  </si>
  <si>
    <t>http://www.linkedin.com/company/emoto-electric-motorcycles</t>
  </si>
  <si>
    <t>HaRakevet St 28</t>
  </si>
  <si>
    <t>Engie Motors</t>
  </si>
  <si>
    <t>Engie Motors Ltd.</t>
  </si>
  <si>
    <t>caroobi, Wrench (Automotive), AutoMD, CarZ, GoMechanic, ClickMechanic, YourMechanic, WhoCanFixMyCar</t>
  </si>
  <si>
    <t>Developer of a smartphone application intended to track and monitor vehicle conditions. The company's application uses a diagnostics technology that provides a seamless solution for car repairs and maintenance by collecting data in real-time, enabling users to easily maintain their vehicles.</t>
  </si>
  <si>
    <t>Automotive*, Other Transportation, Road</t>
  </si>
  <si>
    <t>auto commerce, automotive service, car maintenance app, car maintenance application, car maintenance information, car maintenance software, connected car maintenance, vehicle condition</t>
  </si>
  <si>
    <t>114242-41</t>
  </si>
  <si>
    <t>www.engieapp.com</t>
  </si>
  <si>
    <t>http://www.linkedin.com/company/5134061</t>
  </si>
  <si>
    <t>2016: 46, 2018: 20</t>
  </si>
  <si>
    <t>Yoqneam Street 3</t>
  </si>
  <si>
    <t>The company is no longer actively in business as of April 20, 2020. The company is no longer tracked by PitchBook.</t>
  </si>
  <si>
    <t>8VC, Ataria, BNP Paribas, C Entrepreneurs, Elevator Fund, Formation 8, Mindset Ventures, Motus Ventures, OurCrowd, Reshape Ventures, Ton Ventures, Uri Levine</t>
  </si>
  <si>
    <t>8VC (www.8vc.com), Ataria (www.atariavc.com), BNP Paribas (www.group.bnpparibas), Elevator Fund (www.elevatorfund.com), Formation 8 (www.formation8.com), Mindset Ventures (www.mindset.ventures), Motus Ventures (motusventures.com), OurCrowd (www.ourcrowd.com), Reshape Ventures (www.reshape.co)</t>
  </si>
  <si>
    <t>01-ספט-2014</t>
  </si>
  <si>
    <t>20-אפר-2020</t>
  </si>
  <si>
    <t>03-יול-2019</t>
  </si>
  <si>
    <t>Enroute</t>
  </si>
  <si>
    <t>Operator of a location-based commerce platform intended to provide a ride for free as passengers shop and interact. The company's platform uses algorithms to create a shopping experience for passengers based on the ride details and the user profile to offer personalized e-commerce services, enabling online retailers to offer a free ride after a shopping experience tailored specifically to the passenger's tastes and interests.</t>
  </si>
  <si>
    <t>Services (Non-Financial)</t>
  </si>
  <si>
    <t>Other Services (B2C Non-Financial)</t>
  </si>
  <si>
    <t>Application Software, Automotive, Other Services (B2C Non-Financial)*</t>
  </si>
  <si>
    <t>E-Commerce, Micro-Mobility, Mobility Tech, Ridesharing</t>
  </si>
  <si>
    <t>commerce media, ecommerce platform, free rides application, rides shares, ridesharing system, transit management</t>
  </si>
  <si>
    <t>277325-56</t>
  </si>
  <si>
    <t>www.enroute.tech</t>
  </si>
  <si>
    <t>2020: 7, 2021: 6, 2022: 7, 2023: 4, 2024: 3, 2025: 3</t>
  </si>
  <si>
    <t>7 Shevach Street</t>
  </si>
  <si>
    <t>info@enroute.tech</t>
  </si>
  <si>
    <t>The company is no longer actively in business as of December 22, 2025. The company is no longer tracked by PitchBook.</t>
  </si>
  <si>
    <t>COMEUP STARS, Drive TLV, European Commission, Intelak Hub, IP2 Launchpad, Next Gear Ventures, Pareto Holdings, Plug and Play Tech Center, SLINGSHOT (Singapore), Startup Autobahn, Startupbootcamp Holding</t>
  </si>
  <si>
    <t>COMEUP STARS (www.comeup.org/en/whatiscomeupstars), Drive TLV (www.drivetlv.com/fastlane), European Commission (commission.europa.eu), Intelak Hub (www.intelak.com), IP2 Launchpad (www.startupterrace.com), Next Gear Ventures (www.nextgear.fund), Pareto Holdings (www.pareto20.com), Plug and Play Tech Center (www.plugandplaytechcenter.com), SLINGSHOT (Singapore) (slingshot.agorize.com), Startup Autobahn (www.startup-autobahn.com), Startupbootcamp Holding (www.startupbootcamp.org)</t>
  </si>
  <si>
    <t>Arnon Tadmor-Levy(Legal Advisor), Ernst &amp; Young Global(Auditor)</t>
  </si>
  <si>
    <t>22-דצמ-2025</t>
  </si>
  <si>
    <t>Ensign Optics</t>
  </si>
  <si>
    <t>The company primarily operates in the Automotive industry. Ensign Optics was founded in 2017 and is headquartered in Rehovot, Israel.</t>
  </si>
  <si>
    <t>560116-27</t>
  </si>
  <si>
    <t>ensignoptics.com</t>
  </si>
  <si>
    <t>http://www.linkedin.com/company/ensign-optics</t>
  </si>
  <si>
    <t>2025: 2, 2026: 2</t>
  </si>
  <si>
    <t>Eli Horvitz</t>
  </si>
  <si>
    <t>ERM Electronic Systems</t>
  </si>
  <si>
    <t>ERM</t>
  </si>
  <si>
    <t>ERM Electronic Systems Ltd.</t>
  </si>
  <si>
    <t>Dash Labs, Zonar Systems, Verizon Connect, Mojio, INRIX, Lytx, Voyo, NexTraq, BlueDriver, Sascar, Dashroad, Motive (Hardware), Azuga, Networkfleet, Zubie, Donlen, Autonet Mobile</t>
  </si>
  <si>
    <t>Developer of advanced telematics software and hardware serving global transportation and fleet management markets. The company provides services including patented customizable tracking, fuel monitoring, and driver safety technologies with in house manufacturing, delivering precise, scalable products that enhance operational efficiency.</t>
  </si>
  <si>
    <t>Automation/Workflow Software, Automotive, Business/Productivity Software*, Other Hardware</t>
  </si>
  <si>
    <t>fleet safety solutions, global positioning system technology, hardware product, telematics software, telematics software services, trailer tracking, vehicle fleet management, vehicle fleet safety</t>
  </si>
  <si>
    <t>143691-94</t>
  </si>
  <si>
    <t>www.ermtelematics.com</t>
  </si>
  <si>
    <t>http://www.linkedin.com/company/erm-telematics</t>
  </si>
  <si>
    <t>Ituran Location &amp; Control</t>
  </si>
  <si>
    <t>160122-07P</t>
  </si>
  <si>
    <t>Meir Hayman</t>
  </si>
  <si>
    <t>Chief Executive Officer, President and Founder</t>
  </si>
  <si>
    <t>16 Hasar Shapira Street</t>
  </si>
  <si>
    <t>info@ermtelematics.com</t>
  </si>
  <si>
    <t>The company was acquired by Ituran Location &amp; Control (NAS: ITRN) for an undisclosed amount on September 1, 2006.</t>
  </si>
  <si>
    <t>01-ספט-2006</t>
  </si>
  <si>
    <t>10.22x</t>
  </si>
  <si>
    <t>08-ינו-2026</t>
  </si>
  <si>
    <t>Measuring volume, volume flow, mass flow or liquid level, Secret communication</t>
  </si>
  <si>
    <t>ESquare (Business/Productivity Software)</t>
  </si>
  <si>
    <t>Esquare IOT Ltd</t>
  </si>
  <si>
    <t>Developer of an AI (artificial intelligence)-based wireless communication unit designed to monitor and analyze driver behavior within fleet and traffic management systems. The company offers real-time telematics, behavior analytics, and vehicle-to-infrastructure connectivity, enabling commercial fleet operators and traffic authorities, improved safety, efficiency, and operational control.</t>
  </si>
  <si>
    <t>Business/Productivity Software*, Other Commercial Services, Other Hardware</t>
  </si>
  <si>
    <t>artificial intelligence, asset manager platform, data processing, mobility analytics, traffic congestion reduction, traffic management, wireless platform</t>
  </si>
  <si>
    <t>518452-48</t>
  </si>
  <si>
    <t>www.esquare-p.com</t>
  </si>
  <si>
    <t>http://www.linkedin.com/company/esquareiot</t>
  </si>
  <si>
    <t>2025: 5</t>
  </si>
  <si>
    <t>Promotion (New) Aviel Sela, Co-Founder &amp; Chief Executive Officer</t>
  </si>
  <si>
    <t>332285-23P</t>
  </si>
  <si>
    <t>Aviel Sela</t>
  </si>
  <si>
    <t>aviel@esquare-p.com</t>
  </si>
  <si>
    <t>Bni Brak, Israel</t>
  </si>
  <si>
    <t>9 Metzada Street</t>
  </si>
  <si>
    <t>Bni Brak</t>
  </si>
  <si>
    <t>The company joined ChaiTech Accelerator on an undisclosed date. No equity or funding was exchanged as a result of this program.</t>
  </si>
  <si>
    <t>ChaiTech</t>
  </si>
  <si>
    <t>ChaiTech (www.chaitech.org)</t>
  </si>
  <si>
    <t>0.31x</t>
  </si>
  <si>
    <t>0.01x</t>
  </si>
  <si>
    <t>ETGA Group (TAE: ETGA)</t>
  </si>
  <si>
    <t>ETGA Group Ltd</t>
  </si>
  <si>
    <t>ETGA Group Ltd is engaged in two segments, logistics and financing, which constitute complementary and synergistic activities that offer an extensive basket of logistics and financing services.</t>
  </si>
  <si>
    <t>Air*, Marine</t>
  </si>
  <si>
    <t>logistics, sea and air cargo, sea and air freight</t>
  </si>
  <si>
    <t>467878-87</t>
  </si>
  <si>
    <t>www.etga.co.il</t>
  </si>
  <si>
    <t>2021: 186, 2022: 192, 2023: 173, 2024: 275</t>
  </si>
  <si>
    <t>ETGA</t>
  </si>
  <si>
    <t>470750-32P</t>
  </si>
  <si>
    <t>Tomer Arbel</t>
  </si>
  <si>
    <t>Azrieli Business Park, Building D, 5th Floor</t>
  </si>
  <si>
    <t>info@etga.co.il</t>
  </si>
  <si>
    <t>The company raised ILS 130 million in its initial public offering on the Tel Aviv Stock Exchange under the ticker symbol of ETGA on June 6, 2021. After the offering, the company valued at ILS 400 million.</t>
  </si>
  <si>
    <t>06-יונ-2021</t>
  </si>
  <si>
    <t>ETV Motors</t>
  </si>
  <si>
    <t>ETV</t>
  </si>
  <si>
    <t>ETV Energy Ltd.</t>
  </si>
  <si>
    <t>Developer of lithium batteries designed to store maximum energy with a low amount of power. The company's lithium batteries contain high voltage cathode that boasts fast kinetics and structural stability, enabling clients to extract high energy while maintaining a relatively low cost.</t>
  </si>
  <si>
    <t>Materials and Resources</t>
  </si>
  <si>
    <t>Other Materials</t>
  </si>
  <si>
    <t>Other Materials*</t>
  </si>
  <si>
    <t>CleanTech, Mobility Tech, TMT</t>
  </si>
  <si>
    <t>automotive battery technology, battery, battery material, battery technology, electric vehicle, lithium battery, lithium-ion battery, propulsion technology</t>
  </si>
  <si>
    <t>66302-11</t>
  </si>
  <si>
    <t>www.etvenergy.com</t>
  </si>
  <si>
    <t>Bar Ilan University</t>
  </si>
  <si>
    <t>Department of Chemistry</t>
  </si>
  <si>
    <t>The company was acquired by Ultracharge (ASX: UTR) for $200,000 on May 31, 2018. The company is no longer actively tracked by PitchBook.</t>
  </si>
  <si>
    <t>21Ventures, Quercus Trust</t>
  </si>
  <si>
    <t>21Ventures (www.21ventures.net), Quercus Trust (www.thequercustrust.com)</t>
  </si>
  <si>
    <t>28-אפר-2009</t>
  </si>
  <si>
    <t>31-מאי-2018</t>
  </si>
  <si>
    <t>Arrangements of heating, cooling, ventilating or other air-treating devices specially adapted for passenger or goods spaces of vehicles, Processes or means</t>
  </si>
  <si>
    <t>EV-Edge</t>
  </si>
  <si>
    <t>Provider of electric vehicle charging solutions for various settings and locations. The company's offerings include home, shared building, commercial, workplace, bus, and public parking charging stations, as well as customized solutions and a mobile app for locating available charging stations. EV-Edge also provides installation services and a selection of electric vehicle products and accessories.</t>
  </si>
  <si>
    <t>548325-64</t>
  </si>
  <si>
    <t>evedge.co.il</t>
  </si>
  <si>
    <t>http://www.linkedin.com/company/ev-edge</t>
  </si>
  <si>
    <t>2025: 24, 2026: 24</t>
  </si>
  <si>
    <t>Yigal Alon street 94</t>
  </si>
  <si>
    <t>4.38x</t>
  </si>
  <si>
    <t>5.76x</t>
  </si>
  <si>
    <t>10.05x</t>
  </si>
  <si>
    <t>1.48x</t>
  </si>
  <si>
    <t>EV-X Technologies</t>
  </si>
  <si>
    <t>Developer of an integrated automotive software suite designed specifically for electronic vehicles. The company's platform can integrate with any type of hardware and application and offers solutions for the challenge of lack of interchangeability and high replacement costs of different software components in digital vehicles, allowing clients to scale and shape their vehicles.</t>
  </si>
  <si>
    <t>auto technology, automotive industry, automotive industry service, automotive software, automotive software company, electronic vehicle, electronic vehicle software, software developer</t>
  </si>
  <si>
    <t>462129-85</t>
  </si>
  <si>
    <t>The company received an undisclosed amount of development capital from Focus Capital Group on January 1, 2021.</t>
  </si>
  <si>
    <t>Focus Capital Group (Israel)</t>
  </si>
  <si>
    <t>Focus Capital Group (Israel) (www.focuscap.com)</t>
  </si>
  <si>
    <t>01-ינו-2021</t>
  </si>
  <si>
    <t>29-ספט-2025</t>
  </si>
  <si>
    <t>EVmeter</t>
  </si>
  <si>
    <t>EVmeter Ltd.</t>
  </si>
  <si>
    <t>Manufacturer of EV charging and energy management system intended to quickly charge two vehicles at the same time. The company's system is based on a cloud-based management platform that is universal, flexible, and futureproof chargers with a backend for supervision, management, payments, and invoicing, enabling drivers, operators, and businesses to optimize, monetize, and grow their EV charging business.</t>
  </si>
  <si>
    <t>Consumer Durables</t>
  </si>
  <si>
    <t>Electronics (B2C)</t>
  </si>
  <si>
    <t>Electronics (B2C)*</t>
  </si>
  <si>
    <t>FinTech, Manufacturing</t>
  </si>
  <si>
    <t>cloud-based management, energy management, ev charging points, ev charging station, ev charging systems</t>
  </si>
  <si>
    <t>498131-29</t>
  </si>
  <si>
    <t>www.evmeter.com</t>
  </si>
  <si>
    <t>http://www.linkedin.com/company/evmeter</t>
  </si>
  <si>
    <t>304551-82P</t>
  </si>
  <si>
    <t>Omer Bubis</t>
  </si>
  <si>
    <t>omerb@evmeter.com</t>
  </si>
  <si>
    <t>Raoul Wallenberg Street 18</t>
  </si>
  <si>
    <t>info@evmeter.com</t>
  </si>
  <si>
    <t>EVolution (israel)</t>
  </si>
  <si>
    <t>EVolution BMS Ltd.</t>
  </si>
  <si>
    <t>Developer and manufacturer of electronic vehicle battery management systems based in Israel. The company specializes in developing cell-level, dynamic battery power management solutions on-chip and redefining EV battery performance, thereby helping users with cell cost reduction, significant faster charging and long battery life.</t>
  </si>
  <si>
    <t>battery management system, battery management system developer, battery power management solutions, ev battery, ev battery developer, ev power management</t>
  </si>
  <si>
    <t>489780-55</t>
  </si>
  <si>
    <t>www.ev-olution.co</t>
  </si>
  <si>
    <t>287229-79P</t>
  </si>
  <si>
    <t>Alon Medina</t>
  </si>
  <si>
    <t>Founder and Chief Executive Officer</t>
  </si>
  <si>
    <t>Biohouse 1 Kiriat Hadassah</t>
  </si>
  <si>
    <t>Hadassah Ein Karem</t>
  </si>
  <si>
    <t>28-אוק-2024</t>
  </si>
  <si>
    <t>eVoway</t>
  </si>
  <si>
    <t>Designer and manufacturer of electric mobility solutions designed for dense urban space. The company's two-wheeled electric vehicle is small which steers by two handlebars that serve as a steering mechanism and folds into a trolley that is easy to roll beside the user, enabling individuals to enjoy a riding experience with the capability and comfort to carry and store the vehicle anywhere with ease.</t>
  </si>
  <si>
    <t>Automotive*, Other Transportation</t>
  </si>
  <si>
    <t>CleanTech, Manufacturing</t>
  </si>
  <si>
    <t>electric mobility solutions, electric vehicle, electric vehicle motor, folding cycle, folding mobility, mobility solutions developer</t>
  </si>
  <si>
    <t>462168-19</t>
  </si>
  <si>
    <t>www.evoway.com</t>
  </si>
  <si>
    <t>Ahad Ha'Am Street</t>
  </si>
  <si>
    <t>Cycles</t>
  </si>
  <si>
    <t>evPower.ai</t>
  </si>
  <si>
    <t>evPower.ai Ltd.</t>
  </si>
  <si>
    <t>Developer of artificial intelligence-powered energy management software designed to optimize public electric vehicle charging networks. The company's platform provides intelligent load management, dynamic pricing optimization, real-time monitoring and analytics, predictive site simulation, and seamless integration with existing charge point management systems, enabling charge point operators to increase charging speeds, maximize charger capacity, and enhance operational efficiency without system replacement or downtime.</t>
  </si>
  <si>
    <t>Business/Productivity Software*, Electric Utilities</t>
  </si>
  <si>
    <t>Artificial Intelligence &amp; Machine Learning, CleanTech, SaaS</t>
  </si>
  <si>
    <t>charging technology, cloud platform, electric vehicle charging, energy asset, energy management, energy optimization, ev charging management, ev technology, power optimization, smart charging</t>
  </si>
  <si>
    <t>898499-26</t>
  </si>
  <si>
    <t>www.evpower.ai</t>
  </si>
  <si>
    <t>http://www.linkedin.com/company/evpowerai</t>
  </si>
  <si>
    <t>476344-36P</t>
  </si>
  <si>
    <t>Oori Shalev</t>
  </si>
  <si>
    <t>Klil, Israel</t>
  </si>
  <si>
    <t>Klil</t>
  </si>
  <si>
    <t>The company raised an undisclosed amount of venture funding from Good Company in 2025. Concurrently, the company joined HiCenter in 2025. No equity or funding was exchanged as a result of this program.</t>
  </si>
  <si>
    <t>Good Company (Israel), HiCenter</t>
  </si>
  <si>
    <t>Good Company (Israel) (www.gc-vc.com), HiCenter (www.hicenter.co.il)</t>
  </si>
  <si>
    <t>1.38x</t>
  </si>
  <si>
    <t>30-דצמ-2025</t>
  </si>
  <si>
    <t>Exact Transportation Solutions</t>
  </si>
  <si>
    <t>Exact Transportation Solutions Ltd</t>
  </si>
  <si>
    <t>Consulting firm focused on improving public transportation through technology and guidance. Offers services in planning, operation, and technology, including experience with the Ministry of Transportation and light rail operators. Specializes in electric public transportation, policy-making, and project management.</t>
  </si>
  <si>
    <t>data analysis, electric buses operations, fleet management, operations managment, public transportation, public transportation technology, real time operations solutions, smart mobility, transportation consulting</t>
  </si>
  <si>
    <t>541941-31</t>
  </si>
  <si>
    <t>exact-ts.com</t>
  </si>
  <si>
    <t>http://www.linkedin.com/company/exact-transportation-solutions-ltd</t>
  </si>
  <si>
    <t>0.87x</t>
  </si>
  <si>
    <t>0.36x</t>
  </si>
  <si>
    <t>0.67x</t>
  </si>
  <si>
    <t>Expera (Automotive)</t>
  </si>
  <si>
    <t>Xpera Sr. Ltd.</t>
  </si>
  <si>
    <t>Operator of an online platform intended to connect vehicle owners, mechanics, and auto repair shops. The company's AI-based platform offers a wide range of services including vehicle services, insurance, marketing, and team management, enabling customers to connect with the right mechanic under full warranty for service quality.</t>
  </si>
  <si>
    <t>ai platform, automotive service, insurance service, online platform, online site, vehicle servicing</t>
  </si>
  <si>
    <t>470628-28</t>
  </si>
  <si>
    <t>experahub.com</t>
  </si>
  <si>
    <t>2021: 5, 2022: 3</t>
  </si>
  <si>
    <t>The company is no longer actively in business as of May 6, 2022. The company is no longer tracked by PitchBook.</t>
  </si>
  <si>
    <t>3PEL.ventures</t>
  </si>
  <si>
    <t>3PEL.ventures (www.3pel.com)</t>
  </si>
  <si>
    <t>05-יונ-2022</t>
  </si>
  <si>
    <t>Extra Public Transportation</t>
  </si>
  <si>
    <t>Extra Public Transportation Ltd</t>
  </si>
  <si>
    <t>Operator of public transportation company based in Tel Aviv, Israel.</t>
  </si>
  <si>
    <t>Other Transportation, Road*</t>
  </si>
  <si>
    <t>bus service, bus service company, bus service operator, bus service provider, public transport system, public transportation operator</t>
  </si>
  <si>
    <t>490084-21</t>
  </si>
  <si>
    <t>Derech Menachem Begin 13</t>
  </si>
  <si>
    <t>The company received NIS 500 million of financing from Bank Leumi le-Israel on July 12, 2021. The investment will help the company in the establishment and operation of bus service operations in the area of the city of Netanya.</t>
  </si>
  <si>
    <t>Bank Leumi le-Israel</t>
  </si>
  <si>
    <t>Gornitzky &amp; Company(Legal Advisor)</t>
  </si>
  <si>
    <t>12-יול-2021</t>
  </si>
  <si>
    <t>EyeWay.io</t>
  </si>
  <si>
    <t>The company primarily operates in the Automotive industry. EyeWay.io is headquartered in Tel Aviv, Israel.</t>
  </si>
  <si>
    <t>548030-71</t>
  </si>
  <si>
    <t>eyeway.io</t>
  </si>
  <si>
    <t>http://www.linkedin.com/company/eyeway-io</t>
  </si>
  <si>
    <t>St</t>
  </si>
  <si>
    <t>Israel 5</t>
  </si>
  <si>
    <t>5.70x</t>
  </si>
  <si>
    <t>EZ Fleet</t>
  </si>
  <si>
    <t>Provider of fleet management technology solutions intended to facilitate the integration of electric vehicles and advanced technologies. The company offers the EZFLEET system, serving fleet operators and logistics companies. The system includes features for maintenance support, data analytics, routing capabilities, and real-time tracking for fleet operations, enhancing efficiency and performance across the industry.</t>
  </si>
  <si>
    <t>IT Services</t>
  </si>
  <si>
    <t>IT Consulting and Outsourcing</t>
  </si>
  <si>
    <t>IT Consulting and Outsourcing*</t>
  </si>
  <si>
    <t>1082705-68</t>
  </si>
  <si>
    <t>ezfleet.energy</t>
  </si>
  <si>
    <t>http://www.linkedin.com/company/ez-fleet-ev</t>
  </si>
  <si>
    <t>12954-903</t>
  </si>
  <si>
    <t>EZRaider Global (PINX: EZRG)</t>
  </si>
  <si>
    <t>EZRAIDER Global, Inc.</t>
  </si>
  <si>
    <t>EZRaider Co engages in providing manned tactical electric vehicles. Its products include EZRaider LW, EZRaider HD2, EZRaider HD4, and EZRaider E Cart HD.</t>
  </si>
  <si>
    <t>CleanTech, Climate Tech, Manufacturing, Mobility Tech</t>
  </si>
  <si>
    <t>all terrain vehicle, autonomous vehicle, consumer battery electric vehicle, electric mobility platform, electric mobility vehicles, electric vehicle, electric vehicle unit, electrical mobility vehicles, lidar technology</t>
  </si>
  <si>
    <t>458541-91</t>
  </si>
  <si>
    <t>Private Equity, Publicly Listed, Venture Capital</t>
  </si>
  <si>
    <t>www.ezraider.com</t>
  </si>
  <si>
    <t>http://www.linkedin.com/company/ezraider</t>
  </si>
  <si>
    <t>2021: 6</t>
  </si>
  <si>
    <t>PINX</t>
  </si>
  <si>
    <t>EZRG</t>
  </si>
  <si>
    <t>TTM 1Q2022</t>
  </si>
  <si>
    <t>250116-49P</t>
  </si>
  <si>
    <t>Atir Yeda 15</t>
  </si>
  <si>
    <t>info@ezraider.com</t>
  </si>
  <si>
    <t>The company (PINX: EZRG) received $880,000 of development capital from undisclosed investors on June 10, 2022, through a private placement. Additionally, the company (PINX: EWST) received $1.32 million of development capital from undisclosed investors on October 5, 2021, through a private placement.</t>
  </si>
  <si>
    <t>E-Waste, Global Emerging Markets</t>
  </si>
  <si>
    <t>E-Waste (www.e-waste-corp.com), Global Emerging Markets (www.gemny.com)</t>
  </si>
  <si>
    <t>The Crone Law Group(Legal Advisor)</t>
  </si>
  <si>
    <t>11-ינו-2021</t>
  </si>
  <si>
    <t>10-יונ-2022</t>
  </si>
  <si>
    <t>8.39x</t>
  </si>
  <si>
    <t>Computing arrangements based on specific computational models, Cycles, Propulsion of electrically-propelled vehicles, Vehicle suspension arrangements, Vehicle wheels</t>
  </si>
  <si>
    <t>F.N.Aviation</t>
  </si>
  <si>
    <t>Developer of aviation and military technology solutions designed to enhance defense capabilities and operational effectiveness. The company provides advanced armor, materials, and integrated systems for military vehicles and aircraft, enabling clients to improve safety and efficiency through innovative research and international collaboration.</t>
  </si>
  <si>
    <t>1269133-30</t>
  </si>
  <si>
    <t>fnaviation.co.il</t>
  </si>
  <si>
    <t>http://www.linkedin.com/company/f-n-aviation</t>
  </si>
  <si>
    <t>Herzliyya, Israel</t>
  </si>
  <si>
    <t>Herzliyya</t>
  </si>
  <si>
    <t>31-ינו-2026</t>
  </si>
  <si>
    <t>Feldtruck</t>
  </si>
  <si>
    <t>Feldtruck Ltd</t>
  </si>
  <si>
    <t>Distributor of various trucks and vehicles in Israel. The company is engaged in the import and distribution of trucks, buses, equipment for earthworks and quarries, farming equipment and diesel engines.</t>
  </si>
  <si>
    <t>truck distributor, vehicle distributor, vehicle seller</t>
  </si>
  <si>
    <t>169358-59</t>
  </si>
  <si>
    <t>38 Habana - 000</t>
  </si>
  <si>
    <t>The company was acquired by Mediterranean Car Agency for NIS 25 million in December 2012. The company is no longer actively tracked by PitchBook.</t>
  </si>
  <si>
    <t>Mediterranean Car Agency</t>
  </si>
  <si>
    <t>01-דצמ-2012</t>
  </si>
  <si>
    <t>Fleetonomy</t>
  </si>
  <si>
    <t>Fleetonomy Ltd</t>
  </si>
  <si>
    <t>Bestmile, Autofleet</t>
  </si>
  <si>
    <t>Developer of an online end-to-end fleet management platform designed to assist fleet operators in making strategic decisions to maximize inventory management. The company's platform plans, and optimizes fleets of autonomous vehicles to maximize fleet operation efficiency, reduce operational costs, and create new revenue streams based on new smart mobility services, enabling vehicle fleets and other logistical enterprises to improve operating and smart mobility services.</t>
  </si>
  <si>
    <t>Autonomous cars, Mobility Tech, SaaS, TMT</t>
  </si>
  <si>
    <t>autonomous driving, car fleet management, fleet control, fleet management, fleet platform, mobility tech, ridesharing service, smart mobility</t>
  </si>
  <si>
    <t>183369-07</t>
  </si>
  <si>
    <t>www.fleetonomy.io</t>
  </si>
  <si>
    <t>2019: 25, 2020: 15</t>
  </si>
  <si>
    <t>Street 7</t>
  </si>
  <si>
    <t>Totseret Ha-Arets</t>
  </si>
  <si>
    <t>The company was acquired by Via for an undisclosed amount in October 2020. The company is no longer actively tracked by PitchBook.</t>
  </si>
  <si>
    <t>Via Transportation</t>
  </si>
  <si>
    <t>Drive TLV, ICON (Other Commercial Services), Kardan Water International Group, Microsoft for Startups, Plug and Play Tech Center, Porsche Ventures, Startup Autobahn, TA Ventures, VectoIQ, Vertex Ventures Israel</t>
  </si>
  <si>
    <t>Drive TLV (www.drivetlv.com/fastlane), ICON (Other Commercial Services) (www.iconsv.org), Microsoft for Startups (startups.microsoft.com), Plug and Play Tech Center (www.plugandplaytechcenter.com), Porsche Ventures (www.porsche.ventures), Startup Autobahn (www.startup-autobahn.com), TA Ventures (taventures.vc), VectoIQ (www.vectoiq.com), Vertex Ventures Israel (www.vertexventures.co.il)</t>
  </si>
  <si>
    <t>01-אוק-2020</t>
  </si>
  <si>
    <t>17-מרץ-2025</t>
  </si>
  <si>
    <t>01-פבר-2017</t>
  </si>
  <si>
    <t>Flyvercity</t>
  </si>
  <si>
    <t>Flyvercity Ltd</t>
  </si>
  <si>
    <t>Provider of unmanned traffic management services intended to offer dense drone operations in urban and suburban areas. The company's services include aerial connection services, tracking and N-RID, navigation services, and tactical deconfliction, enabling drone operators, UTM services suppliers, mobile network operators, and authorities to get services.</t>
  </si>
  <si>
    <t>Aerospace and Defense, Automotive, Electronic Equipment and Instruments, Other Commercial Services*</t>
  </si>
  <si>
    <t>Internet of Things, Robotics and Drones</t>
  </si>
  <si>
    <t>connection services, drones operations, navigation services, unmanned traffic management, utm management, utm tracking</t>
  </si>
  <si>
    <t>528116-68</t>
  </si>
  <si>
    <t>www.flyvercity.com</t>
  </si>
  <si>
    <t>http://www.linkedin.com/company/flyvercity</t>
  </si>
  <si>
    <t>2023: 2, 2025: 2</t>
  </si>
  <si>
    <t>348382-18P</t>
  </si>
  <si>
    <t>Andrey Potapov</t>
  </si>
  <si>
    <t>apotapov@flyvercity.com</t>
  </si>
  <si>
    <t>Ha-Shiv'a Street</t>
  </si>
  <si>
    <t>info@flyver.city</t>
  </si>
  <si>
    <t>The company joined Starburst on an undisclosed date.</t>
  </si>
  <si>
    <t>Alchemist Accelerator, IoT-NGIN, Starburst (Accelerator/Incubator)</t>
  </si>
  <si>
    <t>Alchemist Accelerator (www.alchemistaccelerator.com), IoT-NGIN (www.iot-ngin.eu), Starburst (Accelerator/Incubator) (www.starburst.aero)</t>
  </si>
  <si>
    <t>27-דצמ-2022</t>
  </si>
  <si>
    <t>0.39x</t>
  </si>
  <si>
    <t>12-ספט-2025</t>
  </si>
  <si>
    <t>Foresight Autonomous Holdings (TAE: FRSX)</t>
  </si>
  <si>
    <t>Asia Development E D B M</t>
  </si>
  <si>
    <t>Foresight</t>
  </si>
  <si>
    <t>Foresight Autonomous Holdings Ltd.</t>
  </si>
  <si>
    <t>TASS International, Innoviz Technologies</t>
  </si>
  <si>
    <t>Foresight Autonomous Holdings Ltd is a technology company engaged in the design, development and commercialization of vision systems for the automotive industry. The company develops both in-line-of-sight vision systems and beyond-line-of-sight cellular-based applications through its wholly-owned subsidiaries. Its systems are designed to improve driving safety by enabling accurate and reliable threat detection while ensuring the lowest rates of false alerts. Foresight is pursuing several markets and believes its modern systems will revolutionize automotive safety by providing an automotive-grade, cost-effective platform.</t>
  </si>
  <si>
    <t>Automation/Workflow Software</t>
  </si>
  <si>
    <t>Automation/Workflow Software*, Road</t>
  </si>
  <si>
    <t>Autonomous cars, Mobility Tech, TMT</t>
  </si>
  <si>
    <t>3d images technology, automotive vision, autonomous driving, autonomous vehicles, drivers assistance, mobility tech, proprietary stereoscopic technology, quad camera vision systems, safety assistant systems, thermal imaging, v2x communication technology</t>
  </si>
  <si>
    <t>165530-08</t>
  </si>
  <si>
    <t>www.foresightauto.com</t>
  </si>
  <si>
    <t>http://www.linkedin.com/company/foresight-automotive</t>
  </si>
  <si>
    <t>2016: 10, 2017: 43, 2018: 50, 2019: 70, 2020: 64, 2021: 73, 2022: 64, 2023: 81, 2024: 72</t>
  </si>
  <si>
    <t>FRSX</t>
  </si>
  <si>
    <t>News (New), Filing (New)</t>
  </si>
  <si>
    <t>Co-Chief Executive Officer &amp; Chairman</t>
  </si>
  <si>
    <t>7 Golda Meir Street</t>
  </si>
  <si>
    <t>The company (TAE:FRSX) received approximately $4.5 million of development capital from undisclosed investors on December 11, 2023 through a private placement. The Company intends to use the net proceeds of this offering for working capital and other general corporate purposes.</t>
  </si>
  <si>
    <t>Alpha Value Management, Dayan family, Harel Insurance Investments &amp; Financial Services, Meitav Dash Group, Psagot Investment House</t>
  </si>
  <si>
    <t>Ionic Ventures</t>
  </si>
  <si>
    <t>Alpha Value Management (www.alphavaluemanagementltd.com), Harel Insurance Investments &amp; Financial Services (pr.harel-group.co.il), Meitav Dash Group (www.en.meitavdash.co.il), Psagot Investment House (www.psagot.co.il)</t>
  </si>
  <si>
    <t>Ionic Ventures (www.ionicventures.com)</t>
  </si>
  <si>
    <t>14-מאי-1987</t>
  </si>
  <si>
    <t>11-דצמ-2023</t>
  </si>
  <si>
    <t>25.65x</t>
  </si>
  <si>
    <t>Graphical data reading, Image data processing or generation, in general, Optical elements, systems or apparatus, Pictorial communication, Traffic control systems</t>
  </si>
  <si>
    <t>Freightos (NAS: CRGO)</t>
  </si>
  <si>
    <t>Freightos Limited</t>
  </si>
  <si>
    <t>Cogoport, GoComet, Freightview, Saloodo!, GlobalTranz Enterprises, Transfix, Shippabo, Cargo.one, Cargomatic, WiseTech Global, Beacon, Loadsmart, TraceLink, Air Freight Bazaar, Commerce.com, e-CARGOWARE, Flock Freight, Riege Software, Magaya, Dakosy, Traffic Tech, Uber Freight, project44, Zencargo, Portrix Logistics Software, Sennder, Expeditors International of Washington, Flexe, R&amp;L Global Logistics, Cargonexx, Shipa, Con-linq, Pilot - A Maersk Company, Kühne + Nagel ČR, FourKites, InstaFreight (Logistics), AIT Worldwide Logistics, CargoSprint, Kerry Logistics Network, SEKO Logistics, Flexport, Controlpay, Kuehne + Nagel, SeaRates, Convoy Platform, Aeronet Worldwide, BNSF Logistics, GT Nexus, MercuryGate International</t>
  </si>
  <si>
    <t>Freightos Ltd operates as a vendor-neutral booking and payment platform for international freight. Its platform supports supply chain efficiency and agility by enabling real-time procurement of ocean and air shipping across more than ten thousand importers/exporters. forwarders, and dozens of airlines and ocean carriers. WebCargo by Freightos is a freight platform connecting carriers and forwarders in particular an air cargo eBooking platform. Freightos.com is a digital international freight marketplace for importers and exporters for instant pricing, booking, and shipment management. The company operates in two segments-Platform segment and Solutions segment. Geographically, the company operates in Europe, Hong Kong, United States which is majority revenue generator and others.</t>
  </si>
  <si>
    <t>Business/Productivity Software, Logistics*, Media and Information Services (B2B)</t>
  </si>
  <si>
    <t>freight marketplace, logistics unit, online shipment management, quotation system, shipping company, supply chain management, supply chain tech</t>
  </si>
  <si>
    <t>61959-97</t>
  </si>
  <si>
    <t>www.freightos.com</t>
  </si>
  <si>
    <t>http://www.linkedin.com/company/freightos</t>
  </si>
  <si>
    <t>2014: 25, 2015: 90, 2016: 140, 2017: 150, 2018: 168, 2019: 163, 2020: 173, 2021: 181, 2022: 358, 2023: 350, 2024: 378</t>
  </si>
  <si>
    <t>CRGO</t>
  </si>
  <si>
    <t>53456-23P</t>
  </si>
  <si>
    <t>Zvi Schreiber</t>
  </si>
  <si>
    <t>Chief Executive Officer &amp; Chairman</t>
  </si>
  <si>
    <t>zvi@freightos.com</t>
  </si>
  <si>
    <t>Malcha Technology Park Building 2</t>
  </si>
  <si>
    <t>Agudat Sport Hapoel 1</t>
  </si>
  <si>
    <t>The company acquired Gesher I Acquisition through a reverse merger, resulting in the combined entity trading on the NASDAQ under the ticker symbol CRGO on January 26, 2023.</t>
  </si>
  <si>
    <t>Composite Analysis Group, Gesher I Acquisition, IAGi Ventures, MandG Investment Managers, Qatar Airways Group</t>
  </si>
  <si>
    <t>Aleph (Israel), Annox Capital, Chaim Meir Tessler, Climate First, Cukierman &amp; Co. Investment House, General Electric Ventures, Gold Lion Holdings, Google for Startups, High House Investment, Master (HK) Toys, MoreVC, MSR Capital, Noah Pickholtz, OurCrowd, Sadara Ventures, Saints Capital, Singapore Exchange, Wolfpack Ventures</t>
  </si>
  <si>
    <t>Composite Analysis Group (lipseywater.com), Gesher I Acquisition (www.gesherspac.com), IAGi Ventures (www.iaginnovation.com), MandG Investment Managers (www.mandg.co.za), Qatar Airways Group (www.qatarairways.com)</t>
  </si>
  <si>
    <t>Aleph (Israel) (www.aleph.vc), Annox Capital (www.annoxcapital.com), Climate First (climatefirst.vc), Cukierman &amp; Co. Investment House (www.cukierman.co.il), General Electric Ventures (www.geventures.com), Google for Startups (startup.google.com), High House Investment (high-house.vc), MoreVC (www.morevc.com), MSR Capital (msrcapital.com), OurCrowd (www.ourcrowd.com), Sadara Ventures (www.sadaravc.com), Saints Capital (www.saintscapital.com), Singapore Exchange (www.sgx.com), Wolfpack Ventures (www.wolfpackventures.com)</t>
  </si>
  <si>
    <t>Conyers Dill &amp; Pearman(Legal Advisor), DLA Piper(Legal Advisor), Gunderson Dettmer(Legal Advisor), Oppenheimer &amp; Company(Advisor: General), OurCrowd(Lead Manager or Arranger)</t>
  </si>
  <si>
    <t>13-נוב-2012</t>
  </si>
  <si>
    <t>26-ינו-2023</t>
  </si>
  <si>
    <t>277.73x</t>
  </si>
  <si>
    <t>409.85x</t>
  </si>
  <si>
    <t>145.61x</t>
  </si>
  <si>
    <t>Gasngo</t>
  </si>
  <si>
    <t>Gasngo LTD</t>
  </si>
  <si>
    <t>Provider of fleet monitoring and control solutions intended to serve an automotive fleet market. The company's solutions utilize advanced technology for fleet management and fuel control to fleet owners, vehicles, and stations, enabling fleet managers to view and control their fleet activity, transactions, and maintenance online and in real-time.</t>
  </si>
  <si>
    <t>Business/Productivity Software*, Other Hardware, Road</t>
  </si>
  <si>
    <t>fleet control, fleet control system, fleet management, fleet management system, fleet monitoring, fleet monitoring system, fuel control</t>
  </si>
  <si>
    <t>458729-38</t>
  </si>
  <si>
    <t>www.gasngo.com</t>
  </si>
  <si>
    <t>http://www.linkedin.com/company/gasngo-mexico-sapi-de-cv</t>
  </si>
  <si>
    <t>250490-17P</t>
  </si>
  <si>
    <t>Lior Yehoshua</t>
  </si>
  <si>
    <t>Chief Executive Officer and Vice President, Research and Development</t>
  </si>
  <si>
    <t>liory@gasngo.com</t>
  </si>
  <si>
    <t>Kiryat Atidim building 7 entrance 1</t>
  </si>
  <si>
    <t>BM Holdings and LAIG Investments sold their stakes in the company to undisclosed buyers in May 2021.</t>
  </si>
  <si>
    <t>BM Holdings, LAIG Investments</t>
  </si>
  <si>
    <t>BM Holdings (www.bmhold.com), LAIG Investments (www.laiginvest.com)</t>
  </si>
  <si>
    <t>01-מאי-2013</t>
  </si>
  <si>
    <t>Genesis Motors Israel</t>
  </si>
  <si>
    <t>The company primarily operates in the Automotive industry. Genesis Motors Israel was founded in 2021 and is headquartered in Herzliya, Israel.</t>
  </si>
  <si>
    <t>548411-95</t>
  </si>
  <si>
    <t>genesis.co.il</t>
  </si>
  <si>
    <t>http://www.linkedin.com/company/genesis-motors-israel</t>
  </si>
  <si>
    <t>Arie Shenkar 7</t>
  </si>
  <si>
    <t>11.19x</t>
  </si>
  <si>
    <t>20.86x</t>
  </si>
  <si>
    <t>GetBus Transportation</t>
  </si>
  <si>
    <t>GetBus</t>
  </si>
  <si>
    <t>GetBus Transportation Ltd.</t>
  </si>
  <si>
    <t>Developer of an online bus booking platform. The company's platform enables individuals, institutions, travel agents and event organisers to get a quote by entering the details of their plan and book buses, entirely online.</t>
  </si>
  <si>
    <t>bus booking, bus booking platform, bus ticket booking, bus ticketing, bus ticketing booking, bus ticketing books, bus ticketing platform</t>
  </si>
  <si>
    <t>126073-27</t>
  </si>
  <si>
    <t>www.get-bus.co.il</t>
  </si>
  <si>
    <t>Shlomtsiyon HaMalka Street 13</t>
  </si>
  <si>
    <t>Hamovil Jack Yulzari, Shasha Tours</t>
  </si>
  <si>
    <t>GeTruck</t>
  </si>
  <si>
    <t>GeTruck Ltd</t>
  </si>
  <si>
    <t>Developer of a data-driven supply chain management platform designed to lower shipping costs. The company's platform offers automation of shipment processes, route planning tools, digital documentation, a marketplace for shippers and carriers, and real-time tracking, enabling clients to save time and money and maximize truck utilization.</t>
  </si>
  <si>
    <t>Artificial Intelligence &amp; Machine Learning, Mobility Tech, SaaS, Supply Chain Tech</t>
  </si>
  <si>
    <t>artificial intelligence based, process automation platform, road transport, shipment process, shipping cost management, supply chain</t>
  </si>
  <si>
    <t>493998-76</t>
  </si>
  <si>
    <t>www.getruck.co</t>
  </si>
  <si>
    <t>http://www.linkedin.com/company/getruck-ltd</t>
  </si>
  <si>
    <t>2022: 18, 2024: 15</t>
  </si>
  <si>
    <t>295744-06P</t>
  </si>
  <si>
    <t>Rom Grinfeld</t>
  </si>
  <si>
    <t>rom@getruck.co</t>
  </si>
  <si>
    <t>Yehuda Hamaccabi Street 41</t>
  </si>
  <si>
    <t>office@getruck.co</t>
  </si>
  <si>
    <t>The company raised ILS 500,000 of funding from Hub Quantum, HLabs and Avi Goldfinger on March 22, 2022. Avi Tsur and Omri Meliches and another undisclosed investors also participated in the round.</t>
  </si>
  <si>
    <t>Avi Goldfinger, Avi Tsur, HLabs., Hub Quantum, IDCX, Mamram Space, Omri Meliches</t>
  </si>
  <si>
    <t>IDCX (www.idcxaccelerator.com), Mamram Space (www.mamram.space)</t>
  </si>
  <si>
    <t>Pipelbiz(Advisor: General)</t>
  </si>
  <si>
    <t>22-מרץ-2022</t>
  </si>
  <si>
    <t>Gil-Car Systems</t>
  </si>
  <si>
    <t>Gil-Kar Systems (98) Ltd.</t>
  </si>
  <si>
    <t>Distributor of advanced systems and accessories intended for the automotive industry. The company offers advanced multimedia and navigation systems, communication, protection, comfort, and transportation products along with services including marketing, distribution, assembly, and installation of automobile security systems, ensuring easy importing and marketing of parts.</t>
  </si>
  <si>
    <t>Distributors/Wholesale*, Road</t>
  </si>
  <si>
    <t>auto spare parts, automotive accessories, automotive parts, automotive safety system, automotive security system, car entertainment system, car maintenance, car music system</t>
  </si>
  <si>
    <t>227958-49</t>
  </si>
  <si>
    <t>www.gil-car.co.il</t>
  </si>
  <si>
    <t>http://www.linkedin.com/company/gil-car</t>
  </si>
  <si>
    <t>53602-30P</t>
  </si>
  <si>
    <t>Gilad Shavit</t>
  </si>
  <si>
    <t>gilads@kedma-capital.com</t>
  </si>
  <si>
    <t>2 Nirim Street</t>
  </si>
  <si>
    <t>Gil-Carr House</t>
  </si>
  <si>
    <t>info@gil-car.co.il</t>
  </si>
  <si>
    <t>The company was acquired for an undisclosed amount in approximately December 2024. Previously, the company was acquired by Kedma Capital through an LBO in 2017 for an undisclosed amount.</t>
  </si>
  <si>
    <t>Kedma Capital</t>
  </si>
  <si>
    <t>Kedma Capital (www.kedma-capital.com)</t>
  </si>
  <si>
    <t>06-אוק-2025</t>
  </si>
  <si>
    <t>Global Automax (TAE: AMX)</t>
  </si>
  <si>
    <t>Automax Motors Ltd.</t>
  </si>
  <si>
    <t>Automax Motors Ltd is engaged in indirect import and marketing of vehicles.</t>
  </si>
  <si>
    <t>car import, car import and retail, car importer, import services provider, vehicle import services, vehicle importer</t>
  </si>
  <si>
    <t>439845-31</t>
  </si>
  <si>
    <t>www.automax.co.il</t>
  </si>
  <si>
    <t>http://www.linkedin.com/company/global-automax</t>
  </si>
  <si>
    <t>2021: 63, 2022: 126, 2023: 71, 2024: 72</t>
  </si>
  <si>
    <t>AMX</t>
  </si>
  <si>
    <t>SciSparc</t>
  </si>
  <si>
    <t>242255-17P</t>
  </si>
  <si>
    <t>Ynon Amit</t>
  </si>
  <si>
    <t>Managing Director</t>
  </si>
  <si>
    <t>yamit@automax.co.il</t>
  </si>
  <si>
    <t>Eliyahu Eitan 8</t>
  </si>
  <si>
    <t>info@automax.co.il</t>
  </si>
  <si>
    <t>The company was acquired by SciSparc (NAS: SPRC) for an undisclosed amount on March 31, 2025.</t>
  </si>
  <si>
    <t>Matomy Media Group</t>
  </si>
  <si>
    <t>Matomy Media Group (www.matomy.com)</t>
  </si>
  <si>
    <t>24-מרץ-2021</t>
  </si>
  <si>
    <t>31-מרץ-2025</t>
  </si>
  <si>
    <t>18-ספט-2025</t>
  </si>
  <si>
    <t>Machines, devices, or processes for grinding or polishing, Pistons(specially adapted for dampers f16f9/32)</t>
  </si>
  <si>
    <t>Gnrgy Ltd.</t>
  </si>
  <si>
    <t>Provider of eMobility charging services based in Ramat Gan, Israel. The company offers public charge spots, home chargers with RFID scanners, mobile applications for navigation purposes and professional training, enabling its customers to be provided with low-maintenance electric vehicle charging solutions.</t>
  </si>
  <si>
    <t>Automotive*, Electrical Equipment, Other Energy Services</t>
  </si>
  <si>
    <t>charging services, charging services provider, charging solutions, ev charging, ev charging solution, grid management, private charging station, public charging network</t>
  </si>
  <si>
    <t>458446-33</t>
  </si>
  <si>
    <t>www.gnrgy.com</t>
  </si>
  <si>
    <t>http://www.linkedin.com/company/gnrgy</t>
  </si>
  <si>
    <t>2021: 60, 2025: 21</t>
  </si>
  <si>
    <t>249959-08P</t>
  </si>
  <si>
    <t>ran@gnrgy.com</t>
  </si>
  <si>
    <t>Giv'atayim, Israel</t>
  </si>
  <si>
    <t>Derech Yitshak Rabin 33</t>
  </si>
  <si>
    <t>Giv'atayim</t>
  </si>
  <si>
    <t>The company, a subsidiary of OPC Energy was acquired by Freesbe (TAE: CRSM) for ILS 20 million on August 29, 2024.</t>
  </si>
  <si>
    <t>OPC Energy</t>
  </si>
  <si>
    <t>OPC Energy (www.opc-energy.com)</t>
  </si>
  <si>
    <t>01-אפר-2021</t>
  </si>
  <si>
    <t>29-אוג-2024</t>
  </si>
  <si>
    <t>29-אוג-2025</t>
  </si>
  <si>
    <t>GoTo (Automotive)</t>
  </si>
  <si>
    <t>Car2Go, Car2Go Israel</t>
  </si>
  <si>
    <t>Car Sharing Services Malta Ltd</t>
  </si>
  <si>
    <t>Developer of an online ride-hailing platform designed for shared mobility and vehicle subscription services. The company's platform offers a range of vehicles and ensures convenient, transparent and enhanced service, enabling passengers to get a convenient network of transportation.</t>
  </si>
  <si>
    <t>Application Software, Automotive*, Other Transportation</t>
  </si>
  <si>
    <t>Mobile, Mobile Commerce, Mobility Tech, Ridesharing</t>
  </si>
  <si>
    <t>bus booking, cab sharing, car rides, mobile application, mobility as a service, online car booking, public mobility solutions, rental car</t>
  </si>
  <si>
    <t>279646-21</t>
  </si>
  <si>
    <t>www.gotoglobal.com</t>
  </si>
  <si>
    <t>http://www.linkedin.com/company/gotomobility</t>
  </si>
  <si>
    <t>2020: 160, 2021: 79, 2022: 89</t>
  </si>
  <si>
    <t>209802-07P</t>
  </si>
  <si>
    <t>Tomer Geller</t>
  </si>
  <si>
    <t>tomerg@gotoglobal.com</t>
  </si>
  <si>
    <t>Lincoln Street 20</t>
  </si>
  <si>
    <t>The company was rumored to be acquired by Grab Holdings (NASDAQ: GRAB) for an undisclosed amount on February 4, 2025. Subsequently, the deal was cancelled as of June 9, 2025. Previously, the company raised an undisclosed amount of venture funding from Astara on March 2, 2022.</t>
  </si>
  <si>
    <t>Nara Media</t>
  </si>
  <si>
    <t>166 2nd Financial Services, Astara, BonVenture, DBSI Investments, DQuadrat Equity Partner, IBB Ventures, Nazare Capital Management, Shagrir Systems, SoftBank Investment Advisers, SXM Global, Talcar Group</t>
  </si>
  <si>
    <t>Nara Media (www.naramedia.com)</t>
  </si>
  <si>
    <t>Astara (www.astara.com), BonVenture (www.bonventure.de), IBB Ventures (www.ibbventures.de), Shagrir Systems (www.shagrir.co.il), SoftBank Investment Advisers (visionfund.com)</t>
  </si>
  <si>
    <t>Epstein Rosenblum Maoz (ERM)(Legal Advisor), Furth, Wilensky, Mizrachi, Knaani(Legal Advisor), Pava(Advisor: General)</t>
  </si>
  <si>
    <t>09-יונ-2025</t>
  </si>
  <si>
    <t>15-יול-2020</t>
  </si>
  <si>
    <t>06-אוג-2025</t>
  </si>
  <si>
    <t>14-פבר-2021</t>
  </si>
  <si>
    <t>GoTrack</t>
  </si>
  <si>
    <t>GOtrack Ltd.</t>
  </si>
  <si>
    <t>Developer of an Artificial Intelligence powered transportation logistics platform designed to optimize supply and demand in ground transportation. The platform connects independent and gig-economy drivers with vehicles and companies in real time, enabling on-demand transportation services such as driver-only, vehicle rental, or full delivery service. It allows users to operate as both suppliers and customers, supports the management of subcontractors, and provides self-employed drivers with tools to manage their business operations. Combining SaaS infrastructure with a dynamic marketplace, the platform addresses the driver shortage while improving efficiency and flexibility across the logistics ecosystem.</t>
  </si>
  <si>
    <t>Logistics*, Media and Information Services (B2B), Road</t>
  </si>
  <si>
    <t>Artificial Intelligence &amp; Machine Learning, Supply Chain Tech</t>
  </si>
  <si>
    <t>fleet operations platform, logistics management software, logistics platform, logistics transportation, transportation logistics service, transportation services</t>
  </si>
  <si>
    <t>515442-97</t>
  </si>
  <si>
    <t>www.gotrack-drive.com</t>
  </si>
  <si>
    <t>http://www.linkedin.com/company/gotrack-transportation-marketplace</t>
  </si>
  <si>
    <t>2024: 5, 2025: 5</t>
  </si>
  <si>
    <t>326040-04P</t>
  </si>
  <si>
    <t>Sharon Habzo</t>
  </si>
  <si>
    <t>sharon@gotrack.io</t>
  </si>
  <si>
    <t>contact@gotrack.com</t>
  </si>
  <si>
    <t>The company joined HiCenter on an undisclosed date. No equity or funding was exchanged as a result of this program.</t>
  </si>
  <si>
    <t>365x, HiCenter</t>
  </si>
  <si>
    <t>MaofTech Eilat</t>
  </si>
  <si>
    <t>365x (www.365x.io), HiCenter (www.hicenter.co.il)</t>
  </si>
  <si>
    <t>MaofTech Eilat (maoftech.org.il/accelerator/eilat)</t>
  </si>
  <si>
    <t>01-אוק-2019</t>
  </si>
  <si>
    <t>31-דצמ-2024</t>
  </si>
  <si>
    <t>20-אוק-2025</t>
  </si>
  <si>
    <t>Green Ride</t>
  </si>
  <si>
    <t>Green Ride Ltd.</t>
  </si>
  <si>
    <t>The company primarily operates in the Automotive industry. Green Ride was founded in 2011 and is headquartered in Haifa, Israel.</t>
  </si>
  <si>
    <t>564018-94</t>
  </si>
  <si>
    <t>inu.city</t>
  </si>
  <si>
    <t>http://www.linkedin.com/company/green-ride-ltd-</t>
  </si>
  <si>
    <t>Ha-Namal St 55</t>
  </si>
  <si>
    <t>Il</t>
  </si>
  <si>
    <t>5.27x</t>
  </si>
  <si>
    <t>9.17x</t>
  </si>
  <si>
    <t>Green2Pass Ltd.</t>
  </si>
  <si>
    <t>Developer of real-time passing technology safety technology intended to assist with driving. The company develops a laser-based technology that evaluates real-time traffic situations and operates day and night in any visibility and all weather conditions, enabling drivers to know about dangerous passing maneuvers and alert them to keep a safe distance from vehicles located ahead of and behind them.</t>
  </si>
  <si>
    <t>Automotive*, Electronic Equipment and Instruments, Information Services (B2C), Other Hardware</t>
  </si>
  <si>
    <t>collision damage, laser-based system, road safety, safety solutions, safety solutions company, safety solutions platform, smart mobility, traffic solutions, traffic track</t>
  </si>
  <si>
    <t>509531-50</t>
  </si>
  <si>
    <t>318005-38P</t>
  </si>
  <si>
    <t>Mordehai Bar-Tal</t>
  </si>
  <si>
    <t>Ashkelon, Israel</t>
  </si>
  <si>
    <t>Tsahal Street 99</t>
  </si>
  <si>
    <t>Ashkelon</t>
  </si>
  <si>
    <t>The company raised $570,000 of equity crowdfunding via Pipelbiz in June 2020 in the form SAFE Notes.</t>
  </si>
  <si>
    <t>Pipelbiz(Lead Manager or Arranger)</t>
  </si>
  <si>
    <t>01-יונ-2020</t>
  </si>
  <si>
    <t>09-אפר-2025</t>
  </si>
  <si>
    <t>Radio direction-finding</t>
  </si>
  <si>
    <t>Grevo</t>
  </si>
  <si>
    <t>Grivo Ltd</t>
  </si>
  <si>
    <t>Developer of a social application designed to locate public charging stations and order charging at home stations. The company's application maps all public charging stations, allows drivers to locate the stations that are exactly right for their vehicle, shares real-time information on the status of charging stations, and provides filtering options, enabling car owners to stop looking all over and start enjoying true, convenient charging locations close to their favorite stores and shopping malls.</t>
  </si>
  <si>
    <t>Application Software, Automotive*</t>
  </si>
  <si>
    <t>application software, charging station, electric car app, e-mobility service, public charging stations, vehicle charging</t>
  </si>
  <si>
    <t>495944-29</t>
  </si>
  <si>
    <t>www.grivo.co.il</t>
  </si>
  <si>
    <t>http://www.linkedin.com/company/grivo</t>
  </si>
  <si>
    <t>299860-21P</t>
  </si>
  <si>
    <t>Givat Ela, Israel</t>
  </si>
  <si>
    <t>8 Gnoser Street</t>
  </si>
  <si>
    <t>The company raised $700,000 of equity crowdfunding in the form of SAFE notes via Pipelbiz in December 2021.</t>
  </si>
  <si>
    <t>15-ינו-2025</t>
  </si>
  <si>
    <t>Guardian Optical Technologies</t>
  </si>
  <si>
    <t>Guardian Optical</t>
  </si>
  <si>
    <t>Guardian Optical Technologies Ltd.</t>
  </si>
  <si>
    <t>Seyond, Velodyne Lidar</t>
  </si>
  <si>
    <t>Developer of a motion-detecting sensor designed to promote passenger awareness technology in automobiles. The company's technology uses 2D, 3D, and motion analysis in a single sensor to detect motions to monitor a car's entire cabin, tracking and scanning passengers and working in tandem with seat-belts, airbags, and other built-in safety features, enabling automobile manufacturers to produce safer, more convenient passenger aware cars at a lower cost.</t>
  </si>
  <si>
    <t>Business/Productivity Software, Electronic Equipment and Instruments*, Information Services (B2C)</t>
  </si>
  <si>
    <t>drivers monitoring, fleet connectivity, fleet management, gesture recognition, human body detection, motion analysis device, motion detecting sensor, optical sensor, passenger experience, passenger safety, passenger safety &amp; experience, passenger safety and experience</t>
  </si>
  <si>
    <t>159143-50</t>
  </si>
  <si>
    <t>www.guardian-optech.com</t>
  </si>
  <si>
    <t>2016: 4, 2017: 14, 2020: 19, 2021: 30</t>
  </si>
  <si>
    <t>Derech Hashalom 7</t>
  </si>
  <si>
    <t>The company was acquired by Gentex (NASDAQ: GNTX) for $12 million on September 6, 2021. The company is no longer actively tracked by PitchBook.</t>
  </si>
  <si>
    <t>Gentex</t>
  </si>
  <si>
    <t>B&amp;E Equities, GlenRock Israel, Goldbell Investments, Maniv Mobility, Microsoft for Startups, Mirai Creation Capital, SPARX Group Company, Toyota Motor, TransLink Capital, Union Tech Ventures</t>
  </si>
  <si>
    <t>GlenRock Israel (www.grg.co.il), Maniv Mobility (www.maniv.com), Microsoft for Startups (startups.microsoft.com), Mirai Creation Capital (mirai.sparx.co.jp/en), SPARX Group Company (www.sparx.jp), Toyota Motor (www.global.toyota), TransLink Capital (www.translinkcapital.com), Union Tech Ventures (uniontech.vc)</t>
  </si>
  <si>
    <t>09-נוב-2015</t>
  </si>
  <si>
    <t>06-ספט-2021</t>
  </si>
  <si>
    <t>04-נוב-2025</t>
  </si>
  <si>
    <t>Hats, Optical devices or arrangements for the control of light by modification of the optical properties of the media of the elements involved therein, Optical elements, systems or apparatus, Transmission systems for measured values, control or similar signals, Vehicles, vehicle fittings, or vehicle parts, not otherwise provided for</t>
  </si>
  <si>
    <t>GuardKnox Cyber Technologies Ltd.</t>
  </si>
  <si>
    <t>Excelfore, Apex.AI, Escrypt, Secure Thingz</t>
  </si>
  <si>
    <t>Operator of an automotive technology company intended to offer firmware for software-defined vehicles. The company offers scalable and flexible technologies for connectivity and the ability to customize the vehicle's performance and in-vehicle experience by offering secure design and software components with throughput and low-latency switching and routing performance, helping clients with cost-effective assistance while reducing the time to market and build the applications and services for connectivity in automobiles.</t>
  </si>
  <si>
    <t>Automotive*, Electronic Equipment and Instruments</t>
  </si>
  <si>
    <t>Autonomous cars, Cybersecurity, Internet of Things, Mobility Tech</t>
  </si>
  <si>
    <t>auto cybersecurity, autonomous vehicles, drivers safety, enterprise resource planning, fleet connectivity, fleet management, road safety, shared mobility, smart mobility, software lifecycle management, vehicle technology</t>
  </si>
  <si>
    <t>181222-39</t>
  </si>
  <si>
    <t>www.guardknox.com</t>
  </si>
  <si>
    <t>2017: 10, 2018: 30, 2019: 50, 2020: 75, 2021: 75, 2022: 125, 2023: 72, 2024: 73, 2025: 80</t>
  </si>
  <si>
    <t>POB 320</t>
  </si>
  <si>
    <t>2 Hahazon Street</t>
  </si>
  <si>
    <t>The company is no longer actively in business as of May 28, 2025. The company is no longer actively tracked by PitchBook.</t>
  </si>
  <si>
    <t>2xN, Allied (Brazil), Cyphertech, FM Capital (Transportation Tech), FORVIA, Gerhard Roiss, Glory Ventures, Jürgen Hambrecht, Kardan Water International Group, Kurt Lauk, Michael Diekmann, NextLeap Ventures, Paul Achleitner, Peter Loescher, Plug and Play Tech Center, Robert Taub, Roland Berger, SAIC Capital, Startup Autobahn, Stefan Hambrecht, VectoIQ, Vektor Partners</t>
  </si>
  <si>
    <t>2xN (2xn.vc), Allied (Brazil) (www.alliedbrasil.com.br), FM Capital (Transportation Tech) (www.fmcap.com), FORVIA (www.forvia.com), Glory Ventures (www.glory-ventures.com), NextLeap Ventures (www.nextleapventures.com), Plug and Play Tech Center (www.plugandplaytechcenter.com), SAIC Capital (www.saicvc.com), Startup Autobahn (www.startup-autobahn.com), VectoIQ (www.vectoiq.com), Vektor Partners (www.vektorpartners.com)</t>
  </si>
  <si>
    <t>10-פבר-2017</t>
  </si>
  <si>
    <t>28-מאי-2025</t>
  </si>
  <si>
    <t>04-יונ-2019</t>
  </si>
  <si>
    <t>Head Master</t>
  </si>
  <si>
    <t>Head Master Ltd.</t>
  </si>
  <si>
    <t>Provider of automobile and parking services.</t>
  </si>
  <si>
    <t>Automotive, Other Commercial Services*</t>
  </si>
  <si>
    <t>automobile, automobile industry, automobile parking, automobile service, parking company</t>
  </si>
  <si>
    <t>159243-13</t>
  </si>
  <si>
    <t>132 Begin Menachem Road</t>
  </si>
  <si>
    <t>The company was acquired by Regency Jerusalem Hotel (TASE:REGE-L) subsidiary of Digal Investment and Holdings (TASE: DIGL) for NIS 18 million on January 1, 2012. The company is no longer actively tracked by PitchBook.</t>
  </si>
  <si>
    <t>Regency Jerusalem Hotel</t>
  </si>
  <si>
    <t>01-ינו-2012</t>
  </si>
  <si>
    <t>Foods, foodstuffs or non-alcoholic beverages, not otherwise provided for</t>
  </si>
  <si>
    <t>Helios Tracker</t>
  </si>
  <si>
    <t>Operator of GPS tracking and fleet management services since 2004. Helios Tracker's automated real-time solutions include remote tracking, fuel monitoring, and asset management. The products are available worldwide, sold in over 50 countries and offered in more than 32 languages. Helios GPS tracking systems provide real-time online tracking and asset monitoring for both mobile and fixed assets. The products meet recognized industry standards and hold several certifications.</t>
  </si>
  <si>
    <t>Telecommunications Service Providers</t>
  </si>
  <si>
    <t>Telecommunications Service Providers*</t>
  </si>
  <si>
    <t>628374-79</t>
  </si>
  <si>
    <t>heliostracker.io</t>
  </si>
  <si>
    <t>http://www.linkedin.com/company/helios-tracker</t>
  </si>
  <si>
    <t>Ramatayim Road 96</t>
  </si>
  <si>
    <t>Highway 431</t>
  </si>
  <si>
    <t>Hayovel Lines Ltd.</t>
  </si>
  <si>
    <t>A state highway road in Israel. The highway 431 is designed, built and operated as part of an agreement between the State of Israel and Netivey Hayovel, for the construction, operation and maintenance of the road connecting various routes and ensuring smooth transportation.</t>
  </si>
  <si>
    <t>Other Business Products and Services</t>
  </si>
  <si>
    <t>Buildings and Property</t>
  </si>
  <si>
    <t>Buildings and Property*, Infrastructure, Road</t>
  </si>
  <si>
    <t>asset acquisition company, asset acquisition firm, assets back, road, state highway</t>
  </si>
  <si>
    <t>58924-72</t>
  </si>
  <si>
    <t>www.431road.co.il</t>
  </si>
  <si>
    <t>June Netanyahu 1c</t>
  </si>
  <si>
    <t>The asset was acquired by Israel Infrastructure Fund through a NIS 207.6 million LBO on June 14, 2011. The asset is no longer actively tracked by PitchBook.</t>
  </si>
  <si>
    <t>09-אוג-2024</t>
  </si>
  <si>
    <t>HyDrones</t>
  </si>
  <si>
    <t>HyDrones Ltd</t>
  </si>
  <si>
    <t>Developer and manufacturer of innovative hydrogen drones intended for sustainability and reducing carbon emissions. The company offers a variety of hydrogen drones that are water and dust resistant, and have an integration between a flight controller and an auxiliary computer used on the drone, thereby making it usable for a range of industries from defense companies to businesses.</t>
  </si>
  <si>
    <t>Advanced Manufacturing, Micro-Mobility, Robotics and Drones</t>
  </si>
  <si>
    <t>drone manufacturer, drones, hydrogen drones, sustainable drones</t>
  </si>
  <si>
    <t>527312-89</t>
  </si>
  <si>
    <t>www.hydrones.net</t>
  </si>
  <si>
    <t>I4drive</t>
  </si>
  <si>
    <t>Developer of a driving assistant software designed to increase driver safety while enhancing the driving experience. The company's software uses computer vision and machine learning technology to turn the mobile phone into a powerful driver module that provides smart mobility applications, enabling drivers to change the culture of driving and to fight to prevent car accidents across the globe.</t>
  </si>
  <si>
    <t>Automation/Workflow Software, Business/Productivity Software*, Road</t>
  </si>
  <si>
    <t>Artificial Intelligence &amp; Machine Learning, Big Data, Mobile, Mobility Tech, TMT</t>
  </si>
  <si>
    <t>drives software, driving assistance, driving assistant, driving assistant software, fleet connectivity, fleet management, mobility application, mobility data analytics, smart mobility app, vertical application</t>
  </si>
  <si>
    <t>98802-46</t>
  </si>
  <si>
    <t>www.i4drive.com</t>
  </si>
  <si>
    <t>http://www.linkedin.com/company/i4drive</t>
  </si>
  <si>
    <t>2022: 2</t>
  </si>
  <si>
    <t>44083-72P</t>
  </si>
  <si>
    <t>Reuven Ulmansky</t>
  </si>
  <si>
    <t>Co-Founder &amp; Chairman of the Board</t>
  </si>
  <si>
    <t>Modiin, Israel</t>
  </si>
  <si>
    <t>250 Emek Ha'ela Street</t>
  </si>
  <si>
    <t>Ligad Tech Park</t>
  </si>
  <si>
    <t>Modiin</t>
  </si>
  <si>
    <t>The company joined EIT KIC Urban Mobility as a part of its Smart Mobility - DMS Accelerator 2023 on July 10, 2023.</t>
  </si>
  <si>
    <t>EIT KIC Urban Mobility, NVIDIA Inception, Partner Communications, Vast Ventures, Wadi Ventures</t>
  </si>
  <si>
    <t>EIT KIC Urban Mobility (www.eiturbanmobility.eu), Partner Communications (www.partner.co.il), Vast Ventures (www.vastvc.com), Wadi Ventures (www.wadiventures.com)</t>
  </si>
  <si>
    <t>17-אפר-2014</t>
  </si>
  <si>
    <t>10-יול-2023</t>
  </si>
  <si>
    <t>6.70x</t>
  </si>
  <si>
    <t>15-יול-2021</t>
  </si>
  <si>
    <t>IBM Research (mmWave Technology)</t>
  </si>
  <si>
    <t>Developer of mmWave technology software designed for automotive radar applications. The company's software enables radars to sense cameras as it excels at measuring distance and object velocity even in poor visibility necessary for next-generation autonomous driving.</t>
  </si>
  <si>
    <t>mmwave technology, mmwave technology software, radar software</t>
  </si>
  <si>
    <t>230747-68</t>
  </si>
  <si>
    <t>The mmWave Technology of IBM Research, a subsidiary of International Business Machines (NYSE: IBM), was acquired by ON Semiconductor (NASDAQ: ON) for an undisclosed amount on March 6, 2017. The acquisition accelerates ON Semiconductor's strategy to grow its automotive sensing business even faster than the robust growth from increasing camera attach rates. The company is no longer actively tracked by PitchBook.</t>
  </si>
  <si>
    <t>ON Semiconductor</t>
  </si>
  <si>
    <t>IBM Research</t>
  </si>
  <si>
    <t>IBM Research (research.ibm.com)</t>
  </si>
  <si>
    <t>06-מרץ-2017</t>
  </si>
  <si>
    <t>Ido Off Road Center</t>
  </si>
  <si>
    <t>Ido Off Road Center Ltd</t>
  </si>
  <si>
    <t>Manufacturer of off-road vehicles intended to serve the military industry around the world. The company specializes in the design, development, and manufacture of extreme and rough terrain, military and security as well as rally racing off-road mobility vehicles.</t>
  </si>
  <si>
    <t>Aerospace and Defense, Road*</t>
  </si>
  <si>
    <t>automotive design, automotive designer, automotive manufacturer, off road vehicle, off road vehicle manufacturer, vehicle automobile, vehicle manufacturer</t>
  </si>
  <si>
    <t>512676-01</t>
  </si>
  <si>
    <t>www.zibarusa.com</t>
  </si>
  <si>
    <t>325262-71P</t>
  </si>
  <si>
    <t>Ido Cohen</t>
  </si>
  <si>
    <t>Owner, Founder, Head Supervisor &amp; General Manager</t>
  </si>
  <si>
    <t>Pardes Hanna, Israel</t>
  </si>
  <si>
    <t>Post Office Box 1111</t>
  </si>
  <si>
    <t>Pardes Hanna</t>
  </si>
  <si>
    <t>23-יונ-2023</t>
  </si>
  <si>
    <t>Ido Off Road Center (Manufacturing Operations of Zibar, Zmag, and ZD Off-Road Vehicles)</t>
  </si>
  <si>
    <t>Manufacturer of off-road vehicles catering to the military defense sector.</t>
  </si>
  <si>
    <t>auto industry, automotive industry, defense sector, manufacturer, vehicle industry, vehicle manufacturer</t>
  </si>
  <si>
    <t>454595-32</t>
  </si>
  <si>
    <t>Pardes Hana, Israel</t>
  </si>
  <si>
    <t>Pardes Hana</t>
  </si>
  <si>
    <t>The manufacturing operations of Zibar, Zmag, and ZD Off-Road Vehicles of Ido Off Road Center was acquired by Israel Aerospace Industries for an undisclosed amount in July 2020. The acquisition will fulfil Israel Aerospace Industries operational needs of the ground forces for defence, assault and intelligence. The business unit is no longer actively tracked by PitchBook.</t>
  </si>
  <si>
    <t>Israel Aerospace Industries</t>
  </si>
  <si>
    <t>Ido Off Road Center (www.zibarusa.com)</t>
  </si>
  <si>
    <t>02-נוב-2022</t>
  </si>
  <si>
    <t>Innoviz Technologies (NAS: INVZ)</t>
  </si>
  <si>
    <t>Innoviz Technologies Ltd.</t>
  </si>
  <si>
    <t>Aeva Technologies, Ouster, Luminar Technologies</t>
  </si>
  <si>
    <t>Innoviz Technologies Ltd is a provider of solid-state LiDAR and perception solutions that feature technological breakthroughs across core components and bring enhanced vision and superior performance to enable safe autonomous driving at a mass scale. The company provides a complete and comprehensive solution for OEMs and Tier-1 partners that are developing and marketing autonomous driving vehicles to the passenger cars and other relevant markets, such as robotaxis, shuttles, delivery vehicles, buses and trucks and other industries that require 3-dimensional high resolution sensors. Company's solutions can enable safe autonomy for industries like logistics, drones, robotics, construction and other industrial applications, agriculture, smart city, smart infrastructure, security and mapping.</t>
  </si>
  <si>
    <t>Automotive, Business/Productivity Software, Electronic Equipment and Instruments*</t>
  </si>
  <si>
    <t>Advanced Manufacturing, Autonomous cars, Construction Technology, Industrials, Internet of Things, Mobility Tech, Robotics and Drones, TMT</t>
  </si>
  <si>
    <t>3d sensing, accurate mapping, autonomous driving, autonomous vehicles, lidar sensor, lidar technology, mobility tech, perception software, remote sensing sensor</t>
  </si>
  <si>
    <t>163750-96</t>
  </si>
  <si>
    <t>www.innoviz.tech</t>
  </si>
  <si>
    <t>http://www.linkedin.com/company/innoviz-technologies</t>
  </si>
  <si>
    <t>2016: 30, 2017: 75, 2018: 200, 2019: 250, 2020: 283, 2021: 404, 2022: 468, 2023: 488, 2024: 415</t>
  </si>
  <si>
    <t>INVZ</t>
  </si>
  <si>
    <t>59584-06P</t>
  </si>
  <si>
    <t>Eldar Cegla</t>
  </si>
  <si>
    <t>Chief Financial Officer, Finance</t>
  </si>
  <si>
    <t>eldarc@innoviz.tech</t>
  </si>
  <si>
    <t>5 Uri Ariav street</t>
  </si>
  <si>
    <t>Building C, Nitzba 300</t>
  </si>
  <si>
    <t>info@innoviz.tech</t>
  </si>
  <si>
    <t>The company (NAS: INVZ) is in talks to receive approximately $40 million of development capital from undisclosed investors through a private placement as of February 10, 2025. Each unit consists of one ordinary share and eight-tenths of a warrant to purchase one ordinary share. The net proceeds will be used for general business purposes. Previously, the company raised $40 million in its second public offering on the Nasdaq Stock Exchange under the ticker symbol of INVZ on February 10, 2025. A total of 28,776,978 units were sold at $1.39 per unit. Each unit consists of one ordinary share, and eight tenths of a warrant to purchase one ordinary share. The company is being actively tracked by PitchBook.</t>
  </si>
  <si>
    <t>360 Capital, Amiti Ventures, Antara Capital, Aptiv, Bin Zhou, Cerca Partners, Champel Capital, China Merchants Capital, Collective Growth, Delek Group, Delphi Investments, Gaorong Ventures, Gil Agmon, Glory Ventures, Harel Insurance Investments &amp; Financial Services, Harman International Industries (Electronics), LM VENTURES, Magma Venture Partners, Magna International, Magna Technology Investments, Naver, New Alliance Capital, OurCrowd, Phoenix Insurance Company (Multi-Line Insurance), Plug and Play Tech Center, Primera Capital (Venture Capital), Samsung Catalyst Fund, SBVA, Sea Purity Investments, Shefa Capital, Shenzhen Capital Group, Startup Autobahn, Vertex Ventures Israel</t>
  </si>
  <si>
    <t>360 Capital (www.360cap.vc), Amiti Ventures (www.amiti.vc), Antara Capital (www.antaracapital.com), Aptiv (www.aptiv.com), Cerca Partners (www.cerca-partners.com), Champel Capital (www.champelcapital.com), China Merchants Capital (www.cmcapital.com.cn), Collective Growth (www.collectivegrowthcorp.com), Delek Group (www.delek-group.com), Gaorong Ventures (www.gaorongvc.com), Glory Ventures (www.glory-ventures.com), Harel Insurance Investments &amp; Financial Services (pr.harel-group.co.il), Harman International Industries (Electronics) (www.harman.com), LM VENTURES (www.lm.ventures), Magma Venture Partners (www.magmavc.com), Magna International (www.magna.com), Naver (www.navercorp.com), New Alliance Capital (www.nac-capital.com), OurCrowd (www.ourcrowd.com), Phoenix Insurance Company (Multi-Line Insurance) (www.fnx.co.il), Plug and Play Tech Center (www.plugandplaytechcenter.com), Primera Capital (Venture Capital) (www.primeracapital.com), Samsung Catalyst Fund (www.samsungcatalyst.com), SBVA (www.sbvacorp.com), Sea Purity Investments (seapurity.us), Shefa Capital (www.shefacap.com), Shenzhen Capital Group (www.szvc.com.cn), Startup Autobahn (www.startup-autobahn.com), Vertex Ventures Israel (www.vertexventures.co.il)</t>
  </si>
  <si>
    <t>Berenberg Bank(Underwriter), Cantor Fitzgerald (New York)(Advisor: General), Erdinast, Ben Nathan, Toledano &amp; Co. With Hamburger Evron(Legal Advisor), EY Finland(Legal Advisor), Kesselman &amp; Kesselman C.P.A(Accounting), Latham &amp; Watkins(Legal Advisor), Meitar Law Offices(Legal Advisor), Naschitz Brandes Amir(Legal Advisor), Rosenblatt Securities(Underwriter), Shibolet &amp; Company(Legal Advisor), The Goldman Sachs Group(Lead Manager or Arranger), WestPark Capital(Placement Agent)</t>
  </si>
  <si>
    <t>31-מרץ-2016</t>
  </si>
  <si>
    <t>10-פבר-2025</t>
  </si>
  <si>
    <t>41.35x</t>
  </si>
  <si>
    <t>Chemical or physical laboratory apparatus for general use, Electric digital data processing, Image data processing or generation, in general, Optical elements, systems or apparatus, Radio direction-finding</t>
  </si>
  <si>
    <t>06-אפר-2021</t>
  </si>
  <si>
    <t>iOnRoad (Automotive)</t>
  </si>
  <si>
    <t>iOnRoad Technologies Ltd.</t>
  </si>
  <si>
    <t>Developer of a collision warning application designed to mitigate accidents. The company's product utilizes a smartphone's native camera and sensors to detect vehicles in front of a car, alerting individuals when they're in danger and maps their lane and objects in it, providing audio-visual warning alerts in case of potential collisions, enabling individuals to take action in time and save their life.</t>
  </si>
  <si>
    <t>accident sensor, detect vehicle, drivers alerts, drivers safety application, drives application</t>
  </si>
  <si>
    <t>56335-60</t>
  </si>
  <si>
    <t>www.ionroad.com</t>
  </si>
  <si>
    <t>155/44 Bialik Street</t>
  </si>
  <si>
    <t>team@ionroad.com</t>
  </si>
  <si>
    <t>The company was acquired by HARMAN International Industries (NYSE:HAR) for $8.5 million on April 10, 2013. The company is no longer actively tracked by PitchBook.</t>
  </si>
  <si>
    <t>Iconic Private Equity Partners, Indy MD Angels, Keydan Capital, Qualcomm Ventures</t>
  </si>
  <si>
    <t>Iconic Private Equity Partners (www.icpep.com), Indy MD Angels (www.indymdangels.com), Qualcomm Ventures (www.qualcommventures.com)</t>
  </si>
  <si>
    <t>Widebridge Group(Advisor: General)</t>
  </si>
  <si>
    <t>10-אפר-2013</t>
  </si>
  <si>
    <t>02-אפר-2013</t>
  </si>
  <si>
    <t>21-אוג-2025</t>
  </si>
  <si>
    <t>Israel Global Blogs Network</t>
  </si>
  <si>
    <t>Israel Trade SA</t>
  </si>
  <si>
    <t>Operator of the Israeli Foreign Trade Administration at the Ministry of Economy and Industry intended to focus on promoting trade and export, attracting foreign investments, and creating strategic cooperation with foreign companies. The entity maintains a network of economic representatives worldwide to assist the Israeli industry in deepening its activity in existing markets and penetrating new markets and also provides individual exporters with marketing support abroad and works to improve the image of the Israeli industry and economy while preventing unfair competition.</t>
  </si>
  <si>
    <t>Automotive, Other Commercial Services*, Systems and Information Management</t>
  </si>
  <si>
    <t>academic excellence, economic activity, foreign policy, individual marketing, international trade, investment activities, operational activities, operational improvement, strategic investment</t>
  </si>
  <si>
    <t>296357-59</t>
  </si>
  <si>
    <t>itrade.gov.il</t>
  </si>
  <si>
    <t>http://www.linkedin.com/company/ministry-of-economy-embassy-of-israel</t>
  </si>
  <si>
    <t>366485-23P</t>
  </si>
  <si>
    <t>Sarah Benjamin</t>
  </si>
  <si>
    <t>Associate, Israel Economic Mission &amp; Business Development Manager</t>
  </si>
  <si>
    <t>sbenjamin@itrade.gov.il</t>
  </si>
  <si>
    <t>5 Bank Israel</t>
  </si>
  <si>
    <t>23.38x</t>
  </si>
  <si>
    <t>10.24x</t>
  </si>
  <si>
    <t>36.52x</t>
  </si>
  <si>
    <t>Israir Airlines and Tourism (TAE: ISRG)</t>
  </si>
  <si>
    <t>Knafei HaEmek</t>
  </si>
  <si>
    <t>Israir, Israir Airlines</t>
  </si>
  <si>
    <t>Israir Airlines and Tourism Ltd.</t>
  </si>
  <si>
    <t>Israir Group Ltd is engaged in organizing, marketing and operating flights and vacation packages.</t>
  </si>
  <si>
    <t>Air*, Leisure Facilities, Media and Information Services (B2B)</t>
  </si>
  <si>
    <t>airline services, destination books, hotel reservation, tourism service, tourism services</t>
  </si>
  <si>
    <t>Private Debt Financed</t>
  </si>
  <si>
    <t>114371-38</t>
  </si>
  <si>
    <t>Debt Financed, M&amp;A, Private Equity, Publicly Listed</t>
  </si>
  <si>
    <t>www.israirairlines.com</t>
  </si>
  <si>
    <t>2017: 350, 2018: 650, 2020: 413, 2021: 350, 2022: 668, 2023: 419, 2024: 841</t>
  </si>
  <si>
    <t>ISRG</t>
  </si>
  <si>
    <t>Bagir Group</t>
  </si>
  <si>
    <t>101470-60P</t>
  </si>
  <si>
    <t>Uri Sirkis</t>
  </si>
  <si>
    <t>usirkis@israirairlines.com</t>
  </si>
  <si>
    <t>Post Office Box 51315</t>
  </si>
  <si>
    <t>The company raised NIS 87 million of debt financing on March 1, 2024.</t>
  </si>
  <si>
    <t>Israel Discount Bank, Mivtach Shamir Holdings</t>
  </si>
  <si>
    <t>Apax Partners, Brown Hotels, Diesenhaus, El Al Israel Airlines, Elco (Electrical Equipment), Fortissimo Capital</t>
  </si>
  <si>
    <t>Israel Discount Bank (www.discountbank.co.il), Mivtach Shamir Holdings (www.msgroup.co.il)</t>
  </si>
  <si>
    <t>Apax Partners (www.apax.com), Brown Hotels (www.brownhotels.com), Diesenhaus (www.diesenhaus.com), El Al Israel Airlines (www.elal.com), Elco (Electrical Equipment) (www.elco.co.il), Fortissimo Capital (www.ffcapital.com)</t>
  </si>
  <si>
    <t>Leader Capital Markets(Advisor: General), M. Firon(Legal Advisor), Orion (Israel)(Underwriter)</t>
  </si>
  <si>
    <t>11-ינו-2018</t>
  </si>
  <si>
    <t>Debt - General</t>
  </si>
  <si>
    <t>Bonds - 23.73M $</t>
  </si>
  <si>
    <t>28.96x</t>
  </si>
  <si>
    <t>03-נוב-2025</t>
  </si>
  <si>
    <t>23-יונ-2022</t>
  </si>
  <si>
    <t>ISS (Israel)</t>
  </si>
  <si>
    <t>Provider of catering services in Israel. The company offered services including in-flight catering, cleaning and local catering to customers.</t>
  </si>
  <si>
    <t>Air, Food Products, Other Services (B2C Non-Financial)*</t>
  </si>
  <si>
    <t>catering business, cleaning service, flight catering, food catering, hospitality services</t>
  </si>
  <si>
    <t>436139-38</t>
  </si>
  <si>
    <t>The business activities in Israel of ISS World Services was acquired by T&amp;M Israel Group and Newrest Group International for an undisclosed amount on August 13, 2019. Newrest Group International acquired the inflight catering business while the cleaning and catering businesses was acquired by T&amp;M Israel Group. This divestemet is part of ISS's strategy to focus on certain geographies in order to accelerate the transition and focus towards Key Accounts.</t>
  </si>
  <si>
    <t>Newrest Group International, T&amp;M Israel Group</t>
  </si>
  <si>
    <t>ISS World Services</t>
  </si>
  <si>
    <t>ISS World Services (www.issworld.com)</t>
  </si>
  <si>
    <t>13-אוג-2019</t>
  </si>
  <si>
    <t>Ituran Location &amp; Control (NAS: ITRN)</t>
  </si>
  <si>
    <t>Ituran Location &amp; Control Ltd.</t>
  </si>
  <si>
    <t>Ituran Location and Control Ltd is a provider of location-based services. The company operates in two segments, namely Telematics services and Telematics products. The Telematics services segment consists of regionally-based stolen vehicle recovery (SVR) services, fleet management services, and value-added services comprised of personal locater services and concierge services. The Telematics product segment consists of short and medium-range two-way machine-to-machine wireless communications products that are used for various applications, including automatic vehicle location and automatic vehicle identification. Its geographical segments include Israel, Brazil, and Others. The company derives maximum revenue from Israel.</t>
  </si>
  <si>
    <t>Automotive Insurance, Business/Productivity Software*, Electronic Equipment and Instruments</t>
  </si>
  <si>
    <t>Internet of Things, TMT</t>
  </si>
  <si>
    <t>42056-92</t>
  </si>
  <si>
    <t>www.ituran.com</t>
  </si>
  <si>
    <t>http://www.linkedin.com/company/ituran</t>
  </si>
  <si>
    <t>2004: 761, 2005: 782, 2006: 869, 2007: 1070, 2008: 1254, 2009: 1355, 2010: 1315, 2011: 1277, 2012: 1320, 2013: 1392, 2014: 1522, 2015: 1544, 2016: 1600, 2017: 1718, 2018: 3172, 2019: 2908, 2020: 2761, 2021: 2814, 2022: 2736, 2023: 2841, 2024: 2892, 2025: 2800</t>
  </si>
  <si>
    <t>ITRN</t>
  </si>
  <si>
    <t>134362-90P</t>
  </si>
  <si>
    <t>Eyal Sheratzky</t>
  </si>
  <si>
    <t>Azor, Israel</t>
  </si>
  <si>
    <t>3 Hashikma Street</t>
  </si>
  <si>
    <t>Azor</t>
  </si>
  <si>
    <t>The company raised an undisclosed amount of funding in its initial public offering on the Tel Aviv stock exchange under the ticker symbol of ITRN on May 1, 1998.</t>
  </si>
  <si>
    <t>01-מאי-1998</t>
  </si>
  <si>
    <t>185.20x</t>
  </si>
  <si>
    <t>20.39x</t>
  </si>
  <si>
    <t>06-דצמ-2025</t>
  </si>
  <si>
    <t>JettaPlus</t>
  </si>
  <si>
    <t>JettaPlus Ltd.</t>
  </si>
  <si>
    <t>Developer of a web-based platform designed to assist travelers to sell or buy second-hand airline tickets. The company's platform permits travelers to sell their non-refundable but transferable flight tickets to other users who can then use the tickets themselves, enabling travelers to recover some of their costs by selling unused flight tickets to another online ticket shopper.</t>
  </si>
  <si>
    <t>Air, Application Software, Information Services (B2C)*</t>
  </si>
  <si>
    <t>Industrials, Mobile, Mobility Tech, TMT</t>
  </si>
  <si>
    <t>airline books app, books airline ticket, flight tickets booking, secondhand flight tickets, selling unused ticketing</t>
  </si>
  <si>
    <t>177539-14</t>
  </si>
  <si>
    <t>www.jettaplus.com</t>
  </si>
  <si>
    <t>Derech Menachem Begin 132</t>
  </si>
  <si>
    <t>The company is no longer actively in business as of April 12, 2021. The company is no longer tracked by PitchBook.</t>
  </si>
  <si>
    <t>Bseed Investments</t>
  </si>
  <si>
    <t>Bseed Investments (www.bseedinvest.com)</t>
  </si>
  <si>
    <t>19-ספט-2016</t>
  </si>
  <si>
    <t>12-אפר-2021</t>
  </si>
  <si>
    <t>Journeez</t>
  </si>
  <si>
    <t>Developer of logistics technology for transportation and fleet management. Journeez Technologies provides advanced algorithms to improve logistical efficiency and reliability. The platform allows logistics companies to optimize routes, automate scheduling, and reallocate resources in real-time.</t>
  </si>
  <si>
    <t>634917-79</t>
  </si>
  <si>
    <t>journeez.io</t>
  </si>
  <si>
    <t>http://www.linkedin.com/company/journeez</t>
  </si>
  <si>
    <t>0.68x</t>
  </si>
  <si>
    <t>15-אוג-2024</t>
  </si>
  <si>
    <t>JOYN (Israel)</t>
  </si>
  <si>
    <t>Provider of electric vehicle services headquartered in Israel.</t>
  </si>
  <si>
    <t>CleanTech</t>
  </si>
  <si>
    <t>electric car service, electric vehicle, vehicle related services</t>
  </si>
  <si>
    <t>495944-65</t>
  </si>
  <si>
    <t>www.joynpower.com</t>
  </si>
  <si>
    <t>3 Shalem Street</t>
  </si>
  <si>
    <t>office@joynpower.com</t>
  </si>
  <si>
    <t>26-דצמ-2025</t>
  </si>
  <si>
    <t>Developer of multiple EV fast (DC) charging stations intended for transforming the entire automotive industry by installing EV chargers at gas stations. The company partners with charging companies, municipalities and real-estate companies to deliver public fast-charging solutions in limited areas.</t>
  </si>
  <si>
    <t>CleanTech, Climate Tech</t>
  </si>
  <si>
    <t>charging station, electric vehicle charging infrastructure, electric vehicle charging solutions, electric vehicle charging station, ev charging station, ev fast-charging station</t>
  </si>
  <si>
    <t>495945-46</t>
  </si>
  <si>
    <t>www.jupiter-ev.com</t>
  </si>
  <si>
    <t>05-מאי-2022</t>
  </si>
  <si>
    <t>JustDrive (Automotive)</t>
  </si>
  <si>
    <t>JustDrive</t>
  </si>
  <si>
    <t>Radiomize Ltd.</t>
  </si>
  <si>
    <t>Developer of a sensing technology designed to offer mass commercialization of connecting vehicles to drivers. The company's technology is AI-powered which delivers accuracy, performance, and low power consumption, at the cost and size required for mass-market adoption, enabling drivers to have a technology that senses and responds intuitively to physiological, emotional, and infotainment needs.</t>
  </si>
  <si>
    <t>Application Software, Automotive*, Electronic Equipment and Instruments</t>
  </si>
  <si>
    <t>Artificial Intelligence &amp; Machine Learning, Internet of Things, Mobility Tech</t>
  </si>
  <si>
    <t>ai control, car accessories, connectivity &amp; data management, fleet connectivity, fleet management, gesture control software, sensing solution, steering wheel cover, touch technology</t>
  </si>
  <si>
    <t>158872-78</t>
  </si>
  <si>
    <t>www.justdrive.ai</t>
  </si>
  <si>
    <t>2016: 2, 2021: 11, 2022: 7</t>
  </si>
  <si>
    <t>6 Meitav Street</t>
  </si>
  <si>
    <t>The company is no longer actively in business as of February 2023. The company is no longer tracked by PitchBook.</t>
  </si>
  <si>
    <t>365x, Brinc (Private Equity)</t>
  </si>
  <si>
    <t>365x (www.365x.io), Brinc (Private Equity) (www.brinc.io)</t>
  </si>
  <si>
    <t>03-אפר-2016</t>
  </si>
  <si>
    <t>23-אוק-2017</t>
  </si>
  <si>
    <t>Kafu Zan Food Industries</t>
  </si>
  <si>
    <t>Kafu Zan Food Industries Ltd</t>
  </si>
  <si>
    <t>Producer of frozen and chilled food products based in Petah Tikva, Israel. The company produces desserts, bakery products, salads and vegan products and engages in food distributors, food suppliers for restaurants and refrigerated transportation.</t>
  </si>
  <si>
    <t>Consumer Non-Durables</t>
  </si>
  <si>
    <t>Food Products</t>
  </si>
  <si>
    <t>Distributors/Wholesale, Food Products*, Road</t>
  </si>
  <si>
    <t>chilled food, food supplier, food supplier marketplace, vegan product, vegan product developer, vegan products</t>
  </si>
  <si>
    <t>606479-68</t>
  </si>
  <si>
    <t>www.kafuzan.co.il</t>
  </si>
  <si>
    <t>Dor Alon Energy In Israel</t>
  </si>
  <si>
    <t>401539-06P</t>
  </si>
  <si>
    <t>Yaniv Kosh</t>
  </si>
  <si>
    <t>Natan Shiphris</t>
  </si>
  <si>
    <t>kafuzan@kafuzan.co.il</t>
  </si>
  <si>
    <t>The company was acquired by Dor Alon Energy In Israel (TAE: DRAL), a subsidiary of Alon Blue Square Israel, for ILS 120 million on June 16, 2024.</t>
  </si>
  <si>
    <t>16-יונ-2024</t>
  </si>
  <si>
    <t>1.28x</t>
  </si>
  <si>
    <t>17-דצמ-2024</t>
  </si>
  <si>
    <t>Kalrom Motors &amp; Engineering Equipment Agencies</t>
  </si>
  <si>
    <t>Kalrom Motors &amp; Engineering Equipment Agencies Ltd</t>
  </si>
  <si>
    <t>Importer and marketer of motor vehicles. The company engages in the import of tractors, agricultural engineering vehicles and other equipment in Israel.</t>
  </si>
  <si>
    <t>agricultural vehicle, motor vehicle, tractors</t>
  </si>
  <si>
    <t>165203-92</t>
  </si>
  <si>
    <t>Kiriat Bialick, Israel</t>
  </si>
  <si>
    <t>6 Joseph Levi Street</t>
  </si>
  <si>
    <t>Industrial Park</t>
  </si>
  <si>
    <t>Kiriat Bialick</t>
  </si>
  <si>
    <t>08-ספט-2018</t>
  </si>
  <si>
    <t>Karz.io</t>
  </si>
  <si>
    <t>Karz Software Technologies Ltd</t>
  </si>
  <si>
    <t>Developer of a platform designed to reduce car accidents by alerting the driver in real-time on 75% of car accident causes. The company's platform provides real-time alerts about dangerous driving, distracted driving and road conditions in proximity, enabling any driver, insurance companies, fleets and especially for teenage drivers to get off-line feedback on driving habits and improve proficiency.</t>
  </si>
  <si>
    <t>Automotive, Media and Information Services (B2B)*</t>
  </si>
  <si>
    <t>accident alerts, accident alerts application, accident reducing platform, car monitoring platform, offline feedback platform, real time alerts platform</t>
  </si>
  <si>
    <t>185983-03</t>
  </si>
  <si>
    <t>www.karz.io</t>
  </si>
  <si>
    <t>The company is no longer actively in business as of April 2016. The company is no longer tracked by PitchBook.</t>
  </si>
  <si>
    <t>Hacker Unit</t>
  </si>
  <si>
    <t>Hacker Unit (www.hackerunit.com)</t>
  </si>
  <si>
    <t>Kef International</t>
  </si>
  <si>
    <t>The company primarily operates in the Road industry. Kef International was founded in 1979 and is headquartered in Jerusalem, Israel.</t>
  </si>
  <si>
    <t>international shipping</t>
  </si>
  <si>
    <t>907177-33</t>
  </si>
  <si>
    <t>kefintl.com</t>
  </si>
  <si>
    <t>http://www.linkedin.com/company/kef-international</t>
  </si>
  <si>
    <t>2025: 9</t>
  </si>
  <si>
    <t>A Giladi</t>
  </si>
  <si>
    <t>90807-5312</t>
  </si>
  <si>
    <t>2.05x</t>
  </si>
  <si>
    <t>2.98x</t>
  </si>
  <si>
    <t>07-נוב-2025</t>
  </si>
  <si>
    <t>Knafaim Holdings (TAE: KNFM)</t>
  </si>
  <si>
    <t>Knafaim-Arkia Holdings</t>
  </si>
  <si>
    <t>Knafaim Holdings Ltd</t>
  </si>
  <si>
    <t>Knafaim Holdings Ltd, through its subsidiaries, operates domestic flights and international charter flights. It also leases planes and provides maintenance services for airplanes and runways in Israel.</t>
  </si>
  <si>
    <t>aviation maintenance service, aviation services, aviation services firm, domestic flights booking, domestic flights operator, international charter flights</t>
  </si>
  <si>
    <t>91481-23</t>
  </si>
  <si>
    <t>gkl-leasing.com</t>
  </si>
  <si>
    <t>2015: 6109, 2016: 6002, 2017: 6219, 2018: 6322, 2019: 6303, 2020: 1067, 2023: 223, 2024: 225</t>
  </si>
  <si>
    <t>KNFM</t>
  </si>
  <si>
    <t>215162-02P</t>
  </si>
  <si>
    <t>Eran Ben Menachem</t>
  </si>
  <si>
    <t>eranb@knafaim.co.il</t>
  </si>
  <si>
    <t>office@gkl-leasing.com</t>
  </si>
  <si>
    <t>The company completed its initial public offering on the Tel Aviv Stock Exchange under the ticker symbol of KNFM on December 5, 1993.</t>
  </si>
  <si>
    <t>05-דצמ-1993</t>
  </si>
  <si>
    <t>27-ספט-2023</t>
  </si>
  <si>
    <t>Konnect (Media and Information Services (B2B))</t>
  </si>
  <si>
    <t>Volkswagen Group Ltd.</t>
  </si>
  <si>
    <t>Developer of an open innovation platform intended to scale projects and collaboration's in the fields of Smart mobility and Industry 4.0. The company's platform helps companies to scout for technologies, tackle business challenges, and encourage the creation of innovative PoCs and projects with cutting-edge Israeli technologies, enabling Israeli automotive startups to get access to innovative technology and grow their business.</t>
  </si>
  <si>
    <t>open innovation business, open innovation platform, poc solution, smart mobility company, smart mobility services, smart mobility technology</t>
  </si>
  <si>
    <t>510104-17</t>
  </si>
  <si>
    <t>www.konnect-vwgroup.com</t>
  </si>
  <si>
    <t>http://www.linkedin.com/company/konnectvw</t>
  </si>
  <si>
    <t>2022: 8</t>
  </si>
  <si>
    <t>318509-02P</t>
  </si>
  <si>
    <t>Astrid Wollenberg</t>
  </si>
  <si>
    <t>144 A Menachem Begin Road</t>
  </si>
  <si>
    <t>33rd Floor</t>
  </si>
  <si>
    <t>inbox@konnect-vwgroup.com</t>
  </si>
  <si>
    <t>Leo Riders Company</t>
  </si>
  <si>
    <t>Provider of transportation services based in Ramat-Gan, Israel. The company offers B2B electric scooter sharing service to its clients, providing them with eco-friendly transportation services.</t>
  </si>
  <si>
    <t>climate tech company, eco-friendly transportation, electric scooter, scooter services, scooter sharing services, transportation services</t>
  </si>
  <si>
    <t>343261-18</t>
  </si>
  <si>
    <t>www.leoride.co</t>
  </si>
  <si>
    <t>7 Abba Hillel Silver Street</t>
  </si>
  <si>
    <t>The company is no longer actively in business as of July 17, 2023. The company is no longer tracked by PitchBook.</t>
  </si>
  <si>
    <t>01-פבר-2019</t>
  </si>
  <si>
    <t>17-יול-2023</t>
  </si>
  <si>
    <t>29-ינו-2024</t>
  </si>
  <si>
    <t>Level Hydrofoils</t>
  </si>
  <si>
    <t>Level Hydrofoils Ltd</t>
  </si>
  <si>
    <t>Manufacturer of electric foil boards intended to offer a clean and efficient marine form of mobility. The company's product features are self-balancing, hands-free control, infinitely diverse, and more, offering people an efficient, quiet, fast, serene sustainable way to move on water.</t>
  </si>
  <si>
    <t>Application Software, Marine*, Recreational Goods</t>
  </si>
  <si>
    <t>board manufacturer, control system, marine assets, marine mobility, surfboard gear, sustainable energy, water activities</t>
  </si>
  <si>
    <t>495946-90</t>
  </si>
  <si>
    <t>www.levelfoils.com</t>
  </si>
  <si>
    <t>http://www.linkedin.com/company/level-hydrofoils</t>
  </si>
  <si>
    <t>2022: 3, 2023: 4, 2024: 4, 2025: 3</t>
  </si>
  <si>
    <t>299873-71P</t>
  </si>
  <si>
    <t>Arthur Yanai</t>
  </si>
  <si>
    <t>arthur@levelfoils.com</t>
  </si>
  <si>
    <t>28 Hanamal Street</t>
  </si>
  <si>
    <t>info@levelfoils.com</t>
  </si>
  <si>
    <t>HiCenter</t>
  </si>
  <si>
    <t>Version Bravo</t>
  </si>
  <si>
    <t>HiCenter (www.hicenter.co.il)</t>
  </si>
  <si>
    <t>Version Bravo (www.versionbravo.com)</t>
  </si>
  <si>
    <t>Ships or other waterborne vessels</t>
  </si>
  <si>
    <t>Lidwave Ltd.</t>
  </si>
  <si>
    <t>Innoviz Technologies, Ouster, Luminar Technologies</t>
  </si>
  <si>
    <t>Developer of 4D on-chip sensing technology designed to accelerate automation in diverse sectors including autonomous vehicles, industrial robotics and smart cities. The company's technology adds an extra dimension of information to traditional 3D sensing, allowing machines to perceive the world in a way, enabling businesses with precise and intricate 3D maps in difficult environments with the potential to be applied in various fields, including automotive, robotics and smart cities.</t>
  </si>
  <si>
    <t>Application Specific Semiconductors, Business/Productivity Software*, Electronic Equipment and Instruments, Multimedia and Design Software</t>
  </si>
  <si>
    <t>Autonomous cars, Construction Technology, Internet of Things, Robotics and Drones</t>
  </si>
  <si>
    <t>3d mapping, 3d sensors, disruptive technology, lidar sensor, machine perception, robotic technology, sensing technology</t>
  </si>
  <si>
    <t>458687-62</t>
  </si>
  <si>
    <t>www.lidwave.com</t>
  </si>
  <si>
    <t>http://www.linkedin.com/company/lidwaveil</t>
  </si>
  <si>
    <t>2021: 8, 2022: 6, 2023: 6, 2024: 15, 2025: 13</t>
  </si>
  <si>
    <t>250612-75P</t>
  </si>
  <si>
    <t>Uri Weiss</t>
  </si>
  <si>
    <t>Co-Founder &amp; Chief Scientist</t>
  </si>
  <si>
    <t>uri@lidwave.com</t>
  </si>
  <si>
    <t>Shlomo HaLevi 5 (Har Hotzvim)</t>
  </si>
  <si>
    <t>The company raised ILS 10 million of seed funding through combination of SAFE notes and equity in a deal led by NextGear Ventures and Jumpspeed Ventures on October 14, 2024. Beyond Electronics and 6 other investors also participated in the round. The funds will be used by company for the development of its optical chip, roll out the industry's first software-definable 4D LiDAR sensor, and expand its reach.</t>
  </si>
  <si>
    <t>Beyond Electronics, Drive TLV, Howard Morgan, Innovation Authority, Jumpspeed, Microtech Ventures, Next Gear Ventures, OurCrowd, Sapir Venture Partners, Teramips Technologies</t>
  </si>
  <si>
    <t>Beyond Electronics (beyond-electronics.com), Drive TLV (www.drivetlv.com/fastlane), Innovation Authority (innovationisrael.org.il), Jumpspeed (www.jumpspeed.co), Microtech Ventures (www.microtechventures.com), Next Gear Ventures (www.nextgear.fund), OurCrowd (www.ourcrowd.com), Sapir Venture Partners (www.sapirvp.com), Teramips Technologies (www.teramips.com)</t>
  </si>
  <si>
    <t>1.45x</t>
  </si>
  <si>
    <t>Measuring length, thickness or similar linear dimensions</t>
  </si>
  <si>
    <t>Lito Group</t>
  </si>
  <si>
    <t>Kisch Kirur</t>
  </si>
  <si>
    <t>Lito Group Ltd</t>
  </si>
  <si>
    <t>Provider of specialty vehicles and adaptation equipment. The company is engaged in the manufacture and sale of specialty vehicles, vehicle supplements and equipment for organizations and corporations in Israel.</t>
  </si>
  <si>
    <t>Industrial Supplies and Parts*, Machinery (B2B), Road</t>
  </si>
  <si>
    <t>Industrials, Manufacturing</t>
  </si>
  <si>
    <t>adaptation equipment, specialty vehicles</t>
  </si>
  <si>
    <t>165204-37</t>
  </si>
  <si>
    <t>Acre, Israel</t>
  </si>
  <si>
    <t>Middle East Tubes complex</t>
  </si>
  <si>
    <t>Industrial Zone</t>
  </si>
  <si>
    <t>Acre</t>
  </si>
  <si>
    <t>LMPlanner</t>
  </si>
  <si>
    <t>Developer of last mile delivery software utilizing data and AI for logistics optimization. LMPlanner provides route planning, warehouse selection, fleet management, and employee transportation management solutions for businesses. In addition, the company offers customized logistics management solutions. Their software is designed with user comfort in mind, emphasizing ergonomic design.</t>
  </si>
  <si>
    <t>custom software development, last mile delivery, last mile tracking, logistics optimization, logistics software, route planner, transport management system, vehicle fleet management, warehouse logistics software</t>
  </si>
  <si>
    <t>630721-09</t>
  </si>
  <si>
    <t>lastmileplanner.com</t>
  </si>
  <si>
    <t>http://www.linkedin.com/company/lastmileplanner</t>
  </si>
  <si>
    <t>11-אוג-2024</t>
  </si>
  <si>
    <t>LocatioNet</t>
  </si>
  <si>
    <t>LocatioNet Systems Ltd.</t>
  </si>
  <si>
    <t>Provider of mapping and location-enabled applications designed to help in mobile workforce management. The company's mapping and location-enabled applications include an off-board navigation application for mass market phones and a mobile geographic portal application, enabling clients to provide interfaces and link content databases to mobile operators.</t>
  </si>
  <si>
    <t>Application Software</t>
  </si>
  <si>
    <t>Application Software*, Automation/Workflow Software</t>
  </si>
  <si>
    <t>geographic information, location privacy, location-based application, mapping, mapping application, mobility tech</t>
  </si>
  <si>
    <t>54407-98</t>
  </si>
  <si>
    <t>www.locationet.com</t>
  </si>
  <si>
    <t>8 Kehilat Kiev Street</t>
  </si>
  <si>
    <t>The company was acquired by Telecom Italia for an undisclosed amount. The company is no longer actively tracked by PitchBook.</t>
  </si>
  <si>
    <t>TIM</t>
  </si>
  <si>
    <t>Aktiva Group, Bank of America, CDIB Capital Group, Ituran Location &amp; Control, Jerusalem Global Ventures, Net2Phone, Saints Capital</t>
  </si>
  <si>
    <t>Aktiva Group (www.aktiva-group.si), Bank of America (www.bankofamerica.com), CDIB Capital Group (www.cdibcapitalgroup.com), Ituran Location &amp; Control (www.ituran.com), Jerusalem Global Ventures (www.jgv.com), Net2Phone (www.net2phone.com), Saints Capital (www.saintscapital.com)</t>
  </si>
  <si>
    <t>Agile Equity(Advisor: General)</t>
  </si>
  <si>
    <t>01-ינו-1991</t>
  </si>
  <si>
    <t>26-מאי-2025</t>
  </si>
  <si>
    <t>15-מרץ-2001</t>
  </si>
  <si>
    <t>Lord International</t>
  </si>
  <si>
    <t>BSD Lord International Ltd.</t>
  </si>
  <si>
    <t>Manufacturer and designer of vehicle cooling systems intended to offer customers complete and customized cooling solutions, based on their specific needs. The company specializes in the design, manufacture and installation of customized automotive cooling solutions, including refrigeration systems for transport, air-conditioning installations, and a wide variety of automotive spare parts, plus expert knowledge about all aspects of automobiles, offering clients personalized, yet professional and efficient service.</t>
  </si>
  <si>
    <t>Automotive*, Industrial Supplies and Parts</t>
  </si>
  <si>
    <t>automotive cooling system, automotive cooling system distributor, refrigeration systems installer, refrigeration systems manufacturer, vehicle cooling equipment, vehicle cooling product</t>
  </si>
  <si>
    <t>472335-04</t>
  </si>
  <si>
    <t>www.bsd-lord-international.com</t>
  </si>
  <si>
    <t>http://www.linkedin.com/company/bsd-lord-international.</t>
  </si>
  <si>
    <t>Ra'anana, Israel</t>
  </si>
  <si>
    <t>Ra'anana</t>
  </si>
  <si>
    <t>0.17x</t>
  </si>
  <si>
    <t>13-ספט-2022</t>
  </si>
  <si>
    <t>M-ADAS</t>
  </si>
  <si>
    <t>Developer of AI-powered speed planning technology for drivers. M-ADAS offers personalized speed recommendations using AI to improve road safety and efficiency. Benefits to drivers include reduced accident risk, improved fuel economy, and time savings.</t>
  </si>
  <si>
    <t>550149-13</t>
  </si>
  <si>
    <t>m-adas.com</t>
  </si>
  <si>
    <t>http://www.linkedin.com/company/m-adas</t>
  </si>
  <si>
    <t>MAGAL</t>
  </si>
  <si>
    <t>Provider of transportation industry testing and experimentation equipment. The company is the exclusive representative of RACELOGIC and VEHICO, offering services such as testing, inspections, and equipment purchases. They serve industries including security, transportation, and start-ups.</t>
  </si>
  <si>
    <t>autonomous driving, autonomous vehicles, dynamic testing</t>
  </si>
  <si>
    <t>626526-91</t>
  </si>
  <si>
    <t>magaltech.com</t>
  </si>
  <si>
    <t>http://www.linkedin.com/company/magaltech-automotive-engineering</t>
  </si>
  <si>
    <t>2025: 50, 2026: 50</t>
  </si>
  <si>
    <t>Nataf, Israel</t>
  </si>
  <si>
    <t>Nataf</t>
  </si>
  <si>
    <t>3.47x</t>
  </si>
  <si>
    <t>Makalu Optics Ltd</t>
  </si>
  <si>
    <t>Luminar Technologies</t>
  </si>
  <si>
    <t>Manufacturer of light detection and ranging systems designed for autonomous vehicles and industrial applications. The company's system provides sensors that detect velocity and range simultaneously to build a three-dimensional map of the vehicle's environment to navigate without human intervention, enabling car manufacturers to meet industry requirements to achieve autonomy.</t>
  </si>
  <si>
    <t>Electrical Equipment, Electronic Equipment and Instruments*, Road</t>
  </si>
  <si>
    <t>Autonomous cars, Manufacturing</t>
  </si>
  <si>
    <t>automotive equipment, autonomous vehicles, laser light, lidar sensor, lidar vision systems, light detection sensors, light detection technology, remote sensing tools</t>
  </si>
  <si>
    <t>459970-66</t>
  </si>
  <si>
    <t>www.makaluoptics.com</t>
  </si>
  <si>
    <t>http://www.linkedin.com/company/makalu-optics</t>
  </si>
  <si>
    <t>2021: 8, 2022: 8, 2023: 8, 2024: 15</t>
  </si>
  <si>
    <t>253175-14P</t>
  </si>
  <si>
    <t>Yaron Addar</t>
  </si>
  <si>
    <t>Co-Founder &amp; Vice President of Software</t>
  </si>
  <si>
    <t>yaron@makaluoptics.com</t>
  </si>
  <si>
    <t>19 Eli Horovitz Street</t>
  </si>
  <si>
    <t>The company raised an undisclosed amount of seed funding from Terra Venture Partners in April 2021.</t>
  </si>
  <si>
    <t>Terra Venture Partners</t>
  </si>
  <si>
    <t>Terra Venture Partners (www.terravp.com)</t>
  </si>
  <si>
    <t>1.22x</t>
  </si>
  <si>
    <t>22-מאי-2025</t>
  </si>
  <si>
    <t>Maman-Cargo Terminals &amp; Handling</t>
  </si>
  <si>
    <t>Maman-Cargo Terminals &amp; Handling Ltd</t>
  </si>
  <si>
    <t>Provider of Integrated air freight &amp; logistics services based in Lod, Israel. The company offers supply chain management, warehousing &amp; distribution of goods, order processing, billing, collection &amp; processing of returned goods, among others. It provides land services for the import and export of cargo by air in Israel. The company also operates a container terminal that provides management solutions for a chain of supply, reception of containers, storage, and distribution, and bonded warehouses.</t>
  </si>
  <si>
    <t>Air, Logistics*</t>
  </si>
  <si>
    <t>air courier, freight service firm, freight service operations, freight service provider, logistics service, logistics service firm, ordering processing, supply chain management, warehousing</t>
  </si>
  <si>
    <t>165200-59</t>
  </si>
  <si>
    <t>www.maman.co.il</t>
  </si>
  <si>
    <t>2016: 2372, 2022: 443</t>
  </si>
  <si>
    <t>TTM 2Q2023</t>
  </si>
  <si>
    <t>443703-70P</t>
  </si>
  <si>
    <t>Dafna Cohen</t>
  </si>
  <si>
    <t>Chief Financial Officer, VP-Finance &amp; Business Development</t>
  </si>
  <si>
    <t>dcohen@mamanonline.maman.co.il</t>
  </si>
  <si>
    <t>Ben-Gurion Airport</t>
  </si>
  <si>
    <t>POB 58</t>
  </si>
  <si>
    <t>maman@maman.co.il</t>
  </si>
  <si>
    <t>El Al Airlines (TAE: ELAL) sold a 25% stake in the company to an undisclosed buyer for $15.4 million on May 27, 2020. The sale is aimed to improve liquidity as El Al Airlines struggles to survive the coronavirus crisis and obtain government loan guarantees to avoid bankruptcy.</t>
  </si>
  <si>
    <t>El Al Israel Airlines</t>
  </si>
  <si>
    <t>El Al Israel Airlines (www.elal.com)</t>
  </si>
  <si>
    <t>13-דצמ-1989</t>
  </si>
  <si>
    <t>27-מאי-2020</t>
  </si>
  <si>
    <t>2.48x</t>
  </si>
  <si>
    <t>23-אפר-2025</t>
  </si>
  <si>
    <t>Manam Applications</t>
  </si>
  <si>
    <t>Manam Applications Limited</t>
  </si>
  <si>
    <t>Developer of a business software application intended to be used for inspection of road or bridge network management. The company's application provides breakthrough technologies that help to reduce daily traffic congestion and road accident rate, deploy its state-of-the-art drone and sensor technology to survey existing infrastructure data analysis, and economic-engineering insights, enabling clients to reduce significantly maintenance costs and increase network capacity, life span, and safety.</t>
  </si>
  <si>
    <t>Infrastructure</t>
  </si>
  <si>
    <t>Business/Productivity Software, Infrastructure*, Road</t>
  </si>
  <si>
    <t>Industrials, Infrastructure, Robotics and Drones, SaaS</t>
  </si>
  <si>
    <t>business software, data analysis, network management, quality control system, software application</t>
  </si>
  <si>
    <t>483519-61</t>
  </si>
  <si>
    <t>www.manamapps.com</t>
  </si>
  <si>
    <t>http://www.linkedin.com/company/manamapps</t>
  </si>
  <si>
    <t>2021: 3</t>
  </si>
  <si>
    <t>280682-65P</t>
  </si>
  <si>
    <t>Gilad Shloosh</t>
  </si>
  <si>
    <t>gshloosh@manamapps.com</t>
  </si>
  <si>
    <t>15 Hatarshish Street</t>
  </si>
  <si>
    <t>Caesarea Industrial Park, Post Office Box 3544</t>
  </si>
  <si>
    <t>office@manam.co.il</t>
  </si>
  <si>
    <t>31-ינו-2025</t>
  </si>
  <si>
    <t>Image data processing or generation, in general</t>
  </si>
  <si>
    <t>Mariculture Systems</t>
  </si>
  <si>
    <t>Mariculture Systems Ltd.</t>
  </si>
  <si>
    <t>Developer of marine platform designed for sea farming located in the open sea. The company's platform provides an efficient and comprehensive solution for sea farming in unprecedented magnitude, thereby enabling complete control over the entire growth process, while taking into account environmental and ecological aspects.</t>
  </si>
  <si>
    <t>Business/Productivity Software, Marine*</t>
  </si>
  <si>
    <t>Life Sciences</t>
  </si>
  <si>
    <t>fish farming system, mariculture company, mariculture systems, marine platform, marine technology, offshore fishing</t>
  </si>
  <si>
    <t>538223-77</t>
  </si>
  <si>
    <t>www.mariculture-systems.com</t>
  </si>
  <si>
    <t>http://www.linkedin.com/company/mariculture-systems-ltd</t>
  </si>
  <si>
    <t>81332-02P</t>
  </si>
  <si>
    <t>Yaron Bar-Tal</t>
  </si>
  <si>
    <t>23 Street Bar Cochva Street</t>
  </si>
  <si>
    <t>office@mariculture-systems.com</t>
  </si>
  <si>
    <t>31-יול-2025</t>
  </si>
  <si>
    <t>Marine Edge</t>
  </si>
  <si>
    <t>Developer of a power management system designed for ships that aim to improve propulsive efficiency. The company's machine-learning-based hybrid propulsion system helps cargo ships reduce fuel consumption and carbon emissions significantly, enabling ship owners to reduce the fuel consumption and emissions of marine transport vessels.</t>
  </si>
  <si>
    <t>Business/Productivity Software*, Marine</t>
  </si>
  <si>
    <t>energy systems, machine learning tech, marine technology, marine technology platform, marine transport, power management system</t>
  </si>
  <si>
    <t>484625-44</t>
  </si>
  <si>
    <t>www.marine-edge.com</t>
  </si>
  <si>
    <t>http://www.linkedin.com/company/marine-edge</t>
  </si>
  <si>
    <t>2019: 2, 2020: 3, 2021: 3, 2022: 7, 2023: 5, 2025: 9</t>
  </si>
  <si>
    <t>284271-67P</t>
  </si>
  <si>
    <t>Nevo Dotan</t>
  </si>
  <si>
    <t>nd@marine-edge.com</t>
  </si>
  <si>
    <t>28 HaNamal Street</t>
  </si>
  <si>
    <t>info@marine-edge.com</t>
  </si>
  <si>
    <t>The company raised an undisclosed amount of Series 1 venture funding from EPS, Mizrahi Enterprises, and NextLeap Ventures on July 20, 2022. Good Company and EPS Ventures also participated in the round.</t>
  </si>
  <si>
    <t>EPS, EPS Ventures, Good Company (Israel), HiCenter, Mizrahi Enterprises, NextLeap Ventures, Techstars</t>
  </si>
  <si>
    <t>EPS (www.eps.co.jp), Good Company (Israel) (www.gc-vc.com), HiCenter (www.hicenter.co.il), Mizrahi Enterprises (www.mizrahienterprises.com), NextLeap Ventures (www.nextleapventures.com), Techstars (www.techstars.com)</t>
  </si>
  <si>
    <t>Yigal Arnon(Legal Advisor)</t>
  </si>
  <si>
    <t>20-יול-2022</t>
  </si>
  <si>
    <t>Series 1</t>
  </si>
  <si>
    <t>Mayer Cars and Trucks</t>
  </si>
  <si>
    <t>Mayer Group</t>
  </si>
  <si>
    <t>Mayer Cars and Trucks Co. Ltd.</t>
  </si>
  <si>
    <t>Importer and retailer of cars and trucks based in Tel Aviv, Israel. The company distributes and sells branded cars, old cars, used cars, motorbikes, public transport and buses along with a variety of complementary services such as leasing, trade-in, insurance and financing services.</t>
  </si>
  <si>
    <t>automobile distribution, automobile seller, automotive dealership, car seller, public transport, retailer, used cars</t>
  </si>
  <si>
    <t>159067-72</t>
  </si>
  <si>
    <t>www.mct.co.il</t>
  </si>
  <si>
    <t>http://www.linkedin.com/company/mayers-cars-and-trucks</t>
  </si>
  <si>
    <t>2012: 1886, 2017: 2500</t>
  </si>
  <si>
    <t>Hamizrach Holding</t>
  </si>
  <si>
    <t>319666-24P</t>
  </si>
  <si>
    <t>Tomer Goldner</t>
  </si>
  <si>
    <t>goldnert@mct.co.il</t>
  </si>
  <si>
    <t>Hamasger Street 50</t>
  </si>
  <si>
    <t>Shahar and Kass families sold a 14% stake in the company to Phoenix Insurance Company (TASE: PHOE1) for ILS 574 million on October 3, 2022.</t>
  </si>
  <si>
    <t>Phoenix Insurance Company (Multi-Line Insurance)</t>
  </si>
  <si>
    <t>Phoenix Insurance Company (Multi-Line Insurance) (www.fnx.co.il)</t>
  </si>
  <si>
    <t>01-מאי-2017</t>
  </si>
  <si>
    <t>10.51x</t>
  </si>
  <si>
    <t>5.80x</t>
  </si>
  <si>
    <t>15.22x</t>
  </si>
  <si>
    <t>04-אוג-2025</t>
  </si>
  <si>
    <t>MDGo</t>
  </si>
  <si>
    <t>Endovitech</t>
  </si>
  <si>
    <t>MDGO Ltd.</t>
  </si>
  <si>
    <t>Developer of a sensor designed to save lives and automate the claim process by providing crash analysis for car accidents. The company's sensor autonomously sends detailed accident information to first responders and an in-depth objective damages report to insurers within moments of impact, enabling emergency personnel to respond immediately with medical attention to policyholders and giving insurers full control over the entire claims process.</t>
  </si>
  <si>
    <t>Electronic Equipment and Instruments*, Media and Information Services (B2B)</t>
  </si>
  <si>
    <t>InsurTech, Mobility Tech</t>
  </si>
  <si>
    <t>accident cover, accident detection app, accident repair, accident sensor, administration and claims, car damage, car damage claims, claims and settlement</t>
  </si>
  <si>
    <t>234073-36</t>
  </si>
  <si>
    <t>www.mdgo.io</t>
  </si>
  <si>
    <t>2021: 33, 2022: 45, 2023: 34</t>
  </si>
  <si>
    <t>The company is no longer actively in business as of September 11, 2023. The company is no longer tracked by PitchBook.</t>
  </si>
  <si>
    <t>Bessemer Venture Partners, Drive TLV, Goldbell Investments, Hebrew University Entrepreneurship Center, Hilltop Venture Partners, Hyundai CRADLE, Hyundai Motor, ICON (Other Commercial Services), Jumpspeed, J-Ventures, MS&amp;AD Ventures, Next Gear Ventures, Plug and Play Tech Center, S. Shlomo Holdings, Target Global, Union Tech Ventures, Volvo Cars Technology Fund</t>
  </si>
  <si>
    <t>Bessemer Venture Partners (www.bvp.com), Drive TLV (www.drivetlv.com/fastlane), Hebrew University Entrepreneurship Center (www.hustart.com), Hilltop Venture Partners (www.hilltopventurepartners.com), Hyundai CRADLE (www.cradleinc.com), Hyundai Motor (www.hyundai.com), ICON (Other Commercial Services) (www.iconsv.org), Jumpspeed (www.jumpspeed.co), J-Ventures (j-ventures.com), MS&amp;AD Ventures (msad.vc), Next Gear Ventures (www.nextgear.fund), Plug and Play Tech Center (www.plugandplaytechcenter.com), S. Shlomo Holdings (www.shlomo.co.il), Target Global (www.targetglobal.vc), Union Tech Ventures (uniontech.vc), Volvo Cars Technology Fund (group.volvocars.com)</t>
  </si>
  <si>
    <t>11-ספט-2023</t>
  </si>
  <si>
    <t>06-דצמ-2024</t>
  </si>
  <si>
    <t>Healthcare informatics</t>
  </si>
  <si>
    <t>14-נוב-2018</t>
  </si>
  <si>
    <t>169358-95</t>
  </si>
  <si>
    <t>www.fiat.co.il</t>
  </si>
  <si>
    <t>2.35x</t>
  </si>
  <si>
    <t>15-מאי-2024</t>
  </si>
  <si>
    <t>MegaTOK</t>
  </si>
  <si>
    <t>Installer of electric vehicle charging stations for home, commercial, and public use. The company offers fast charging stations, personalized equipment, consultations, warranties, and servicing for both in and out-of-warranty stations.</t>
  </si>
  <si>
    <t>550548-64</t>
  </si>
  <si>
    <t>megatok.com</t>
  </si>
  <si>
    <t>http://www.linkedin.com/company/megatok</t>
  </si>
  <si>
    <t>0.23x</t>
  </si>
  <si>
    <t>Mentfield Logistics Group</t>
  </si>
  <si>
    <t>Mentfield</t>
  </si>
  <si>
    <t>Mentfield Logistics Group Ltd</t>
  </si>
  <si>
    <t>Provider of logistics and freight forwarding services intended for electronics, pharmaceuticals, defense, automotive, textiles, and agriculture sectors. The company offers air, sea, and road freight, warehousing, customs brokerage, and insurance services, enabling its clients to track shipments and live progress in real-time through software.</t>
  </si>
  <si>
    <t>Air, Logistics*, Marine, Road</t>
  </si>
  <si>
    <t>cargo tracking, courier service, freight forwarding, freight forwarding company, freight transportation arrangement, logistics services, logistics supply, supply chain management</t>
  </si>
  <si>
    <t>127939-24</t>
  </si>
  <si>
    <t>www.mentfield.com</t>
  </si>
  <si>
    <t>http://www.linkedin.com/company/mentfield-logistics-group</t>
  </si>
  <si>
    <t>281658-16P</t>
  </si>
  <si>
    <t>Keren Saranga</t>
  </si>
  <si>
    <t>saranga.k@mentfield.com</t>
  </si>
  <si>
    <t>Azur, Israel</t>
  </si>
  <si>
    <t>Hapardes 11 Street</t>
  </si>
  <si>
    <t>info@mentfield.com</t>
  </si>
  <si>
    <t>The company was acquired by Israel Legacy Partners through an LBO on November 16, 2021 for an undisclosed amount.</t>
  </si>
  <si>
    <t>Israel Legacy Partners</t>
  </si>
  <si>
    <t>Israel Legacy Partners (www.israellegacy.co.il)</t>
  </si>
  <si>
    <t>16-נוב-2021</t>
  </si>
  <si>
    <t>2.78x</t>
  </si>
  <si>
    <t>Metro Motor Marketing</t>
  </si>
  <si>
    <t>Metro Motor, Metro</t>
  </si>
  <si>
    <t>Metro Motor Marketing Ltd.</t>
  </si>
  <si>
    <t>Importer and distributor of motorcycles and operational vehicles. The company owns and operates a network of 40 garages and distributors that are spread all over Israel with five sales and service centers.</t>
  </si>
  <si>
    <t>Automotive*, Other Commercial Services</t>
  </si>
  <si>
    <t>automobile distributor, automobile importer, operational vehicles, vehicle distributor, vehicle importer</t>
  </si>
  <si>
    <t>58742-02</t>
  </si>
  <si>
    <t>www.metro.co.il</t>
  </si>
  <si>
    <t>184738-96P</t>
  </si>
  <si>
    <t>Gadi Aviram</t>
  </si>
  <si>
    <t>Founder, Chief Executive Officer &amp; Chairman</t>
  </si>
  <si>
    <t>gadi@metro.co.il</t>
  </si>
  <si>
    <t>Atir Yeda 24 street</t>
  </si>
  <si>
    <t>FIMI Opportunity Funds sold a 33.3% stake in the company to Carasso Motors (TAE: CRSO) for NIS 180 million in July 2011.</t>
  </si>
  <si>
    <t>Carasso Motors, Lamdan Holdings</t>
  </si>
  <si>
    <t>FIMI Opportunity Funds</t>
  </si>
  <si>
    <t>Carasso Motors (www.freesbe.com), Lamdan Holdings (www.lamdanholdings.com)</t>
  </si>
  <si>
    <t>FIMI Opportunity Funds (www.fimi.co.il)</t>
  </si>
  <si>
    <t>01-אוג-2007</t>
  </si>
  <si>
    <t>01-יול-2011</t>
  </si>
  <si>
    <t>15-אוק-2024</t>
  </si>
  <si>
    <t>Metropoline Public Transport</t>
  </si>
  <si>
    <t>Metropoline Public Transport Ltd.</t>
  </si>
  <si>
    <t>Provider of public transportation services focused on urban transit. The company operates a public bus transport system.</t>
  </si>
  <si>
    <t>bus transportation, public bus, public bus service, public transportation, urban transit, urban transportation</t>
  </si>
  <si>
    <t>491749-12</t>
  </si>
  <si>
    <t>www.metropoline.com</t>
  </si>
  <si>
    <t>3 Netiv Haavot</t>
  </si>
  <si>
    <t>The company, a subsidiary of Automotive Equipment and Vehicles, was acquired by Bon Tour, via its financial sponsor Shamrock Israel Growth Fund, through a NIS 110 million LBO on January 28, 2021. The transaction values the company at NIS 220 million. The company is no longer actively tracked by PitchBook.</t>
  </si>
  <si>
    <t>Automotive Equipment and Vehicles</t>
  </si>
  <si>
    <t>Shamrock Israel Growth Fund</t>
  </si>
  <si>
    <t>Automotive Equipment and Vehicles (www.aev.co.il)</t>
  </si>
  <si>
    <t>Shamrock Israel Growth Fund (www.shamrockisrael.com)</t>
  </si>
  <si>
    <t>28-ינו-2021</t>
  </si>
  <si>
    <t>MGD (Israel)</t>
  </si>
  <si>
    <t>MGD Ltd.</t>
  </si>
  <si>
    <t>Provider of bus components. The company is engaged in importing bus components and completed buses based on chasses of leading European manufacturers, such as Mercedes and Scania.</t>
  </si>
  <si>
    <t>bus components, bus parts, import</t>
  </si>
  <si>
    <t>64209-34</t>
  </si>
  <si>
    <t>The company was in talks to be acquired by Emcol for an undisclosed amount on June 17, 2014. Subsequently the deal was cancelled.</t>
  </si>
  <si>
    <t>17-יונ-2014</t>
  </si>
  <si>
    <t>Mia Dynamics (TAE: MIA)</t>
  </si>
  <si>
    <t>Gama Communications Production Ltd, Go D M Investments Ltd</t>
  </si>
  <si>
    <t>Mia Dynamics Ltd</t>
  </si>
  <si>
    <t>Mia Dynamics Motors Ltd delivers a revolutionary quad-wheel platform that is tailored to the future urban smart mobility landscape.</t>
  </si>
  <si>
    <t>electric vehicle, electric vehicle design, electric vehicle product, e-vehicles developer, e-vehicles developing firm, micro e-vehicles, micro e-vehicles developer</t>
  </si>
  <si>
    <t>493230-61</t>
  </si>
  <si>
    <t>www.miadynamics.com</t>
  </si>
  <si>
    <t>http://www.linkedin.com/company/mia-dynamics</t>
  </si>
  <si>
    <t>MIA</t>
  </si>
  <si>
    <t>293717-44P</t>
  </si>
  <si>
    <t>Itzik Calderon</t>
  </si>
  <si>
    <t>3 Walter Moses Street</t>
  </si>
  <si>
    <t>Alon Towers</t>
  </si>
  <si>
    <t>The company completed its initial public offering on the Tel Aviv Stock Exchange under the ticker symbol of MIA on September 5, 1993.</t>
  </si>
  <si>
    <t>05-ספט-1993</t>
  </si>
  <si>
    <t>1.02x</t>
  </si>
  <si>
    <t>2.00x</t>
  </si>
  <si>
    <t>08-ספט-2025</t>
  </si>
  <si>
    <t>Mida Software solutions</t>
  </si>
  <si>
    <t>Provider of HR and recruitment software solutions designed to streamline talent acquisition and human resource management. The company offers software for talent acquisition, human resource management, vehicle fleet management, and cloud-based HR outsourcing, serving businesses and organizations. Their products include systems for headhunting, talent recruitment, HR management, vehicle fleet management, and nursing service management. They also provide support through interactive channels.</t>
  </si>
  <si>
    <t>Consulting Services (B2B)</t>
  </si>
  <si>
    <t>Consulting Services (B2B)*</t>
  </si>
  <si>
    <t>hiring software, recruitment system</t>
  </si>
  <si>
    <t>774081-82</t>
  </si>
  <si>
    <t>mida.co.il</t>
  </si>
  <si>
    <t>http://www.linkedin.com/company/-mida</t>
  </si>
  <si>
    <t>2025: 20, 2026: 20</t>
  </si>
  <si>
    <t>Qiryat Mozqin, Israel</t>
  </si>
  <si>
    <t>POB 606</t>
  </si>
  <si>
    <t>Qiryat Mozqin</t>
  </si>
  <si>
    <t>6.77x</t>
  </si>
  <si>
    <t>11.04x</t>
  </si>
  <si>
    <t>Midnight Robotics</t>
  </si>
  <si>
    <t>SoftRide</t>
  </si>
  <si>
    <t>Midnight Robotics Technologies, Inc.</t>
  </si>
  <si>
    <t>Developer of farming robotic technology designed to solve problems by automating tasks. The company's products include tractor autonomy kits with both manual and autonomous operations, automatic sprayers, and data collector robots, enabling farmers to avoid employee shortages, inefficient operation, expensive human mistakes, and increasing costs.</t>
  </si>
  <si>
    <t>Automotive*, Electronic Equipment and Instruments, IT Consulting and Outsourcing</t>
  </si>
  <si>
    <t>Artificial Intelligence &amp; Machine Learning, Internet of Things, Mobility Tech, Robotics and Drones</t>
  </si>
  <si>
    <t>agriculture management, agriculture management firm, agriculture management service, agriculture management software, farming robot developer, farming robot firm, farming robotics, intelligent robotics, robotics &amp; smart field equipment</t>
  </si>
  <si>
    <t>338699-80</t>
  </si>
  <si>
    <t>www.midnightrobotics.tech</t>
  </si>
  <si>
    <t>2020: 11, 2021: 12, 2022: 6</t>
  </si>
  <si>
    <t>Shevah Street 7</t>
  </si>
  <si>
    <t>The company was acquired by FieldIn for an undisclosed amount on November 17, 2021. With this acquisition, FieldIn intends to make farm management more autonomous. The company is no longer actively tracked by PitchBook.</t>
  </si>
  <si>
    <t>FieldIn</t>
  </si>
  <si>
    <t>CityZone (Israel), Drive TLV, Next Gear Ventures, PortXL World Port Innovator, SBB CFF FFS</t>
  </si>
  <si>
    <t>CityZone (Israel) (city-zone.co), Drive TLV (www.drivetlv.com/fastlane), Next Gear Ventures (www.nextgear.fund), PortXL World Port Innovator (www.portxl.org), SBB CFF FFS (www.sbb.ch)</t>
  </si>
  <si>
    <t>17-נוב-2021</t>
  </si>
  <si>
    <t>19-דצמ-2024</t>
  </si>
  <si>
    <t>Mobileye Global (NAS: MBLY)</t>
  </si>
  <si>
    <t>Mobileye Holdings</t>
  </si>
  <si>
    <t>Mobileye Global Inc.</t>
  </si>
  <si>
    <t>Ambarella, Arbe Robotics, Aeva Technologies, Velodyne Lidar, WeRide (Automotive), Torc Robotics, Ottomatika, Drive.ai, Roadstar.AI, Optimus Ride, Cipia, Zoox, Movidius, Waymo, Princeton Lightwave</t>
  </si>
  <si>
    <t>Mobileye Global Inc engages in the development and deployment of ADAS and autonomous driving technologies and solutions. It is building a portfolio of end-to-end ADAS and autonomous driving solutions to provide the capabilities needed for the future of autonomous driving, leveraging a comprehensive suite of purpose-built software and hardware technologies. The company's reportable operating segment are Mobileye and Others. Its solutions comprise Driver Assist, Cloud-Enhanced Driver Assist, Mobileye SuperVision Lite, Mobileye SuperVision, Mobileye Chauffeur, Mobileye Drive, Self-Driving System &amp; Vehicles. It derives maximum revenue from Mobileye Segment.</t>
  </si>
  <si>
    <t>Application Software, Application Specific Semiconductors, Automotive, Business/Productivity Software*</t>
  </si>
  <si>
    <t>Artificial Intelligence &amp; Machine Learning, Autonomous cars, Big Data, Industrials, Mobility Tech, TMT</t>
  </si>
  <si>
    <t>accident reduction, autonomous car, autonomous driving, autonomous machine, autonomous vehicle, collision avoidance system, computer vision, drives assistance, machine learning, mobility tech</t>
  </si>
  <si>
    <t>12402-73</t>
  </si>
  <si>
    <t>www.mobileye.com</t>
  </si>
  <si>
    <t>http://www.linkedin.com/company/mobileye</t>
  </si>
  <si>
    <t>2000: 185, 2006: 185, 2008: 185, 2013: 185, 2017: 660, 2018: 1400, 2020: 2000, 2021: 1574, 2022: 3500, 2023: 3700, 2024: 3900</t>
  </si>
  <si>
    <t>MBLY</t>
  </si>
  <si>
    <t>Intel</t>
  </si>
  <si>
    <t>FY 2025</t>
  </si>
  <si>
    <t>353540-53P</t>
  </si>
  <si>
    <t>Moran Rojansky</t>
  </si>
  <si>
    <t>Chief Financial Officer, Finance &amp; Chief Accounting Officer, Accounting</t>
  </si>
  <si>
    <t>moranr@mobileye.com</t>
  </si>
  <si>
    <t>Street 1</t>
  </si>
  <si>
    <t>Shlomo Momo ha-Levi Street 1</t>
  </si>
  <si>
    <t>Intel (NAS: INTC) sold a 6.2% stake in the company (NAS:MBLY) for $825 on July 10, 2025. A total of 50,000,000 shares were sold at a price of $16.5 per share. The company will not receive any proceeds from the offering. Previously, Intel (NAS: INTC) entered into an agreement to sell an undisclosed stake in the company (NAS: MBLY) on September 6, 2024. The company will not receive any proceeds from the offering. Subsequently, the offering was withdrawn on September 19, 2024.</t>
  </si>
  <si>
    <t>Intel, Yissum</t>
  </si>
  <si>
    <t>ADIP, Alumni Ventures, Bank Leumi le-Israel, BlackRock Private Equity Partners, Blackstone, Catalyst Investments, Cinco Capital, Daniel Gutenberg, Enterprise Mobility Ventures, Enterprise Rent A Car Canada, Fidelity, Gandyr Investments, General Atlantic, Gil Agmon, GlenRock Israel, Goldman Sachs Asset Management, Kilmahew Ventures, Motorola Solutions Venture Capital, Naftali Investments, Sailing Capital, Union Tech Ventures, Wellington Management</t>
  </si>
  <si>
    <t>Intel (www.intel.com), Yissum (www.yissum.co.il)</t>
  </si>
  <si>
    <t>ADIP (www.adipvc.com), Alumni Ventures (www.av.vc), Bank Leumi le-Israel (leumi.co.il/en), Blackstone (www.blackstone.com), Catalyst Investments (www.catalyst-fund.com), Daniel Gutenberg (www.gutenberg.ch), Enterprise Rent A Car Canada (www.enterprisecarshare.com), Fidelity (www.fidelity.com), Gandyr Investments (www.gandyr.com/en/gandyr-investments), General Atlantic (www.generalatlantic.com), GlenRock Israel (www.grg.co.il), Goldman Sachs Asset Management (am.gs.com), Kilmahew Ventures (www.kilmahew.com), Sailing Capital (www.sailing-capital.com.hk), Union Tech Ventures (uniontech.vc), Wellington Management (www.wellington.com)</t>
  </si>
  <si>
    <t>CastleOak Securities(Advisor: General), CL King &amp; Associates(Advisor: General), Commerzbank(Legal Advisor), Credit Agricole Corporate &amp; Investment Bank(Advisor: General), Cukierman &amp; Co. Investment House(Advisor: General), GK Investor &amp; Public Relations(Advisor: General), Mischler Financial Group(Advisor: General)</t>
  </si>
  <si>
    <t>Academy Securities(Underwriter), Baker McKenzie(Legal Advisor), Baltimore, Maryland. Skadden, Arps, Slate, Meagher &amp; Flom LLPn, Arps,Slate(Legal Advisor), Barclays(Underwriter), Barclays Investment Bank(Underwriter), Barclays Leveraged Finance(Underwriter), Barclays Wealth &amp; Investment Management (Latam Caribbean Business)(Underwriter), Blaylock Van(Underwriter), BNP Paribas Securities Services(Underwriter), BofA Securities(Underwriter), Cabrera Capital Markets(Underwriter), CastleOak Securities(Advisor: General), China International Capital Corporation(Underwriter), Citibank(Underwriter), Citigroup Global Markets Deutschland(Underwriter), CL King &amp; Associates(Advisor: General), Commerz Markets(Underwriter), Compass Lexecon(Consulting), Credit Agricole Corporate &amp; Investment Bank(Advisor: General), Davis Polk(Legal Advisor), Deutsche Bank Securities(Underwriter), Dominari Securities(Advisor: General), Drexel Hamilton(Underwriter), Evercore Group(Underwriter), Goldfarb Gross Seligman(Legal Advisor), Guzman &amp; Company(Underwriter), Hagai Greenspoon &amp; Co.(Legal Advisor), Independence Point Advisors(Underwriter), J.P. Morgan (New York)(Underwriter), J.P. Morgan Securities(Underwriter), Joseph Gunnar &amp; Co.(Advisor: General), Kesselman &amp; Kesselman C.P.A(Accounting), Livingston Securities(Underwriter), Loop Capital Markets(Underwriter), Meitar Law Offices(Legal Advisor), Mischler Financial Group(Advisor: General), Mitsubishi UFJ Securities Holdings(Underwriter), Mizuho Americas(Underwriter), Mizuho Securities(Underwriter), Morgan Stanley(Advisor: General), Morrison &amp; Foerster(Legal Advisor), Needham (Investment Bank)(Underwriter), Nomura Greentech Capital Advisors(Advisor: General), Nomura Holdings(Underwriter), PJT Partners(Underwriter), Poalim Equity(Advisor: General), PwC(Accounting), Raymond James Financial (Saint Petersburg)(Advisor: General), RBC Capital Markets(Underwriter), Robert W. Baird &amp; Co.(Underwriter), Siebert Williams Shank &amp; Company(Underwriter), Skadden, Arps, Slate, Meagher &amp; Flom(Legal Advisor), TD Cowen(Advisor: General), TD Securities(Underwriter), The Goldman Sachs Group(Underwriter), Tigress Financial Partners(Underwriter), Van Campen Liem(Legal Advisor), Wells Fargo(Underwriter), Wells Fargo Securities(Underwriter), William Blair &amp; Company(Underwriter), Wolfe Research(Underwriter), WR Securities(Advisor: General)</t>
  </si>
  <si>
    <t>10-יול-2025</t>
  </si>
  <si>
    <t>Secondary Transaction - Open Market</t>
  </si>
  <si>
    <t>08-יול-2013</t>
  </si>
  <si>
    <t>99.74x</t>
  </si>
  <si>
    <t>58.92x</t>
  </si>
  <si>
    <t>140.57x</t>
  </si>
  <si>
    <t>Conjoint control of vehicle sub-units of different type or different function, Electric digital data processing, Image or video recognition or understanding, Measuring distances, levels or bearings, Systems for controlling or regulating non-electric variables</t>
  </si>
  <si>
    <t>26-אוק-2022</t>
  </si>
  <si>
    <t>MobiXtron</t>
  </si>
  <si>
    <t>MobiXtron Inc.</t>
  </si>
  <si>
    <t>Provider of power generation services intended for reliable and efficient EV charging. The company offers flexible off-grid energy solutions that integrate eco-friendly fuels, enhancing environmental profiles, particularly in locations with unstable power supply, and ensuring users never face power shortages, enabling customers to benefit from reliable and scalable energy for EV charging and other applications, with technology that seamlessly integrates into existing systems and operates with various fuel types.</t>
  </si>
  <si>
    <t>Exploration, Production and Refining</t>
  </si>
  <si>
    <t>Energy Production</t>
  </si>
  <si>
    <t>Electric Utilities, Electrical Equipment, Energy Production*</t>
  </si>
  <si>
    <t>eco-friendly fuel, environmental energy tech, ev charging station, off-grid energy generation, power generation solution, power type battery</t>
  </si>
  <si>
    <t>769609-90</t>
  </si>
  <si>
    <t>www.mobixtron.com</t>
  </si>
  <si>
    <t>http://www.linkedin.com/company/mobixtron</t>
  </si>
  <si>
    <t>439749-91P</t>
  </si>
  <si>
    <t>Dovik Nissenhaus</t>
  </si>
  <si>
    <t>0.30x</t>
  </si>
  <si>
    <t>Moovit App Global</t>
  </si>
  <si>
    <t>Moovit App Global Ltd.</t>
  </si>
  <si>
    <t>Skipr, Transit (Application Software), Tummoc, VuLog, Iomob, Ridlr, Door2Door, Spare Labs, MaaS Global, Reach Now, DiDi Global, Trafi, Rome2rio, Citymapper, TripView Technology</t>
  </si>
  <si>
    <t>Developer of a mobility application intended to empower cities, businesses and people everywhere to enjoy a better quality of life by removing the limitations and barriers of urban mobility. The company's application combines all options for real-time trip planning and payment. as well as offers white label applications including multimodal trip planning, real-time arrivals, customized micro-mobility integrations and payment integration options, thereby helping governments, cities, transit agencies, and private companies reducing congestion, growing ridership and increasing efficiency and asset utilization, ultimately shifting car drivers to consume public and shared mobility.</t>
  </si>
  <si>
    <t>Application Software, Business/Productivity Software*, Database Software, Information Services (B2C), Other Transportation</t>
  </si>
  <si>
    <t>bus booking, mobility tech, multimodal booking, public mobility solutions, public transit data, public transit database, public transit services, public transit technology, public transportation, shuttle and multimodal booking, transit information, trip planner</t>
  </si>
  <si>
    <t>58718-71</t>
  </si>
  <si>
    <t>www.moovit.com</t>
  </si>
  <si>
    <t>http://www.linkedin.com/company/moovit</t>
  </si>
  <si>
    <t>2012: 10, 2013: 29, 2014: 49, 2015: 95, 2017: 100, 2018: 100, 2019: 150, 2020: 200, 2023: 360, 2024: 225</t>
  </si>
  <si>
    <t>58154-05P</t>
  </si>
  <si>
    <t>Nir Bezalel</t>
  </si>
  <si>
    <t>2, Ilan Ramon Street</t>
  </si>
  <si>
    <t>office@moovit.com</t>
  </si>
  <si>
    <t>The company was acquired by Intel (NAS: INTC) for $915 million on May 4, 2020. The acquisition enables Intel to develop self-driving robotaxis that could take to the streets in early 2022.</t>
  </si>
  <si>
    <t>Ashton Kutcher, BMW i Ventures, BRM Group, Gemini Israel Ventures, Groupe Arnault, Guy Oseary, Hanaco Ventures, Intel Capital, Jerusalem Global Ventures, Keolis, Lurra Capital, LVL1 Group, LVMH Moet Hennessy Louis Vuitton, NGP Capital, Sequoia Capital, Shefa Capital, Sound Ventures, Vintage (Private Equity)</t>
  </si>
  <si>
    <t>BMW i Ventures (www.bmwiventures.com), BRM Group (www.brm.com), Gemini Israel Ventures (www.gemini.co.il), Hanaco Ventures (www.hanacovc.com), Intel Capital (www.intelcapital.com), Jerusalem Global Ventures (www.jgv.com), Keolis (www.keolis.com), Lurra Capital (lurracapital.com), LVL1 Group (lvl1group.com), LVMH Moet Hennessy Louis Vuitton (www.lvmh.com), NGP Capital (www.ngpcap.com), Sequoia Capital (sequoiacap.com), Shefa Capital (www.shefacap.com), Sound Ventures (www.soundventures.com), Vintage (Private Equity) (www.vintage-ip.com)</t>
  </si>
  <si>
    <t>Goodwin Procter(Legal Advisor), Gross &amp; Co.(Legal Advisor)</t>
  </si>
  <si>
    <t>18-אפר-2012</t>
  </si>
  <si>
    <t>04-מאי-2020</t>
  </si>
  <si>
    <t>15-מאי-2025</t>
  </si>
  <si>
    <t>Information and communication technology [ict] specially adapted for administrative, commercial, financial, managerial or supervisory purposes, Measuring distances, levels or bearings, Traffic control systems, Wireless communication networks</t>
  </si>
  <si>
    <t>MotoRad</t>
  </si>
  <si>
    <t>Fishman Thermo Technologies</t>
  </si>
  <si>
    <t>MotoRad Ltd.</t>
  </si>
  <si>
    <t>Stant (Michigan)</t>
  </si>
  <si>
    <t>Manufacturer of cooling system products such as thermostats and caps intended to serve the automotive industries. The company specializes in thermostats, inserts, wax elements, fuel caps and radiator caps, enabling clients in automotive retail chains and aftermarket industries to offer reliable and durable products for more longevity of the vehicles.</t>
  </si>
  <si>
    <t>automobile product, cooling system, engine management solutions, fuel caps, radiator caps, thermostats systems</t>
  </si>
  <si>
    <t>57401-92</t>
  </si>
  <si>
    <t>www.motorad.com</t>
  </si>
  <si>
    <t>http://www.linkedin.com/company/motorad</t>
  </si>
  <si>
    <t>162830-17P</t>
  </si>
  <si>
    <t>Sandra Ziser</t>
  </si>
  <si>
    <t>Chief Financial Officer &amp; Israel Site Director</t>
  </si>
  <si>
    <t>sandra@motorad.com</t>
  </si>
  <si>
    <t>Misgav, Israel</t>
  </si>
  <si>
    <t>Bar-Lev Industrial Park</t>
  </si>
  <si>
    <t>info@motorad.com</t>
  </si>
  <si>
    <t>The company was acquired by Fortissimo Capital through an estimated $159 million LBO on October 29, 2015.</t>
  </si>
  <si>
    <t>Bank Leumi le-Israel, Origo Partners, Tene Capital</t>
  </si>
  <si>
    <t>Bank Leumi le-Israel (leumi.co.il/en), Origo Partners (www.origopartners.com), Tene Capital (www.tenecapital.com)</t>
  </si>
  <si>
    <t>01-אפר-2009</t>
  </si>
  <si>
    <t>29-אוק-2015</t>
  </si>
  <si>
    <t>Secondary Buyout</t>
  </si>
  <si>
    <t>Motoro Security</t>
  </si>
  <si>
    <t>Motoro Security, Ltd.</t>
  </si>
  <si>
    <t>Operator of a vehicle security company intended to provide car security. The company offers an anti-theft product that features advanced sensors and communication, enabling clients to provide a social application and a standalone module for car security that sends an alarm to the relevant people.</t>
  </si>
  <si>
    <t>Mobile, Mobility Tech, SaaS</t>
  </si>
  <si>
    <t>car safety system, car security device, car security system, vehicle security, vehicle security product, vehicle security system</t>
  </si>
  <si>
    <t>616053-25</t>
  </si>
  <si>
    <t>www.motoro-security.com</t>
  </si>
  <si>
    <t>http://www.linkedin.com/company/motoro-security</t>
  </si>
  <si>
    <t>2024: 2, 2025: 2</t>
  </si>
  <si>
    <t>407475-64P</t>
  </si>
  <si>
    <t>Lior Chechik</t>
  </si>
  <si>
    <t>lior@motoro-security.com</t>
  </si>
  <si>
    <t>The company joined The Israeli Insurtech Accelerator as a part of its Cohort 7 on June 18, 2024 and received an undisclosed amount in funding.</t>
  </si>
  <si>
    <t>The Israeli Insurtech Accelerator</t>
  </si>
  <si>
    <t>The Israeli Insurtech Accelerator (itiaccelerator.com)</t>
  </si>
  <si>
    <t>18-יונ-2024</t>
  </si>
  <si>
    <t>0.41x</t>
  </si>
  <si>
    <t>Moving Life Ltd</t>
  </si>
  <si>
    <t>Manufacturer of mobility scooters intended for people with mobility issues. The company designs and manufactures electric mobility scooters for the handicapped and elderly that fold into the size of a suitcase, enabling users to get mobility solutions.</t>
  </si>
  <si>
    <t>Other Devices and Supplies, Other Transportation*</t>
  </si>
  <si>
    <t>HealthTech, Industrials, Manufacturing, Mobility Tech, TMT</t>
  </si>
  <si>
    <t>ecoefficient mobility scooters, electric scooter, handicapped mobility device, mobility medium, mobility program, mobility solutions</t>
  </si>
  <si>
    <t>158914-63</t>
  </si>
  <si>
    <t>www.movinglife.com</t>
  </si>
  <si>
    <t>http://www.linkedin.com/company/moving-life-ltd-</t>
  </si>
  <si>
    <t>2016: 11, 2023: 32</t>
  </si>
  <si>
    <t>313958-62P</t>
  </si>
  <si>
    <t>Rami Cohen</t>
  </si>
  <si>
    <t>rami.cohen@movinglife.com</t>
  </si>
  <si>
    <t>Kadima Zoran, Israel</t>
  </si>
  <si>
    <t>2 Haofe Street</t>
  </si>
  <si>
    <t>Kadima Zoran</t>
  </si>
  <si>
    <t>An undisclosed investor sold a stake in the company in approximately December 2022.</t>
  </si>
  <si>
    <t>19-נוב-2013</t>
  </si>
  <si>
    <t>29-מאי-2025</t>
  </si>
  <si>
    <t>Cycles, Physical therapy apparatus, Transport, personal conveyances, or accommodation specially adapted for patients or disabled persons</t>
  </si>
  <si>
    <t>MUVe (Automotive)</t>
  </si>
  <si>
    <t>Roadix LTD</t>
  </si>
  <si>
    <t>Provider of electric vehicles intended to transform the way people commute. The company's vehicles are lightweight 3 wheel personal vehicles that utilize self-centering tilting suspension which offer intuitive, stable and safe ride, enabling commuter to improve and ease their commute.</t>
  </si>
  <si>
    <t>Industrials, LOHAS &amp; Wellness, Mobility Tech</t>
  </si>
  <si>
    <t>automotive technology, electric vehicle, lightweight vehicles, personal vehicle, urban transport</t>
  </si>
  <si>
    <t>123366-61</t>
  </si>
  <si>
    <t>www.muv-e.com</t>
  </si>
  <si>
    <t>2015: 4</t>
  </si>
  <si>
    <t>Binyamina, Israel</t>
  </si>
  <si>
    <t>60 Hatahana Street</t>
  </si>
  <si>
    <t>Binyamina</t>
  </si>
  <si>
    <t>The company is no longer actively in business as of November 2018. The company is no longer tracked by PitchBook.</t>
  </si>
  <si>
    <t>8200 EISP, Capital Nature</t>
  </si>
  <si>
    <t>8200 EISP (www.eisp.org.il), Capital Nature (www.capitalnature.com)</t>
  </si>
  <si>
    <t>MyleFly</t>
  </si>
  <si>
    <t>Operator of a flight booking and mileage redemption platform for EL AL tickets. Mylefly provides discounted first and business class tickets, as well as a service for selling airline miles. The platform utilizes an algorithm to find the most competitive prices based on customer criteria, and features customer reviews.</t>
  </si>
  <si>
    <t>loyalty program</t>
  </si>
  <si>
    <t>567824-41</t>
  </si>
  <si>
    <t>mylefly.com</t>
  </si>
  <si>
    <t>http://www.linkedin.com/company/mylefly</t>
  </si>
  <si>
    <t>1.01x</t>
  </si>
  <si>
    <t>Nateev Express Public Transportation</t>
  </si>
  <si>
    <t>Nateev Express</t>
  </si>
  <si>
    <t>Nateev Express Public Transportation Co Ltd.</t>
  </si>
  <si>
    <t>Owner and operator of a transportation company. The company is engaged in providing bus transportation services. It offers information of bus arrival time and travel line stations in real time.</t>
  </si>
  <si>
    <t>bus, bus transportation, public transport service, travel line station</t>
  </si>
  <si>
    <t>99922-96</t>
  </si>
  <si>
    <t>www.nateevexpress.com</t>
  </si>
  <si>
    <t>Main Branch Saint Paul VI</t>
  </si>
  <si>
    <t>PO Box 86</t>
  </si>
  <si>
    <t>The company was acquired by Carasso Motors (Tel Aviv: CRSO) for NIS 92 million on September 30, 2013. The company is no longer actively tracked by PitchBook.</t>
  </si>
  <si>
    <t>30-ספט-2013</t>
  </si>
  <si>
    <t>29-אפר-2025</t>
  </si>
  <si>
    <t>Nayam Wings</t>
  </si>
  <si>
    <t>NayamWings Ltd.</t>
  </si>
  <si>
    <t>Bound4Blue</t>
  </si>
  <si>
    <t>Developer of a novel autonomic wind propulsion system intended for maritime vessels based on a rigid wing sail. The company's system offers asymmetrical rigid wing harnesses wind propulsion to significantly reduce emissions of ships and maneuverability, enabling clients to get a simplified way of sailing under bridges, entering harbors, and loading or unloading, when sailing in extreme weather conditions.</t>
  </si>
  <si>
    <t>Infrastructure, Marine*, Other Commercial Services</t>
  </si>
  <si>
    <t>greenhouse gas emissions, renewable energy sources, sailing systems, wind propulsion systems, wind propulsion technology, wind turbine management, wing sail system</t>
  </si>
  <si>
    <t>517214-08</t>
  </si>
  <si>
    <t>www.nayamwings.com</t>
  </si>
  <si>
    <t>http://www.linkedin.com/company/nayamwings</t>
  </si>
  <si>
    <t>2023: 5</t>
  </si>
  <si>
    <t>331184-98P</t>
  </si>
  <si>
    <t>Saar Carmeli</t>
  </si>
  <si>
    <t>scarmeli@nayamwings.com</t>
  </si>
  <si>
    <t>45 Ha'azmaut Street</t>
  </si>
  <si>
    <t>The company joined HiCenter on an undisclosed date and received funding in the form of grant.</t>
  </si>
  <si>
    <t>8200 Impact, HiCenter, Israeli Ministry of Energy and Water Resources, Techstars</t>
  </si>
  <si>
    <t>8200 Impact (impact.8200.org.il), HiCenter (www.hicenter.co.il), Techstars (www.techstars.com)</t>
  </si>
  <si>
    <t>01-יונ-2015</t>
  </si>
  <si>
    <t>Marine propulsion or steering</t>
  </si>
  <si>
    <t>04-אוק-2023</t>
  </si>
  <si>
    <t>Nemodata</t>
  </si>
  <si>
    <t>Nemodata, Inc.</t>
  </si>
  <si>
    <t>Developer of a fleet maintenance platform designed to maximize uptime and predict breakdowns. The company's platform offers an artificial intelligence-based tracking system and proprietary virtual sensors to measure vehicle conditions and health, sending trucks into service and automatically creating a schedule, enabling businesses to complete more trips every month.</t>
  </si>
  <si>
    <t>Automation/Workflow Software, Business/Productivity Software*, Logistics</t>
  </si>
  <si>
    <t>automated maintenance, fleet data, fleet maintenance platform, fleet management software, fleet operations, fleet-level optimization, predictive maintenance</t>
  </si>
  <si>
    <t>454839-76</t>
  </si>
  <si>
    <t>www.nemodata.ai</t>
  </si>
  <si>
    <t>http://www.linkedin.com/company/nemodata</t>
  </si>
  <si>
    <t>2020: 6, 2021: 15, 2022: 25, 2023: 18, 2024: 14, 2025: 6</t>
  </si>
  <si>
    <t>199586-62P</t>
  </si>
  <si>
    <t>Tal Cohen</t>
  </si>
  <si>
    <t>General Partner</t>
  </si>
  <si>
    <t>tal@drivetlv.com</t>
  </si>
  <si>
    <t>HaHarash Street 20</t>
  </si>
  <si>
    <t>info@nemodata.ai</t>
  </si>
  <si>
    <t>The company joined Drive TLV as a part of its FastLane program in March 2022. No equity or funding was exchanged as a result of this program. Previously, the company was in talks to receive venture funding on an undisclosed date. Subsequently, the deal was cancelled. Prior to that, the company raised an estimated $3.80 million through a combination of Seed, Seed-1, Seed-2, and Seed-3 funding in a deal led by Next Gear Ventures on September 14, 2021, putting the company's pre-money valuation at $10 million. Operator Partners and 5 other investors also participated in the round.</t>
  </si>
  <si>
    <t>Drive TLV, Jacqueline Dedo, Next Gear Ventures, Operator Partners, Peter Neustadter, Plug and Play Tech Center, Tal Ventures, Verissimo Ventures</t>
  </si>
  <si>
    <t>Drive TLV (www.drivetlv.com/fastlane), Next Gear Ventures (www.nextgear.fund), Operator Partners (www.operatorpartners.com), Plug and Play Tech Center (www.plugandplaytechcenter.com), Tal Ventures (tal-ventures.com), Verissimo Ventures (verissimo.vc)</t>
  </si>
  <si>
    <t>01-מרץ-2022</t>
  </si>
  <si>
    <t>1.42x</t>
  </si>
  <si>
    <t>2.09x</t>
  </si>
  <si>
    <t>12-דצמ-2025</t>
  </si>
  <si>
    <t>Neomatix</t>
  </si>
  <si>
    <t>Neomatix Ltd.</t>
  </si>
  <si>
    <t>Developer of electro-optics and machine vision technologies designed to offer tire monitoring services. The company's technology has invented a simple, seamless and cost-effective solution for automatically inspecting cars and trucks based on computer vision, deep learning, and big data analytics, inspecting cars and trucks at fleet parking lots and logistics centers; enabling seamless and cost-effective predictive maintenance, bringing down the total cost of ownership, reducing carbon emissions, and making the roads safer for all.</t>
  </si>
  <si>
    <t>Artificial Intelligence &amp; Machine Learning, Big Data</t>
  </si>
  <si>
    <t>automated tires monitoring, fleet management, fleet management system, fleet management technology, tires monitoring technology</t>
  </si>
  <si>
    <t>108704-53</t>
  </si>
  <si>
    <t>www.neomatix.com</t>
  </si>
  <si>
    <t>2015: 9</t>
  </si>
  <si>
    <t>Habarzel Street</t>
  </si>
  <si>
    <t>The company is no longer actively in business as of November 1, 2017. The company is no longer actively tracked by PitchBook.</t>
  </si>
  <si>
    <t>Gidi Shenholz, Maverick Ventures Israel, Shell Ventures, SmartDrive, Tel Aviv Angel Group, The Bridge by Coca-Cola, Zahi Zloter</t>
  </si>
  <si>
    <t>Maverick Ventures Israel (www.maverick.vc), SmartDrive (www.smartdrive.co.jp), Tel Aviv Angel Group (www.telavivangels.com), The Bridge by Coca-Cola (www.thebridgebycocacola.com)</t>
  </si>
  <si>
    <t>Shell Ventures(Debt Financing)</t>
  </si>
  <si>
    <t>25-אוק-2012</t>
  </si>
  <si>
    <t>01-נוב-2017</t>
  </si>
  <si>
    <t>27-אוק-2016</t>
  </si>
  <si>
    <t>27-יונ-2024</t>
  </si>
  <si>
    <t>New Mobility in Israel</t>
  </si>
  <si>
    <t>Provider of self-driving ride-hailing services in Israel. The company serves as a global beta site for testing the mobility-as-a-service model using autonomous electric vehicles.</t>
  </si>
  <si>
    <t>Autonomous cars, Mobility Tech</t>
  </si>
  <si>
    <t>autonomous electronic, electric vehicle, ride-hailing, ride-hailing service, self driving vehicles</t>
  </si>
  <si>
    <t>Pending Transaction (M&amp;A)</t>
  </si>
  <si>
    <t>234161-29</t>
  </si>
  <si>
    <t>Volkswagen (ETR: VOW), Mobileye and Champion Motors have entered into an agreement to form a joint venture as of October 29, 2018. Volkswagen, Mobileye and Champion Motors will use the Joint Venture to serve as a global beta site for testing the Mobility-as-a-Service model using autonomous electric vehicles. The company is being actively tracked by PitchBook.</t>
  </si>
  <si>
    <t>Champion Motors, Mobileye Global, Volkswagen Group</t>
  </si>
  <si>
    <t>Champion Motors (www.championmotors.co.il), Mobileye Global (www.mobileye.com), Volkswagen Group (www.volkswagen-group.com)</t>
  </si>
  <si>
    <t>16-אוג-2024</t>
  </si>
  <si>
    <t>NewByte Flight Dynamics</t>
  </si>
  <si>
    <t>NewByte Flight Dynamics, Ltd</t>
  </si>
  <si>
    <t>Developer of flight simulation software for aerospace and defense industries. The company develops flight simulation tools for the PC platform, including Aircraft Performance software for calculating point performance and Dynamic Flight Simulation for real-time aircraft behavior simulation. Their products are used in Israeli UAV projects and by customers in the aerospace and defense industries.</t>
  </si>
  <si>
    <t>aircraft performance, flight dynamics</t>
  </si>
  <si>
    <t>761238-01</t>
  </si>
  <si>
    <t>newbyte.co.il</t>
  </si>
  <si>
    <t>http://www.linkedin.com/company/newbyte-flight-dynamics-ltd</t>
  </si>
  <si>
    <t>Bat Yam, Israel</t>
  </si>
  <si>
    <t>Bat Yam</t>
  </si>
  <si>
    <t>Gush Dan</t>
  </si>
  <si>
    <t>9.41x</t>
  </si>
  <si>
    <t>18.57x</t>
  </si>
  <si>
    <t>NewSight Imaging (NAS: NSIM)</t>
  </si>
  <si>
    <t>NewSight</t>
  </si>
  <si>
    <t>Newsight Imaging, Inc.</t>
  </si>
  <si>
    <t>Newsight HoldCo Inc is engaged in the design, development, and sale of camera sensors. It develops advanced CMOS image sensor chips for 3D machine vision and spectral analysis. Newsight's depth camera sensors for machine vision serve verticals such as Mobile &amp; Metaverse, Robotics, Industry 4.0 and Automotive Safety. The Majority of revenue is from China.</t>
  </si>
  <si>
    <t>Electronic Equipment and Instruments*, General Purpose Semiconductors</t>
  </si>
  <si>
    <t>Augmented Reality, Manufacturing, Mobility Tech, Virtual Reality</t>
  </si>
  <si>
    <t>autonomous driving, chips manufacturing, images chips, images technology, intelligent device, intelligent sensors, intelligent sensors &amp; devices, intelligent sensors and devices, lidar technology, semiconductor chips, semiconductor chips design, sensor device</t>
  </si>
  <si>
    <t>166724-02</t>
  </si>
  <si>
    <t>www.newsight.com</t>
  </si>
  <si>
    <t>http://www.linkedin.com/company/newsight-imaging</t>
  </si>
  <si>
    <t>2021: 44, 2022: 47</t>
  </si>
  <si>
    <t>NSIM</t>
  </si>
  <si>
    <t>TTM 2Q2022</t>
  </si>
  <si>
    <t>148752-19P</t>
  </si>
  <si>
    <t>Eli Assoolin</t>
  </si>
  <si>
    <t>Co-founder, Chief Executive Officer &amp; Chairman of the Board</t>
  </si>
  <si>
    <t>3 Golda Meir</t>
  </si>
  <si>
    <t>Park Hamada, Post Office Box 4114</t>
  </si>
  <si>
    <t>The company acquired Vision Sensing Acquisition through a reverse merger on September 07, 2022. The funds will be used to enable further investment in growth and positions of the company to scale up in high-volume expanding markets.</t>
  </si>
  <si>
    <t>Vision Sensing Acquisition</t>
  </si>
  <si>
    <t>EnnoHub, George So, Infinity Group, Innovation Authority, Li Likai, Orbbec, Vadi Ventures</t>
  </si>
  <si>
    <t>Vision Sensing Acquisition (www.vision-sensing.com)</t>
  </si>
  <si>
    <t>Infinity Group (www.infinity-equity.com.cn), Innovation Authority (innovationisrael.org.il), Orbbec (www.orbbec.com), Vadi Ventures (www.vadiventures.com/en/home)</t>
  </si>
  <si>
    <t>Ellenoff Grossman &amp; Schole(Legal Advisor), Gross &amp; Co.(Legal Advisor), Gross &amp; Co. Solicitors(Legal Advisor), Siena Lending Group(Advisor: General)</t>
  </si>
  <si>
    <t>26-ספט-2016</t>
  </si>
  <si>
    <t>07-ספט-2022</t>
  </si>
  <si>
    <t>2.12x</t>
  </si>
  <si>
    <t>0.76x</t>
  </si>
  <si>
    <t>3.48x</t>
  </si>
  <si>
    <t>23-דצמ-2025</t>
  </si>
  <si>
    <t>Arrangement of signalling or lighting devices, the mounting or supporting thereof or circuits therefor, for vehicles in general, Inorganic semiconductor devices sensitive to infrared radiation, light, electromagnetic radiation of shorter wavelength or corpuscular radiation, Investigating or analysing materials by determining their chemical or physical properties, Radio direction-finding, Semiconductor devices not covered by class h10</t>
  </si>
  <si>
    <t>01-אוק-2017</t>
  </si>
  <si>
    <t>Nugen</t>
  </si>
  <si>
    <t>Developer of off-grid energy technology designed to change electric vehicle charging infrastructure. The company offers solid-state hydrogen technology for EV charging, intending to provide a sustainable and independent power source, enabling electric vehicle owners and operators with a reliable and eco-friendly charging option, and reducing reliance on traditional grid infrastructure.</t>
  </si>
  <si>
    <t>Utilities</t>
  </si>
  <si>
    <t>Other Utilities</t>
  </si>
  <si>
    <t>Electrical Equipment, Other Utilities*</t>
  </si>
  <si>
    <t>CleanTech, Infrastructure, LOHAS &amp; Wellness</t>
  </si>
  <si>
    <t>clean energy, electricity generation, ev charging, off-grid charging, power generation, renewable energy, solid hydrogen, sustainable transportation</t>
  </si>
  <si>
    <t>756011-44</t>
  </si>
  <si>
    <t>www.nugeneco.com</t>
  </si>
  <si>
    <t>http://www.linkedin.com/company/nugencleanenergy</t>
  </si>
  <si>
    <t>2025: 8</t>
  </si>
  <si>
    <t>436066-66P</t>
  </si>
  <si>
    <t>Idit Avrahami</t>
  </si>
  <si>
    <t>Co-Founder &amp; Chief Scientific Officer</t>
  </si>
  <si>
    <t>idit@nugeneco.com</t>
  </si>
  <si>
    <t>Tel Aviv-Yafo</t>
  </si>
  <si>
    <t>contact@nugeneco.com</t>
  </si>
  <si>
    <t>The company raised an undisclosed amount of pre-seed funding from NextGear Ventures in August 2023.</t>
  </si>
  <si>
    <t>Drive TLV, Innovation Authority, Next Gear Ventures</t>
  </si>
  <si>
    <t>Drive TLV (www.drivetlv.com/fastlane), Innovation Authority (innovationisrael.org.il), Next Gear Ventures (www.nextgear.fund)</t>
  </si>
  <si>
    <t>01-אוג-2023</t>
  </si>
  <si>
    <t>21-דצמ-2025</t>
  </si>
  <si>
    <t>Nuriel &amp; Sons Group</t>
  </si>
  <si>
    <t>Nuriel &amp; Sons Group Ltd.</t>
  </si>
  <si>
    <t>Provider of transportation services headquartered in Or Yehuda, Israel. The company is engaged in the trucking business.</t>
  </si>
  <si>
    <t>transportation company, transportation services, trucking business</t>
  </si>
  <si>
    <t>535152-25</t>
  </si>
  <si>
    <t>Hacharoshet 32</t>
  </si>
  <si>
    <t>OfficeTrack LATAM</t>
  </si>
  <si>
    <t>Developer of mobile workforce management software. OfficeTrack's platform streamlines field work with features like task and work order management, cellular forms, and timesheet entries. The company also offers fleet management and end customer interaction tools. With over 10 years of experience, OfficeTrack serves 500+ clients across multiple industries and 10+ countries.</t>
  </si>
  <si>
    <t>digital information, mobile service, process management</t>
  </si>
  <si>
    <t>551617-12</t>
  </si>
  <si>
    <t>officetrack.com</t>
  </si>
  <si>
    <t>http://www.linkedin.com/company/office-core-latam</t>
  </si>
  <si>
    <t>7.17x</t>
  </si>
  <si>
    <t>0.33x</t>
  </si>
  <si>
    <t>08-אוק-2025</t>
  </si>
  <si>
    <t>Ole Marketplace</t>
  </si>
  <si>
    <t>Ole Marketplace Ltd.</t>
  </si>
  <si>
    <t>PatPat, ThreadLab, Frank And Oak, Wanelo, getSpring, Wantable, Lyst, Moda Operandi, Verishop</t>
  </si>
  <si>
    <t>Developer of a fashion delivery platform designed to discover and shop nearby brands and boutiques. The company's platform helps users to order multiple items or sizes and have their purchases delivered to their doorstep within minutes, enabling customers to easily search through top global brands and local designers and get ready in time for events, weekend getaways, meetings, or going out with friends.</t>
  </si>
  <si>
    <t>Application Software, Clothing, Specialty Retail*</t>
  </si>
  <si>
    <t>E-Commerce, Mobile, Mobility Tech, SaaS</t>
  </si>
  <si>
    <t>boutique shopping, branding clothing, clothing delivery, ecommerce fashion marketplace, ecommerce fashion platform, fashion delivery</t>
  </si>
  <si>
    <t>481486-60</t>
  </si>
  <si>
    <t>www.oleshop.com</t>
  </si>
  <si>
    <t>2021: 7, 2022: 9, 2025: 8</t>
  </si>
  <si>
    <t>The company is no longer actively in business as of September 9, 2025. The company is no longer tracked by PitchBook.</t>
  </si>
  <si>
    <t>Goodwater Capital, Kevin Moore, Y Combinator</t>
  </si>
  <si>
    <t>Goodwater Capital (www.goodwatercap.com), Kevin Moore (www.agileangel.com), Y Combinator (www.ycombinator.com)</t>
  </si>
  <si>
    <t>01-ינו-2022</t>
  </si>
  <si>
    <t>OptiCity</t>
  </si>
  <si>
    <t>OptiCity Ltd.</t>
  </si>
  <si>
    <t>Provider of mobility as a service (MaaS) solutions intended to optimize ride transportation for organizations and passengers. The company's technology is based on AI &amp; ML data-driven models that simplify processes, and manage resources efficiently and transparently to seamlessly integrate with external support systems such as GPS, shift management, accounting, and human resources, enabling users to lower traffic through fewer unnecessary vehicles on the road, reduced air pollution, and motivated employees to replace private vehicles with shared rides.</t>
  </si>
  <si>
    <t>Application Software, Automotive, Business/Productivity Software*</t>
  </si>
  <si>
    <t>gps, mobility as a service, mobility as a service platform, mobility as a service solutions, shift management, shift management application, shift management platform, shift management software</t>
  </si>
  <si>
    <t>496266-13</t>
  </si>
  <si>
    <t>www.opticity.co.il</t>
  </si>
  <si>
    <t>http://www.linkedin.com/company/opticity-global</t>
  </si>
  <si>
    <t>Imber Street, 21</t>
  </si>
  <si>
    <t>office@opticity.co.il</t>
  </si>
  <si>
    <t>29-דצמ-2023</t>
  </si>
  <si>
    <t>Optima</t>
  </si>
  <si>
    <t>Optima Design Automation, Ltd.</t>
  </si>
  <si>
    <t>Synopsys, Mentor Graphics, Mentor Electronics</t>
  </si>
  <si>
    <t>Developer of electronic design automation tools designed for functional safety verification of automotive integrated circuits. The company's platform offers fault analysis, performance analysis, and security analysis tools, enabling the automotive industry to develop safer and more reliable chips at an accelerated pace.</t>
  </si>
  <si>
    <t>Automation/Workflow Software, Business/Productivity Software*, Other Semiconductors</t>
  </si>
  <si>
    <t>Cybersecurity, Mobility Tech, SaaS, TMT</t>
  </si>
  <si>
    <t>asic chips, automotive chips, chips verification, cyber security, design automation, electronic design automation, functional safety certification</t>
  </si>
  <si>
    <t>158897-35</t>
  </si>
  <si>
    <t>optima-da.com</t>
  </si>
  <si>
    <t>http://www.linkedin.com/company/9393340</t>
  </si>
  <si>
    <t>136185-76P</t>
  </si>
  <si>
    <t>Jamil Mazzawi</t>
  </si>
  <si>
    <t>jamil@optima-da.com</t>
  </si>
  <si>
    <t>Gallery building, 2004 Street</t>
  </si>
  <si>
    <t>Suite 1, PO Box 266</t>
  </si>
  <si>
    <t>Galilee</t>
  </si>
  <si>
    <t>Money Train sold a stake in the company to an undisclosed buyer.</t>
  </si>
  <si>
    <t>European Innovation Council (Belgium), Horizon 2020, Innovation Authority, Nazareth Business Incubator Center, X-Epic</t>
  </si>
  <si>
    <t>Money Train</t>
  </si>
  <si>
    <t>European Innovation Council (Belgium) (www.eic.ec.europa.eu/eic-fund_en), Innovation Authority (innovationisrael.org.il), X-Epic (www.x-epic.cn)</t>
  </si>
  <si>
    <t>Money Train (www.moneytrainil.com)</t>
  </si>
  <si>
    <t>2.04x</t>
  </si>
  <si>
    <t>Electric digital data processing, Measuring electric variables</t>
  </si>
  <si>
    <t>OptiVector</t>
  </si>
  <si>
    <t>OptiVector, Ltd.</t>
  </si>
  <si>
    <t>Developer of rotors and propellers designed for unmanned aerial vehicles (UAV) and urban air mobility (UAM) markets. The company's technology offers major fuel consumption reduction and maneuverability enhancement for marine vessels.</t>
  </si>
  <si>
    <t>aerospace components manufacturing, aviation technology, aviation technology systems, marine vessels, rotor and propellers, unmanned aerial vehicles</t>
  </si>
  <si>
    <t>537512-59</t>
  </si>
  <si>
    <t>www.optivector.com</t>
  </si>
  <si>
    <t>Shaul Hamelech Street</t>
  </si>
  <si>
    <t>OriginGPS</t>
  </si>
  <si>
    <t>Origin GPS</t>
  </si>
  <si>
    <t>OriginGPS Ltd.</t>
  </si>
  <si>
    <t>Particle (Software Development Applications), U-blox</t>
  </si>
  <si>
    <t>Developer of cellular Internet of Things modules designed to create a safer and analyzable environment with precise and ultra-sensitive miniaturized models. The company's high-performance miniature GNSS products provide multiple constellation support to help track everything valuable to the business, enabling clients to improve the time to market for IoT products and eliminating the need for additional embedded software and RF engineering know-how</t>
  </si>
  <si>
    <t>Wireless Communications Equipment</t>
  </si>
  <si>
    <t>Internet Software, Wireless Communications Equipment*</t>
  </si>
  <si>
    <t>Internet of Things</t>
  </si>
  <si>
    <t>asset tracking, cellular iot solution, cellular iot systems, fleet management, gnss provider, gnss solutions, gps module, internet of things, iot networking, law enforcement, network infrastructure, people tracking</t>
  </si>
  <si>
    <t>63481-42</t>
  </si>
  <si>
    <t>www.origingps.com</t>
  </si>
  <si>
    <t>2014: 7, 2020: 13, 2021: 15, 2022: 17, 2023: 19</t>
  </si>
  <si>
    <t>Airport City, Israel</t>
  </si>
  <si>
    <t>2 Negev Street</t>
  </si>
  <si>
    <t>contactus@origingps.com</t>
  </si>
  <si>
    <t>The company is no longer actively in business as of August 2024. The company is no longer tracked by PitchBook.</t>
  </si>
  <si>
    <t>Docor International Management, European Innovation Council (Belgium), Flex's Lab IX, Horizon 2020, Marco Gari Heseltine, Shlomi Schwartzblat, Van Leer Ventures Jerusalem</t>
  </si>
  <si>
    <t>Docor International Management (www.docor.com), European Innovation Council (Belgium) (www.eic.ec.europa.eu/eic-fund_en), Flex's Lab IX (www.labix.io/expertise/startups), Van Leer Ventures Jerusalem (www.vlvj.co.il)</t>
  </si>
  <si>
    <t>01-אוק-2006</t>
  </si>
  <si>
    <t>01-אוג-2024</t>
  </si>
  <si>
    <t>14-מאי-2025</t>
  </si>
  <si>
    <t>Antennas, Electric digital data processing, Generic packages, interconnections, connectors or other constructional details of devices covered by class h10, Layered products</t>
  </si>
  <si>
    <t>Orpak Systems</t>
  </si>
  <si>
    <t>Orpak Industries (1983)</t>
  </si>
  <si>
    <t>Orpak</t>
  </si>
  <si>
    <t>Orpak Systems Ltd.</t>
  </si>
  <si>
    <t>Fairbanks Environmental, SAFER Systems, MissionMode Solutions, MetricStream</t>
  </si>
  <si>
    <t>Developer of automatic fueling systems software created to enhance the retail fuel network and fleet management value chains. The company's automatic fueling systems include vehicle identification, computer automation systems for fueling and filling station management enabling filling stations, convenience stores and other retailers in the oil and gas business to optimize, manage and run their business more efficiently.</t>
  </si>
  <si>
    <t>automation systems, centralized server, fleet management, fuel network, fuel system, web application</t>
  </si>
  <si>
    <t>108084-07</t>
  </si>
  <si>
    <t>M&amp;A, Private Equity, Publicly Listed</t>
  </si>
  <si>
    <t>www.orpak.com</t>
  </si>
  <si>
    <t>FY 2005</t>
  </si>
  <si>
    <t>Kibbutz Yakum, Israel</t>
  </si>
  <si>
    <t>GreenWork Offices</t>
  </si>
  <si>
    <t>Building E, 2nd Floor</t>
  </si>
  <si>
    <t>The company was acquired by Gilbarco Veeder-Root for $160 million on May 17, 2017. The acquisition brings valuable expertise into the Gilbarco Veeder-Root family, allowing them to accelerate technology advancements as well as signals Gilbarco's commitment to expanding its presence in high-growth markets and to leveraging the company's technologies relative to automating station and fleet management systems. The company is no longer actively tracked by PitchBook.</t>
  </si>
  <si>
    <t>Gilbarco Veeder-Root</t>
  </si>
  <si>
    <t>Delek Group, Fidelity, Granite Hacarmel, ORT Technologies, Rapac Technolgy</t>
  </si>
  <si>
    <t>Delek Group (www.delek-group.com), Fidelity (www.fidelity.com), Granite Hacarmel (www.granitehacarmel.co.il), ORT Technologies (www.ortechno.com), Rapac Technolgy (www.rapac.co)</t>
  </si>
  <si>
    <t>Investment Management Holdings(Underwriter)</t>
  </si>
  <si>
    <t>06-דצמ-2005</t>
  </si>
  <si>
    <t>17-מאי-2017</t>
  </si>
  <si>
    <t>23-יול-2025</t>
  </si>
  <si>
    <t>Graphical data reading, Time or attendance registers</t>
  </si>
  <si>
    <t>ORT Technologies (TAE: ORTC)</t>
  </si>
  <si>
    <t>ORT Technologies Ltd</t>
  </si>
  <si>
    <t>O Rt Technologies Ltd is an Israel-based company. It manufactures and provides various business equipment. It develops, manufactures, and markets fleet and fuel management systems and electronic payment systems for buses, taxis public phones, and retail automation systems. It focuses on the automation of the oil refueling process, fleet management, and electronic payment systems.</t>
  </si>
  <si>
    <t>Electrical Equipment*, Other Commercial Products</t>
  </si>
  <si>
    <t>business equipment, payment system, retail automation systems</t>
  </si>
  <si>
    <t>165195-46</t>
  </si>
  <si>
    <t>www.ortechno.com</t>
  </si>
  <si>
    <t>ORTC</t>
  </si>
  <si>
    <t>196520-50P</t>
  </si>
  <si>
    <t>Tamar Raz</t>
  </si>
  <si>
    <t>tamar@ortechno.com</t>
  </si>
  <si>
    <t>Abba Eban 16</t>
  </si>
  <si>
    <t>PO Box 3221</t>
  </si>
  <si>
    <t>The company completed its initial public offering on the Tel Aviv Stock Exchange under the ticker symbol of ORTC on an undisclosed date.</t>
  </si>
  <si>
    <t>30-אפר-2025</t>
  </si>
  <si>
    <t>Oryx Vision</t>
  </si>
  <si>
    <t>PlanXwell</t>
  </si>
  <si>
    <t>Oryx Vision Ltd.</t>
  </si>
  <si>
    <t>Quanergy Systems, Phantom AI, Hailo AI</t>
  </si>
  <si>
    <t>Developer of automotive LiDAR technology designed to simplify autonomous driving with the robustness of a digital camera. The company's automotive LiDAR technology uses microscopic light-sensing antennas to build a LiDAR, as simple as a digital camera to create a 3D view of the surroundings by sending laser pulses and detecting their returning signals, enabling users to get a low-cost system that's more sensitive, resistant to interference from the sun and other LiDARs and produces both range and velocity data for every point in its field of view.</t>
  </si>
  <si>
    <t>Electronic Equipment and Instruments*</t>
  </si>
  <si>
    <t>autonomous car, autonomous drives sensor, autonomous driving, digital camera, lidar technology, mobility tech, vehicle sensor system</t>
  </si>
  <si>
    <t>166031-38</t>
  </si>
  <si>
    <t>www.oryxvision.com</t>
  </si>
  <si>
    <t>2016: 20, 2019: 45</t>
  </si>
  <si>
    <t>Kiryat Ono, Israel</t>
  </si>
  <si>
    <t>68 Levi Eshkol street</t>
  </si>
  <si>
    <t>Kiryat Ono</t>
  </si>
  <si>
    <t>info@oryxvision.com</t>
  </si>
  <si>
    <t>The company is no longer actively in business as of August 26, 2019. The company is no longer actively tracked by PitchBook.</t>
  </si>
  <si>
    <t>Bessemer Venture Partners, Celesta Capital, Maniv Mobility, Third Point Ventures, Trucks Venture Capital, Union Tech Ventures</t>
  </si>
  <si>
    <t>Bessemer Venture Partners (www.bvp.com), Celesta Capital (www.celesta.vc), Maniv Mobility (www.maniv.com), Third Point Ventures (www.thirdpointventures.com), Trucks Venture Capital (www.trucks.vc), Union Tech Ventures (uniontech.vc)</t>
  </si>
  <si>
    <t>26-אוג-2019</t>
  </si>
  <si>
    <t>11-אוק-2024</t>
  </si>
  <si>
    <t>Pictorial communication, Transmission</t>
  </si>
  <si>
    <t>19-יול-2017</t>
  </si>
  <si>
    <t>OtoFusion</t>
  </si>
  <si>
    <t>Developer of a fleet management platform designed to eliminate operational waste. The company's platform offers features like fleet efficiency, driver training, cargo monitoring, tracking, and more.</t>
  </si>
  <si>
    <t>Business/Productivity Software*, Logistics, Other Commercial Services</t>
  </si>
  <si>
    <t>fleet management, fleet management app, fleet management data, fleet management firm, fleet management platform, fleet management system, fleet management tool</t>
  </si>
  <si>
    <t>593565-94</t>
  </si>
  <si>
    <t>www.otofusion.com</t>
  </si>
  <si>
    <t>http://www.linkedin.com/company/otofusion</t>
  </si>
  <si>
    <t>2024: 4</t>
  </si>
  <si>
    <t>255093-31P</t>
  </si>
  <si>
    <t>Assi Bitton</t>
  </si>
  <si>
    <t>assi@otofusion.com</t>
  </si>
  <si>
    <t>info@otofusion.com</t>
  </si>
  <si>
    <t>24-אפר-2024</t>
  </si>
  <si>
    <t>Otonomo Technologies</t>
  </si>
  <si>
    <t>Otonomo</t>
  </si>
  <si>
    <t>Otonomo Technologies Ltd.</t>
  </si>
  <si>
    <t>INRIX, TrueMotion, Citi Logik, Wejo, Arity, Vinli, Mojio, Dash Labs, AssetTrackr, Excelfore</t>
  </si>
  <si>
    <t>Otonomo Technologies Ltd is a provider of vehicle data. It delivers the Otonomo Vehicle Data Platform and marketplace that enables car manufacturers, drivers, and service providers to be part of a connected ecosystem. Its vehicle data marketplace is a neutral intermediary between vehicle data providers and data consumers. It provides secure and equal access to hundreds of data attributes that reveal insights into driver behaviour, vehicle health, road hazards, environmental conditions, and traffic trends. Geographically it operates in APAC, and USA whilst earning key revenue from the EMEA region.</t>
  </si>
  <si>
    <t>Big Data, Mobility Tech, TMT</t>
  </si>
  <si>
    <t>autonomous car platform, car data exchange, car data exchange platform, connectivity &amp; data management, data exchange software, data exchange system, data management software, data software &amp; systems, data software and systems, fleet connectivity, fleet management, vehicle mobility</t>
  </si>
  <si>
    <t>160473-97</t>
  </si>
  <si>
    <t>www.otonomo.io</t>
  </si>
  <si>
    <t>2019: 100, 2020: 131, 2021: 128, 2022: 225, 2023: 135</t>
  </si>
  <si>
    <t>39045-16P</t>
  </si>
  <si>
    <t>Ben Volkow</t>
  </si>
  <si>
    <t>16 Abba Eban Boulevard</t>
  </si>
  <si>
    <t>Herzeliya Pituach</t>
  </si>
  <si>
    <t>The company (NAS: OTMO) was acquired by Urgently through a reverse merger, resulting in the combined entity trading on the Nasdaq Stock Exchange under the ticker symbol ULY on October 19, 2023. The company is no longer actively tracked by PitchBook.</t>
  </si>
  <si>
    <t>Urgent.ly</t>
  </si>
  <si>
    <t>Alliance Ventures, Aptiv, Avis Budget UK, Bessemer Venture Partners, BNP Paribas Asset Management, Cerca Partners, ClalTech, Dell Technologies Capital, Delphi Midstream Partners, Delphi Technologies, Fidelity Management &amp; Research Company, Gil Canaani, Hearst Ventures, Maniv Mobility, NTT Docomo Ventures, Phoenix Court, Plug and Play Tech Center, RedBlue Capital, Senvest Capital, SK Group, Software Acquisition Group II, StageOne Ventures, Startup Autobahn, Stephen Girsky, Symetryx Corporation, Vintage (Private Equity)</t>
  </si>
  <si>
    <t>Aptiv (www.aptiv.com), Avis Budget UK (www.avis.co.uk), Bessemer Venture Partners (www.bvp.com), BNP Paribas Asset Management (www.bnpparibas-am.com), Cerca Partners (www.cerca-partners.com), ClalTech (www.claltech.com), Dell Technologies Capital (www.delltechnologiescapital.com), Delphi Midstream Partners (www.delphimidstream.com), Delphi Technologies (www.delphi.com), Maniv Mobility (www.maniv.com), NTT Docomo Ventures (www.nttdocomo-v.com/en), Phoenix Court (www.phoenixcourt.vc), Plug and Play Tech Center (www.plugandplaytechcenter.com), RedBlue Capital (www.red.blue), Senvest Capital (www.senvest.com), SK Group (eng.sk.com), StageOne Ventures (www.stageonevc.com), Startup Autobahn (www.startup-autobahn.com), Symetryx Corporation (www.symetryx.com), Vintage (Private Equity) (www.vintage-ip.com)</t>
  </si>
  <si>
    <t>American Stock Transfer &amp; Trust Company(Advisor: General), B. Riley Securities(Placement Agent), Citigroup(Advisor: Financial Due Diligence), Gross &amp; Co.(Legal Advisor), Kroll (Other Financial Services.)(Advisor: General), Latham &amp; Watkins(Legal Advisor), Needham (Investment Bank)(Advisor: General), Shenhav &amp; Co. Advocates &amp; Notary(Legal Advisor)</t>
  </si>
  <si>
    <t>01-דצמ-2015</t>
  </si>
  <si>
    <t>19-אוק-2023</t>
  </si>
  <si>
    <t>Conjoint control of vehicle sub-units of different type or different function, Electric digital data processing, Information and communication technology [ict] specially adapted for administrative, commercial, financial, managerial or supervisory purposes, Time or attendance registers, Wireless communication networks</t>
  </si>
  <si>
    <t>13-אוג-2021</t>
  </si>
  <si>
    <t>Otto Transportation Services</t>
  </si>
  <si>
    <t>Provider of transportation services intended to give car service and chauffeured services. The company offers cars with driver service, transfer service, airport transfers, rental helicopters and private touring services.</t>
  </si>
  <si>
    <t>Air, Road*</t>
  </si>
  <si>
    <t>car service, chauffeured service, tour services, transfer service, transport service, transportation services</t>
  </si>
  <si>
    <t>497333-44</t>
  </si>
  <si>
    <t>www.ottoisrael.com</t>
  </si>
  <si>
    <t>Rothschild boulevard 7</t>
  </si>
  <si>
    <t>The company was acquired by Direct Finance of Direct (TAE: DIFI) for NIS 20 million in February 2022. The acquisition is to develop the auto site similar to sites from around the world that satisfy the entire range of needs of the vehicle buyer under one house and constitute a content and knowledge center, consulting and sales. The company is no longer actively tracked by PitchBook.</t>
  </si>
  <si>
    <t>Direct Finance of Direct</t>
  </si>
  <si>
    <t>OttoFence</t>
  </si>
  <si>
    <t>OttoFence, Ltd.</t>
  </si>
  <si>
    <t>Developer a controller area network bus firewall device intended to identify and prevent automotive cyber-attacks. The company's hardware device functions as a firewall written as embedded software and generates a report file from the data it has collected, thereby helping clients protect their automobiles from cyberthreat.</t>
  </si>
  <si>
    <t>Automotive*, Network Management Software, Road</t>
  </si>
  <si>
    <t>Cybersecurity</t>
  </si>
  <si>
    <t>automotive, automotive cyber security, automotive technology, cyber security, firewall app, firewall developer, firewall system</t>
  </si>
  <si>
    <t>339831-64</t>
  </si>
  <si>
    <t>The company is no longer actively in business as of February 2020. The company is no longer tracked by PitchBook.</t>
  </si>
  <si>
    <t>A.D.I. Systems (www.adi-system.co.il)</t>
  </si>
  <si>
    <t>08-ינו-2023</t>
  </si>
  <si>
    <t>OTTOSEC</t>
  </si>
  <si>
    <t>Developer of automotive cyber-security solutions using in-vehicle hardware. OttoSec serves both aftermarket and OEMs, and was co-founded by experts in communication, systems, algorithms, cyber-security, automotive product design, software, hardware, and IT.</t>
  </si>
  <si>
    <t>542710-72</t>
  </si>
  <si>
    <t>ottosec.com</t>
  </si>
  <si>
    <t>http://www.linkedin.com/company/ottosec</t>
  </si>
  <si>
    <t>0.58x</t>
  </si>
  <si>
    <t>OVO Automotive</t>
  </si>
  <si>
    <t>G.O. Ovo Automotive Ltd</t>
  </si>
  <si>
    <t>CloudCar, Airbiquity, Pointer Telocation, INRIX, Harman International Industries (Electronics), TeleNav, VNC Automotive, PowerFleet, Xevo (Other Commercial Services), Ituran Location &amp; Control</t>
  </si>
  <si>
    <t>Developer of a cloud-based technology designed to provide drivers and passengers with a voice-activated, context-driven connected car experience. The company's platform provides provisioning and streaming of any in-vehicle customer interaction application directly from the cloud and to any vehicle's screen regardless of its maker or model, enabling clients to contextually, and safely interact with your customers while they are on the go.</t>
  </si>
  <si>
    <t>CloudTech &amp; DevOps, Mobility Tech, SaaS</t>
  </si>
  <si>
    <t>automobile entertainment, automotive software, car entertainment system, cloud services delivery, connected car platform, connected car service, fleet connectivity, fleet management, fleet management system</t>
  </si>
  <si>
    <t>433395-64</t>
  </si>
  <si>
    <t>www.ovo.auto</t>
  </si>
  <si>
    <t>2019: 11, 2020: 11, 2021: 8, 2022: 7, 2023: 5</t>
  </si>
  <si>
    <t>Azrieli Sarona Tower</t>
  </si>
  <si>
    <t>121 Derech Menachem Begin</t>
  </si>
  <si>
    <t>The company is no longer actively in business as of January 2025. The company is no longer tracked by PitchBook.</t>
  </si>
  <si>
    <t>Michael van Swaaij, Plug and Play Tech Center, Proeza Ventures, Regah Ventures</t>
  </si>
  <si>
    <t>Plug and Play Tech Center (www.plugandplaytechcenter.com), Proeza Ventures (www.proezaventures.com), Regah Ventures (www.regahventures.com)</t>
  </si>
  <si>
    <t>01-אוג-2019</t>
  </si>
  <si>
    <t>29-יול-2025</t>
  </si>
  <si>
    <t>ParKam</t>
  </si>
  <si>
    <t>ParKam Israel Ltd.</t>
  </si>
  <si>
    <t>Developer of a mobile navigation application designed to assist users in locating parking spots. The company's software uses proprietary algorithms to process footage from cameras that are already installed based on real-time computer vision and provides availability maps, a navigation system, and an in-app payment facility, enabling drivers to find vacant parking spaces easily.</t>
  </si>
  <si>
    <t>Application Software, Automotive, Information Services (B2C)*</t>
  </si>
  <si>
    <t>Artificial Intelligence &amp; Machine Learning, CloudTech &amp; DevOps, Mobile</t>
  </si>
  <si>
    <t>computer vision, intelligent device, intelligent sensors, parking assistance platform, parking navigation, parking space finder, smart mobility, smart parking, vacant parking space</t>
  </si>
  <si>
    <t>340758-01</t>
  </si>
  <si>
    <t>www.parkam.com</t>
  </si>
  <si>
    <t>http://www.linkedin.com/company/parkam</t>
  </si>
  <si>
    <t>2021: 14, 2022: 9</t>
  </si>
  <si>
    <t>214591-15P</t>
  </si>
  <si>
    <t>Ori Attar</t>
  </si>
  <si>
    <t>Co-Founder &amp; Vice President of Business Development</t>
  </si>
  <si>
    <t>ori@parkam-ip.com</t>
  </si>
  <si>
    <t>44 Pinsker street</t>
  </si>
  <si>
    <t>office@parkam-lp.com</t>
  </si>
  <si>
    <t>The company raised $10 million of Series A venture funding from Maverick Ventures Israel, Net Capital Ventures and other undisclosed investors on June 1, 2019, putting the company's pre-money valuation at $15 million.</t>
  </si>
  <si>
    <t>Maverick Ventures Israel, Net Capital Ventures</t>
  </si>
  <si>
    <t>Maverick Ventures Israel (www.maverick.vc), Net Capital Ventures (www.netcapitalventures.com)</t>
  </si>
  <si>
    <t>1.26x</t>
  </si>
  <si>
    <t>27-נוב-2025</t>
  </si>
  <si>
    <t>PARX Smart Parking Solutions</t>
  </si>
  <si>
    <t>Passport (Business/Productivity Software)</t>
  </si>
  <si>
    <t>Developer of parking payment and management systems for municipalities and parking operators globally. The company's products include a range of parking technology solutions and services with over 200 customers in 19 countries worldwide. PARX is a subsidiary of Atrinet, a Network Management solutions provider.</t>
  </si>
  <si>
    <t>parking enforcement, parking m, parking management, payment of parking visitor</t>
  </si>
  <si>
    <t>569009-89</t>
  </si>
  <si>
    <t>parxglobal.com</t>
  </si>
  <si>
    <t>http://www.linkedin.com/company/parx-wise-parking-solutions</t>
  </si>
  <si>
    <t>Rosh Pina, Israel</t>
  </si>
  <si>
    <t>ZHR Industrial Zone</t>
  </si>
  <si>
    <t>Rosh Pina</t>
  </si>
  <si>
    <t>arnone@otiglobal.com</t>
  </si>
  <si>
    <t>3.32x</t>
  </si>
  <si>
    <t>5.26x</t>
  </si>
  <si>
    <t>Paxxi</t>
  </si>
  <si>
    <t>The company primarily operates in the Logistics industry. Paxxi is headquartered in Herzlia, Israel.</t>
  </si>
  <si>
    <t>ecommerce delivery, last mile delivery</t>
  </si>
  <si>
    <t>569323-18</t>
  </si>
  <si>
    <t>paxxi.net</t>
  </si>
  <si>
    <t>http://www.linkedin.com/company/paxxi.net</t>
  </si>
  <si>
    <t>Herzlia, Israel</t>
  </si>
  <si>
    <t>27 Maskit St.</t>
  </si>
  <si>
    <t>Herzlia</t>
  </si>
  <si>
    <t>Pentaxi</t>
  </si>
  <si>
    <t>Innovaero</t>
  </si>
  <si>
    <t>C/O TechGate Inc.</t>
  </si>
  <si>
    <t>Archer Aviation, Wisk Aero, Volocopter, Joby Aviation</t>
  </si>
  <si>
    <t>Operator of an aircraft company intended to offer an eco-friendly transportation alternative. The company focuses on meeting the global need for alternative energy sources, less reliance on fossil fuels, and a zero-emissions future by developing safe, autonomous, all-electric vertical take-off and landing passenger and cargo aircraft, enabling clients and individuals to access sustainable urban air mobility systems.</t>
  </si>
  <si>
    <t>Aerospace and Defense*, Air, Other Commercial Products</t>
  </si>
  <si>
    <t>CleanTech, Mobility Tech, Robotics and Drones</t>
  </si>
  <si>
    <t>air mobility product, aircraft design, eco-friendly transportation, electric vtol, evtol aircraft, transportation agent, urban air mobility, vtol aircraft</t>
  </si>
  <si>
    <t>509572-36</t>
  </si>
  <si>
    <t>Product Development</t>
  </si>
  <si>
    <t>www.penta.aero</t>
  </si>
  <si>
    <t>http://www.linkedin.com/company/pentaxi</t>
  </si>
  <si>
    <t>2022: 9, 2023: 9</t>
  </si>
  <si>
    <t>318063-34P</t>
  </si>
  <si>
    <t>Ori Tamari</t>
  </si>
  <si>
    <t>ori@pentaxi.aero</t>
  </si>
  <si>
    <t>4 Meir Ariel Street</t>
  </si>
  <si>
    <t>info@pentaxi.aero</t>
  </si>
  <si>
    <t>The company raised NIS 2.6355 million of equity crowdfunding via Pipelbiz on February 10, 2022.</t>
  </si>
  <si>
    <t>10-פבר-2022</t>
  </si>
  <si>
    <t>0.22x</t>
  </si>
  <si>
    <t>Phinergy (TAE: PNRG)</t>
  </si>
  <si>
    <t>Phinergy Ltd</t>
  </si>
  <si>
    <t>Eos Energy Enterprises, UniEnergy Technologies, Primus Power, Aquion Energy, Vionx Energy, Avalon Battery, ViZn Energy, Maxwell Technologies, Powermat, SonicEnergy, WiTricity, C&amp;D Technologies, Green Charge Networks, E-Stone Batteries, Rongke Power, EaglePicher Technologies, K2 Energy Solutions, Form Energy, IDS Industries, RedFlow, Jolt</t>
  </si>
  <si>
    <t>Phinergy Ltd is a developer of clean and high energy-density systems based on metal-air technology. With its aluminium-air battery, the company has developed a way to generate electricity using aluminium as an energy source. The solutions offered by the company include Energy Back up, Energy Storage, and Electric Transportation.</t>
  </si>
  <si>
    <t>CleanTech, Climate Tech, Industrials, Mobility Tech, TMT</t>
  </si>
  <si>
    <t>aluminum air battery, aluminum battery, battery storage, clean energy technology, energy generation system, energy storage system developer, grid infrastructure, metal air battery, storage system, zinc air battery</t>
  </si>
  <si>
    <t>102263-14</t>
  </si>
  <si>
    <t>www.phinergy.com</t>
  </si>
  <si>
    <t>http://www.linkedin.com/company/phinergy-clean-energy</t>
  </si>
  <si>
    <t>2019: 40, 2020: 9, 2021: 50, 2022: 65, 2023: 65, 2024: 65</t>
  </si>
  <si>
    <t>PNRG</t>
  </si>
  <si>
    <t>196380-28P</t>
  </si>
  <si>
    <t>David Mayer</t>
  </si>
  <si>
    <t>2 Yodfat Street</t>
  </si>
  <si>
    <t>The company raised ILS 198.9 million in its initial public offering on the Tel Aviv Stock Exchange under the ticker symbol of PNRG on February 9, 2021. A total of 153,000 units were sold. Each unit consisted of 100 shares and were sold at a price of ILS 13 per share. After the offering, the company was valued at ILS 978.9 million.</t>
  </si>
  <si>
    <t>Doral Group, Indian Oil Corporation</t>
  </si>
  <si>
    <t>Arconic Ventures, Doral Energy-Tech Ventures, Ilan Holdings</t>
  </si>
  <si>
    <t>Doral Group (www.doral-energy.com), Indian Oil Corporation (iocl.com)</t>
  </si>
  <si>
    <t>Arconic Ventures (www.arconicventures.com), Doral Energy-Tech Ventures (www.doral-tech.com), Ilan Holdings (iwww.ilan-holdings.com)</t>
  </si>
  <si>
    <t>Leader Capital Markets(Advisor: General), Leader Underwriters(Advisor: General), Leumi Partners(Advisor: General), Menora Mivtachim Underwriters &amp; Management(Advisor: General)</t>
  </si>
  <si>
    <t>07-ינו-2016</t>
  </si>
  <si>
    <t>09-פבר-2021</t>
  </si>
  <si>
    <t>13.57x</t>
  </si>
  <si>
    <t>22-אוק-2025</t>
  </si>
  <si>
    <t>Compounds of the metals beryllium, magnesium, aluminium, calcium, strontium, barium, radium, thorium, or of the rare-earth metals, Generic processes or apparatus for the manufacture or treatment of devices covered by class h10, Processes or means, Production and refining of metals, Propulsion of electrically-propelled vehicles</t>
  </si>
  <si>
    <t>Pickoto</t>
  </si>
  <si>
    <t>Operator of online platform deigned to sell or buy used car. The company's platform help customers to buy or sell their used car, enabling users to find the car for their needs and budget, and to sell their current vehicle.</t>
  </si>
  <si>
    <t>automotive selling platform, car buying service, car buying-selling, car selling platform, car selling services, vehicle selling platform</t>
  </si>
  <si>
    <t>534962-89</t>
  </si>
  <si>
    <t>www.pickoto.co.il</t>
  </si>
  <si>
    <t>http://www.linkedin.com/company/pickoto</t>
  </si>
  <si>
    <t>2023: 6</t>
  </si>
  <si>
    <t>363170-26P</t>
  </si>
  <si>
    <t>Gilad Arditi</t>
  </si>
  <si>
    <t>Chief Executive Officer &amp; Co-Founder</t>
  </si>
  <si>
    <t>gilad@pickoto.co.il</t>
  </si>
  <si>
    <t>A minority stake in the company was acquired by Pango (Israel) for $500,000 on August 30, 2023.</t>
  </si>
  <si>
    <t>Pango Pay &amp; Go (www.en.pango.co.il)</t>
  </si>
  <si>
    <t>30-אוג-2023</t>
  </si>
  <si>
    <t>12.15x</t>
  </si>
  <si>
    <t>23.64x</t>
  </si>
  <si>
    <t>09-דצמ-2025</t>
  </si>
  <si>
    <t>PlaxidityX</t>
  </si>
  <si>
    <t>Argus Cyber Security</t>
  </si>
  <si>
    <t>PlaxidityX Ltd.</t>
  </si>
  <si>
    <t>Karamba Security, SCYTHE, Cylance, Trustwave, Denim Group, Rapid7, CrowdStrike Holdings, Proofpoint, Blackberry, Firedome, Veracode, IDology (Network Management Software), Ioactive, TowerSec, Secure Thingz, McAfee, Exabeam, Escrypt, XM Cyber, GuruCul, Qognify, Dellfer, Sheelds, Verodin, AttackIQ, Securonix, BitDefender, Secunet, Mocana, Nok Nok, Bromium, SailPoint Technologies, CyberX (Network Management Software), Trillium (Network Management Software), Cybereason, Ziften, Jumio, Intrinsic ID, Cymulate, Regulus Cyber, Security Innovation, Attivo Networks, SCADAfence, Menlo Security, SafeBreach, TrapX Security, Salient Systems, Morphisec</t>
  </si>
  <si>
    <t>Provider of automotive cyber security services designed to offer advanced connectivity features while protecting vehicles from being hacked. The company's cyber security services provide automotive cyber security software that combines security methods and proven computer networking know-how with a deep understanding of automotive best practices, enabling car manufacturers to receive pinpoint alerts and respond in real time to cyber attacks.</t>
  </si>
  <si>
    <t>Cybersecurity, Industrials, Mobility Tech, TMT</t>
  </si>
  <si>
    <t>auto cybersecurity, automotive cyber security, automotive security, cyber attack protection, cyber security, fleet connectivity, fleet management, hacking prevention, mobility tech</t>
  </si>
  <si>
    <t>82889-02</t>
  </si>
  <si>
    <t>www.plaxidityx.com</t>
  </si>
  <si>
    <t>http://www.linkedin.com/company/plaxidityx</t>
  </si>
  <si>
    <t>2015: 20, 2017: 60, 2018: 80, 2022: 200, 2024: 217, 2025: 200</t>
  </si>
  <si>
    <t>Continental</t>
  </si>
  <si>
    <t>349248-97P</t>
  </si>
  <si>
    <t>Ronen Smoly</t>
  </si>
  <si>
    <t>ronen@plaxidityx.com</t>
  </si>
  <si>
    <t>29 Hayetzira Street</t>
  </si>
  <si>
    <t>contact@plaxidityx.com</t>
  </si>
  <si>
    <t>The company was acquired by Continental (Frankfurt Stock Exchange: CON) for $420 million on October 30, 2017.</t>
  </si>
  <si>
    <t>ADIP, Allianz X, Cerca Partners, Eyal Gura, LIP Ventures, Magma Venture Partners, Magna Technology Investments, Motus Ventures, Noah Pickholtz, OurCrowd, Plug and Play Tech Center, Samsung Catalyst Fund, SBI Investment, Startup Autobahn, Vertex Ventures Israel</t>
  </si>
  <si>
    <t>ADIP (www.adipvc.com), Allianz X (allianzx.com), Cerca Partners (www.cerca-partners.com), LIP Ventures (www.lip.lat), Magma Venture Partners (www.magmavc.com), Motus Ventures (motusventures.com), OurCrowd (www.ourcrowd.com), Plug and Play Tech Center (www.plugandplaytechcenter.com), Samsung Catalyst Fund (www.samsungcatalyst.com), SBI Investment (www.sbinvestment.co.jp), Startup Autobahn (www.startup-autobahn.com), Vertex Ventures Israel (www.vertexventures.co.il)</t>
  </si>
  <si>
    <t>30-אוק-2017</t>
  </si>
  <si>
    <t>16-ספט-2025</t>
  </si>
  <si>
    <t>Conjoint control of vehicle sub-units of different type or different function, Electric digital data processing, Time or attendance registers, Transmission of digital information, Vehicles, vehicle fittings, or vehicle parts, not otherwise provided for</t>
  </si>
  <si>
    <t>PNY Delivered</t>
  </si>
  <si>
    <t>PNY Delivered Ltd</t>
  </si>
  <si>
    <t>Manufacturer of electric cargo motorcycles designed for hauling and replacing traditional delivery vans. The company specializes in the design and engineering of electric motorbikes serving urban delivery services. The electric motorbike features a motor, a long-range battery, and a chassis optimized for load-carrying capacity, making it a sustainable solution for delivery operations.</t>
  </si>
  <si>
    <t>931896-64</t>
  </si>
  <si>
    <t>ridepny.com</t>
  </si>
  <si>
    <t>http://www.linkedin.com/company/ridepny</t>
  </si>
  <si>
    <t>2025: 4</t>
  </si>
  <si>
    <t>463217-05P</t>
  </si>
  <si>
    <t>Netzah Sadeh</t>
  </si>
  <si>
    <t>Qadima, Israel</t>
  </si>
  <si>
    <t>Qadima</t>
  </si>
  <si>
    <t>1.05x</t>
  </si>
  <si>
    <t>1.60x</t>
  </si>
  <si>
    <t>1.81x</t>
  </si>
  <si>
    <t>Pointer Telocation</t>
  </si>
  <si>
    <t>Nexus Telocation Systems</t>
  </si>
  <si>
    <t>Pointer</t>
  </si>
  <si>
    <t>Pointer Telocation Ltd.</t>
  </si>
  <si>
    <t>Azuga, Idelic, Omnitracs, Isotrak, GPS Insight, Spireon, Nauto, Motive (Hardware), NetraDyne, Fleet Complete, NexTraq, DRVR, Geotab, Zonar Systems, Fleetmatics Group, GPS Trackit, Microlise Group, FleetMaster Software</t>
  </si>
  <si>
    <t>Developer of mobile resource management software catering to the automotive and insurance industries. The company offers fleet and mobile resource management solutions that include services such as Internet and radio, navigation, accident detection, real-time support, parking, car maintenance and reservation and push notifications.</t>
  </si>
  <si>
    <t>SaaS, TMT</t>
  </si>
  <si>
    <t>cloud-based platform, enterprise asset management, enterprise resource planning, erp, mobile management, mobile resource management, mobile resources management, mrm software, resource management, resource management software, software developer, software platform</t>
  </si>
  <si>
    <t>51768-37</t>
  </si>
  <si>
    <t>www.pointer.com</t>
  </si>
  <si>
    <t>1997: 92, 1998: 70, 1999: 57, 2000: 71, 2001: 82, 2002: 54, 2003: 60, 2004: 180, 2005: 483, 2006: 506, 2007: 559, 2008: 601, 2009: 614, 2010: 712, 2011: 694, 2012: 731, 2013: 868, 2014: 874, 2015: 942, 2016: 678, 2017: 702, 2018: 724</t>
  </si>
  <si>
    <t>TTM 1Q2019</t>
  </si>
  <si>
    <t>14 Hamelacha Street</t>
  </si>
  <si>
    <t>The company was acquired by PoweeFleet (NASDAQ: PWFL; TASE: PWFL) for an estimated $140 million on October 3, 2019. Total consideration of $140 million comprised of approximately $71.874 million in cash and 10,756 shares of PowerFleet, Inc. This is a transformative acquisition for the acquirer and the industry, as it combines their market and product leadership in North America with Pointer's technology leadership, supply chain acumen and broad international footprint. The company is no longer actively tracked by PitchBook.</t>
  </si>
  <si>
    <t>PowerFleet</t>
  </si>
  <si>
    <t>Fort Mason Capital, Gandyr Investments, Phoenix Group Holdings, Ramius</t>
  </si>
  <si>
    <t>Fort Mason Capital (www.fortmasoncapital.com), Gandyr Investments (www.gandyr.com/en/gandyr-investments), Phoenix Group Holdings (www.thephoenixgroup.com), Ramius (www.ramius.com)</t>
  </si>
  <si>
    <t>GK Investor &amp; Public Relations(Advisor: General), Landmark Ventures(Advisor: General)</t>
  </si>
  <si>
    <t>Alliance Advisors(Advisor: General), ROTH Capital Partners(Advisor: General), Sullivan &amp; Worcester(Legal Advisor), Zysman, Aharoni, Gayer &amp; Co.(Legal Advisor)</t>
  </si>
  <si>
    <t>17-יונ-1994</t>
  </si>
  <si>
    <t>03-אוק-2019</t>
  </si>
  <si>
    <t>11-אפר-2007</t>
  </si>
  <si>
    <t>16-ינו-2026</t>
  </si>
  <si>
    <t>PoinTo</t>
  </si>
  <si>
    <t>Provider of a parking and transportation technology platform. The company's software platform enables their clients to reach their businesses by suing their software.</t>
  </si>
  <si>
    <t>Other Transportation*, Social/Platform Software</t>
  </si>
  <si>
    <t>Industrials, Mobility Tech, TMT</t>
  </si>
  <si>
    <t>business location services, parking technology platform, transportation technology platform</t>
  </si>
  <si>
    <t>165994-75</t>
  </si>
  <si>
    <t>www.pointo.me</t>
  </si>
  <si>
    <t>http://www.linkedin.com/company/pointo</t>
  </si>
  <si>
    <t>Kiryat Yosef 20</t>
  </si>
  <si>
    <t>The company went out of business in December 2017 and is no longer actively tracked by PitchBook.</t>
  </si>
  <si>
    <t>ToDay Ventures</t>
  </si>
  <si>
    <t>ToDay Ventures (www.today.ventures)</t>
  </si>
  <si>
    <t>PowerMobility</t>
  </si>
  <si>
    <t>PowerMobility Inc.</t>
  </si>
  <si>
    <t>Developer of comprehensive smart wireless charging infrastructure system designed for the micromobility revolution. The company offers electric charging systems that are low maintenance, space-efficient, user-friendly and robust, enabling cities and businesses to get electric charging and parking stations.</t>
  </si>
  <si>
    <t>Other Commercial Services, Other Utilities*</t>
  </si>
  <si>
    <t>CleanTech, Infrastructure, Mobility Tech</t>
  </si>
  <si>
    <t>charging infrastructure, charging station, electric charging, electric vehicle, recharging station, vehicle charging, wireless charging</t>
  </si>
  <si>
    <t>482612-23</t>
  </si>
  <si>
    <t>www.powermobility.io</t>
  </si>
  <si>
    <t>2021: 5</t>
  </si>
  <si>
    <t>Cityzone Building</t>
  </si>
  <si>
    <t>The company is no longer actively in business as of November 16, 2024. The company is no longer tracked by PitchBook.</t>
  </si>
  <si>
    <t>CityZone (Israel)</t>
  </si>
  <si>
    <t>CityZone (Israel) (city-zone.co)</t>
  </si>
  <si>
    <t>16-נוב-2024</t>
  </si>
  <si>
    <t>19-נוב-2024</t>
  </si>
  <si>
    <t>Pumba Parking</t>
  </si>
  <si>
    <t>Pumba Parking Ltd.</t>
  </si>
  <si>
    <t>Developer of mobile application platform designed to help local drivers find on-street parking spots. The company's platform offers parking solutions by placing sensors on streets to analyze the availability of parking and navigating users toward vacant spots, enabling people to find parking spots in a hassle-free manner</t>
  </si>
  <si>
    <t>Application Software, Automotive*, Other Hardware</t>
  </si>
  <si>
    <t>mobile application, mobile application platform, parking data, parking sensors, parking solutions, parking solutions app, parking spot</t>
  </si>
  <si>
    <t>495950-32</t>
  </si>
  <si>
    <t>www.pumbaparking.com</t>
  </si>
  <si>
    <t>http://www.linkedin.com/company/pumbaparking</t>
  </si>
  <si>
    <t>2022: 9, 2023: 11, 2024: 17, 2025: 24</t>
  </si>
  <si>
    <t>299885-23P</t>
  </si>
  <si>
    <t>Roy Yotvat</t>
  </si>
  <si>
    <t>roy@pumbaparking.com</t>
  </si>
  <si>
    <t>48 Yehuda Halevi Street</t>
  </si>
  <si>
    <t>info@pumbaparking.com</t>
  </si>
  <si>
    <t>The company was in talks to receive $1.5 million of venture funding from undisclosed investors on June 8, 2023. Subsequently, the deal was cancelled. Previously, the company raised $3.5 million of seed funding from Uri Levine and other undisclosed investors in January 2023.</t>
  </si>
  <si>
    <t>The Founders Kitchen, Uri Levine</t>
  </si>
  <si>
    <t>The Founders Kitchen (founders.kitchen)</t>
  </si>
  <si>
    <t>08-יונ-2023</t>
  </si>
  <si>
    <t>0.48x</t>
  </si>
  <si>
    <t>25-יונ-2025</t>
  </si>
  <si>
    <t>RadSee Technologies</t>
  </si>
  <si>
    <t>RADSee Technologies Ltd.</t>
  </si>
  <si>
    <t>Developer of 4D imaging radar catering to the commercial vehicle market, both current and autonomous. The company's technology offers long-range imaging, wide-angle view, both static and dynamic, maximal range and resolution without reducing FOV and identification of azimuth, elevation, distance, and relative velocity distinctly identifies closely-clustered objects, thereby enabling the automotive industry to integrate affordable, high-accuracy radars and autonomous driving systems.</t>
  </si>
  <si>
    <t>Automotive, Electronic Equipment and Instruments*, Other Hardware</t>
  </si>
  <si>
    <t>Autonomous cars</t>
  </si>
  <si>
    <t>four dimensioning imaging radar, imaging device developer, imaging radar designer, imaging sensors, imaging technology, radar and antenna technology, radar and imaging, radar sensors, radar signal processing, vehicle radar system, vehicle radar technology</t>
  </si>
  <si>
    <t>466558-48</t>
  </si>
  <si>
    <t>www.radsee.com</t>
  </si>
  <si>
    <t>http://www.linkedin.com/company/radsee</t>
  </si>
  <si>
    <t>2021: 8, 2022: 15</t>
  </si>
  <si>
    <t>263148-94P</t>
  </si>
  <si>
    <t>Arnon Afgin</t>
  </si>
  <si>
    <t>Ha-Melakha Street 45</t>
  </si>
  <si>
    <t>A 12% stake in the company was acquired by Rada Electronic Industries (NAS: RADA) for $3 million in February 2021. The investment will create technological synergies and has the potential to expand Rada's addressable markets in the future.</t>
  </si>
  <si>
    <t>DRS Rada Technologies</t>
  </si>
  <si>
    <t>DRS Rada Technologies (www.drsrada.com)</t>
  </si>
  <si>
    <t>01-פבר-2021</t>
  </si>
  <si>
    <t>0.37x</t>
  </si>
  <si>
    <t>Rail Vision (NAS: RVSN)</t>
  </si>
  <si>
    <t>Rail Vision Ltd.</t>
  </si>
  <si>
    <t>Symeo, InTouchGPS</t>
  </si>
  <si>
    <t>Rail Vision Ltd is a development-stage technology company that is engaged in the design, development, and assembly of railway detection systems designed to solve the challenges in railway operational safety, efficiency, and predictive maintenance. Its railway detection systems include different types of cameras, including optics, visible light spectrum cameras (video), and thermal cameras that transmit data to a ruggedized onboard computer which is designed to be suitable for the rough environment of a train's locomotive. It has developed its railway detection and systems to save lives, increase efficiency, and dramatically reduce expenses for the railway operator.</t>
  </si>
  <si>
    <t>Electronic Equipment and Instruments*, Rail</t>
  </si>
  <si>
    <t>early warning system, obstacle detection, rail safety, railroad safety technology, safety devices manufacturer, train</t>
  </si>
  <si>
    <t>222113-17</t>
  </si>
  <si>
    <t>www.railvision.io</t>
  </si>
  <si>
    <t>http://www.linkedin.com/company/railv-ision</t>
  </si>
  <si>
    <t>2017: 40, 2018: 40, 2020: 57, 2021: 51, 2022: 65, 2023: 49, 2024: 47</t>
  </si>
  <si>
    <t>RVSN</t>
  </si>
  <si>
    <t>News (New), News (New), News (New), Filing (New)</t>
  </si>
  <si>
    <t>174159-64P</t>
  </si>
  <si>
    <t>Ofer Naveh</t>
  </si>
  <si>
    <t>ofer@railvision.io</t>
  </si>
  <si>
    <t>15 Ha'Tidhar Street</t>
  </si>
  <si>
    <t>The company (NAS: RVSN) received $3.5 million of development capital from undisclosed investors in January 2024, through a private placement. Previously, the company (NAS: RVSN) received $6 million of development capital from Knorr-Bremse and other undisclosed investors on June 21, 2023, over 2 tranches through a private placement. The company closed tranche 1 by raising $ 2.69 million in May 2023. The company closed tranche 2 by raising $ 3.31 million on June 21, 2023.</t>
  </si>
  <si>
    <t>Foresight Autonomous Holdings, Knorr-Bremse</t>
  </si>
  <si>
    <t>Allied Systems Holdings, Keihanna Global Acceleration Program, Lubinski Group, Shrem-Zilberman</t>
  </si>
  <si>
    <t>Foresight Autonomous Holdings (www.foresightauto.com), Knorr-Bremse (www.knorr-bremse.de)</t>
  </si>
  <si>
    <t>Keihanna Global Acceleration Program (www.kgap.jp), Lubinski Group (www.lubinski.co.il)</t>
  </si>
  <si>
    <t>Aegis Capital(Placement Agent), Brightman Almagor Zohar(Accounting), Joseph Gunnar &amp; Co.(Advisor: General), McDermott Will &amp; Schulte(Legal Advisor), Shibolet &amp; Company(Legal Advisor)</t>
  </si>
  <si>
    <t>01-מאי-2016</t>
  </si>
  <si>
    <t>Computing arrangements based on specific computational models, Guiding railway traffic, Image data processing or generation, in general, Pictorial communication, Vehicles, vehicle fittings, or vehicle parts, not otherwise provided for</t>
  </si>
  <si>
    <t>31-מרץ-2022</t>
  </si>
  <si>
    <t>Ratha</t>
  </si>
  <si>
    <t>Ratha Ltd.</t>
  </si>
  <si>
    <t>Developer of an autonomous vehicle technology system designed for autonomous vehicles and smart mobility sector. The company's technology system leverages algorithms including HD mapping, ego modeling, SLAM, convolutional neural networks, storage, and custom navigation, and offers software services including sensor calibration, open source, algorithm optimization, software integration, algorithm development, data collection and recording, and more.</t>
  </si>
  <si>
    <t>Machinery (B2B)</t>
  </si>
  <si>
    <t>Business/Productivity Software, Machinery (B2B)*, Other Commercial Products, Other Hardware</t>
  </si>
  <si>
    <t>Artificial Intelligence &amp; Machine Learning, Autonomous cars, Manufacturing, Robotics and Drones, SaaS</t>
  </si>
  <si>
    <t>adas system, autonomous systems, autonomous vehicle robots, autonomous vehicle technology, design services consultancy, smart mobility</t>
  </si>
  <si>
    <t>596567-17</t>
  </si>
  <si>
    <t>www.ratha.ai</t>
  </si>
  <si>
    <t>http://www.linkedin.com/company/ratha</t>
  </si>
  <si>
    <t>2024: 6</t>
  </si>
  <si>
    <t>395107-03P</t>
  </si>
  <si>
    <t>Noam Golombek</t>
  </si>
  <si>
    <t>ngolombek@ratha.ai</t>
  </si>
  <si>
    <t>info@ratha.co.il</t>
  </si>
  <si>
    <t>29-אפר-2024</t>
  </si>
  <si>
    <t>Raval ACS (TAE: RVL)</t>
  </si>
  <si>
    <t>Raval ACS Ltd.</t>
  </si>
  <si>
    <t>Raval ACS Ltd is engaged in the development, production, and sale of internal and external fuel tank venting systems for the automobile industry. It provides solutions for gasoline, diesel and biofuel systems. The company exports its products to USA, Luxemburg, Germany, Russia, Israel, India, China, South Korea, and Japan.</t>
  </si>
  <si>
    <t>fuel valves, rolls over valves, vents valves</t>
  </si>
  <si>
    <t>13348-54</t>
  </si>
  <si>
    <t>Private Equity, Publicly Listed</t>
  </si>
  <si>
    <t>www.raval.co.il</t>
  </si>
  <si>
    <t>2014: 909, 2015: 1230, 2016: 1337, 2017: 1354, 2018: 1063, 2019: 1167, 2020: 1088, 2021: 920, 2022: 1456, 2023: 1457, 2024: 825</t>
  </si>
  <si>
    <t>RVL</t>
  </si>
  <si>
    <t>29963-80P</t>
  </si>
  <si>
    <t>Nir Elimelech</t>
  </si>
  <si>
    <t>972-8-9581 001</t>
  </si>
  <si>
    <t>Beer Sheva, Israel</t>
  </si>
  <si>
    <t>11 Hakotzer Street</t>
  </si>
  <si>
    <t>raval@raval.co.il</t>
  </si>
  <si>
    <t>FIMI Opportunity Funds sold its stake in the company in December 2015 for an undisclosed sum.</t>
  </si>
  <si>
    <t>FIMI Opportunity Funds, Shamrock Holdings</t>
  </si>
  <si>
    <t>FIMI Opportunity Funds (www.fimi.co.il), Shamrock Holdings (www.shamrock.com)</t>
  </si>
  <si>
    <t>15-מרץ-2004</t>
  </si>
  <si>
    <t>2.52x</t>
  </si>
  <si>
    <t>ReDrive</t>
  </si>
  <si>
    <t>Developer of a driving data platform designed to calculate factors that can affect user driving. The company's system provides risk analysis and numeric driver-skills grading evaluation based on deduction and machine learning algorithms, enabling users to receive feedback for improvement and to decrease risk factors.</t>
  </si>
  <si>
    <t>Business/Productivity Software, Information Services (B2C)*, Media and Information Services (B2B), Other Hardware</t>
  </si>
  <si>
    <t>Artificial Intelligence &amp; Machine Learning, Autonomous cars</t>
  </si>
  <si>
    <t>autonomous machine, autonomous vehicle, drivers alerts, drivers guide, drivers monitoring, driving alerts, driving data, driving platform, driving technology</t>
  </si>
  <si>
    <t>442885-60</t>
  </si>
  <si>
    <t>www.redrive.info</t>
  </si>
  <si>
    <t>http://www.linkedin.com/company/redriveil</t>
  </si>
  <si>
    <t>244170-82P</t>
  </si>
  <si>
    <t>Omri Dahan</t>
  </si>
  <si>
    <t>Be'er Sheva, Israel</t>
  </si>
  <si>
    <t>Ben Gurion av 1</t>
  </si>
  <si>
    <t>Be'er Sheva</t>
  </si>
  <si>
    <t>redrive.io@gmail.com</t>
  </si>
  <si>
    <t>The company raised an undisclosed amount of seed funding from Cactus Capital and Ben-Gurion University of the Negev in 2020.</t>
  </si>
  <si>
    <t>Ben-Gurion University of the Negev, Cactus Capital (Israel)</t>
  </si>
  <si>
    <t>Ben-Gurion University of the Negev (www.bgu.ac.il), Cactus Capital (Israel) (bgu.cactus.capital)</t>
  </si>
  <si>
    <t>01-ינו-2020</t>
  </si>
  <si>
    <t>REE Automotive (NAS: REE)</t>
  </si>
  <si>
    <t>SoftWheel</t>
  </si>
  <si>
    <t>REE Automotive Ltd.</t>
  </si>
  <si>
    <t>Rivian Automotive, Arrival UK, Canoo</t>
  </si>
  <si>
    <t>REE Automotive Ltd is an automotive technology company focused on building commercial electric vehicles controlled fully by-wire. The company is in early stages of commercialization and develop and produce software-defined vehicle (SDV) technology that manages vehicle operations and features through proprietarily-developed software. The company has geographical preference in Israel, Germany, United States, United Kingdom, and other regions.</t>
  </si>
  <si>
    <t>CleanTech, Climate Tech, Mobility Tech</t>
  </si>
  <si>
    <t>autonomous car platform, chassis frames, commercial electric vehicle, electric car, electric vehicle, electric vehicle design, technology usage, vehicle platform</t>
  </si>
  <si>
    <t>310203-10</t>
  </si>
  <si>
    <t>www.ree.auto</t>
  </si>
  <si>
    <t>http://www.linkedin.com/company/reeautoofficial</t>
  </si>
  <si>
    <t>2019: 100, 2021: 270, 2022: 291, 2023: 244, 2024: 211</t>
  </si>
  <si>
    <t>REE</t>
  </si>
  <si>
    <t>Filing (New)</t>
  </si>
  <si>
    <t>128154-43P</t>
  </si>
  <si>
    <t>Daniel Barel</t>
  </si>
  <si>
    <t>Chief Executive Officer &amp; Founder</t>
  </si>
  <si>
    <t>Glil-Yam</t>
  </si>
  <si>
    <t>The company (NAS: REE) received approximately $27.10 million of development capital from Samvardhana Motherson International, Varana Capital and M&amp;G on March 19, 2025 through a private placement. The net proceeds will be used for working capital and general corporate purposes.</t>
  </si>
  <si>
    <t>M&amp;G</t>
  </si>
  <si>
    <t>10X Capital Venture Acquisition, BIRD Foundation, Hachshara Insurance Company, Innovation Authority, Israel Land Development Insurance Company, Linamar, Magna Technology Investments, Meitav Investment House, Menlo Group, Mitsubishi, Musashi, Musashi Seimitsu Industry Company, NSK, Nsk Americas, Pirveli Ventures, Poalim Equity, RAD BioMed, Samvardhana Motherson International, Tenneco, Varana Capital</t>
  </si>
  <si>
    <t>M&amp;G (www.mandg.com)</t>
  </si>
  <si>
    <t>10X Capital Venture Acquisition (www.10xspac.com), BIRD Foundation (www.birdf.com), Hachshara Insurance Company (www.hcsra.co.il), Innovation Authority (innovationisrael.org.il), Linamar (www.linamar.com), Meitav Investment House (www.meitav.co.il), Menlo Group (www.menlogroup.net), Mitsubishi (www.mitsubishicorp.com), Musashi (www.musashinet.co.jp), Musashi Seimitsu Industry Company (www.musashi.co.jp), NSK (www.nsk.com), Nsk Americas (www.nskamericas.com), Pirveli Ventures (www.pirveliventures.com), Poalim Equity (www.poalimequity.com), RAD BioMed (www.radbiomed.com), Samvardhana Motherson International (www.motherson.com), Tenneco (www.tenneco.com), Varana Capital (www.varanacapital.com)</t>
  </si>
  <si>
    <t>Alliance Global Partners(Advisor: General), BTIG(Advisor: General), Cantor Fitzgerald (New York)(Advisor: General), D.A. Davidson Companies(Advisor: General), Dominari Securities(Advisor: General), Ernst &amp; Young (Israel)(Auditor), GCA(Advisor: General), Goldfarb Gross Seligman(Legal Advisor), Guotai Junan International(Underwriter), Herzog Fox &amp; Neeman(Legal Advisor), Latham &amp; Watkins(Legal Advisor), MKM Partners(Advisor: General), Morgan Stanley(Advisor: General), ROTH Capital Partners(Underwriter), Sodali &amp; Co(Advisor: General), Sullivan &amp; Worcester(Legal Advisor), TD Cowen(Advisor: General), White &amp; Case(Legal Advisor), Zemah Schneider &amp; Partners(Legal Advisor)</t>
  </si>
  <si>
    <t>16-ינו-2011</t>
  </si>
  <si>
    <t>01-אוג-2018</t>
  </si>
  <si>
    <t>28.65x</t>
  </si>
  <si>
    <t>Arrangement or mounting of propulsion units or of transmissions in vehicles, Motor vehicles, Vehicle suspension arrangements, Vehicle wheels, Vehicles, vehicle fittings, or vehicle parts, not otherwise provided for</t>
  </si>
  <si>
    <t>26-ספט-2024</t>
  </si>
  <si>
    <t>Reins</t>
  </si>
  <si>
    <t>Picafuel</t>
  </si>
  <si>
    <t>Fuelpic Ltd.</t>
  </si>
  <si>
    <t>Payment24, P97 Networks, Autofleet, CCC Intelligent Solutions, OpenWay Group, Mynt, XXImo, Icasa Group</t>
  </si>
  <si>
    <t>Developer of a global payments platform designed to connect and control payment activity across the mobility ecosystem. The company's platform offers open and closed-loop network connectivity, payment flow management, and data visibility, enabling fuel retailers, mobility providers, and financial institutions to oversee payments, maintain real-time control, and improve profitability.</t>
  </si>
  <si>
    <t>Business/Productivity Software, Other Business Products and Services*</t>
  </si>
  <si>
    <t>Artificial Intelligence &amp; Machine Learning, B2B Payments, FinTech, Mobility Tech, Oil &amp; Gas, SaaS</t>
  </si>
  <si>
    <t>closed-loop fuel card, fleet card, fleet management, fleet payment, fuel fraud prevention, fuel retailer, growth, open-loop fuel card</t>
  </si>
  <si>
    <t>493168-33</t>
  </si>
  <si>
    <t>Pre-venture, Venture Capital</t>
  </si>
  <si>
    <t>www.reinsglobal.com</t>
  </si>
  <si>
    <t>http://www.linkedin.com/company/reinsglobal</t>
  </si>
  <si>
    <t>2018: 6, 2019: 7, 2020: 10, 2021: 12, 2022: 18, 2025: 25</t>
  </si>
  <si>
    <t>Competitor (New) Autofleet, Competitor (New) CCC Intelligent Solutions, Competitor (New) Mynt, Competitor (New) OpenWay Group, Competitor (New) P97 Networks, Competitor (New) Payment24, Competitor (New) XXImo</t>
  </si>
  <si>
    <t>321339-52P</t>
  </si>
  <si>
    <t>Tal Ginat</t>
  </si>
  <si>
    <t>Chief Business Officer</t>
  </si>
  <si>
    <t>tal@reinsglobal.com</t>
  </si>
  <si>
    <t>contact@reinsglobal.com</t>
  </si>
  <si>
    <t>The company was in talks to receive venture funding on an undisclosed date. Subsequently, the deal was cancelled. Previously, the company raised an undisclosed amount of venture funding from Wind Ventures in April 2021.</t>
  </si>
  <si>
    <t>Drive TLV</t>
  </si>
  <si>
    <t>Drive TLV (www.drivetlv.com/fastlane)</t>
  </si>
  <si>
    <t>3.13x</t>
  </si>
  <si>
    <t>REOVLTZ</t>
  </si>
  <si>
    <t>REVOLTZ LTD</t>
  </si>
  <si>
    <t>Manufacturer of electric micro-mobility vehicles intended for both personal and commercial use. Manufacturer of electric micro-mobility vehicles intended for both personal and commercial use. The company focuses on safety and performance, offering vehicles with features like automotive-grade design and engineering for a more comfortable and reliable ride in urban environments, enabling clients with micro-mobility tools that can serve the growing needs of congested cities.</t>
  </si>
  <si>
    <t>Automotive*, Other Commercial Products, Road</t>
  </si>
  <si>
    <t>electric vehicle firm, electric vehicle maker, micro-mobility products, micro-mobility vehicle, personal transportation vehicles, sustainable transportation</t>
  </si>
  <si>
    <t>588621-88</t>
  </si>
  <si>
    <t>M&amp;A, Pre-venture</t>
  </si>
  <si>
    <t>www.revoltzev.com</t>
  </si>
  <si>
    <t>http://www.linkedin.com/company/revoltz-ev</t>
  </si>
  <si>
    <t>407074-87P</t>
  </si>
  <si>
    <t>64 Hatachana Street</t>
  </si>
  <si>
    <t>The company joined EIT KIC Urban Mobility as a part of its Accelerator program in 2023 and received EUR 2,500 in funding in the form of grant.</t>
  </si>
  <si>
    <t>EIT KIC Urban Mobility, EMuze (Israel), Xylo Technologies</t>
  </si>
  <si>
    <t>EIT KIC Urban Mobility (www.eiturbanmobility.eu), EMuze (Israel) (www.emuzev.com), Xylo Technologies (www.medigus.com)</t>
  </si>
  <si>
    <t>19-פבר-2021</t>
  </si>
  <si>
    <t>30-יול-2024</t>
  </si>
  <si>
    <t>Reprobates E Motorcycles</t>
  </si>
  <si>
    <t>Manufacturer of electric motorcycles intended to create a new era of emission-free adventure, where riders can experience the freedom of the open road with style and sustainability. The company specializes in crafting electric motorcycles that blend innovative technology, authentic design, and performance.</t>
  </si>
  <si>
    <t>e-cycle company, electric motorcycle, electronic motorcycle, emission-free adventure, e-motorcycles, motorcycle manufacturer</t>
  </si>
  <si>
    <t>541007-02</t>
  </si>
  <si>
    <t>www.reprobatemotorcycles.com</t>
  </si>
  <si>
    <t>Gad 7, beit shemesh</t>
  </si>
  <si>
    <t>RFISee</t>
  </si>
  <si>
    <t>RFISee Ltd</t>
  </si>
  <si>
    <t>Developer of radar technology designed to make autonomous cars safe for customers. The company's technology uses high-resolution low-cost radar sensors that generate real-time 3D location and velocity maps of cars' surrounding objects, enabling clients to further automation in driving and offer new modes and business models.</t>
  </si>
  <si>
    <t>4d imaging technology, accident reduction, automotive radar, radar sensors system, radar sensors technology, radar technology</t>
  </si>
  <si>
    <t>231440-05</t>
  </si>
  <si>
    <t>www.rfisee.com</t>
  </si>
  <si>
    <t>Office: 25 Hataasiya Raanana mail</t>
  </si>
  <si>
    <t>14 Ha-Yetsira Street, P.O.B 2659</t>
  </si>
  <si>
    <t>The company is no longer actively in business as of September 2024. The company is no longer tracked by PitchBook.</t>
  </si>
  <si>
    <t>Capsula TAU, Clear Future, Drive TLV, Innovation Authority, Motec Ventures, Next Gear Ventures, The Technion DRIVE Accelerator</t>
  </si>
  <si>
    <t>Capsula TAU (www.capsula-tau.com), Clear Future (clear-future.com), Drive TLV (www.drivetlv.com/fastlane), Innovation Authority (innovationisrael.org.il), Motec Ventures (www.motec.vc), Next Gear Ventures (www.nextgear.fund), The Technion DRIVE Accelerator (techniondrive.com)</t>
  </si>
  <si>
    <t>03-ספט-2025</t>
  </si>
  <si>
    <t>roads.ai</t>
  </si>
  <si>
    <t>Developer of a local intelligent traffic orchestration application designed to incorporate the road network needs and the driver's interests into optimized driving decisions. The company's platform generates common traffic perception as an external observer and provides opportunities for novel traffic management schemes, thereby sending driving guidance to passing vehicles in order to generate the needed coordination between vehicles in order to improve the road network efficiency.</t>
  </si>
  <si>
    <t>intelligent traffic, intelligent traffic orchestration, optimized driving, optimized driving decision, road network needs, traffic orchestration application</t>
  </si>
  <si>
    <t>495947-71</t>
  </si>
  <si>
    <t>www.121gw.tech</t>
  </si>
  <si>
    <t>299879-29P</t>
  </si>
  <si>
    <t>Roni Dulberg</t>
  </si>
  <si>
    <t>cO-Founder &amp; Chief Executive Officer</t>
  </si>
  <si>
    <t>ronidulberg@roadsai.co</t>
  </si>
  <si>
    <t>5.87x</t>
  </si>
  <si>
    <t>30-אפר-2022</t>
  </si>
  <si>
    <t>Roseman Engineering</t>
  </si>
  <si>
    <t>Roseman Engineering Ltd.</t>
  </si>
  <si>
    <t>Provider of fuel management services intended to optimize energy management to benefit clients and users. The company offers fuel station and fleet management, automated fueling and vehicle fleet systems for managing electric vehicle charging.</t>
  </si>
  <si>
    <t>Energy Services</t>
  </si>
  <si>
    <t>Energy Marketing</t>
  </si>
  <si>
    <t>Energy Marketing*, Other Commercial Services</t>
  </si>
  <si>
    <t>automated fuel system, electric vehicle charging systems, energy management company, energy management service, energy management system, fuel management company, vehicle fleet system</t>
  </si>
  <si>
    <t>507109-78</t>
  </si>
  <si>
    <t>www.roseman.tech</t>
  </si>
  <si>
    <t>http://www.linkedin.com/company/roseman-engineering</t>
  </si>
  <si>
    <t>2022: 55, 2024: 57</t>
  </si>
  <si>
    <t>Nayax</t>
  </si>
  <si>
    <t>315309-88P</t>
  </si>
  <si>
    <t>Eli Bar</t>
  </si>
  <si>
    <t>elib@roseman.tech</t>
  </si>
  <si>
    <t>Kiriyat Atidim, P.O.Box 58181</t>
  </si>
  <si>
    <t>info@roseman.tech</t>
  </si>
  <si>
    <t>The company was acquired by Nayax (TAE: NYAX) for $5.149 million on April 1, 2024. The acquisition strengthen Nayax's existing offerings in the energy sector, which includes Point of Sale devices and software that is utilized by EV charging station operators worldwide.</t>
  </si>
  <si>
    <t>0.20x</t>
  </si>
  <si>
    <t>Signalling systems</t>
  </si>
  <si>
    <t>RouteValet</t>
  </si>
  <si>
    <t>Developer of a route planning technology built for mobility companies. The company's technology takes ride requests from users and creates optimal routes by combining both public and private transit options, enabling users to get their destinations in the fastest, cheapest manner.</t>
  </si>
  <si>
    <t>Automotive*, Media and Information Services (B2B), Other Software</t>
  </si>
  <si>
    <t>route optimization software, routing navigation technology, routing planner, routing planning, routing planning software</t>
  </si>
  <si>
    <t>231746-59</t>
  </si>
  <si>
    <t>Pre-venture, Private Equity</t>
  </si>
  <si>
    <t>www.routevalet.com</t>
  </si>
  <si>
    <t>Efrata 29</t>
  </si>
  <si>
    <t>The company is no longer actively in business as of November 2018. The company is no longer actively tracked by PitchBook.</t>
  </si>
  <si>
    <t>Ford Motor, GE Aerospace, Innovation Authority, MassChallenge</t>
  </si>
  <si>
    <t>Ford Motor (www.ford.com), GE Aerospace (www.geaerospace.com), Innovation Authority (innovationisrael.org.il), MassChallenge (www.masschallenge.org)</t>
  </si>
  <si>
    <t>01-יונ-2017</t>
  </si>
  <si>
    <t>Ruby.AI</t>
  </si>
  <si>
    <t>Ruby.AI Robotic Technologies Ltd</t>
  </si>
  <si>
    <t>Developer of AI technology systems designed for operating robotics platforms for complex and high-precision use cases in fleet management, automotive manufacturing, and atex hazardous operations. The company's platform offers fully autonomous connections between various vehicle types and their energy sources, as the go-to provider for autonomous docking solutions, an essential infrastructure for the expanding markets of autonomous robotaxis and robo-logistic e-fleets, thereby ensuring efficient energy management for a sustainable future.</t>
  </si>
  <si>
    <t>Automation/Workflow Software, Business/Productivity Software*</t>
  </si>
  <si>
    <t>Artificial Intelligence &amp; Machine Learning, Robotics and Drones</t>
  </si>
  <si>
    <t>automotive robotics, autonomous fleet management, fleet management, robotic platform developer, robotic product, robotic system developer</t>
  </si>
  <si>
    <t>686152-27</t>
  </si>
  <si>
    <t>www.rubyai.me</t>
  </si>
  <si>
    <t>http://www.linkedin.com/company/ruby-ai-robotic-technologies-ltd</t>
  </si>
  <si>
    <t>416300-50P</t>
  </si>
  <si>
    <t>Daniel Dov</t>
  </si>
  <si>
    <t>daniel@rubyai.me</t>
  </si>
  <si>
    <t>Bar Lev High-Tech Industrial Park</t>
  </si>
  <si>
    <t>info@rubyai.me</t>
  </si>
  <si>
    <t>1.55x</t>
  </si>
  <si>
    <t>09-אוק-2024</t>
  </si>
  <si>
    <t>Manipulators</t>
  </si>
  <si>
    <t>RUR Industries</t>
  </si>
  <si>
    <t>RUR Industries Pvt Ltd</t>
  </si>
  <si>
    <t>Operator of a remote management platform intended to provide telematics and telecommunication services. The company's platform utilizes artificial intelligence and business intelligence and offers a software application, fleet management services, generator analytics, preventive maintenance of vehicle usage, geo-fencing, and engine diagnostics, enabling businesses to increase productivity by finding new ways, products, and services that can have a huge impact on society.</t>
  </si>
  <si>
    <t>Business/Productivity Software, Media and Information Services (B2B)*, Other Commercial Services, Telecommunications Service Providers</t>
  </si>
  <si>
    <t>Artificial Intelligence &amp; Machine Learning, SaaS, TMT</t>
  </si>
  <si>
    <t>engine diagnostics, fleet management service, geofencing service, remote management platform, software application, telecommunication services, telematic service provider</t>
  </si>
  <si>
    <t>500633-38</t>
  </si>
  <si>
    <t>www.rurindustries.com</t>
  </si>
  <si>
    <t>http://www.linkedin.com/company/rur-industries</t>
  </si>
  <si>
    <t>306841-87P</t>
  </si>
  <si>
    <t>Rohit Saxena</t>
  </si>
  <si>
    <t>rohit.saxena@tatadocomo.com</t>
  </si>
  <si>
    <t>Sonal Tower</t>
  </si>
  <si>
    <t>52 Begin Road</t>
  </si>
  <si>
    <t>info@rurindustries.com</t>
  </si>
  <si>
    <t>The company joined CanQbate Ventures on an undisclosed date.</t>
  </si>
  <si>
    <t>CanQbate Ventures</t>
  </si>
  <si>
    <t>CanQbate Ventures (www.canqbate.com)</t>
  </si>
  <si>
    <t>Ryde Mobility</t>
  </si>
  <si>
    <t>Ride Mobility Ltd.</t>
  </si>
  <si>
    <t>Developer of a mobility platform designed to optimize the existing transportation system in the client's organization and improve it in a way that will also suit employees who come with a vehicle to work. The company's application offers management tools to the customers and drivers to operate the shuttle system more efficiently and calculates the cost on average to transport an employee, thereby helping companies cut down operating costs and upgrade their aggregation vehicles to a collaborative fleet.</t>
  </si>
  <si>
    <t>mobility product, mobility program, smart transportation, smart transportation system, transportation services, transportation vehicles</t>
  </si>
  <si>
    <t>496265-77</t>
  </si>
  <si>
    <t>www.goryde.com</t>
  </si>
  <si>
    <t>http://www.linkedin.com/company/go-ryde</t>
  </si>
  <si>
    <t>225796-06P</t>
  </si>
  <si>
    <t>Eitan Meir</t>
  </si>
  <si>
    <t>67 Yigal Alon Street</t>
  </si>
  <si>
    <t>08-יול-2025</t>
  </si>
  <si>
    <t>S.V.D. Safe View Design</t>
  </si>
  <si>
    <t>Developer of security and safety technologies for motorcyclists. The company designs a software that attaches to any helmet and provides a digitized visual field of 180 degrees behind the rider.I</t>
  </si>
  <si>
    <t>digitizing visual field, motorcyclists helmets safety, security software</t>
  </si>
  <si>
    <t>159123-25</t>
  </si>
  <si>
    <t>The company is no longer actively in business and no longer actively tracked by PitchBook.</t>
  </si>
  <si>
    <t>Safer Place</t>
  </si>
  <si>
    <t>Safer Place Ltd.</t>
  </si>
  <si>
    <t>Developer of an AI-powered video detection platform designed to enhance traffic safety and parking enforcement through automated detection of high-risk violations. The company's platform detects dangerous driving and parking infractions with video accuracy, empowering law enforcement to deter reckless behaviour, streamline enforcement, and protect communities from road accidents.</t>
  </si>
  <si>
    <t>traffic monitoring platform, traffic monitoring software, traffic safety equipment, traffic safety infrastructure, traffic safety system, traffic safety technology, video detection equipment</t>
  </si>
  <si>
    <t>125371-36</t>
  </si>
  <si>
    <t>www.saferplace.com</t>
  </si>
  <si>
    <t>http://www.linkedin.com/company/safer-place-ltd-</t>
  </si>
  <si>
    <t>2022: 12, 2023: 13, 2025: 13</t>
  </si>
  <si>
    <t>310444-93P</t>
  </si>
  <si>
    <t>Orit Kohavi</t>
  </si>
  <si>
    <t>okohavi@saferplace.com</t>
  </si>
  <si>
    <t>Professor Schorr Street 21</t>
  </si>
  <si>
    <t>Roostam Tiger, Yossi Rosen, Roman Abramovich and Carasso family sold their stake in the company to an undisclosed buyer in approximately July 2024.</t>
  </si>
  <si>
    <t>Carasso family, Roman Abramovich, Roostam Tiger, Yossi Rosen</t>
  </si>
  <si>
    <t>01-יול-2024</t>
  </si>
  <si>
    <t>13-אפר-2025</t>
  </si>
  <si>
    <t>SafeRide Technologies (Network Management Software)</t>
  </si>
  <si>
    <t>SafeRide Technologies Ltd.</t>
  </si>
  <si>
    <t>PlaxidityX, Armis, Karamba Security</t>
  </si>
  <si>
    <t>Developer of an AI-Based VHM solution for VAS applications intelligence cybersecurity software intended to detect cyber threats. The company's software suite provides commercial fleets and private vehicles with multi-tier cyber-threat protection and is supported by an intelligent cloud-based security facilitation layer to secure and create value for connected and autonomous vehicle platforms, enabling the market to protect commercial fleets and private vehicles from hackers and cyber attacks.</t>
  </si>
  <si>
    <t>Application Software, Automotive, Network Management Software*</t>
  </si>
  <si>
    <t>Autonomous cars, Cybersecurity, Mobility Tech, SaaS</t>
  </si>
  <si>
    <t>automotive security, commercial fleet management, connected vehicles software, cybersecurity software, fleet analytics software, vehicle analytics, vehicle health management, vehicle protection</t>
  </si>
  <si>
    <t>221838-94</t>
  </si>
  <si>
    <t>www.saferide.io</t>
  </si>
  <si>
    <t>2017: 5, 2021: 56</t>
  </si>
  <si>
    <t>Raoul Wallenberg Street 2</t>
  </si>
  <si>
    <t>The company was acquired by Traffilog for an undisclosed amount on November 8, 2021.The company is no longer actively tracked by PitchBook.</t>
  </si>
  <si>
    <t>Plug and Play Tech Center, ST Engineering Ventures</t>
  </si>
  <si>
    <t>Plug and Play Tech Center (www.plugandplaytechcenter.com)</t>
  </si>
  <si>
    <t>18-אפר-2018</t>
  </si>
  <si>
    <t>08-נוב-2021</t>
  </si>
  <si>
    <t>Computing arrangements based on specific computational models, Electric digital data processing, Transmission of digital information, Wireless communication networks</t>
  </si>
  <si>
    <t>Samelet</t>
  </si>
  <si>
    <t>MCA</t>
  </si>
  <si>
    <t>Samelet Motors Ltd</t>
  </si>
  <si>
    <t>Operator of an automotive company intended to provide desirable cars to customers. The company helps their customers for their initial vehicle selection process, enabling customers to get effective deals for their convenience.</t>
  </si>
  <si>
    <t>automotive companies, automotive provider, automotive service, car dealership, car provider, car service</t>
  </si>
  <si>
    <t>522786-07</t>
  </si>
  <si>
    <t>www.samelet.com</t>
  </si>
  <si>
    <t>http://www.linkedin.com/company/samelet</t>
  </si>
  <si>
    <t>327641-14P</t>
  </si>
  <si>
    <t>Shay Feldman</t>
  </si>
  <si>
    <t>6a Hamagshimim Street</t>
  </si>
  <si>
    <t>info@samelet.com</t>
  </si>
  <si>
    <t>6.74x</t>
  </si>
  <si>
    <t>05-ינו-2024</t>
  </si>
  <si>
    <t>SaverOne (TAE: SVRE-L)</t>
  </si>
  <si>
    <t>SaverOne 2014 Ltd.</t>
  </si>
  <si>
    <t>Saverone 2014 Ltd provides driver protection solutions. The company develops and deploys ADAS technologies for transportation safety and driver assistance. The company's product restricts the driver from surfing, communicating, and receiving alerts while driving. The company has developed a system that provides a solution to the problem of distracted driving caused by cell phone use, which endangers the driver, passengers, other drivers on the road and pedestrians. Geographially, it operates in Israel and Europe, out of which it derives maximum revenue from Israel.</t>
  </si>
  <si>
    <t>diving accident prevention, driving application, driving solution, in-vehicle protection, protection management, vehicle management</t>
  </si>
  <si>
    <t>158964-85</t>
  </si>
  <si>
    <t>www.saver.one</t>
  </si>
  <si>
    <t>http://www.linkedin.com/company/saver1</t>
  </si>
  <si>
    <t>2016: 5, 2020: 24, 2021: 28, 2022: 41, 2023: 51, 2024: 50</t>
  </si>
  <si>
    <t>SVRE-L</t>
  </si>
  <si>
    <t>Deal (New) Merger/Acquisition, 2026|Announced/In Progress, News (New), News (New), Filing (New), Filing (New)</t>
  </si>
  <si>
    <t>361738-90P</t>
  </si>
  <si>
    <t>Omri Hagai</t>
  </si>
  <si>
    <t>ohagai@saver.one</t>
  </si>
  <si>
    <t>Em Hamoshavot Road 94</t>
  </si>
  <si>
    <t>The company (TAE: SVRE-L) reached a definitive agreement to be acquired by VisionWave Holdings (NAS: VWAV) for an undisclosed amount on January 26, 2026. This acquisition enables VisionWave Holdings to integrate its proprietary radio-frequency sensing and AI-driven analytics technologies into the company's existing VRU (Vulnerable Road User) platform. The company (TAE: SVRE) received $1.52 million of development capital from undisclosed investors on January 31, 2025, through a private placement. The company is being actively tracked by PitchBook.</t>
  </si>
  <si>
    <t>The Flying Whale, Unicorn Technologies</t>
  </si>
  <si>
    <t>Ituran Location &amp; Control, Keshet International, Ratio technologies (Israel), UMI Israel</t>
  </si>
  <si>
    <t>VisionWave Holdings</t>
  </si>
  <si>
    <t>The Flying Whale (www.theflyingwhale.fund), Unicorn Technologies (www.unicorn-technologies.co.il)</t>
  </si>
  <si>
    <t>Ituran Location &amp; Control (www.ituran.com), Keshet International (www.keshetinternational.com), Ratio technologies (Israel) (www.ratiotech.co.il)</t>
  </si>
  <si>
    <t>VisionWave Holdings (www.vwave.co.za)</t>
  </si>
  <si>
    <t>Alexander Capital, L.P.(Advisor: General)</t>
  </si>
  <si>
    <t>Discount Capital(Underwriter), Doron, Tikotzky, Kantor, Gutman, Ness, Amit Gross &amp; Co.(Legal Advisor), Fahn Kanne Grant Thornton Israel(Accounting), H.C. Wainwright &amp; Co.(Placement Agent), McDermott Will &amp; Schulte(Legal Advisor), Rosario Capital(Underwriter), ThinkEquity(Advisor: General)</t>
  </si>
  <si>
    <t>26-ינו-2026</t>
  </si>
  <si>
    <t>20.26x</t>
  </si>
  <si>
    <t>40.48x</t>
  </si>
  <si>
    <t>Conjoint control of vehicle sub-units of different type or different function, Radio direction-finding, Telephonic communication, Wireless communication networks</t>
  </si>
  <si>
    <t>07-יונ-2020</t>
  </si>
  <si>
    <t>Sentient Robotics</t>
  </si>
  <si>
    <t>Developer and manufacturer of AI-powered robots designed to automate tasks and transform the entire retail experience with technology and intelligent automation. The company's product offers features like advanced AI intelligence, computer vision, interactive assistance, product recommendations, scalable fleet management, automated inventory tracking, and many more, helping retail and supermarket operations by enhancing efficiency while creating optimized customer experiences.</t>
  </si>
  <si>
    <t>Other Commercial Products, Other Hardware*</t>
  </si>
  <si>
    <t>Advanced Manufacturing, Artificial Intelligence &amp; Machine Learning, Robotics and Drones</t>
  </si>
  <si>
    <t>ai intelligence, ai robots, ai robots development, computer vision, fleet management, product recommendation</t>
  </si>
  <si>
    <t>960812-65</t>
  </si>
  <si>
    <t>www.sentient-robotics.ai</t>
  </si>
  <si>
    <t>http://www.linkedin.com/company/sentient-robotics-ai</t>
  </si>
  <si>
    <t>462416-68P</t>
  </si>
  <si>
    <t>Nir Levy</t>
  </si>
  <si>
    <t>nir@sentient-robotics.ai</t>
  </si>
  <si>
    <t>Shagrir Motor Vehicle Systems</t>
  </si>
  <si>
    <t>Shagrir</t>
  </si>
  <si>
    <t>Shagrir Group Car Services Ltd.</t>
  </si>
  <si>
    <t>Developer of security system designed for locating and protecting the human environment. The company's security system provides services by towing, rescue vehicle and roadside rescue and assistance services in the area of water damage areas for all citizens.</t>
  </si>
  <si>
    <t>Security Services (B2B)</t>
  </si>
  <si>
    <t>Other Commercial Services, Security Services (B2B)*</t>
  </si>
  <si>
    <t>assets tracking, fleet management, public safety, roadside assistance, security, vehicle security</t>
  </si>
  <si>
    <t>58913-65</t>
  </si>
  <si>
    <t>www.shagrir.co.il</t>
  </si>
  <si>
    <t>http://www.linkedin.com/company/shagrir-systems</t>
  </si>
  <si>
    <t>59714-02P</t>
  </si>
  <si>
    <t>David Michael</t>
  </si>
  <si>
    <t>davidm@shagrir.co.il</t>
  </si>
  <si>
    <t>Hanafach street 8</t>
  </si>
  <si>
    <t>The company was acquired by Pointer Telocation for $7.72 million on January 15, 2014. Through this transaction, the company acquired total 100% stake of the company. The company is no longer tracked by PitchBook.</t>
  </si>
  <si>
    <t>Egged Holdings, Gandyr Investments</t>
  </si>
  <si>
    <t>Gandyr Investments (www.gandyr.com/en/gandyr-investments)</t>
  </si>
  <si>
    <t>Bank Hapoalim(Debt Financing), Egged Holdings(Debt Financing), Gandyr Investments(Debt Financing)</t>
  </si>
  <si>
    <t>01-אפר-2004</t>
  </si>
  <si>
    <t>Term Loan - 42.20M $</t>
  </si>
  <si>
    <t>15-ינו-2014</t>
  </si>
  <si>
    <t>Shagrir Systems (Certain Assets and Liabilities) (TAE: SHGR)</t>
  </si>
  <si>
    <t>Shagrir Group Vehicle Services Ltd</t>
  </si>
  <si>
    <t>Shagrir Group Vehicle Services Ltd provides roadside automobile security assistance services as well as towing services. Its services are road services, towing, vehicle replacement and alternative radio services. The company provided 24/7 service to private subscribers, leasing and rental companies, and institutions fleets.</t>
  </si>
  <si>
    <t>assets investment, liability, security</t>
  </si>
  <si>
    <t>100023-13</t>
  </si>
  <si>
    <t>2017: 389, 2018: 379, 2019: 372, 2020: 385, 2021: 307, 2022: 297, 2023: 298, 2024: 325</t>
  </si>
  <si>
    <t>SHGR</t>
  </si>
  <si>
    <t>53680-96P</t>
  </si>
  <si>
    <t>David Mahlab</t>
  </si>
  <si>
    <t>david-mahlab@powerfleet.com</t>
  </si>
  <si>
    <t>Hanapach 8</t>
  </si>
  <si>
    <t>The company underwent an initial public offering on Tel Aviv stock exchange under the ticker symbol of SHGR on June 28, 2016. The company was spun out of from Pointer Telocation Ltd.</t>
  </si>
  <si>
    <t>Pointer Telocation (www.pointer.com)</t>
  </si>
  <si>
    <t>28-יונ-2016</t>
  </si>
  <si>
    <t>ShareRoute Ltd.</t>
  </si>
  <si>
    <t>Developer of a transportation application designed for the daily commute of individuals and groups of passengers with multiple origins and destinations. The company's platform allows ordering rides through the smartphone application by optimizing routing and checking vehicle size, enabling users to reduce private car usage and save money.</t>
  </si>
  <si>
    <t>Application Software, Automotive*, Information Services (B2C)</t>
  </si>
  <si>
    <t>Mobile, Mobility Tech, Ridesharing</t>
  </si>
  <si>
    <t>carpool app, navigation model, ride booking, ridehailing platform, ridesharing app, technology driven, transportation app, travel application, vehicle circuit</t>
  </si>
  <si>
    <t>439317-28</t>
  </si>
  <si>
    <t>www.shareroute.com</t>
  </si>
  <si>
    <t>http://www.linkedin.com/company/shareroute-ltd</t>
  </si>
  <si>
    <t>2020: 5</t>
  </si>
  <si>
    <t>241616-53P</t>
  </si>
  <si>
    <t>Neil Kummer</t>
  </si>
  <si>
    <t>2a Gil'adi</t>
  </si>
  <si>
    <t>The company raised $12,650 in equity crowdfunding via Locodor in October 1, 2019.</t>
  </si>
  <si>
    <t>EcoMotion</t>
  </si>
  <si>
    <t>EcoMotion (www.ecomotion.org.il)</t>
  </si>
  <si>
    <t>Shasha Tours</t>
  </si>
  <si>
    <t>Shasha Tours Ltd.</t>
  </si>
  <si>
    <t>Provider of transportation through a system of vehicle services intended for transporting students, employees of government ministries, local authorities, institutions, and private passengers. The company offers overseas tourism services, including the sale of airline tickets, car rentals, hotel room rentals, and other related services.</t>
  </si>
  <si>
    <t>Restaurants, Hotels and Leisure</t>
  </si>
  <si>
    <t>Other Restaurants, Hotels and Leisure</t>
  </si>
  <si>
    <t>Automotive, Other Restaurants, Hotels and Leisure*</t>
  </si>
  <si>
    <t>airline ticket service, car rental deals, car rental tour, tourism services, transportation company, transportation services</t>
  </si>
  <si>
    <t>168827-77</t>
  </si>
  <si>
    <t>FY 2017</t>
  </si>
  <si>
    <t>186406-57P</t>
  </si>
  <si>
    <t>Arie Shasha</t>
  </si>
  <si>
    <t>25 Kugel Boulevard</t>
  </si>
  <si>
    <t>Sheelds</t>
  </si>
  <si>
    <t>Arilou Technologies</t>
  </si>
  <si>
    <t>Arilou Technologies Ltd.</t>
  </si>
  <si>
    <t>Security Innovation, PlaxidityX, Karamba Security, Trustwave, Veracode, Blackberry, Cylance, SCYTHE, Secunet, CrowdStrike Holdings, Cigital, Mandiant, TowerSec, Escrypt, Mocana, XenonStack</t>
  </si>
  <si>
    <t>Provider of cyber security services intended for fleet operators and their commercial vehicles. The company is engaged in research, development, system engineering and vulnerability assessments of security devices and systems, embedded standalone cyber security devices and integration of such sub-systems into mission-critical systems, thereby enabling itys clients to be provided with best platform for protecting commercial vehicles from cyberthreats.</t>
  </si>
  <si>
    <t>IT Consulting and Outsourcing*, Systems and Information Management</t>
  </si>
  <si>
    <t>Cybersecurity, Mobility Tech, TMT</t>
  </si>
  <si>
    <t>auto cybersecurity, automotive cyber security, cyber security service, cyberthreats security, fleet connectivity, fleet management, mobility tech, systems engineering, vulnerability assessment</t>
  </si>
  <si>
    <t>82982-89</t>
  </si>
  <si>
    <t>www.sheelds.ai</t>
  </si>
  <si>
    <t>2016: 4, 2023: 19</t>
  </si>
  <si>
    <t>Sapir Tower</t>
  </si>
  <si>
    <t>40 Tuval Street</t>
  </si>
  <si>
    <t>The company was acquired by NNG for an undisclosed amount on July 18, 2016. The company is no longer actively tracked by PitchBook.</t>
  </si>
  <si>
    <t>Katzanell Dimant(Legal Advisor)</t>
  </si>
  <si>
    <t>18-יול-2016</t>
  </si>
  <si>
    <t>24-אפר-2025</t>
  </si>
  <si>
    <t>SHIFT (Israel)</t>
  </si>
  <si>
    <t>Shift Live Ltd</t>
  </si>
  <si>
    <t>Developer of a SaaS-based transportation management system designed to digitize and automate operations of transportation services. The company's management software tools generate and manage data from all stages of the operational chain, ride registration, routes optimization and planning, real-time routes monitoring, reports and analysis, helping transportation and fleet management companies to optimize their routes and schedules in order to boost performance.</t>
  </si>
  <si>
    <t>Business/Productivity Software*, Database Software, Road</t>
  </si>
  <si>
    <t>fleet management, fleet management software, mobility software, route optimization, transportation software</t>
  </si>
  <si>
    <t>467166-79</t>
  </si>
  <si>
    <t>www.shiftlive.net</t>
  </si>
  <si>
    <t>http://www.linkedin.com/company/shift-live</t>
  </si>
  <si>
    <t>264624-76P</t>
  </si>
  <si>
    <t>Yuval Danin</t>
  </si>
  <si>
    <t>Co-Founder, Owner and Chief Executive Officer</t>
  </si>
  <si>
    <t>yuval@shiftlive.net</t>
  </si>
  <si>
    <t>18-פבר-2025</t>
  </si>
  <si>
    <t>Shlomo Sixt</t>
  </si>
  <si>
    <t>Provider of car rental and leasing services intended for tourists and international business travelers. The company's long-term rental services include a wide range of multi-brand vehicles featuring all-risk insurance, repair process in the event of an accident, maintenance and technical control service throughout the duration of the contract, provision of a replacement vehicle, as well as 24/7 fleet management services.</t>
  </si>
  <si>
    <t>Other Services (B2C Non-Financial)*</t>
  </si>
  <si>
    <t>car leasing, car rental, car rental service, car sale, leasing service, rental carsharing</t>
  </si>
  <si>
    <t>535139-83</t>
  </si>
  <si>
    <t>363941-29P</t>
  </si>
  <si>
    <t>Uri Omid</t>
  </si>
  <si>
    <t>Co-Chief Executive Officer</t>
  </si>
  <si>
    <t>S. Shlomo Holdings sold a 15% stake in the company to Affinity Partners for ILS 570 million on February 1, 2024. The investment will expand the company to other countries in the Middle East and North Africa.</t>
  </si>
  <si>
    <t>Affinity Partners (Miami), S. Shlomo Holdings</t>
  </si>
  <si>
    <t>Affinity Partners (Miami) (affinitypartners.com), S. Shlomo Holdings (www.shlomo.co.il)</t>
  </si>
  <si>
    <t>Sital Technology</t>
  </si>
  <si>
    <t>Sital Technology Ltd.</t>
  </si>
  <si>
    <t>Provider of hardware and software solutions intended to serve the aerospace, defense, and space companies. The company offers solutions and services like predictive maintenance, airworthiness and mission readiness based on wiring fault detection, enabling clients to get affordable solutions for their technical tasks.</t>
  </si>
  <si>
    <t>Aerospace and Defense*, Air</t>
  </si>
  <si>
    <t>automotive technical support, aviation technical support, cyber security solutions, fault detection, technical support, wiring fault detection</t>
  </si>
  <si>
    <t>138114-01</t>
  </si>
  <si>
    <t>www.sitaltech.com</t>
  </si>
  <si>
    <t>http://www.linkedin.com/company/sital-technology</t>
  </si>
  <si>
    <t>2021: 14, 2022: 15, 2023: 20, 2025: 21</t>
  </si>
  <si>
    <t>209074-60P</t>
  </si>
  <si>
    <t>Ofer Hofman</t>
  </si>
  <si>
    <t>ofer@sitaltech.com</t>
  </si>
  <si>
    <t>Kfar-Saba, Israel</t>
  </si>
  <si>
    <t>17 Atir Yeda Street</t>
  </si>
  <si>
    <t>Kfar-Saba</t>
  </si>
  <si>
    <t>info@sitaltech.com</t>
  </si>
  <si>
    <t>The company was acquired for an undisclosed amount approximately in May 2024. Previously, the company was acquired by an undisclosed private equity investor through an LBO in December 2016.</t>
  </si>
  <si>
    <t>GM Ventures</t>
  </si>
  <si>
    <t>GM Ventures (www.gmventures.com)</t>
  </si>
  <si>
    <t>01-מאי-2024</t>
  </si>
  <si>
    <t>01-יונ-2025</t>
  </si>
  <si>
    <t>Electric digital data processing, Transmission, Transmission of digital information</t>
  </si>
  <si>
    <t>Smart Bus Transportation Solutions</t>
  </si>
  <si>
    <t>Smart Bus Transportation Solutions Ltd</t>
  </si>
  <si>
    <t>Provider of transportation services based in Jerusalem, Israel. The company offers vans, minibusses, midibuses, buses, bulletproof vehicles and vehicles with disabled ramps, helping clients with one-time transportation or set trips.</t>
  </si>
  <si>
    <t>bulletproof vehicle, bus transportation, minibus service, transportation services, vehicle service</t>
  </si>
  <si>
    <t>506905-30</t>
  </si>
  <si>
    <t>www.smartbus.co.il</t>
  </si>
  <si>
    <t>Yad Harutz 4</t>
  </si>
  <si>
    <t>The company was acquired by Nginx, a subsidiary of F5 Networks (NAS: FFIV), for an undisclosed amount in 2016. The company is no longer actively tracked by PitchBook.</t>
  </si>
  <si>
    <t>Nginx</t>
  </si>
  <si>
    <t>Solar Drone</t>
  </si>
  <si>
    <t>Solar Drone Ltd</t>
  </si>
  <si>
    <t>Ecoppia, Airtouch, BladeRanger</t>
  </si>
  <si>
    <t>Developer of an affordable drone-based system designed to offer cloud, AI, and drone-based solar panel cleaning. The company's drone offers features like image generation, artificial intelligence, machine learning, data mining, and real-time analysis, enabling clients to have the ability to plan, monitor, maintain, secure and clean solar panels.</t>
  </si>
  <si>
    <t>Business/Productivity Software, Electronic Equipment and Instruments*, Other Hardware</t>
  </si>
  <si>
    <t>Artificial Intelligence &amp; Machine Learning, Big Data, CleanTech, Climate Tech, CloudTech &amp; DevOps, LOHAS &amp; Wellness, Mobility Tech, Robotics and Drones</t>
  </si>
  <si>
    <t>drone technology, drone-based solutions, drone-based technology, intelligent robotics, panel cleaning, solar farm, solar industry</t>
  </si>
  <si>
    <t>Formerly Angel backed</t>
  </si>
  <si>
    <t>517016-26</t>
  </si>
  <si>
    <t>www.solardrones.net</t>
  </si>
  <si>
    <t>http://www.linkedin.com/company/solardrones-net</t>
  </si>
  <si>
    <t>2023: 4</t>
  </si>
  <si>
    <t>328371-94P</t>
  </si>
  <si>
    <t>Shmulik Yannay</t>
  </si>
  <si>
    <t>syannay@solardrones.co.il</t>
  </si>
  <si>
    <t>Petah Tiqva, Israel</t>
  </si>
  <si>
    <t>Petah Tiqva</t>
  </si>
  <si>
    <t>info@solardrones.co.il</t>
  </si>
  <si>
    <t>The company was acquired by VisionWave Holdings (NAS: VWAV) for $21.6 million on December 15, 2025.</t>
  </si>
  <si>
    <t>BladeRanger, VisionWave Holdings</t>
  </si>
  <si>
    <t>Mercantile Discount Bank(General Business Banking)</t>
  </si>
  <si>
    <t>Fleming.(Legal Advisor), Pipelbiz(Lead Manager or Arranger)</t>
  </si>
  <si>
    <t>18-אוג-2023</t>
  </si>
  <si>
    <t>Developer of temperature management technology, specializing in compressor-free solutions for heating and cooling. SolidT's product offers dual efficiency in both heating and cooling, making it a valuable solution for a variety of industries.</t>
  </si>
  <si>
    <t>570562-21</t>
  </si>
  <si>
    <t>solidt-tech.com</t>
  </si>
  <si>
    <t>http://www.linkedin.com/company/solidt1</t>
  </si>
  <si>
    <t>Petach Tikva, Israel</t>
  </si>
  <si>
    <t>Hertsel</t>
  </si>
  <si>
    <t>0.53x</t>
  </si>
  <si>
    <t>09-אוק-2025</t>
  </si>
  <si>
    <t>SONICLUE</t>
  </si>
  <si>
    <t>SONICLUE Ltd.</t>
  </si>
  <si>
    <t>Developer of an automotive preventive maintenance technology designed to detect and diagnose current and impending vehicle malfunctions through sound. The company develops an automotive tech by implementing machine learning and signal processing, it allows auto repair shops to detect malfunctions and mechanical problems within seconds, thereby offering preventive maintenance to customers by improving auto repair efficiency.</t>
  </si>
  <si>
    <t>automotive preventive maintenance, autonomous vehicle technology, autonomous vehicles technology, inspection solutions, sound analysis, vehicle inspection solution</t>
  </si>
  <si>
    <t>496625-59</t>
  </si>
  <si>
    <t>www.soniclue.com</t>
  </si>
  <si>
    <t>SpearEye Technologies</t>
  </si>
  <si>
    <t>SpearEye LTD.</t>
  </si>
  <si>
    <t>Developer of a management software company intended to drive autonomous vehicles. The company offers sensor technology combination of radars and cameras which will act as as an emergency stop system with an HD-map dynamic system, enabling clients to embed the system to a vehicle.</t>
  </si>
  <si>
    <t>Business/Productivity Software, Other Hardware*</t>
  </si>
  <si>
    <t>autonomous vehicle, dynamic monitoring, management software, motor vehicle, synchronization tools, traffic management</t>
  </si>
  <si>
    <t>596497-06</t>
  </si>
  <si>
    <t>www.speareye.com</t>
  </si>
  <si>
    <t>The company is no longer actively in business as of October 26, 2022. The company is no longer tracked by PitchBook.</t>
  </si>
  <si>
    <t>Plug and Play Tech Center</t>
  </si>
  <si>
    <t>02-מאי-2024</t>
  </si>
  <si>
    <t>Starter Israel</t>
  </si>
  <si>
    <t>A.B. Starter Israel Ltd.</t>
  </si>
  <si>
    <t>RevolutionParts, Tecdoc Informations System</t>
  </si>
  <si>
    <t>Operator of a SAAS platform intended to conduct advertising for small and medium-sized businesses in the field of spare parts for vehicles. The company's platform provides users with information and technical details about spare car parts including replacement of original and replacement parts for vehicle models, presentation of price lists, and comparison of purchase prices in spare parts throughout the country, enabling users to compare different parts and make an informed purchase from a variety of stores.</t>
  </si>
  <si>
    <t>Automotive, Information Services (B2C)*</t>
  </si>
  <si>
    <t>E-Commerce, TMT</t>
  </si>
  <si>
    <t>aftermarket automotive parts, ecommerce automation, marketing platform, price comparison, price comparison engine, price comparison platform, pricing algorithm, saas-based service, spare parts, spare parts sales</t>
  </si>
  <si>
    <t>472442-59</t>
  </si>
  <si>
    <t>www.starter.co.il</t>
  </si>
  <si>
    <t>http://www.linkedin.com/company/starter-israel</t>
  </si>
  <si>
    <t>2020: 3, 2021: 8</t>
  </si>
  <si>
    <t>274396-42P</t>
  </si>
  <si>
    <t>Ilan Beigel</t>
  </si>
  <si>
    <t>ilan@starter.co.il</t>
  </si>
  <si>
    <t>Givat Shmuel, Israel</t>
  </si>
  <si>
    <t>Ha'arava Street 1</t>
  </si>
  <si>
    <t>Givat Shmuel</t>
  </si>
  <si>
    <t>The company was capitalized with $ 45,000 in funding on August 3, 2020.</t>
  </si>
  <si>
    <t>Guy Kedem(Legal Advisor)</t>
  </si>
  <si>
    <t>03-אוג-2020</t>
  </si>
  <si>
    <t>26-פבר-2025</t>
  </si>
  <si>
    <t>Streetsmart</t>
  </si>
  <si>
    <t>Streetsmart Ltd</t>
  </si>
  <si>
    <t>TallyGo, Loup ( Social/Platform Software), CloudCar, Trucker Path, Citi Logik, Waze, Point Inside</t>
  </si>
  <si>
    <t>Developer of a mobile application platform designed to offer a road decision-making system. The company's mobile application platform integrates into the current dispatch algorithms, analyze supply and demand and optimize the decisions making process, enabling drivers and car owners to direct them toward their next passenger by building a fitted route while taking into account the varying demand and supply, road traffic and various other real-time sources.</t>
  </si>
  <si>
    <t>Mobile, Mobility Tech, Supply Chain Tech, TMT</t>
  </si>
  <si>
    <t>drivers' mobile app, fleet operations, mobile app, passenger routing, road management app, traffic info app</t>
  </si>
  <si>
    <t>184551-13</t>
  </si>
  <si>
    <t>www.streetsm4rt.com</t>
  </si>
  <si>
    <t>13 Shocken street</t>
  </si>
  <si>
    <t>The company was acquired by Gett for an undisclosed amount on August 9, 2017. The acquisition will enhance the existing artificial intelligence team of Gett. The company is no longer actively tracked by PitchBook.</t>
  </si>
  <si>
    <t>GT Get Taxi Systems</t>
  </si>
  <si>
    <t>Alumot</t>
  </si>
  <si>
    <t>Alumot (www.alumotvc.com)</t>
  </si>
  <si>
    <t>09-אוג-2017</t>
  </si>
  <si>
    <t>Sun D'Or International Airlines</t>
  </si>
  <si>
    <t>El Al Charter Services</t>
  </si>
  <si>
    <t>Sun D'Or</t>
  </si>
  <si>
    <t>Operator of an airline service headquartered in Israel. The company is a provider of charter flights. It is based out of Ben Gurion Airport in Tel Aviv and offers flights to locations throughout Europe.</t>
  </si>
  <si>
    <t>air freight, baggage tracker, express check-in, flight leasing, leasing service</t>
  </si>
  <si>
    <t>114366-34</t>
  </si>
  <si>
    <t>www.sundor.co.il</t>
  </si>
  <si>
    <t>P.O.B 161</t>
  </si>
  <si>
    <t>sundorcustomer@elal.co.il</t>
  </si>
  <si>
    <t>The company was in talks to be acquired by Israir Airlines and Tourism, a subsidiary of IDB Development Corporation (TASE: IDBD) for an undisclosed amount on May 25, 2015. Subsequently the deal was cancelled.</t>
  </si>
  <si>
    <t>Israir Airlines and Tourism</t>
  </si>
  <si>
    <t>Israir Airlines and Tourism (www.israirairlines.com)</t>
  </si>
  <si>
    <t>25-מאי-2015</t>
  </si>
  <si>
    <t>27.57x</t>
  </si>
  <si>
    <t>28-מרץ-2025</t>
  </si>
  <si>
    <t>Ten Petroleum Company</t>
  </si>
  <si>
    <t>Ten</t>
  </si>
  <si>
    <t>Ten Petroleum Company Ltd.</t>
  </si>
  <si>
    <t>Operator of gas stations and convenience stores in industrial parks intended for the petrol market. The company is engaged in the development, construction and operation of filling stations, convenience stores and fuel supply services, enabling customers to avail fuel and related services at competitive pricing.</t>
  </si>
  <si>
    <t>Automotive*, Energy Infrastructure, Infrastructure</t>
  </si>
  <si>
    <t>car service center, car station, chain of gas station, fuel station, gas center, refueling center</t>
  </si>
  <si>
    <t>58747-51</t>
  </si>
  <si>
    <t>www.10ten.co.il</t>
  </si>
  <si>
    <t>http://www.linkedin.com/company/ten-petroleum-company-ltd-</t>
  </si>
  <si>
    <t>2017: 550, 2021: 23</t>
  </si>
  <si>
    <t>121427-74P</t>
  </si>
  <si>
    <t>Eran Vaknin</t>
  </si>
  <si>
    <t>eran.vaknin@10ten.co.il</t>
  </si>
  <si>
    <t>Arie Regev 7</t>
  </si>
  <si>
    <t>Union Bank of Israel sold its 9% stake in the company to Apax Partners for ILS 16.8 million on April 4, 2017. The transaction values the company at ILS 186.67 million.</t>
  </si>
  <si>
    <t>Apax Partners</t>
  </si>
  <si>
    <t>Bank Hapoalim, Fishman Group, Tao Tsuot, Union Bank of Israel</t>
  </si>
  <si>
    <t>Apax Partners (www.apax.com)</t>
  </si>
  <si>
    <t>Bank Hapoalim (www.bankhapoalim.com), Fishman Group (www.fishman.co.il), Tao Tsuot (www.tao-t.com), Union Bank of Israel (www.unionbank.co.il)</t>
  </si>
  <si>
    <t>01-ינו-1994</t>
  </si>
  <si>
    <t>04-אפר-2017</t>
  </si>
  <si>
    <t>2.30x</t>
  </si>
  <si>
    <t>21-פבר-2025</t>
  </si>
  <si>
    <t>TGI Infrastructures (TAE: TGI)</t>
  </si>
  <si>
    <t>Tadir-Gan Group</t>
  </si>
  <si>
    <t>Tadir-Gan</t>
  </si>
  <si>
    <t>TGI Infrastructures Ltd</t>
  </si>
  <si>
    <t>TGI Infrastructures Ltd, formerly Tadir-Gan (Precision Products) 1993 Ltd manufactures machined and assembled aluminum high-pressure die cast products. Its product categories include Aluminium and Magnesium products. The company's products include powertrain, transmission, steering, structural products, oil pans, valve covers, transmission parts, and other products.</t>
  </si>
  <si>
    <t>aluminium castings, magnesium casting, transmission parts, valves cover, zinc casting</t>
  </si>
  <si>
    <t>58741-57</t>
  </si>
  <si>
    <t>www.tadirgan-group.com</t>
  </si>
  <si>
    <t>2017: 551, 2018: 162, 2019: 159, 2020: 154, 2021: 166, 2022: 164, 2023: 163, 2024: 153</t>
  </si>
  <si>
    <t>TGI</t>
  </si>
  <si>
    <t>185181-58P</t>
  </si>
  <si>
    <t>Arie Gottlieb</t>
  </si>
  <si>
    <t>Executive</t>
  </si>
  <si>
    <t>Afula, Israel</t>
  </si>
  <si>
    <t>Alon-Tavor</t>
  </si>
  <si>
    <t>POB 2001</t>
  </si>
  <si>
    <t>Afula</t>
  </si>
  <si>
    <t>office@tadirgan-group.com</t>
  </si>
  <si>
    <t>The company (TASE: TDGN) received development capital from FIMI Opportunity Funds in March 2011 through a private placement.</t>
  </si>
  <si>
    <t>Poalim Equity(Advisor: General)</t>
  </si>
  <si>
    <t>Brightman Almagor Zohar(Advisor: General)</t>
  </si>
  <si>
    <t>01-ינו-2002</t>
  </si>
  <si>
    <t>01-מרץ-2011</t>
  </si>
  <si>
    <t>23-ינו-2025</t>
  </si>
  <si>
    <t>TheWhollySee</t>
  </si>
  <si>
    <t>TheWhollySee Company Ltd.</t>
  </si>
  <si>
    <t>Developer of training datasets for machines designed for training deep neural networks in scene understanding. The company's image augmentation technology can generate annotated datasets of real-world imagery in with automatic instance-level object segmentation in complex multi-object scenes, providing companies with high-fidelity, high-diversity mixed-reality data that does not require the expensive human labeling or post-processing.</t>
  </si>
  <si>
    <t>Augmented Reality, Autonomous cars, Mobility Tech</t>
  </si>
  <si>
    <t>autonomous vehicles, images annotation, images segmentation, object segmentation, training data</t>
  </si>
  <si>
    <t>278945-29</t>
  </si>
  <si>
    <t>www.thewhollysee.com</t>
  </si>
  <si>
    <t>Sderot Chicago</t>
  </si>
  <si>
    <t>info@thewhollysee.com</t>
  </si>
  <si>
    <t>The company is no longer actively in business as of October 1, 2019. The company is no longer tracked by PitchBook.</t>
  </si>
  <si>
    <t>MassChallenge, Nvidia</t>
  </si>
  <si>
    <t>MassChallenge (www.masschallenge.org), Nvidia (www.nvidia.com)</t>
  </si>
  <si>
    <t>28-מרץ-2018</t>
  </si>
  <si>
    <t>ThinkZ</t>
  </si>
  <si>
    <t>Developer of advanced data and AI-based software designed to support future mobility innovation and services. The company's platform lets internet of things (IoT) devices to autonomously discover, connect, and collaborate with each other, enabling original equipment manufacturers (OEMs) to make their autonomous machines to be social, conscious and empowered to collaborate.</t>
  </si>
  <si>
    <t>Artificial Intelligence &amp; Machine Learning, Autonomous cars, Internet of Things, Mobility Tech</t>
  </si>
  <si>
    <t>ai platform, autonomous mobility, autonomous vehicles, iot platform, iot technology</t>
  </si>
  <si>
    <t>438994-81</t>
  </si>
  <si>
    <t>www.thinkz.ai</t>
  </si>
  <si>
    <t>http://www.linkedin.com/company/thinkz-iot-com</t>
  </si>
  <si>
    <t>53633-89P</t>
  </si>
  <si>
    <t>Ohad Shaked</t>
  </si>
  <si>
    <t>ohad@thinkup.global</t>
  </si>
  <si>
    <t>Weizmann Street, 4</t>
  </si>
  <si>
    <t>04-מרץ-2024</t>
  </si>
  <si>
    <t>Trailze</t>
  </si>
  <si>
    <t>Trailze Ltd.</t>
  </si>
  <si>
    <t>Provider of navigation-as-a-service intended for micro-mobility vehicles. The company's application is powered by multi-modal navigation, can be integrated with a vehicle's existing system, and offers interactive voice guidance, enabling users to avail safe riding and adopt transportation navigation.</t>
  </si>
  <si>
    <t>Artificial Intelligence &amp; Machine Learning, Mobile, Mobility Tech, TMT</t>
  </si>
  <si>
    <t>ai ml software, ai tools, mapping application, micro-mobility, navigation app, outdoor navigation app</t>
  </si>
  <si>
    <t>123875-47</t>
  </si>
  <si>
    <t>www.trailze.com</t>
  </si>
  <si>
    <t>2016: 5, 2021: 7, 2022: 7, 2023: 7, 2024: 3, 2025: 3</t>
  </si>
  <si>
    <t>121, Dvora HaNevi'a Street 124</t>
  </si>
  <si>
    <t>info@trailze.com</t>
  </si>
  <si>
    <t>The company is no longer actively in business on July 25, 2025. The company is no longer tracked by PitchBook.</t>
  </si>
  <si>
    <t>MobilityFund</t>
  </si>
  <si>
    <t>8200 EISP, CityZone (Israel), David Moche, EIT KIC Urban Mobility, Emerging Ventures, Fred Bosch, Mobileye Global, MobilityVC, Tal Babaioff, Techstars, TheTime, Toro Ventures (Mexico), Untapped Capital, Veritas Technologies, YADAY</t>
  </si>
  <si>
    <t>MobilityFund (www.mobility.fund)</t>
  </si>
  <si>
    <t>8200 EISP (www.eisp.org.il), CityZone (Israel) (city-zone.co), EIT KIC Urban Mobility (www.eiturbanmobility.eu), Emerging Ventures (www.emerging.vc), Mobileye Global (www.mobileye.com), MobilityVC (www.mobility.vc), Techstars (www.techstars.com), TheTime (www.thetime.co.il), Toro Ventures (Mexico) (toroventures.mx), Untapped Capital (www.untapped.vc), Veritas Technologies (www.veritas.com), YADAY (www.yaday.vc)</t>
  </si>
  <si>
    <t>25-יול-2025</t>
  </si>
  <si>
    <t>TRATIX</t>
  </si>
  <si>
    <t>Tratix Intelligence Ltd.</t>
  </si>
  <si>
    <t>Developer of automated surveillance detection system designed to create a real-time, en-route intelligence analysis based on counter-surveillance disciplines. The company's counter-surveillance technology has multi-sensor such as video, gps and communications which classifying suspicious behavior and initiating evasion and protection protocols, thereby enables high-net-worth individuals and cargo to know if they are being followed or not.</t>
  </si>
  <si>
    <t>Application Software*, Automotive, IT Consulting and Outsourcing</t>
  </si>
  <si>
    <t>automated surveillance, detection technology, real time security, security sensors, surveillance detection, vip protection</t>
  </si>
  <si>
    <t>596277-10</t>
  </si>
  <si>
    <t>www.tratix.online</t>
  </si>
  <si>
    <t>395064-01P</t>
  </si>
  <si>
    <t>Sharon Rashty</t>
  </si>
  <si>
    <t>srashty@tratix.online</t>
  </si>
  <si>
    <t>Shuk 45</t>
  </si>
  <si>
    <t>TruckNet (TAE: TRAN)</t>
  </si>
  <si>
    <t>Trucknet Enterprise LTD</t>
  </si>
  <si>
    <t>Trucknet Enterprise Ltd provides fleet management companies with cloud-based transport optimization platform that delivers smart freight exchange to improve efficiency and profitability while reducing environmental impact. The system consists of the following components: the Trucknet platform that automatically matches empty vehicles to subcontractor requests from other companies, TMS is an internal schedule software for transportation companies, Driver Interface which is a mobile application for the driver, Tracker that is a mobile application for end-to-end delivery, currently in development, Trucknet Telematics which is a central interface for different telematics systems, in development.</t>
  </si>
  <si>
    <t>Industrials, SaaS, TMT</t>
  </si>
  <si>
    <t>bulk transport, crosses company optimization, logistics systems, space sharing, transport optimization platform</t>
  </si>
  <si>
    <t>155522-80</t>
  </si>
  <si>
    <t>www.trucknet.io</t>
  </si>
  <si>
    <t>http://www.linkedin.com/company/busnet-&amp;-trucknet</t>
  </si>
  <si>
    <t>2016: 3, 2020: 36, 2021: 38</t>
  </si>
  <si>
    <t>TRAN</t>
  </si>
  <si>
    <t>130617-10P</t>
  </si>
  <si>
    <t>Lana Elner</t>
  </si>
  <si>
    <t>Vice President of Business Development, Business Relationship Manager &amp; Business Development Manager</t>
  </si>
  <si>
    <t>lana.elner@trucknet.io</t>
  </si>
  <si>
    <t>Eilat, Israel</t>
  </si>
  <si>
    <t>Ha-Burseka'i Street 26</t>
  </si>
  <si>
    <t>The company raised an undisclosed amount of funding in its initial public offering on the Tel Aviv Stock Exchange under the ticker symbol of TRAN on March 25, 2021.</t>
  </si>
  <si>
    <t>Capital Nature</t>
  </si>
  <si>
    <t>Capital Nature (www.capitalnature.com)</t>
  </si>
  <si>
    <t>Orion (Israel)(Underwriter)</t>
  </si>
  <si>
    <t>25-מרץ-2021</t>
  </si>
  <si>
    <t>3.04x</t>
  </si>
  <si>
    <t>Provider of proprietary IoT service intended to offer battery-operated devices, such as trackers, to reach precise positioning without jeopardizing battery lifetime. The company offers agnostic hardware and delivers accurate positioning, especially in complex urban environments, particularly valuable for the automotive industry, enabling clients with advanced features like autonomous driving.</t>
  </si>
  <si>
    <t>Business/Productivity Software, Other Commercial Services*, Other Hardware</t>
  </si>
  <si>
    <t>Artificial Intelligence &amp; Machine Learning, Autonomous cars, Infrastructure, Internet of Things, SaaS</t>
  </si>
  <si>
    <t>asset tracking, autonomous driving, cloud platform software, cloud services software, micromobility market, navigation engine</t>
  </si>
  <si>
    <t>495946-54</t>
  </si>
  <si>
    <t>www.tupaia-pos.com</t>
  </si>
  <si>
    <t>http://www.linkedin.com/company/tupaia-pos</t>
  </si>
  <si>
    <t>2023: 4, 2024: 7</t>
  </si>
  <si>
    <t>299873-35P</t>
  </si>
  <si>
    <t>Raoul Wallenberg Street 24</t>
  </si>
  <si>
    <t>0.06x</t>
  </si>
  <si>
    <t>UMI Service</t>
  </si>
  <si>
    <t>UMI</t>
  </si>
  <si>
    <t>Universal Motors Israel Ltd</t>
  </si>
  <si>
    <t>Importer and distributor of cars. The company imports cars and also provides spare parts and accident repair services.</t>
  </si>
  <si>
    <t>Automotive*, Distributors/Wholesale</t>
  </si>
  <si>
    <t>accident repair service, car importer, car spare parts</t>
  </si>
  <si>
    <t>160022-17</t>
  </si>
  <si>
    <t>Debt Financed, M&amp;A</t>
  </si>
  <si>
    <t>www.umiservice.co.il</t>
  </si>
  <si>
    <t>5 Platin Naftali Street</t>
  </si>
  <si>
    <t>service1@umi.co.il</t>
  </si>
  <si>
    <t>The company raised NIS 392 million of debt financing in December 2023. Previously, the company raised NIS 500 million of debt financing in January 2023.</t>
  </si>
  <si>
    <t>Kardan Israel</t>
  </si>
  <si>
    <t>Eastern Automobile Marketing Company, General Motors</t>
  </si>
  <si>
    <t>General Motors (www.gm.com)</t>
  </si>
  <si>
    <t>FISCHER(Legal Advisor), Leader Capital Markets(Debt Financing)</t>
  </si>
  <si>
    <t>01-ספט-1993</t>
  </si>
  <si>
    <t>Bonds, Bonds</t>
  </si>
  <si>
    <t>03-נוב-2016</t>
  </si>
  <si>
    <t>UMO</t>
  </si>
  <si>
    <t>Developer of a technology platform designed to solve sustainability challenges faced by cities. The company's platform enables smart cities to engage their citizens using incentives and rewards to reduce the use of private vehicles while increasing sustainable modes of urban mobility such as walking, cycling, public transportation and carpooling, it also tracks individuals' transportation behavior using mobile devices, IoT networks, city data, and third parties, enabling clients to get desired sustainability score and improve the lifestyle.</t>
  </si>
  <si>
    <t>CleanTech, Internet of Things, Mobility Tech</t>
  </si>
  <si>
    <t>connected service, smart city, sustainable mobility, traffic control software, traffic control system, traffic system, transportation analysis, transportation control</t>
  </si>
  <si>
    <t>278902-72</t>
  </si>
  <si>
    <t>www.umo.mobi</t>
  </si>
  <si>
    <t>The company is no longer actively in business as of October 1, 2025. The company is no longer tracked by PitchBook.</t>
  </si>
  <si>
    <t>Uniqor</t>
  </si>
  <si>
    <t>Manufacturer of electric refrigeration systems intended to serve the commercial transportation and logistics industry. The company offers energy-efficient electric cooling units and a digital platform for fleet management, thereby helping clients to ensure safe, compliant, and sustainable temperature-controlled transportation of goods.</t>
  </si>
  <si>
    <t>Logistics, Other Commercial Products*</t>
  </si>
  <si>
    <t>cold chain technology, cold transportation, cooling system, cooling system product, electric transport refrigeration, temperature control equipment, transport cooling, vehicle cooling system</t>
  </si>
  <si>
    <t>1153325-35</t>
  </si>
  <si>
    <t>www.uniqor-tech.com</t>
  </si>
  <si>
    <t>http://www.linkedin.com/company/uniqor</t>
  </si>
  <si>
    <t>470398-06P</t>
  </si>
  <si>
    <t>Tal Markowitz</t>
  </si>
  <si>
    <t>tmarkowitz@uniqor-tech.com</t>
  </si>
  <si>
    <t>The company received an undisclosed amount of development capital from AP Partners in 2024.</t>
  </si>
  <si>
    <t>AP Partners</t>
  </si>
  <si>
    <t>AP Partners (www.appartnersfund.com)</t>
  </si>
  <si>
    <t>23-אוק-2025</t>
  </si>
  <si>
    <t>V-Gen</t>
  </si>
  <si>
    <t>V-Gen Ltd</t>
  </si>
  <si>
    <t>Developer and manufacturer of fiber lasers. The company develops and manufactures pulsed Ytterbium, Thulium, Erbium, Green and UV fiber-lasers for applications such as micromachining, fine processing and marking. The company's short pulse versions are also implemented in LIDAR and range-finding.</t>
  </si>
  <si>
    <t>Industrials, Manufacturing, Mobility Tech</t>
  </si>
  <si>
    <t>autonomous driving, electrical product, fiber laser, lidar technology, mobility tech</t>
  </si>
  <si>
    <t>65374-93</t>
  </si>
  <si>
    <t>www.vgen.com</t>
  </si>
  <si>
    <t>http://www.linkedin.com/company/v-gen</t>
  </si>
  <si>
    <t>120 Yigal Alon Street</t>
  </si>
  <si>
    <t>The company was acquired by Newport (NASDAQ: NEWP) for NIS 124.9 million on September 29, 2014. The company is no longer actively tracked by PitchBook.</t>
  </si>
  <si>
    <t>Newport (Irvine)</t>
  </si>
  <si>
    <t>30-ספט-2014</t>
  </si>
  <si>
    <t>Devices using the process of light amplification by stimulated emission of radiation [laser] to amplify or generate light, Optical devices or arrangements for the control of light by modification of the optical properties of the media of the elements involved therein, Optical elements, systems or apparatus</t>
  </si>
  <si>
    <t>Valens Semiconductor (NYS: VLN)</t>
  </si>
  <si>
    <t>Valens Semiconductor Ltd.</t>
  </si>
  <si>
    <t>Cirrus Logic, Autotalks, Cypress Semiconductor, Celeno, Sequans Communications, Sierra Wireless, HiSilicon, MediaTek, TriLumina, Quantenna Communications, Semtech, NXP Semiconductors, NimbeLink, Silicon Laboratories, Sckipio, Qualcomm, Broadcom (General Purpose Semiconductors)</t>
  </si>
  <si>
    <t>Valens Semiconductor Ltd is a provider of semiconductor products, pushing the boundaries of connectivity by enabling long-reach, high-speed video, and data transmission for the audio-video and automotive industries. It operates in two segments: Cross Industry Business, which includes solutions for the non-automotive verticals, including audio-video, industrial, machine vision and medical markets, that deliver superior, plug-and-play convergence and distribution of different interfaces, through a single long-distance category cable; and Automotive segment products enable safe and resilient high-speed in-vehicle connectivity for car architectures, realizing the vision of connected and autonomous cars. The company's geographical revenue is derived from Hungary.</t>
  </si>
  <si>
    <t>Application Specific Semiconductors*, Connectivity Products, Multimedia and Design Software</t>
  </si>
  <si>
    <t>Mobility Tech, Robotics and Drones</t>
  </si>
  <si>
    <t>application infrastructure, autonomous driving, connected car technology, cpaas, digital car, firmware, images transmission, mobility tech, semiconductor producer, v2x, v2x processor, vehicle to everything</t>
  </si>
  <si>
    <t>53816-95</t>
  </si>
  <si>
    <t>www.valens.com</t>
  </si>
  <si>
    <t>http://www.linkedin.com/company/valens</t>
  </si>
  <si>
    <t>2018: 350, 2020: 250, 2021: 263, 2022: 313, 2023: 241, 2024: 256</t>
  </si>
  <si>
    <t>NYS</t>
  </si>
  <si>
    <t>VLN</t>
  </si>
  <si>
    <t>News (New), News (New), Filing (New)</t>
  </si>
  <si>
    <t>40135-96P</t>
  </si>
  <si>
    <t>Dror Jerushalmi</t>
  </si>
  <si>
    <t>Founder &amp; Board Member</t>
  </si>
  <si>
    <t>dror.jerushalmi@valens-semi.com</t>
  </si>
  <si>
    <t>8 Hanagar Street</t>
  </si>
  <si>
    <t>POB 7152</t>
  </si>
  <si>
    <t>The company acquired PTK Acquisition (ASE: PTK) through a reverse merger, resulting in the combined entity trading on the NYSE Stock Exchange under the ticker symbol VLN on September 29, 2021. Simultaneously, MediaTek and Leumi Partners acquired a 10.77% stake in the company (NYS: VLN) for $125 million on September 29, 2021, through a private placement.</t>
  </si>
  <si>
    <t>Linse Capital</t>
  </si>
  <si>
    <t>Amiti Ventures, Aptiv, Arc Ventures (United States), Aviv Venture Capital, Delphi Technologies, EG Capital Advisors, F+ Ventures, GBZ Technologies, Genesis Partners, Israel Growth Partners, Kreos Capital, Leumi Partners, Magenta Venture Partners, Magma Venture Partners, MediaTek, Mitsui Global Investment, Nachshon Ventures, Oppenheimer &amp; Company, Pegatron, PTK Acquisition, Samsung Catalyst Fund, Satif Group, The Goldman Sachs Group, Vintage (Private Equity)</t>
  </si>
  <si>
    <t>Linse Capital (www.linsecapital.com)</t>
  </si>
  <si>
    <t>Amiti Ventures (www.amiti.vc), Aptiv (www.aptiv.com), Arc Ventures (United States) (www.arc-vc.com), Aviv Venture Capital (www.avivvc.com), Delphi Technologies (www.delphi.com), EG Capital Advisors (www.egcapitaladvisors.com), F+ Ventures (www.fplus.ventures), GBZ Technologies (www.gbztech.com), Genesis Partners (www.genesispartners.com), Israel Growth Partners (www.igpcapital.com), Kreos Capital (www.kreoscapital.com), Leumi Partners (www.leumipartners.com), Magenta Venture Partners (www.magenta.vc), Magma Venture Partners (www.magmavc.com), MediaTek (www.mediatek.com), Mitsui Global Investment (www.mitsui-global.com), Nachshon Ventures (www.nachshonventures.com), Oppenheimer &amp; Company (www.oppenheimer.com), Pegatron (www.pegatroncorp.com), PTK Acquisition (www.ptktech.com), Samsung Catalyst Fund (www.samsungcatalyst.com), Satif Group (www.satifgroup.com), The Goldman Sachs Group (www.goldmansachs.com), Vintage (Private Equity) (www.vintage-ip.com)</t>
  </si>
  <si>
    <t>Bank of America(Advisor: General), BofA Securities(Advisor: General), BofA Securities(Placement Agent), Citigroup(Placement Agent), Davis Polk(Legal Advisor), Financial Profiles(Advisor: Communications), Goldfarb Gross Seligman(Legal Advisor), Goodwin Procter(Legal Advisor), Kreos Capital(Debt Financing), Meitar Law Offices(Legal Advisor), Oppenheimer &amp; Company(Placement Agent)</t>
  </si>
  <si>
    <t>16-יול-2007</t>
  </si>
  <si>
    <t>Term Loan - (Senior)</t>
  </si>
  <si>
    <t>29-ספט-2021</t>
  </si>
  <si>
    <t>30.96x</t>
  </si>
  <si>
    <t>Arrangements or circuits for control of indicating devices using static means to present variable information, Electric digital data processing, Pictorial communication, Transmission, Transmission of digital information</t>
  </si>
  <si>
    <t>Vayavision</t>
  </si>
  <si>
    <t>3D Sense</t>
  </si>
  <si>
    <t>VayaVision Sensing Ltd.</t>
  </si>
  <si>
    <t>DeepScale, Avrios, Bestmile, DeepMap, Omnitracs, Five, Azuga, Invers (Germany), LeddarTech Holdings, Clever Devices, Nauto, Robosense, Blickfeld, CreateAI Holdings, MileIQ, Metamoto, Baraja, Strobe (Electronic Equipment and Instruments), Princeton Lightwave, Cognata, Seyond, AEye, Velodyne Lidar, Routematch Software</t>
  </si>
  <si>
    <t>Developer of an autonomous driving technology designed for monitoring self-driving vehicles easily. The company's technology utilizes deep learning and computer vision algorithms that are applied to the upsampled high-resolution colored 3D model, resulting in an accurate and reliable detection and classification system, enabling the automobile industry to get improved sensing capabilities and cost reduction on the go.</t>
  </si>
  <si>
    <t>ai platform, ai sensor fusion, autonomous drives, autonomous drives technology, autonomous driving, autonomous machine, autonomous vehicle, mobility tech, perception software, self driving vehicles, sensor fusion platform</t>
  </si>
  <si>
    <t>221435-65</t>
  </si>
  <si>
    <t>www.vayavision.com</t>
  </si>
  <si>
    <t>2017: 4, 2019: 24, 2020: 32, 2021: 45</t>
  </si>
  <si>
    <t>Yehonatan Netanyahu Street 6</t>
  </si>
  <si>
    <t>The company was acquired by LeddarTech for an undisclosed amount on July 7, 2020. The company is no longer actively tracked by PitchBook.</t>
  </si>
  <si>
    <t>European Innovation Council (Belgium)</t>
  </si>
  <si>
    <t>LeddarTech Holdings</t>
  </si>
  <si>
    <t>Drive TLV, EcoMotion, European Commission, LG Electronics, Mitsubishi UFJ Capital, MizMaa Ventures, Noah Pickholtz, OurCrowd, Plug and Play Tech Center, TechFounders, Viola Ventures</t>
  </si>
  <si>
    <t>European Innovation Council (Belgium) (www.eic.ec.europa.eu/eic-fund_en)</t>
  </si>
  <si>
    <t>Drive TLV (www.drivetlv.com/fastlane), EcoMotion (www.ecomotion.org.il), European Commission (commission.europa.eu), LG Electronics (www.lg.com), Mitsubishi UFJ Capital (www.mucap.co.jp), MizMaa Ventures (www.mizmaa.com), OurCrowd (www.ourcrowd.com), Plug and Play Tech Center (www.plugandplaytechcenter.com), TechFounders (www.techfounders.com), Viola Ventures (viola.vc)</t>
  </si>
  <si>
    <t>07-יול-2020</t>
  </si>
  <si>
    <t>Computing arrangements based on specific computational models, Conjoint control of vehicle sub-units of different type or different function, Image data processing or generation, in general, Measuring distances, levels or bearings, Radio direction-finding</t>
  </si>
  <si>
    <t>16-אוק-2018</t>
  </si>
  <si>
    <t>Vcomm</t>
  </si>
  <si>
    <t>VComm Smart Transportation Ltd.</t>
  </si>
  <si>
    <t>Developer of a micro-mobility communication and enforcement platform designed for enhancing safety and traffic management. The company's platform leverages artificial intelligence to be used as an onboard unit on a vehicle like an e-scooter or as a roadside unit in a traffic light controller to warn the rider of running red lights, execute autonomous braking to prevent violations, and collects trip information, enabling transport authorities and micro-mobility operators to promote responsible rider behavior and enforce traffic rules through real-time notifications to the authorities and the rider's smartphone.</t>
  </si>
  <si>
    <t>Artificial Intelligence &amp; Machine Learning, Big Data, Micro-Mobility, Mobility Tech</t>
  </si>
  <si>
    <t>behavior-tracking platform, micro-mobility safety, mobility platform, road safety tech, traffic management, traffic management system, urban mobility solutions</t>
  </si>
  <si>
    <t>515448-64</t>
  </si>
  <si>
    <t>www.vcomm.tech</t>
  </si>
  <si>
    <t>http://www.linkedin.com/company/vcomm-smart-transportation-ltd</t>
  </si>
  <si>
    <t>326150-38P</t>
  </si>
  <si>
    <t>Doron Reizel</t>
  </si>
  <si>
    <t>doron@vcomm.tech</t>
  </si>
  <si>
    <t>info@vcomm.tech</t>
  </si>
  <si>
    <t>The company joined The Israeli Insurtech Accelerator as a part of 7th Cohort on June 18, 2024. No equity or funding was exchanged as a result of this program.</t>
  </si>
  <si>
    <t>CityZone (Israel), SigmaLabs Accelerator, The Israeli Insurtech Accelerator</t>
  </si>
  <si>
    <t>CityZone (Israel) (city-zone.co), SigmaLabs Accelerator (www.sigmalabs.co), The Israeli Insurtech Accelerator (itiaccelerator.com)</t>
  </si>
  <si>
    <t>Wireless communication networks</t>
  </si>
  <si>
    <t>Vectoraic</t>
  </si>
  <si>
    <t>Vectoraic Ltd</t>
  </si>
  <si>
    <t>Developer of proprietary software algorithms designed to perform detailed interpretations of the vectors field in order to anticipate possible collisions with other licensed vehicles, pedestrians or any other mobile object on the road. The company's technology offers high performance, low energy consumption and automotive-grade standards at no cost and operates on the belief that true safety lies in predicting and eliminating hazardous situations well in advance, enabling users to get avehicle computer computing system and prevent accident only in real time.</t>
  </si>
  <si>
    <t>Automotive, Business/Productivity Software*, Media and Information Services (B2B), Road</t>
  </si>
  <si>
    <t>Artificial Intelligence &amp; Machine Learning, Autonomous cars, Mobile, Mobility Tech, TMT</t>
  </si>
  <si>
    <t>ai technology, autonomous drives, opening travel platform, safety management system</t>
  </si>
  <si>
    <t>227468-80</t>
  </si>
  <si>
    <t>www.vectoraic.com</t>
  </si>
  <si>
    <t>http://www.linkedin.com/company/vectoraic</t>
  </si>
  <si>
    <t>183528-46P</t>
  </si>
  <si>
    <t>Aviram Malik</t>
  </si>
  <si>
    <t>Chief Operating Officer</t>
  </si>
  <si>
    <t>3 Tozeret Haaretz Street</t>
  </si>
  <si>
    <t>info@vectoraic.com</t>
  </si>
  <si>
    <t>30-נוב-2025</t>
  </si>
  <si>
    <t>VISS (Automotive)</t>
  </si>
  <si>
    <t>Developer of a road safety warning system intended to prevent accidents. The company offers a road safety warning system that uses sensors fusion with advanced AI algorithms to detect potential collisions and alert all road users in real time, enabling clients to improve traffic flow and make roads safer for everyone.</t>
  </si>
  <si>
    <t>Automation/Workflow Software, Automotive*</t>
  </si>
  <si>
    <t>autonomous vehicle data, autonomous vehicle driving, road accident prevention, road accident prevention technology, road safety system, road safety tech, road safety warning</t>
  </si>
  <si>
    <t>534876-22</t>
  </si>
  <si>
    <t>www.viss-sys.com</t>
  </si>
  <si>
    <t>http://www.linkedin.com/company/viss-vehicle-improved-safety-system</t>
  </si>
  <si>
    <t>2023: 3</t>
  </si>
  <si>
    <t>362805-94P</t>
  </si>
  <si>
    <t>Tsafrir Keynan</t>
  </si>
  <si>
    <t>tsafrir.keynan@viss-sys.com</t>
  </si>
  <si>
    <t>info@viss-sys.com</t>
  </si>
  <si>
    <t>15-מרץ-2024</t>
  </si>
  <si>
    <t>Vizible Zone</t>
  </si>
  <si>
    <t>Vizible Zone Ltd.</t>
  </si>
  <si>
    <t>Developer of an AI-powered life-guarding application designed to detect, track and protect pedestrians from road accidents. The company's tool has features such as obstacle bypassing, mission-critical performance and pedestrian danger profiling, enabling clients to prevent automotive accidents.</t>
  </si>
  <si>
    <t>Application Software, Information Services (B2C), Media and Information Services (B2B)*</t>
  </si>
  <si>
    <t>Artificial Intelligence &amp; Machine Learning, Internet of Things, Mobile, Mobility Tech</t>
  </si>
  <si>
    <t>accident prevention, obstacle detection system, pedestrian safety, pedestrian safety product, safety product, tracking tools</t>
  </si>
  <si>
    <t>277365-97</t>
  </si>
  <si>
    <t>www.vizible.zone</t>
  </si>
  <si>
    <t>http://www.linkedin.com/company/viziblezone</t>
  </si>
  <si>
    <t>2019: 6, 2020: 6, 2023: 3, 2024: 3, 2025: 2</t>
  </si>
  <si>
    <t>208634-41P</t>
  </si>
  <si>
    <t>gofir@vizible.zone</t>
  </si>
  <si>
    <t>Derech Hevron 24 Street</t>
  </si>
  <si>
    <t>The company joined Labs/02 in June 2019. Previously, the company raised $1.2 million of seed funding from Motorola Solutions, Reliance Industries, and OurCrowd in April 2019. Israel Innovation Authority also participated in the round.</t>
  </si>
  <si>
    <t>Innovation Authority, Labs/02, Motorola Solutions, OurCrowd, Reliance Industries</t>
  </si>
  <si>
    <t>Innovation Authority (innovationisrael.org.il), Labs/02 (www.labs02.com), Motorola Solutions (www.motorolasolutions.com), OurCrowd (www.ourcrowd.com), Reliance Industries (www.ril.com)</t>
  </si>
  <si>
    <t>Vulcan Automotive Industries</t>
  </si>
  <si>
    <t>Vulcan Batteries</t>
  </si>
  <si>
    <t>Vulcan, Volta</t>
  </si>
  <si>
    <t>Vulcan Automotive Industries Ltd.</t>
  </si>
  <si>
    <t>Autoparts Express (APX)</t>
  </si>
  <si>
    <t>Manufacturer of automotive batteries focused on promoting awareness about environmental issues. The company specializes in the production of batteries, cables, starter boosters, chargers and related equipment for jet skis, motorcycles, trucks and cars.</t>
  </si>
  <si>
    <t>automotive battery, automotive battery manufacturer, automotive battery systems, automotive battery technology, car charger, starters booster</t>
  </si>
  <si>
    <t>58888-72</t>
  </si>
  <si>
    <t>www.volta.co.il</t>
  </si>
  <si>
    <t>http://www.linkedin.com/company/vulcan-automotive-industries-ltd</t>
  </si>
  <si>
    <t>328745-98P</t>
  </si>
  <si>
    <t>Ran Cohen</t>
  </si>
  <si>
    <t>rcohen@volta.co.il</t>
  </si>
  <si>
    <t>Yarmukh 9</t>
  </si>
  <si>
    <t>PO Box 13074</t>
  </si>
  <si>
    <t>The company received an EUR 50,000 million grant from Horizon 2020 on March 18, 2015.</t>
  </si>
  <si>
    <t>Horizon 2020</t>
  </si>
  <si>
    <t>01-אפר-2000</t>
  </si>
  <si>
    <t>18-מרץ-2015</t>
  </si>
  <si>
    <t>WATT car industries</t>
  </si>
  <si>
    <t>WATT car industries Ltd</t>
  </si>
  <si>
    <t>The company primarily operates in the Automotive industry. WATT car industries was founded in 2018 and is headquartered in Tel Aviv, Israel.</t>
  </si>
  <si>
    <t>autonomous drive, parking solutions, passenger safety, shared mobility</t>
  </si>
  <si>
    <t>619255-54</t>
  </si>
  <si>
    <t>watt-ecar.com</t>
  </si>
  <si>
    <t>http://www.linkedin.com/company/watt-car-industries</t>
  </si>
  <si>
    <t>4 Micha Street</t>
  </si>
  <si>
    <t>0.42x</t>
  </si>
  <si>
    <t>04-אוג-2024</t>
  </si>
  <si>
    <t>Way Better</t>
  </si>
  <si>
    <t>Way Better Ltd.</t>
  </si>
  <si>
    <t>Provider of an application intended to offer a new and affordable transportation alternative. The company's application offers on demand door-to-door taxi service and twenty-four hours taxi service, enabling users to enjoy quality, faster and cheaper ride.</t>
  </si>
  <si>
    <t>Application Software*, Automotive</t>
  </si>
  <si>
    <t>Mobility Tech, Ridesharing</t>
  </si>
  <si>
    <t>public transportation service, real time ridesharing, ridehailing platform, rides hailing, ridesharing platform, taxi booking application, taxi ride booking</t>
  </si>
  <si>
    <t>98703-82</t>
  </si>
  <si>
    <t>The company went out of business on an undisclosed date. The company is no longer actively tracked by PitchBook.</t>
  </si>
  <si>
    <t>Incentive Incubator</t>
  </si>
  <si>
    <t>Incentive Incubator (www.incentive-il.com)</t>
  </si>
  <si>
    <t>Weelz</t>
  </si>
  <si>
    <t>Developer of a social vehicle sharing platform designed for smart mobility. The company's platform permits users to sort through and select the car they would like to rent based on type, price, and location and then check the vehicle's availability, enabling vehicle owners to reduce expenses and other drivers to rent vehicles at lower costs, at prices designed to benefit all parties.</t>
  </si>
  <si>
    <t>vehicle renting marketplace, vehicle sharing application, vehicle sharing platform</t>
  </si>
  <si>
    <t>264872-89</t>
  </si>
  <si>
    <t>www.weelz.co.il</t>
  </si>
  <si>
    <t>HaBarzel Street 11</t>
  </si>
  <si>
    <t>The company went of out business in March 2018 is no longer tracked by PitchBook.</t>
  </si>
  <si>
    <t>01-מרץ-2018</t>
  </si>
  <si>
    <t>WeShareIt</t>
  </si>
  <si>
    <t>WeShareIt Ltd.</t>
  </si>
  <si>
    <t>Provider of car rental services intended for mobility and fleet management. The company's platform gives a real-time linkage for the rental fleet industry and utilizes its resources, maximizes its revenue, and improves customer relationships, enabling clients with an all-in-one integrated platform.</t>
  </si>
  <si>
    <t>communication device, hardware solution, metadata management, travel communication, travel navigation, travelers equipment</t>
  </si>
  <si>
    <t>312588-73</t>
  </si>
  <si>
    <t>www.weshareit.co.il</t>
  </si>
  <si>
    <t>10 Yehoshua Ben-Nun Street</t>
  </si>
  <si>
    <t>The company is no longer actively in business as of July 5, 2024. The company is no longer tracked by PitchBook.</t>
  </si>
  <si>
    <t>KT Squared</t>
  </si>
  <si>
    <t>KT Squared (www.kitov2.com)</t>
  </si>
  <si>
    <t>05-יול-2024</t>
  </si>
  <si>
    <t>08-יול-2024</t>
  </si>
  <si>
    <t>Wevo Energy</t>
  </si>
  <si>
    <t>Wevo Energy Ltd.</t>
  </si>
  <si>
    <t>Developer of an EV charging management software intended to optimize EV charging. The company's platform provides various services like hierarchical energy management, AI-based predictive load balancing, demand-based pricing and data-driven analytics, enabling clients to manage EV charging at apartment complexes, workplaces and commercial properties.</t>
  </si>
  <si>
    <t>Application Software*, Other Energy Services</t>
  </si>
  <si>
    <t>CleanTech, LOHAS &amp; Wellness</t>
  </si>
  <si>
    <t>charging service platform, electric vehicle charging, electric vehicle service, electric vehicle software, electric vehicle solution, ev charging management</t>
  </si>
  <si>
    <t>512457-85</t>
  </si>
  <si>
    <t>www.wevo.energy</t>
  </si>
  <si>
    <t>http://www.linkedin.com/company/weev-energy</t>
  </si>
  <si>
    <t>2021: 2, 2022: 8, 2023: 23, 2024: 30</t>
  </si>
  <si>
    <t>SolarEdge Technologies</t>
  </si>
  <si>
    <t>321646-33P</t>
  </si>
  <si>
    <t>Teddy Flatau</t>
  </si>
  <si>
    <t>teddyf@wevo.energy</t>
  </si>
  <si>
    <t>Ein Vered, Israel</t>
  </si>
  <si>
    <t>POB 265</t>
  </si>
  <si>
    <t>Ein Vered</t>
  </si>
  <si>
    <t>info@wevo.energy</t>
  </si>
  <si>
    <t>The company was acquired by Solaredge Technologies (NAS: SEDG) for approximately $13.331 million on April 1, 2024. This acquisition represents the continuation of SolarEdge's strategy to enhance its software portfolio for the C&amp;I segment.</t>
  </si>
  <si>
    <t>Amit, Pollak, Matalon(Legal Advisor)</t>
  </si>
  <si>
    <t>2.83x</t>
  </si>
  <si>
    <t>09-יול-2025</t>
  </si>
  <si>
    <t>Whilx Technologies Ltd.</t>
  </si>
  <si>
    <t>Developer of an automatic tire pressure optimization system designed for vehicle safety and performance enhancement. The company's system ensures the tire's contact area with the road is always optimal, improving fuel efficiency, reducing CO2 emissions, and enhancing safety by reducing the probability of tire blowouts and decreasing braking distance, enabling vehicle owners to reduce maintenance and fuel costs while improving vehicle safety and performance.</t>
  </si>
  <si>
    <t>Automotive*, Other Services (B2C Non-Financial)</t>
  </si>
  <si>
    <t>Autonomous cars, Climate Tech, Mobility Tech, Supply Chain Tech</t>
  </si>
  <si>
    <t>agricultural farming tires, aluminum tires, auto tires, automobile tires, automotive technology, braking system, fuel efficiency, pressure systems, road safety, vehicle performance, vehicle safety</t>
  </si>
  <si>
    <t>713196-28</t>
  </si>
  <si>
    <t>www.whilx.tech</t>
  </si>
  <si>
    <t>http://www.linkedin.com/company/whilx-technologies</t>
  </si>
  <si>
    <t>2024: 6, 2025: 5</t>
  </si>
  <si>
    <t>231842-26P</t>
  </si>
  <si>
    <t>Omer Shachar</t>
  </si>
  <si>
    <t>omer@nextgear.fund</t>
  </si>
  <si>
    <t>Metsada Street 7</t>
  </si>
  <si>
    <t>The company raised an undisclosed amount of Series 1 venture funding from Next Gear Ventures, Earth &amp; Beyond Ventures, and Eugene Kreinin on March 1, 2025. Dr. Gideon Stein and Alex Chernomordik also participated in the round. Previously, the company joined Motor Valley Accelerator as a part of its Expo 2024 Program on November 14, 2024 and received EUR 400,000 in funding.</t>
  </si>
  <si>
    <t>Alex Chernomordik, ClimateLaunchpad, Drive TLV, Earth &amp; Beyond Ventures, Eugene Kreinin, Gideon Stein, Mamram Space, Motor Valley Accelerator, Next Gear Ventures</t>
  </si>
  <si>
    <t>ClimateLaunchpad (climatelaunchpad.org), Drive TLV (www.drivetlv.com/fastlane), Earth &amp; Beyond Ventures (www.earthandbeyond.ventures), Mamram Space (www.mamram.space), Motor Valley Accelerator (www.motorvalleyaccelerator.com), Next Gear Ventures (www.nextgear.fund)</t>
  </si>
  <si>
    <t>Doron, Tikotzky, Kantor, Gutman, Ness, Amit Gross &amp; Co.(Legal Advisor)</t>
  </si>
  <si>
    <t>01-מרץ-2025</t>
  </si>
  <si>
    <t>0.63x</t>
  </si>
  <si>
    <t>Vehicle tyres</t>
  </si>
  <si>
    <t>Wind Mobility (E-Scooter Operations)</t>
  </si>
  <si>
    <t>Provider of e-scooter rental operations intended to offer delivery and commute services in Israel.</t>
  </si>
  <si>
    <t>e scooter rental company, pickup and drops services, rental operations, rental service, scooter operations, transport service</t>
  </si>
  <si>
    <t>482335-93</t>
  </si>
  <si>
    <t>The business unit was acquired by Yandex (NAS: YNDX) for an undisclosed amount on October 11, 2021. This transaction will compliment Yandex's yango taxi delivery service by allowing staff making deliveries to use the e-scooters. The business unit is no longer actively tracked by PitchBook.</t>
  </si>
  <si>
    <t>Yandex</t>
  </si>
  <si>
    <t>WIND Mobility</t>
  </si>
  <si>
    <t>WIND Mobility (www.wind.co)</t>
  </si>
  <si>
    <t>11-אוק-2021</t>
  </si>
  <si>
    <t>27-מרץ-2025</t>
  </si>
  <si>
    <t>WinkApp</t>
  </si>
  <si>
    <t>WinkApp Ltd.</t>
  </si>
  <si>
    <t>Developer of a mobile application intended for connecting offline and online content. The company proprietary technology connects users' print content with relevant online content intuitively and effectively, enabling users to increase conversion rates and create additional revenue streams from offline content.</t>
  </si>
  <si>
    <t>Application Software*, Media and Information Services (B2B), Multimedia and Design Software</t>
  </si>
  <si>
    <t>content marketing, content sharing app, engages content, micromobility, mobility tech, offline surfing, offline-online ecosystem</t>
  </si>
  <si>
    <t>57128-14</t>
  </si>
  <si>
    <t>www.winkapp.co</t>
  </si>
  <si>
    <t>1 Hataas Street</t>
  </si>
  <si>
    <t>The company is no longer actively in business as of September 1, 2018. The company is no longer tracked by PitchBook.</t>
  </si>
  <si>
    <t>L Marks, StartupEast Ventures, Wadi Ventures, WHLabs Accelerator</t>
  </si>
  <si>
    <t>L Marks (www.lmarks.com), StartupEast Ventures (www.startup-east.com), Wadi Ventures (www.wadiventures.com), WHLabs Accelerator (developer.williamhill.com/whlabs)</t>
  </si>
  <si>
    <t>Fruition Business Group(Advisor: General)</t>
  </si>
  <si>
    <t>Graphical data reading</t>
  </si>
  <si>
    <t>Wise Parking (Automotive)</t>
  </si>
  <si>
    <t>Operator of smart parking enforcement and monitoring technology intended to prevent illegal parking in spaces designated for people with disabilities across public and private parking facilities. The company offers license plate recognition, disabled badge detection, real-time visual alerts, audio warnings, violation countdown timers, automated vehicle image capture, and municipal reporting integration, enabling cities, parking operators, and property owners to improve accessibility, promote social responsibility, and ensure fair availability of parking spaces for people with disabilities.</t>
  </si>
  <si>
    <t>automated monitoring, parking compliance, parking enforcement, smart parking, traffic management, urban mobility</t>
  </si>
  <si>
    <t>517118-05</t>
  </si>
  <si>
    <t>483369-67P</t>
  </si>
  <si>
    <t>Eyal Sabag</t>
  </si>
  <si>
    <t>The company joined Hackaveret on an undisclosed date. No equity or funding was exchanged as a result of this program.</t>
  </si>
  <si>
    <t>Hackaveret</t>
  </si>
  <si>
    <t>Hackaveret (www.hackaveret.org)</t>
  </si>
  <si>
    <t>0.51x</t>
  </si>
  <si>
    <t>25-ינו-2026</t>
  </si>
  <si>
    <t>Wright Aerial Solutions</t>
  </si>
  <si>
    <t>Provider of advanced aviation and drone solutions designed for commercial and security applications. The company offers tailored aerial services, including inspection, infrastructure and construction monitoring, solar services, aerial photography, and regulatory compliance, serving commercial and security markets.</t>
  </si>
  <si>
    <t>3d modeling, aerial photography, aerial videography, mechanical integration, regulatory consulting</t>
  </si>
  <si>
    <t>770866-93</t>
  </si>
  <si>
    <t>wright-as.com</t>
  </si>
  <si>
    <t>http://www.linkedin.com/company/wright-aerial-solutions</t>
  </si>
  <si>
    <t>0.55x</t>
  </si>
  <si>
    <t>Yalla Yalla</t>
  </si>
  <si>
    <t>Yalla Yalla Ti Tours Ltd.</t>
  </si>
  <si>
    <t>Operator of an intercity transport firm intended for convenient regional travel. The company offers direct, air-conditioned shuttle transfers and customizable vacation packages, enabling international travelers to access surrounding destinations with comfort, flexibility, and no hidden fees.</t>
  </si>
  <si>
    <t>Automotive*, Other Restaurants, Hotels and Leisure, Other Services (B2C Non-Financial)</t>
  </si>
  <si>
    <t>automotive transport, bus service, departure services, intercity transport, shuttle bus, transport access, travel services, vehicle service</t>
  </si>
  <si>
    <t>606426-31</t>
  </si>
  <si>
    <t>www.yallayalla.co.il</t>
  </si>
  <si>
    <t>Deal (New) Out of Business, 2026|Completed, Ownership Status (Update) Out of Business</t>
  </si>
  <si>
    <t>Nicosia, Israel</t>
  </si>
  <si>
    <t>Themistokli Dervi, 3, Julia House</t>
  </si>
  <si>
    <t>Nicosia</t>
  </si>
  <si>
    <t>Cyprus</t>
  </si>
  <si>
    <t>info@yallayalla.co.il</t>
  </si>
  <si>
    <t>The company is no longer actively in business as of January 23, 2026. The company is no longer tracked by PitchBook.</t>
  </si>
  <si>
    <t>ELITE Group (Italy)</t>
  </si>
  <si>
    <t>ELITE Group (Italy) (www.elite-network.com)</t>
  </si>
  <si>
    <t>27-אפר-2015</t>
  </si>
  <si>
    <t>Yallabo</t>
  </si>
  <si>
    <t>Developer of a ride sharing application. The company's application enables drivers and passengers to find each other if they are traveling to the same destination and hence share the ride and the fuel cost.</t>
  </si>
  <si>
    <t>carsharing service, ridesharing application, ridesharing service</t>
  </si>
  <si>
    <t>168645-97</t>
  </si>
  <si>
    <t>www.yallabo.co.il</t>
  </si>
  <si>
    <t>151398-82P</t>
  </si>
  <si>
    <t>Matan Melamed</t>
  </si>
  <si>
    <t>The company went out of business on August 1, 2013 and is no longer actively tracked by PitchBook.</t>
  </si>
  <si>
    <t>The Junction</t>
  </si>
  <si>
    <t>The Junction (www.thejunction.co.il)</t>
  </si>
  <si>
    <t>01-אוג-2013</t>
  </si>
  <si>
    <t>14-ינו-2025</t>
  </si>
  <si>
    <t>YIT (Business/Productivity Software)</t>
  </si>
  <si>
    <t>Y-IT Ltd.</t>
  </si>
  <si>
    <t>Developer of a vehicle fleet management software designed to continually monitor vehicles, equipment, and drivers from a single application. The company's software helps to track the location and condition of the vehicles, maintenance schedules, and fuel usage, enabling clients to address current business challenges, optimal targets and improve work efficiency.</t>
  </si>
  <si>
    <t>Application Software, Business/Productivity Software*, Road</t>
  </si>
  <si>
    <t>Mobile, Mobility Tech, SaaS, TMT</t>
  </si>
  <si>
    <t>fleet management software, fleet management system, transportation software, vehicle fleet management, vehicle tracking</t>
  </si>
  <si>
    <t>492623-74</t>
  </si>
  <si>
    <t>www.y-it.co.il</t>
  </si>
  <si>
    <t>http://www.linkedin.com/company/yit2007</t>
  </si>
  <si>
    <t>Eli Horowitz Street 27</t>
  </si>
  <si>
    <t>4.63x</t>
  </si>
  <si>
    <t>8.17x</t>
  </si>
  <si>
    <t>22-פבר-2022</t>
  </si>
  <si>
    <t>ZOOZ Power (TAE: ZOOZ)</t>
  </si>
  <si>
    <t>Chakratech, Zooz Strategy</t>
  </si>
  <si>
    <t>ZOOZ</t>
  </si>
  <si>
    <t>ZOOZ Power Ltd.</t>
  </si>
  <si>
    <t>FreeWire, Revterra, Levistor, ADS-TEC Energy, Alfen</t>
  </si>
  <si>
    <t>Zooz Strategy Ltd, formerly Zooz Power Ltd is a provider of Flywheel-based Power Boosting solutions enabling widespread deployment of ultra-fast charging infrastructure for electric vehicles (EV) while overcoming existing grid limitations. ZOOZ pioneers its flywheel-based power boosting technology, enabling efficient utilization and power management of a power-limited grid at an EV charging site. Its Flywheel technology allows high-performance, reliable, and cost-effective ultra-fast charging infrastructure. Its sustainable, power-boosting solutions are built with longevity and the environment in mind, helping its customers and partners accelerate the deployment of fast-charging infrastructure, thus facilitating improved utilization rates, efficiency and greater flexibility.</t>
  </si>
  <si>
    <t>Automotive, Electrical Equipment*, Road</t>
  </si>
  <si>
    <t>CleanTech, Climate Tech, Manufacturing, Mobility Tech, TMT</t>
  </si>
  <si>
    <t>charging solutions, charging station network, electric vehicle, energy storage system, ev charging technology, kinetic energy storage, renewable energy storage, smart storage services</t>
  </si>
  <si>
    <t>101135-44</t>
  </si>
  <si>
    <t>www.zoozpower.com</t>
  </si>
  <si>
    <t>http://www.linkedin.com/company/zooz-power</t>
  </si>
  <si>
    <t>2015: 6, 2020: 22, 2023: 50, 2024: 38</t>
  </si>
  <si>
    <t>68713-75P</t>
  </si>
  <si>
    <t>Ilan Ben-David</t>
  </si>
  <si>
    <t>Co-Founder and Chief Technology Officer</t>
  </si>
  <si>
    <t>ilan.bendavid@zoozpower.com</t>
  </si>
  <si>
    <t>Hamelacha 4B</t>
  </si>
  <si>
    <t>Central</t>
  </si>
  <si>
    <t>info@zoozpower.com</t>
  </si>
  <si>
    <t>The company (TAE: ZOOZ) received $180 million of development capital from Mr. Alex Rabinovitch, FalconX, ATW Partners, Pantera Capital, Arrington Capital and UTXO Management on September 30, 2025, through a private placement. The proceeds from the offering will be used to launch a Bitcoin Reserve Strategy.</t>
  </si>
  <si>
    <t>Afcon Holdings, Arrington Capital, ATW Partners, Bloom Ventures, Darwin Capital, FalconX, Meitav Investment House, MORE Investment House, Pantera Capital, Phoenix Insurance Company (Multi-Line Insurance), UTXO Management, Yelin Lapidot Investment House</t>
  </si>
  <si>
    <t>BIRD Foundation, Capital Nature, Free Electrons, Goldbell Investments, iArgento Group, Israel G-Tek, L Marks, Ratio technologies (Israel), The Blue Minds Group, Zhengzhou Runner Electric</t>
  </si>
  <si>
    <t>Afcon Holdings (www.afcon.co.il), Arrington Capital (www.arringtoncapital.com), ATW Partners (www.atwpartners.com), Bloom Ventures (www.bloomv.com), Darwin Capital (darwin.capital), FalconX (www.falconx.io), Meitav Investment House (www.meitav.co.il), MORE Investment House (www.moreinvest.co.il), Pantera Capital (www.panteracapital.com), Phoenix Insurance Company (Multi-Line Insurance) (www.fnx.co.il), UTXO Management (utxo.management), Yelin Lapidot Investment House (www.yl-invest.co.il)</t>
  </si>
  <si>
    <t>BIRD Foundation (www.birdf.com), Capital Nature (www.capitalnature.com), Free Electrons (www.freeelectrons.org), iArgento Group (www.iargento.com), Israel G-Tek (www.sami8515.wixsite.com/g-tek), L Marks (www.lmarks.com), Ratio technologies (Israel) (www.ratiotech.co.il), The Blue Minds Group (blueminds-company.com), Zhengzhou Runner Electric (www.runnerelec.com)</t>
  </si>
  <si>
    <t>PwC(Auditor)</t>
  </si>
  <si>
    <t>Chardan Capital Markets(Advisor: General), Cooley(Legal Advisor), MS-IR(Advisor: Communications), PwC Israel(Advisor: General), Shibolet &amp; Company(Legal Advisor), Value Base(Advisor: General)</t>
  </si>
  <si>
    <t>29-אפר-2015</t>
  </si>
  <si>
    <t>21-ינו-2026</t>
  </si>
  <si>
    <t>Dynamo-electric machines, Propulsion of electrically-propelled vehicles, Springs</t>
  </si>
  <si>
    <t>Location: Middle East &gt; Israel; Verticals: Autonomous cars; Mobility Tech;</t>
  </si>
  <si>
    <t>Segment</t>
  </si>
  <si>
    <t>PBId</t>
  </si>
  <si>
    <t>Subsegment</t>
  </si>
  <si>
    <t>Included In Map</t>
  </si>
  <si>
    <t>Order In Map</t>
  </si>
  <si>
    <t>2017: 15, 2020: 6, 2021: 15, 2021: 6, 2021: 7, 2022: 25, 2022: 20, 2023: 20, 2023: 20, 2024: 20</t>
  </si>
  <si>
    <t>INRIX, Econolite Group, Cubic, Parsons, Kapsch TrafficCom</t>
  </si>
  <si>
    <t>11.06x</t>
  </si>
  <si>
    <t>2000: 185, 2006: 185, 2008: 185, 2013: 185, 2013: 185, 2017: 660, 2017: 660, 2017: 660, 2017: 660, 2018: 1000, 2018: 660, 2018: 1400, 2020: 1700, 2020: 2500, 2020: 2000, 2021: 1350, 2021: 2100, 2021: 1574, 2022: 1700, 2022: 3100, 2022: 3500, 2023: 3700, 2024: 3900</t>
  </si>
  <si>
    <t>Ambarella, Arbe Robotics, Aeva Technologies, Velodyne Lidar, WeRide (Automotive), Torc Robotics, Ottomatika, Drive.ai, Roadstar.AI, Optimus Ride, Cipia, Zoox, Movidius, Princeton Lightwave, Waymo</t>
  </si>
  <si>
    <t>News (New), News (New)</t>
  </si>
  <si>
    <t>ADIP (www.adipvc.com), Alumni Ventures (www.av.vc), Bank Leumi le-Israel (leumi.co.il/en), Blackstone (www.blackstone.com), Catalyst Investments (www.catalyst-fund.com), Daniel Gutenberg (www.gutenberg.ch), Enterprise Rent A Car Canada (www.enterprisecarshare.com), Fidelity (www.fidelity.com), Gandyr Investments (www.gandyr.com/en/gandyr-investments), General Atlantic (www.generalatlantic.com), GlenRock Israel (www.grg.co.il), Goldman Sachs Asset Management (am.gs.com/en-int/institutions), Kilmahew Ventures (www.kilmahew.com), Sailing Capital (www.sailing-capital.com.hk), Union Tech Ventures (uniontech.vc), Wellington Management (www.wellington.com)</t>
  </si>
  <si>
    <t>Academy Securities(Underwriter), Baker McKenzie(Legal Advisor), Baltimore, Maryland. Skadden, Arps, Slate, Meagher &amp; Flom LLPn, Arps,Slate(Legal Advisor), Barclays(Underwriter), Barclays Investment Bank(Underwriter), Barclays Leveraged Finance(Underwriter), Barclays Wealth &amp; Investment Management (Latam Caribbean Business)(Underwriter), Blaylock Van(Underwriter), BNP Paribas Securities Services(Underwriter), BofA Securities(Underwriter), Cabrera Capital Markets(Underwriter), CastleOak Securities(Advisor: General), China International Capital Corporation(Underwriter), Citibank Group(Underwriter), Citigroup Global Markets Deutschland(Underwriter), CL King &amp; Associates(Advisor: General), Commerz Markets(Underwriter), Compass Lexecon(Consulting), Credit Agricole Corporate &amp; Investment Bank(Advisor: General), Davis Polk(Legal Advisor), Deutsche Bank Securities(Underwriter), Dominari Securities(Advisor: General), Drexel Hamilton(Underwriter), Evercore Group(Underwriter), Goldfarb Gross Seligman(Legal Advisor), Guzman &amp; Company(Underwriter), Hagai Greenspoon &amp; Co.(Legal Advisor), Independence Point Advisors(Underwriter), J.P. Morgan (New York)(Underwriter), J.P. Morgan Securities(Underwriter), Joseph Gunnar &amp; Co.(Advisor: General), Kesselman &amp; Kesselman C.P.A(Accounting), Livingston Securities(Underwriter), Loop Capital Markets(Underwriter), Meitar Law Offices(Legal Advisor), Mischler Financial Group(Advisor: General), Mitsubishi UFJ Securities Holdings(Underwriter), Mizuho Americas(Underwriter), Mizuho Securities(Underwriter), Morgan Stanley(Advisor: General), Morrison &amp; Foerster(Legal Advisor), Needham (Investment Bank)(Underwriter), Nomura Greentech Capital Advisors(Advisor: General), Nomura Holdings(Underwriter), PJT Partners(Underwriter), Poalim Equity(Advisor: General), PricewaterhouseCoopers(Accounting), Raymond James Financial(Advisor: General), RBC Capital Markets(Underwriter), Robert W. Baird &amp; Co.(Underwriter), Siebert Williams Shank &amp; Company(Underwriter), Skadden, Arps, Slate, Meagher &amp; Flom(Legal Advisor), TD Cowen(Advisor: General), TD Securities(Underwriter), The Goldman Sachs Group(Underwriter), Tigress Financial Partners(Underwriter), Van Campen Liem(Legal Advisor), Wells Fargo(Underwriter), Wells Fargo Securities(Underwriter), William Blair &amp; Company(Underwriter), Wolfe Research(Underwriter), WR Securities(Advisor: General)</t>
  </si>
  <si>
    <t>202.29x</t>
  </si>
  <si>
    <t>2016: 4, 2016: 8, 2016: 12, 2017: 19, 2017: 10, 2017: 28, 2018: 43, 2018: 55, 2019: 75, 2019: 80, 2019: 80, 2019: 85, 2020: 65, 2020: 70, 2021: 75, 2021: 80, 2021: 75, 2021: 105, 2021: 118, 2022: 136, 2023: 137, 2024: 144, 2025: 180</t>
  </si>
  <si>
    <t>Application Specific Semiconductors, Business/Productivity Software*, Electronic Equipment and Instruments</t>
  </si>
  <si>
    <t>Ouster, Mobileye Global, Velodyne Lidar, Echodyne, Texas Instruments, Metawave, Uhnder, NXP Semiconductors (Television Systems and Set-Top Box Business Lines)</t>
  </si>
  <si>
    <t>Debt Financed, M&amp;A, Private Equity, Publicly Listed, Venture Capital</t>
  </si>
  <si>
    <t>The company (NAS: ARBE) is in talks to receive $28.75 million of development capital from undisclosed investors through a private placement as of January 7, 2025. The Company intends to use the net proceeds from this offering for working capital and general corporate purposes. Previously, The company raised $7.81 million in its second public offering on the Nasdaq Stock Exchange under the ticker symbol of ARBE on November 4, 2024. A total of 4,293,957 shares were sold at $1.82 per share. The company is being actively tracked by PitchBook.</t>
  </si>
  <si>
    <t>Canaccord Genuity(Underwriter), Cohen &amp; Company Capital Markets(Advisor: General), DLA Piper(Legal Advisor), Ellenoff Grossman &amp; Schole(Legal Advisor), Epsilon Investment House(Advisor: General), Erdinast, Ben Nathan, Toledano &amp; Co. With Hamburger Evron(Legal Advisor), KPMG(Accounting), Kreos Capital(Debt Financing), Lowenstein Sandler(Legal Advisor), Pava(Advisor: General), Poalim Equity(Advisor: General), ROTH Capital Partners(Advisor: General), Scintilla Fund(Debt Financing), TD Cowen(Advisor: General), Wells Fargo Securities(Advisor: General)</t>
  </si>
  <si>
    <t>29.43x</t>
  </si>
  <si>
    <t>17.97x</t>
  </si>
  <si>
    <t>40.88x</t>
  </si>
  <si>
    <t>Antennas, Printed circuits, Radio direction-finding, Semiconductor devices not covered by class h10, Systems for controlling or regulating non-electric variables</t>
  </si>
  <si>
    <t>2016: 30, 2017: 75, 2017: 75, 2018: 110, 2018: 150, 2018: 150, 2018: 170, 2018: 200, 2019: 200, 2019: 240, 2019: 240, 2019: 240, 2019: 250, 2020: 262, 2020: 280, 2020: 283, 2021: 337, 2021: 369, 2021: 404, 2022: 419, 2022: 468, 2023: 488, 2024: 415</t>
  </si>
  <si>
    <t>54.71x</t>
  </si>
  <si>
    <t>2021: 42, 2021: 44, 2022: 47</t>
  </si>
  <si>
    <t>Augmented Reality</t>
  </si>
  <si>
    <t>2.39x</t>
  </si>
  <si>
    <t>4.12x</t>
  </si>
  <si>
    <t>2017: 40, 2018: 40, 2020: 56, 2020: 55, 2020: 57, 2021: 51, 2022: 52, 2022: 65, 2023: 49, 2024: 47</t>
  </si>
  <si>
    <t>Post Office Box 2155</t>
  </si>
  <si>
    <t>2018: 350, 2018: 350, 2020: 300, 2020: 250, 2021: 285, 2021: 286, 2021: 300, 2021: 300, 2021: 270, 2021: 300, 2021: 300, 2021: 263, 2022: 313, 2023: 241, 2024: 256</t>
  </si>
  <si>
    <t>Robotics and Drones</t>
  </si>
  <si>
    <t>Cirrus Logic, Autotalks, Sequans Communications, Celeno, HiSilicon, Sierra Wireless, TriLumina, Quantenna Communications, Semtech, NXP Semiconductors, NimbeLink, Cypress Semiconductor, MediaTek, Silicon Laboratories, Sckipio, Qualcomm, Broadcom (General Purpose Semiconductors)</t>
  </si>
  <si>
    <t>Amiti Ventures (www.amiti.vc), Aptiv (www.aptiv.com), Arc Ventures (United States) (www.arc-vc.com), Aviv Venture Capital (www.avivvc.com), Delphi Technologies (www.delphi.com), EG Capital Advisors (www.egcapitaladvisors.com), F+ Ventures (www.fplus.ventures), GBZ Technologies (www.gbztech.com), Genesis Partners (www.genesispartners.com), Israel Growth Partners (www.igpcapital.com), Kreos Capital (www.kreoscapital.com), Leumi Partners (www.leumipartners.com), Magenta Venture Partners (www.magenta.vc), Magma Venture Partners (www.magmavc.com), MediaTek (www.mediatek.com), Mitsui Global Investment (www.mitsui-global.com), Nachshon Ventures (www.nachshonventures.com), Oppenheimer &amp; Company (www.oppenheimer.com), Pegatron (www.pegatroncorp.com), PTK Acquisition (www.ptktech.com), Samsung Catalyst Fund (www.samsungcatalyst.com), Satif Group (satifgroup.com), The Goldman Sachs Group (www.goldmansachs.com), Vintage (Private Equity) (www.vintage-ip.com)</t>
  </si>
  <si>
    <t>42.29x</t>
  </si>
  <si>
    <t>2021: 20, 2021: 6</t>
  </si>
  <si>
    <t>10.76x</t>
  </si>
  <si>
    <t>12.18x</t>
  </si>
  <si>
    <t>2011: 3836, 2012: 5775, 2013: 5768, 2013: 5956, 2013: 5883, 2013: 5749, 2014: 5840, 2014: 6147, 2014: 5923, 2015: 6111, 2015: 6225, 2015: 6145, 2015: 6109, 2017: 6216, 2018: 6403, 2018: 6522, 2018: 6471, 2018: 6178, 2019: 6095, 2019: 6284, 2019: 6356, 2019: 6303, 2020: 5800, 2020: 1067, 2020: 701, 2020: 1472, 2021: 1321, 2021: 1371, 2021: 3077, 2021: 3485, 2022: 4545, 2023: 4980, 2024: 5540</t>
  </si>
  <si>
    <t>Ryanair Holdings, Thai Airways International, Egyptair, Société Air France, Turkish Airlines, Cyprus Airways, Air France-KLM, KLM Royal Dutch, Air Mauritius, Virgin Atlantic Airways, Malaysia Airlines, Alia - The Royal Jordanian Airlines, Qatar Airways Group, Swiss International Airlines, Cathay Pacific Airways, Southwest Airlines, Air Canada, Sun D'Or International Airlines, Societe Tunisienne, Air Seychelles, Kenya Airways, Gulf Air</t>
  </si>
  <si>
    <t>920.59x</t>
  </si>
  <si>
    <t>-0.19x</t>
  </si>
  <si>
    <t>1,808.44x</t>
  </si>
  <si>
    <t>3,019.53x</t>
  </si>
  <si>
    <t>597.35x</t>
  </si>
  <si>
    <t>Cipia (TAE: CPIA)</t>
  </si>
  <si>
    <t>2018: 55, 2018: 50, 2020: 50, 2021: 54, 2021: 56, 2024: 77</t>
  </si>
  <si>
    <t>Aquifi, PointGrab, Bosch (Automotive), Mobileye Global, Smart Eye, Seeing Machines</t>
  </si>
  <si>
    <t>http://www.linkedin.com/company/eyesight-mobile-technologies</t>
  </si>
  <si>
    <t>CPIA</t>
  </si>
  <si>
    <t>Shelly Mesilati</t>
  </si>
  <si>
    <t>shelly.mesilati@eyesight-tech.com</t>
  </si>
  <si>
    <t>59184-28P</t>
  </si>
  <si>
    <t>info@cipia.com</t>
  </si>
  <si>
    <t>The company was acquired by Harman International Industries, a subsidiary of Samsung Electronics (KRX: 005930), for an undisclosed amount on June 17, 2025. The acquisition marks a strategic expansion of Harman's in-cabin experience portfolio and builds on the companies' successful collaboration on next-generation sensing technologies. It also reinforces Harman's commitment to advancing vehicle safety, intelligence, and the well-being of drivers and passengers through purpose-built innovation.</t>
  </si>
  <si>
    <t>Cartridge Holdings</t>
  </si>
  <si>
    <t>Agate Medical Investments, Arie Capital, Ceva, Eli Talmor, GlenRock Israel, Intercapital Partners, Jebsen Capital, Jeremy Coller, Kuang-Chi, Mac Gp, Mitsui Global Investment, Mizrahi Tefahot Bank, Plug and Play Tech Center, Startup Autobahn, SUNP</t>
  </si>
  <si>
    <t>Agate Medical Investments (www.agate-invest.com), Arie Capital (www.ariecapital.com), Ceva (www.ceva-ip.com), GlenRock Israel (www.grg.co.il), Jebsen Capital (www.jebsen-capital.com), Kuang-Chi (www.kuang-chi.com/en), Mitsui Global Investment (www.mitsui-global.com), Mizrahi Tefahot Bank (www.mizrahi-tefahot.co.il), Plug and Play Tech Center (www.plugandplaytechcenter.com), Startup Autobahn (www.startup-autobahn.com), SUNP (www.m-vc.co.kr)</t>
  </si>
  <si>
    <t>Conjoint control of vehicle sub-units of different type or different function, Image or video recognition or understanding</t>
  </si>
  <si>
    <t>2016: 5, 2016: 10, 2017: 15, 2017: 20, 2017: 43, 2018: 50, 2019: 70, 2020: 64, 2021: 73, 2022: 64, 2023: 81, 2024: 72</t>
  </si>
  <si>
    <t>36.53x</t>
  </si>
  <si>
    <t>Zooz Strategy (TAE: ZOOZ)</t>
  </si>
  <si>
    <t>2015: 6, 2020: 22, 2023: 50, 2024: 49, 2024: 35, 2024: 38</t>
  </si>
  <si>
    <t>Chakratech, ZOOZ Power</t>
  </si>
  <si>
    <t>Zooz Strategy Ltd</t>
  </si>
  <si>
    <t>Co-founder and Chief Technology Officer</t>
  </si>
  <si>
    <t>Afcon Holdings, Bloom Ventures, Darwin Capital, Meitav Investment House, MORE Investment House, Phoenix Insurance Company (Multi-Line Insurance), Yelin Lapidot Investment House</t>
  </si>
  <si>
    <t>Arrington Capital, ATW Partners, FalconX, Pantera Capital, UTXO Management</t>
  </si>
  <si>
    <t>Afcon Holdings (www.afcon.co.il), Bloom Ventures (www.bloomv.com), Darwin Capital (darwin.capital), Meitav Investment House (www.meitavdash.co.il), MORE Investment House (www.moreinvest.co.il), Phoenix Insurance Company (Multi-Line Insurance) (www.fnx.co.il), Yelin Lapidot Investment House (www.yl-invest.co.il)</t>
  </si>
  <si>
    <t>Arrington Capital (www.arringtoncapital.com), ATW Partners (www.atwpartners.com), FalconX (www.falconx.io), Pantera Capital (www.panteracapital.com), UTXO Management (utxo.management)</t>
  </si>
  <si>
    <t>PricewaterhouseCoopers(Auditor)</t>
  </si>
  <si>
    <t>6.62x</t>
  </si>
  <si>
    <t>4.58x</t>
  </si>
  <si>
    <t>8.65x</t>
  </si>
  <si>
    <t>2021: 12, 2021: 11</t>
  </si>
  <si>
    <t>2.18x</t>
  </si>
  <si>
    <t>2020: 8, 2023: 7, 2023: 9, 2024: 8, 2024: 9, 2025: 7</t>
  </si>
  <si>
    <t>Vizible Zone, Savari, Foresight Autonomous (Eye-Net accident prevention system)</t>
  </si>
  <si>
    <t>1.18x</t>
  </si>
  <si>
    <t>1.82x</t>
  </si>
  <si>
    <t>2020: 70, 2022: 80, 2022: 100, 2022: 85, 2023: 72, 2023: 65, 2023: 68, 2023: 80, 2024: 71, 2025: 68</t>
  </si>
  <si>
    <t>autonomous driving, autonomous machine, autonomous vehicles systems, imaging camera, infrared thermal camera, thermal camera, thermal sensing</t>
  </si>
  <si>
    <t>Developer of an advanced thermal sensing technology designed to increase the safety and performance of self-driven vehicles. The company's system combines a far infrared thermal camera with advanced machine vision algorithms that sense and analyze its surroundings by passively collecting finite impulse response signals through the detection of thermal energy radiated from objects and their body heat, providing clients with autonomous vehicles to see and understand the road in any lighting and weather conditions.</t>
  </si>
  <si>
    <t>7 Hamada Street</t>
  </si>
  <si>
    <t>8.41x</t>
  </si>
  <si>
    <t>Afcon EV</t>
  </si>
  <si>
    <t>1.76x</t>
  </si>
  <si>
    <t>2018: 3, 2018: 3, 2019: 4, 2019: 6, 2020: 9, 2020: 8, 2020: 12, 2021: 15, 2021: 12, 2021: 20, 2021: 25, 2022: 30, 2022: 30, 2022: 33, 2022: 34, 2022: 30, 2023: 31, 2023: 32, 2024: 42, 2025: 56, 2025: 60</t>
  </si>
  <si>
    <t>Airev</t>
  </si>
  <si>
    <t>5.45x</t>
  </si>
  <si>
    <t>2016: 2, 2021: 10, 2021: 8, 2022: 10, 2022: 12, 2023: 16, 2025: 38</t>
  </si>
  <si>
    <t>8.18x</t>
  </si>
  <si>
    <t>2013: 40, 2016: 60, 2018: 100, 2018: 100, 2019: 100, 2019: 100, 2021: 93, 2021: 100, 2021: 96, 2021: 103, 2022: 110, 2023: 117, 2023: 120, 2023: 122, 2024: 126, 2025: 125, 2025: 123</t>
  </si>
  <si>
    <t>http://www.linkedin.com/company/autotalks</t>
  </si>
  <si>
    <t>Nir Pinhas</t>
  </si>
  <si>
    <t>nir.pinhas@auto-talks.com</t>
  </si>
  <si>
    <t>153311-23P</t>
  </si>
  <si>
    <t>info@auto-talks.com</t>
  </si>
  <si>
    <t>The company was acquired by Qualcomm (NAS: QCOM) for an undisclosed amount on June 4, 2025.</t>
  </si>
  <si>
    <t>Amiti Ventures, Delek Motors, FIT Hon Teng, FM Capital (Transportation Tech), Gemini Israel Ventures, GlenRock Israel, Global Investment Group, Hyundai CRADLE, Liberty Ventures Group, Magenta Venture Partners, Magma Venture Partners, Maniv Mobility, Mirai Creation Capital, Mitsui Global Investment, Nuvoton Technology, Samsung Catalyst Fund, Samsung Oak Holdings, SMBC Trust Bank, SPARX Group Company, Sumitomo Mitsui Banking Corporation, Toyota Motor, Vintage (Private Equity)</t>
  </si>
  <si>
    <t>Amiti Ventures (www.amiti.vc), Delek Motors (www.delek-motors.co.il), FIT Hon Teng (www.fit-foxconn.com), FM Capital (Transportation Tech) (www.fmcap.com), Gemini Israel Ventures (www.gemini.co.il), GlenRock Israel (www.grg.co.il), Global Investment Group (www.standrewsgig.com), Hyundai CRADLE (www.cradleinc.com), Magenta Venture Partners (www.magenta.vc), Magma Venture Partners (www.magmavc.com), Maniv Mobility (www.maniv.com), Mirai Creation Capital (mirai.sparx.co.jp/en), Mitsui Global Investment (www.mitsui-global.com), Nuvoton Technology (www.nuvoton.com), Samsung Catalyst Fund (www.samsungcatalyst.com), SMBC Trust Bank (www.smbctb.co.jp), SPARX Group Company (www.sparx.jp), Sumitomo Mitsui Banking Corporation (www.smbcgroup.com), Toyota Motor (www.global.toyota), Vintage (Private Equity) (www.vintage-ip.com)</t>
  </si>
  <si>
    <t>2020: 50, 2021: 75, 2021: 79, 2021: 85, 2021: 81, 2021: 86, 2021: 105, 2022: 109, 2022: 130, 2022: 128, 2023: 132, 2023: 169, 2023: 172, 2024: 175, 2024: 194, 2025: 178</t>
  </si>
  <si>
    <t>Advanced Manufacturing, AgTech, Artificial Intelligence &amp; Machine Learning, Autonomous cars, Big Data, Robotics and Drones, SaaS</t>
  </si>
  <si>
    <t>abi custom application, agriculture system, autonomous technologies, farming techniques, farming technology, industrial data analytics, robots platform</t>
  </si>
  <si>
    <t>Blue White Robotics Ltd.</t>
  </si>
  <si>
    <t>American Robotics, Aigen, Clearpath Robotics, Farm-ng, Blue River Technology</t>
  </si>
  <si>
    <t>Developer of a robot-as-a-service platform designed to deliver remote control capabilities for land and air autonomous robots. The company's platform transforms existing fleets, manages both air and ground robots, and collects data seamlessly to build resilient farms by maximizing the grower's productivity and reducing their operational cost, enabling businesses to improve efficiency and provide actionable insights.</t>
  </si>
  <si>
    <t>The company raised $38.94 million of Series C venture funding in a deal led by Insight Partners on January 23, 2024, putting the company's pre-money valuation at $147.64 million. TELUS Global Ventures, Alumni Ventures, Entrée Capital, Jesselson Capital, LIP Ventures Boutique and Peregrine Ventures also participated in the round.</t>
  </si>
  <si>
    <t>Allied Group (Israel), Alumni Ventures, BIRD Foundation, Clal Insurance Enterprises Holdings, CNH Industrial Ventures, Entrée Capital, Insight Partners (New York), INSPYRE, Jesselson Capital, Khasm Labs, LIP Ventures Boutique, New York State, Peregrine Ventures, Ran Sarig, Regah Ventures, SVB Financial Group (Dallas), TELUS Global Ventures</t>
  </si>
  <si>
    <t>Alumni Ventures (www.av.vc), BIRD Foundation (www.birdf.com), Clal Insurance Enterprises Holdings (www.clalbit.co.il), Entrée Capital (www.entreecap.com), Insight Partners (New York) (www.insightpartners.com), INSPYRE (www.inspyrehub.com), Khasm Labs (khasmlabs.com), LIP Ventures Boutique (www.lip.lat), Peregrine Ventures (www.peregrinevc.com), Regah Ventures (www.regahventures.com), SVB Financial Group (Dallas) (www.svbfg.com), TELUS Global Ventures (ventures.telus.com)</t>
  </si>
  <si>
    <t>11.35x</t>
  </si>
  <si>
    <t>6.51x</t>
  </si>
  <si>
    <t>3.49x</t>
  </si>
  <si>
    <t>9.53x</t>
  </si>
  <si>
    <t>2019: 16, 2021: 27, 2021: 31, 2022: 35, 2022: 37, 2023: 33, 2023: 20, 2023: 27, 2024: 21, 2025: 30</t>
  </si>
  <si>
    <t>automotive systems, autonomous driving, autonomous vehicles, imaging technology device, vehicle cameras system, vision systems, vision technology</t>
  </si>
  <si>
    <t>Developer of a multi-functional vision and ranging system designed to deliver continuous, clear images in all weather and lighting conditions. The company's system supports advanced driver assistance and autonomous computation to reduce the risk of car accidents, enabling automotive businesses to enhance the driver's situational awareness when driving under harsh weather conditions, day or night.</t>
  </si>
  <si>
    <t>Illi Edry</t>
  </si>
  <si>
    <t>Strategic Advisor &amp; Chief Marketing Officer</t>
  </si>
  <si>
    <t>251478-28P</t>
  </si>
  <si>
    <t>Nahum Het Street 7</t>
  </si>
  <si>
    <t>2019: 20, 2020: 25, 2020: 24, 2021: 26, 2021: 29, 2022: 29, 2022: 34, 2023: 32, 2023: 36, 2023: 35, 2025: 38</t>
  </si>
  <si>
    <t>C2A</t>
  </si>
  <si>
    <t>TowerSec, Shield-IoT, Ordr (Network Management Software), Axonius, Firedome, Escrypt, Claroty, ForeScout Technologies, Dellfer, Sternum, AttackIQ, Cybereason, Attila Security, CyberX (Network Management Software), Armis, Valtix, ExtraHop Networks, Darktrace, Cybeats Technologies, Mocana, Skybox Security, Indegy, Swivel Secure, Palo Alto Networks, Intrinsic ID, GlobaliD, Regulus Cyber, Jumio, Digital Shadows, TrapX Security, Karamba Security, Trillium (Network Management Software), Vectra, PlaxidityX, eG Innovations, SafeBreach, Lydsec Digital Tecgnology, Trustwave, SCADAfence, Polyverse, Salient Systems, Mitek Systems, Blackberry, Cylance, Sysdig, Excelfore, VDOO, Mandiant, Upstream Solutions (Business/Productivity Software), NetScout Systems, IDology (Network Management Software), GuardKnox</t>
  </si>
  <si>
    <t>Bossa Invest (www.bossainvest.com), Labs/02 (www.labs02.com), Maniv Mobility (www.maniv.com), MassChallenge (www.masschallenge.org), MIH Consortium (www.mih-ev.org), MobilityXlab (www.mobilityxlab.com), MoreVC (www.morevc.com), OurCrowd (www.ourcrowd.com), Plug and Play Tech Center (www.plugandplaytechcenter.com), Ramot at Tel Aviv University (ramot.org)</t>
  </si>
  <si>
    <t>10.65x</t>
  </si>
  <si>
    <t>Conjoint control of vehicle sub-units of different type or different function, Electric digital data processing, Signalling or calling systems, Transmission of digital information</t>
  </si>
  <si>
    <t>2016: 8, 2021: 16, 2021: 18, 2022: 15, 2022: 22, 2022: 23, 2023: 22, 2023: 17, 2024: 24, 2024: 15, 2024: 15, 2024: 21, 2025: 15, 2025: 15, 2025: 15</t>
  </si>
  <si>
    <t>11.83x</t>
  </si>
  <si>
    <t>22.29x</t>
  </si>
  <si>
    <t>2021: 41, 2021: 52, 2021: 80, 2024: 119, 2024: 120, 2024: 120</t>
  </si>
  <si>
    <t>Electriphi, eIQ Mobility, ChargeLab, EV Connect, Chargepoint Services, Smatrics, ChargePoint, InCharge Energy, Electrify America, ViriCiti, Amply Power, Greenlots, FreeWire</t>
  </si>
  <si>
    <t>Free Electrons (www.freeelectrons.org), Gilbarco Veeder-Root (www.gilbarco.com), Inven Capital (www.invencapital.cz), Ombu Group (www.ombugroup.com), Salica Investments (www.salicainvestments.com)</t>
  </si>
  <si>
    <t>2020: 12, 2020: 18, 2021: 24, 2021: 20, 2022: 24, 2022: 21, 2022: 32, 2022: 24, 2023: 32, 2023: 31, 2023: 33, 2024: 32, 2025: 31</t>
  </si>
  <si>
    <t>Developer of a connectivity platform designed to enable the safe teleoperation of autonomous vehicles. The company's platform uses cellular bonding and dynamic encoding to provide high-speed, low latency, and reliable transmission video, audio streams, high-speed data, and control channels and to be implemented on autonomous trucks, delivery robots, and last-mile delivery vehicles, enabling clients to control autonomous vehicles without any hassle.</t>
  </si>
  <si>
    <t>The company raised an undisclosed amount of venture funding from Mobilion Ventures, theDOCK and MoreVC on January 1, 2025.</t>
  </si>
  <si>
    <t>12A Venture Capital, Amit Gilon, Ascend Capital Partners, Francisco Partners, iAngels, Kaedan Capital, Mobilion Ventures, MoreVC, Plug and Play Tech Center, Proeza Ventures, theDOCK, Two Lanterns Venture Capital, Yigal Jacoby, Zohar Zisapel</t>
  </si>
  <si>
    <t>28.53x</t>
  </si>
  <si>
    <t>Supply Chain Tech</t>
  </si>
  <si>
    <t>Co-Founder, Chief Executive Officer &amp; Vice President of Products</t>
  </si>
  <si>
    <t>0.15x</t>
  </si>
  <si>
    <t>0.29x</t>
  </si>
  <si>
    <t>2021: 10, 2021: 20, 2021: 12, 2022: 30, 2022: 16, 2023: 23, 2023: 40, 2023: 28, 2024: 28, 2024: 34, 2025: 50</t>
  </si>
  <si>
    <t>4.54x</t>
  </si>
  <si>
    <t>4.53x</t>
  </si>
  <si>
    <t>2019: 10, 2021: 10, 2021: 10, 2022: 13, 2022: 18, 2022: 15, 2024: 21, 2024: 22, 2025: 16</t>
  </si>
  <si>
    <t>-1.16x</t>
  </si>
  <si>
    <t>2022: 19, 2022: 18, 2024: 15</t>
  </si>
  <si>
    <t>Avi Goldfinger, Avi Tsur, HLabs, Hub Quantum, IDCX, Mamram Space, Omri Meliches</t>
  </si>
  <si>
    <t>0.12x</t>
  </si>
  <si>
    <t>2017: 3, 2020: 11, 2021: 13, 2021: 15, 2022: 22, 2022: 23, 2023: 27, 2023: 26, 2023: 27, 2024: 26, 2024: 25, 2024: 25, 2025: 29</t>
  </si>
  <si>
    <t>8.24x</t>
  </si>
  <si>
    <t>2014: 12, 2017: 11, 2019: 23, 2019: 25, 2020: 29, 2020: 15, 2020: 33, 2021: 15, 2021: 30, 2021: 39, 2021: 60, 2022: 29, 2022: 60, 2023: 31, 2023: 100, 2025: 38</t>
  </si>
  <si>
    <t>MotionTag, TransLoc, Routematch Software, GIRO, Door2Door, Vix Technology, Masabi, Q-Free, Ecolane, Infospread Euro, HanseCom Public Transport Ticketing Solutions, Clever Devices, Isotrak, Vnomics, Halan, Transit (Application Software), SmartDrive Systems, Trapeze Group, Scheidt &amp; Bachmann, Cubic, Passport (Business/Productivity Software)</t>
  </si>
  <si>
    <t>10.57x</t>
  </si>
  <si>
    <t>17.69x</t>
  </si>
  <si>
    <t>33.02x</t>
  </si>
  <si>
    <t>8.82x</t>
  </si>
  <si>
    <t>2020: 28, 2020: 32, 2020: 33, 2020: 40, 2021: 52, 2021: 52, 2021: 70, 2022: 67, 2023: 82, 2023: 77, 2024: 78, 2025: 87</t>
  </si>
  <si>
    <t>Nexus Systems</t>
  </si>
  <si>
    <t>IRP</t>
  </si>
  <si>
    <t>IRP Systems Ltd</t>
  </si>
  <si>
    <t>e-Traction, Workhorse Group, ebm-papst Mulfingen, AC Propulsion, Delphi Technologies, Nordresa, Protean Electric, Hyliion Holdings, Elaphe, Mission Motor, WITTENSTEIN ( Machinery (B2B)), Yasa, Bosch (Automotive), Aveox, Dana (Automotive), Portescap, Energy Control Technologies, Sevcon, Calnetix Technologies, Maxon Group, Tevva, Visedo, Saietta Group, Enviolo, Dunkermotoren, CIMA (Industrial Supplies and Parts), Valeo Engine and Electrical Systems India</t>
  </si>
  <si>
    <t>Developer of high-performance electric powertrain technology designed for a variety of e-mobility platforms. The company's technology leverages control algorithms and powertrain design for efficiency, in compliance with mass-production practices, which helps to make electric mobility technology affordable for the mass market, making electric vehicles accessible to everyone, everywhere, providing high-performance, a unique driving experience, and advanced functionality while being cost-effective.</t>
  </si>
  <si>
    <t>The company raised $31 million of Series C venture funding in a deal led by Altshuler Shaham Investment House and Clal Insurance Enterprises Holdings on April 28, 2021, putting the company's pre-money valuation at $111.35 million. Champion Motors and 9 other investors also participated in the round. The funds will be used to further accelerate the company's Electric Vehicle (EV) powertrain offerings and expand its global reach.</t>
  </si>
  <si>
    <t>Altshuler Shaham Investment House, Carasso Motors, Cendana Capital, Champion Motors, Clal Insurance Enterprises Holdings, Entrée Capital, Fosun RZ Capital, JAL Ventures, S. Shlomo Holdings, Samsung Venture Investment, Tal Ventures, Union Tech Ventures</t>
  </si>
  <si>
    <t>7.22x</t>
  </si>
  <si>
    <t>6.53x</t>
  </si>
  <si>
    <t>2021: 3, 2021: 10, 2021: 8, 2022: 8, 2022: 8, 2023: 8, 2024: 15</t>
  </si>
  <si>
    <t>Makalu</t>
  </si>
  <si>
    <t>1.24x</t>
  </si>
  <si>
    <t>2017: 2, 2017: 2, 2018: 2, 2018: 2, 2019: 2, 2019: 2, 2020: 2, 2020: 6, 2020: 2, 2021: 4, 2021: 4, 2022: 6, 2022: 12, 2022: 12, 2023: 19, 2023: 14, 2023: 14, 2024: 23, 2024: 15, 2024: 20, 2024: 14, 2024: 23, 2024: 24, 2024: 15, 2025: 19, 2025: 14</t>
  </si>
  <si>
    <t>Driivz, Electriphi, eIQ Mobility, Autofleet, Chargetrip, ChargeLab, EV Connect, Pionix, ChargePoint, IoTecha, GreenFlux, InCharge Energy, Chargepoint Services, Rolling Energy Resources, Electrify America, Synop, ViriCiti, FreeWire, EVconnect (Internet Retail), ChargeMap, Assam Bio Ethanol</t>
  </si>
  <si>
    <t>14.24x</t>
  </si>
  <si>
    <t>2019: 2, 2020: 2, 2020: 3, 2021: 3, 2021: 3, 2022: 4, 2022: 7, 2022: 7, 2023: 3, 2023: 10, 2023: 5, 2025: 9</t>
  </si>
  <si>
    <t>2012: 10, 2012: 10, 2013: 29, 2014: 49, 2015: 66, 2015: 95, 2017: 106, 2017: 100, 2018: 100, 2018: 150, 2018: 100, 2019: 140, 2019: 150, 2020: 217, 2020: 228, 2020: 215, 2020: 200, 2020: 200, 2020: 200, 2023: 360, 2024: 225</t>
  </si>
  <si>
    <t>2020: 26, 2021: 38, 2022: 46, 2022: 65, 2022: 80, 2023: 83, 2023: 120, 2023: 109, 2024: 140, 2025: 106</t>
  </si>
  <si>
    <t>Advanced Manufacturing</t>
  </si>
  <si>
    <t>Opsys</t>
  </si>
  <si>
    <t>Sense Photonics, XenomatiX, AEye, Quanergy Systems, LeddarTech Holdings, Innoviz Technologies, Velodyne Lidar, Luminar Technologies</t>
  </si>
  <si>
    <t>14th floor</t>
  </si>
  <si>
    <t>12.35x</t>
  </si>
  <si>
    <t>2016: 16, 2017: 43, 2018: 75, 2019: 75, 2020: 118, 2021: 142, 2021: 150, 2021: 213, 2022: 300, 2022: 300, 2022: 300, 2023: 381, 2023: 386, 2024: 379, 2024: 400, 2025: 366</t>
  </si>
  <si>
    <t>Omnitracs, Clever Devices, Pantonium, 3Gtms, Door2Door, Fleetx, Reveal Management Services, GIRO, Cloud Logistics, Motive (Hardware), Routematch Software, DRVR, TransLoc, Transporeon, Geotab, Locus, Ecolane, FarEye, Spireon, Supply Vision, LLamasoft, Decklar, Institute of Information Technology, Hacon Ingenieurges, Westfalia, Fleetmatics Group, Soloplan, Wise Systems, AMCS Group, GetSwift, ALK Technologies, GPS Trackit, Alpega Group, ServiceNow, Matrix42, Onfleet, Route4Me, Routific, Magaya, Paragon Software Systems, Logility (Acquired), Badger Maps, DispatchTrack, Mandata (Business/Productivity Software), SolarWinds, FourKites, Microlise Group, Elemica, OptimoRoute, JUSDA International Supply Chain Management, CTSI-Global, GeoConcept, Route Monkey, ShipFusion, OnTime 360, Appian, TranSend Solutions, HanseCom Public Transport Ticketing Solutions, Paessler, Masternaut, JRNI, GT Nexus, Nagios, Ridecell, LiveAction, Sinefa, FuturMaster, Trapeze Group, Quintiq, LogiNext, Teletrac Navman Group, Ridango, Telogis, One Network Enterprises, Icomera, Trustwave, ShippingEasy, Transfinder</t>
  </si>
  <si>
    <t>2020: 17, 2021: 25, 2022: 44, 2022: 45, 2023: 48, 2023: 47, 2024: 46, 2024: 41, 2025: 34</t>
  </si>
  <si>
    <t>Bestmile, ComfortDelGro, Drive TLV, EIT KIC Urban Mobility, Glory Ventures, Hyundai CRADLE, IN Venture, Maven Ventures, May Mobility, MizMaa Ventures, Next Gear Ventures, Oren Buskila, Plug and Play Tech Center, Startup Autobahn</t>
  </si>
  <si>
    <t>Bestmile (www.bestmile.com), ComfortDelGro (www.comfortdelgro.com), Drive TLV (www.drivetlv.com/fastlane), EIT KIC Urban Mobility (www.eiturbanmobility.eu), Glory Ventures (www.glory-ventures.com), Hyundai CRADLE (www.cradleinc.com), IN Venture (www.in-venture.com), Maven Ventures (www.mavenventures.com), May Mobility (www.maymobility.com), MizMaa Ventures (www.mizmaa.com), Next Gear Ventures (www.nextgear.fund), Plug and Play Tech Center (www.plugandplaytechcenter.com), Startup Autobahn (www.startup-autobahn.com)</t>
  </si>
  <si>
    <t>2017: 6, 2020: 6, 2021: 7, 2021: 10, 2022: 14, 2022: 15, 2023: 20, 2024: 25, 2025: 23, 2025: 27, 2025: 27</t>
  </si>
  <si>
    <t>Developer of a shipment tracking platform designed to optimize delivery routes and facilitate last-minute deliveries using artificial intelligence technology. The company's platform offers a virtual logistics management system that integrates a chatbot application to optimize delivery routes, communicate instructions from recipients, track shipment status, and share it with consumers through real-time updates, enabling logistics service providers to monitor and improve driver's performance, save gas, shorten delivery routes, and reduce delivery time for faster yet secured shipment deliveries.</t>
  </si>
  <si>
    <t>6.78x</t>
  </si>
  <si>
    <t>17.35x</t>
  </si>
  <si>
    <t>2015: 20, 2017: 70, 2017: 60, 2018: 80, 2022: 200, 2024: 217, 2025: 200</t>
  </si>
  <si>
    <t>Karamba Security, SCYTHE, Cylance, Trustwave, Denim Group, Rapid7, CrowdStrike Holdings, Proofpoint, Firedome, Veracode, Blackberry, IDology (Network Management Software), Ioactive, TowerSec, Secure Thingz, McAfee, Exabeam, Escrypt, XM Cyber, GuruCul, Qognify, Dellfer, Sheelds, Verodin, Regulus Cyber, SailPoint Technologies, AttackIQ, BitDefender, Secunet, Mocana, Nok Nok, Bromium, CyberX (Network Management Software), Securonix, Cybereason, Trillium (Network Management Software), Ziften, Jumio, Intrinsic ID, Cymulate, Security Innovation, Attivo Networks, SCADAfence, Menlo Security, SafeBreach, TrapX Security, Salient Systems, Morphisec</t>
  </si>
  <si>
    <t>ADIP, Allianz X, Cerca Partners, Eyal Gura, LIP Ventures Boutique, Magma Venture Partners, Magna Technology Investments, Motus Ventures, Noah Pickholtz, OurCrowd, Plug and Play Tech Center, Samsung Catalyst Fund, SBI Investment, Startup Autobahn, Vertex Ventures Israel</t>
  </si>
  <si>
    <t>ADIP (www.adipvc.com), Allianz X (allianzx.com), Cerca Partners (www.cerca-partners.com), LIP Ventures Boutique (www.lip.lat), Magma Venture Partners (www.magmavc.com), Motus Ventures (motusventures.com), OurCrowd (www.ourcrowd.com), Plug and Play Tech Center (www.plugandplaytechcenter.com), Samsung Catalyst Fund (www.samsungcatalyst.com), SBI Investment (www.sbinvestment.co.jp), Startup Autobahn (www.startup-autobahn.com), Vertex Ventures Israel (www.vertexventures.co.il)</t>
  </si>
  <si>
    <t>2021: 122, 2021: 134, 2022: 177</t>
  </si>
  <si>
    <t>Big Data</t>
  </si>
  <si>
    <t>MotionTag, HanseCom Public Transport Ticketing Solutions, iBlocks, SmartDrive Systems, GIRO, Routematch Software, Trapeze Group, Telogis</t>
  </si>
  <si>
    <t>2.47x</t>
  </si>
  <si>
    <t>0.47x</t>
  </si>
  <si>
    <t>2013: 30, 2014: 40, 2015: 47, 2018: 110, 2018: 106, 2018: 85, 2018: 108, 2019: 110, 2019: 112, 2020: 114, 2020: 115, 2020: 116, 2021: 115, 2021: 95, 2021: 110, 2021: 96, 2021: 118, 2021: 102, 2021: 120, 2021: 120, 2021: 119, 2022: 120, 2022: 116, 2022: 121, 2022: 98, 2022: 121, 2022: 104, 2022: 121, 2022: 121, 2022: 121, 2022: 125, 2023: 128, 2023: 128, 2023: 142, 2023: 130, 2023: 143, 2024: 120, 2024: 140, 2024: 135, 2025: 141, 2025: 105</t>
  </si>
  <si>
    <t>Alternative Energy Equipment, Electrical Equipment*, Other Equipment</t>
  </si>
  <si>
    <t>Artificial Intelligence &amp; Machine Learning, Autonomous cars, CleanTech, Mobility Tech</t>
  </si>
  <si>
    <t>Enevate, Amprius Technologies, QuantumScape, Contemporary Amperex Technology, Tesla, LG Chem</t>
  </si>
  <si>
    <t>Product In Beta Test</t>
  </si>
  <si>
    <t>News (New), News (New), News (New), News (New)</t>
  </si>
  <si>
    <t>The company raised Series E venture funding from MicroVentures on an undisclosed date.</t>
  </si>
  <si>
    <t>A.Partners, Adam Krongold, Alpha Wave Global, AltaIR Capital, Amplefields Investments, Andrey Vyshlov, ATU Partners, bpVentures, Chernovetskyi Investment Group, Chimera Capital, EG Capital Advisors, Enlight Ventures, EVE Energy, Falconry VC, GlenRock Israel, Golden Energy Global Investment, Golden Falcon Capital, Gonzalo de Azagra, Joint Journey Intelligent Investments, Kenges Rakishev, Lucion Venture Capital, Maximize Capital, Mercedes-Benz Group, MicroVentures, Nation-E, NP Capital, Ola Electric, Orbita Capital Partners, Polestar Automotive Holding UK, Quonota, Raison Asset Management, Rhodium, Samsung Venture Investment, TDK, Tel-Aviv University, The Millhouse, Valeriy Prisedskiy, Veligera Capital, VI Ventures, VinFast Auto, Volvo Cars Technology Fund, Xploration Capital, Yelzhan Kushekbayev, Yozma Group Korea, Yulia Zarezina</t>
  </si>
  <si>
    <t>A.Partners (www.apartners.capital), Alpha Wave Global (www.alphawaveglobal.com), AltaIR Capital (www.altair.vc), Amplefields Investments (www.amplefields.com), ATU Partners (atupartners.com), Chernovetskyi Investment Group (www.cig.vc), Chimera Capital (www.chimerainvestment.com), EG Capital Advisors (www.egcapitaladvisors.com), Enlight Ventures (www.enlightvc.com), EVE Energy (www.evebattery.com), Falconry VC (justart.kz), GlenRock Israel (www.grg.co.il), Golden Falcon Capital (www.falconcapital.vc), Joint Journey Intelligent Investments (jj.capital), Lucion Venture Capital (www.600783.cn), Maximize Capital (www.mxmz.capital), Mercedes-Benz Group (www.group.mercedes-benz.com), MicroVentures (www.microventures.com), Nation-E (nation-e.com), NP Capital (www.npcapital.lu), Ola Electric (www.olaelectric.com), Orbita Capital Partners (orbitacapital.com), Polestar Automotive Holding UK (www.polestar.com), Quonota (www.quonota.com), Raison Asset Management (raison.am), Rhodium (www.rhodium.co.il), Samsung Venture Investment (samsungventure.co.kr), TDK (www.tdk.com), Tel-Aviv University (www.moodle.tau.ac.il), Veligera Capital (veligera.com), VI Ventures (www.en.vi-ventures.com), VinFast Auto (www.vinfast.com), Volvo Cars Technology Fund (group.volvocars.com), Xploration Capital (www.xplorationcapital.com), Yozma Group Korea (korea.yozma.asia)</t>
  </si>
  <si>
    <t>J.P. Morgan (New York)(General Business Banking)</t>
  </si>
  <si>
    <t>23.25x</t>
  </si>
  <si>
    <t>36.96x</t>
  </si>
  <si>
    <t>4.39x</t>
  </si>
  <si>
    <t>Circuit arrangements or systems for supplying or distributing electric power, Measuring electric variables, Optical devices or arrangements for the control of light by modification of the optical properties of the media of the elements involved therein, Processes or means, Propulsion of electrically-propelled vehicles</t>
  </si>
  <si>
    <t>2014: 5, 2019: 22, 2020: 30, 2021: 34, 2021: 40, 2021: 39, 2021: 50, 2022: 46, 2023: 46, 2023: 40, 2024: 39, 2025: 33</t>
  </si>
  <si>
    <t>DRVR, Idelic, Ulu, Airsage, Perceptive Automata, LINK (Business/Productivity Software), Nauto, Valerann, GPS Insight, Omnitracs, Isotrak, Vnomics, Teraki, Titan GPS, Zubie, Coretex, Geotab, Octo Telematics, WayCare, Veltec Soluções Tecnológicas, NoTraffic, Xevo, Lytx, Gfi Systems, Zendrive, Microlise Group, Brisk Synergies, NetraDyne, RoadBounce, Masternaut, SmartDrive Systems, The Floow, Argo AI, Nira Dynamics, Pilot AI, Citilog</t>
  </si>
  <si>
    <t>The company raised $27 million of Series C venture funding in a deal led by Delek Motors on October 27, 2021. Porsche Ventures and 6 other investors also participated in the round. The funds will be used to support the rapidly growing demand for the company's sensing technology and data offerings, expand into new segments among vehicle manufacturers, tier-1's, insurers, tire manufacturers, and more, and deepen its offerings, including additional virtual sensors and expand the company's cloud platform.</t>
  </si>
  <si>
    <t>BM Holdings, Delek Motors, Doron Livnat, Giora Ackerstein, Goodyear Ventures, L.N. Green Technological Incubator, Nexteer Automotive Group, Porsche Ventures, Startup Autobahn, The Group Ventures, Union Group, Union Tech Ventures, Zvi Neta</t>
  </si>
  <si>
    <t>BM Holdings (www.bmhold.com), Delek Motors (www.delek-motors.co.il), Goodyear Ventures (www.goodyearventures.com), L.N. Green Technological Incubator (www.lngreentech.com), Nexteer Automotive Group (www.nexteer.com), Porsche Ventures (www.porsche.ventures), Startup Autobahn (www.startup-autobahn.com), The Group Ventures (www.thegroup.ventures), Union Group (www.uniongrp.com), Union Tech Ventures (uniontech.vc)</t>
  </si>
  <si>
    <t>3.00x</t>
  </si>
  <si>
    <t>1.94x</t>
  </si>
  <si>
    <t>2017: 15, 2019: 27, 2019: 40, 2020: 132, 2020: 50, 2020: 46, 2021: 58, 2021: 70, 2021: 75, 2021: 76, 2022: 106, 2022: 117, 2022: 120, 2024: 132, 2024: 132, 2025: 144, 2025: 152</t>
  </si>
  <si>
    <t>News (New), News (New), News (New), News (New), News (New)</t>
  </si>
  <si>
    <t>57 Stars, Alliance Ventures, BMW i Ventures, Carriage House Rock, Cisco Investments, Connect Ventures, CRV, Delek US Holdings, Drive TLV, European Startup Prize for Mobility, Flight Ventures, Glilot Capital Partners, Hyundai Autoever, Hyundai CRADLE, IDI Insurance, La Maison Partners, Maniv Mobility, Michele Attisani, Mitsui Sumitomo Insurance Co., Nationwide Ventures, Salesforce Ventures, Volvo Group Venture Capital</t>
  </si>
  <si>
    <t>57 Stars (www.57stars.com), BMW i Ventures (www.bmwiventures.com), Carriage House Rock (www.carriagehouserock.com), Cisco Investments (www.ciscoinvestments.com), Connect Ventures (www.connect-ventures.com), CRV (www.crv.com), Delek US Holdings (www.delekus.com), Drive TLV (www.drivetlv.com/fastlane), European Startup Prize for Mobility (www.startupprize.eu), Flight Ventures (flightventures.godaddysites.com), Glilot Capital Partners (www.glilotcapital.com), Hyundai Autoever (www.hyundai-autoever.com), Hyundai CRADLE (www.cradleinc.com), IDI Insurance (www.555.co.il), La Maison Partners (www.lamaisonpartners.fr), Maniv Mobility (www.maniv.com), Mitsui Sumitomo Insurance Co. (www.ms-ins.com), Nationwide Ventures (nationwideventures.com), Salesforce Ventures (www.salesforceventures.com)</t>
  </si>
  <si>
    <t>31.32x</t>
  </si>
  <si>
    <t>-0.03x</t>
  </si>
  <si>
    <t>48.82x</t>
  </si>
  <si>
    <t>2019: 25, 2021: 9, 2021: 25, 2021: 20, 2021: 15, 2021: 25, 2021: 20, 2022: 16, 2023: 12</t>
  </si>
  <si>
    <t>EHang, ICON Aircraft, Drone Aviation, Hermeus, TCOM, Aerostar International, Pilatus Aircraft, Gravity Industries, Boom Supersonic, Airbus Group, Prioria, Britten-Norman, Compass Systems (Aerospace and Defense), AeroVironment, Joby Aviation, Quest Aircraft, Volocopter, SureFly, Lilium, Spike Aerospace, Boeing, Kittyhawk., Jaunt Air Mobility, Skydio, Volocopter Chengdu Technology</t>
  </si>
  <si>
    <t>32.00x</t>
  </si>
  <si>
    <t>-0.18x</t>
  </si>
  <si>
    <t>2019: 6, 2020: 6, 2023: 3, 2024: 3</t>
  </si>
  <si>
    <t>Viziblezone</t>
  </si>
  <si>
    <t>Developer of a pedestrian detector tool designed to detect, track, and protect pedestrians from road accidents. The company's tool has features such as obstacle bypassing, mission-critical performance, and pedestrian danger profiling, enabling clients to prevent automotive accidents.</t>
  </si>
  <si>
    <t>1.47x</t>
  </si>
  <si>
    <t>2024: 6, 2025: 3</t>
  </si>
  <si>
    <t>Climate Tech</t>
  </si>
  <si>
    <t>Aerospace and Defense, Automotive*, Other Services (B2C Non-Financial)</t>
  </si>
  <si>
    <t>agricultural farming tires, aluminum tires, auto tires, automobile tires, automotive technology, braking system, cars and trucks tires, fuel efficiency, pressure systems, road safety, tyres, vehicle performance, vehicle safety</t>
  </si>
  <si>
    <t>423260-20P</t>
  </si>
  <si>
    <t>The company raised an undisclosed amount of Series 1 seed funding from Next Gear Ventures, Earth &amp; Beyond Ventures and Eugene Kreinin on March 1, 2025. Dr. Gideon Stein and Alex Chernomordik also participated in the round.</t>
  </si>
  <si>
    <t>Alex Chernomordik, Dr. Gideon Stein, Earth &amp; Beyond Ventures, Eugene Kreinin, Mamram Space, Next Gear Ventures</t>
  </si>
  <si>
    <t>Earth &amp; Beyond Ventures (www.earthandbeyond.ventures), Mamram Space (www.mamram.space), Next Gear Ventures (www.nextgear.fund)</t>
  </si>
  <si>
    <t>AMMG</t>
  </si>
  <si>
    <t>0.24x</t>
  </si>
  <si>
    <t>2014: 13, 2014: 25, 2015: 90, 2016: 140, 2017: 150, 2018: 160, 2018: 168, 2019: 163, 2020: 200, 2020: 173, 2021: 176, 2021: 181, 2022: 188, 2022: 350, 2022: 190, 2022: 358, 2023: 350, 2024: 378</t>
  </si>
  <si>
    <t>Cogoport, GoComet, Freightview, Saloodo!, GlobalTranz Enterprises, Transfix, Shippabo, Cargo.one, Cargomatic, WiseTech Global, Beacon, Loadsmart, TraceLink, Air Freight Bazaar, BigCommerce, e-CARGOWARE, Flock Freight, Riege Software, project44, Magaya, Dakosy, Traffic Tech, Uber Freight, Zencargo, Portrix Logistics Software, Sennder, Expeditors International of Washington, Kerry Logistics Network, Flexe, R&amp;L Global Logistics, Cargonexx, Shipa, Con-linq, Pilot - A Maersk Company, Kühne + Nagel ČR, FourKites, InstaFreight (Logistics), AIT Worldwide Logistics, CargoSprint, SEKO Logistics, Flexport, Controlpay, Kuehne + Nagel, SeaRates, Convoy Platform, Aeronet Worldwide, BNSF Logistics, GT Nexus, MercuryGate International</t>
  </si>
  <si>
    <t>Filing (New), Filing (New)</t>
  </si>
  <si>
    <t>315.28x</t>
  </si>
  <si>
    <t>424.74x</t>
  </si>
  <si>
    <t>205.82x</t>
  </si>
  <si>
    <t>2019: 100, 2021: 80, 2021: 231, 2021: 270, 2022: 291, 2023: 244, 2024: 211</t>
  </si>
  <si>
    <t>Rivian Automotive, Arrival (Road), Canoo</t>
  </si>
  <si>
    <t>10X Capital Venture Acquisition (www.10xspac.com), BIRD Foundation (www.birdf.com), Hachshara Insurance Company (www.hcsra.co.il), Innovation Authority (innovationisrael.org.il), Linamar (www.linamar.com), Meitav Investment House (www.meitavdash.co.il), Menlo Group (www.menlogroup.net), Mitsubishi (www.mitsubishicorp.com), Musashi (www.musashinet.co.jp), Musashi Seimitsu Industry Company (www.musashi.co.jp), NSK (www.nsk.com), Nsk Americas (www.nskamericas.com), Pirveli Ventures (www.pirveliventures.com), Poalim Equity (www.poalimequity.com), RAD BioMed (www.radbiomed.com), Samvardhana Motherson International (www.motherson.com), Tenneco (www.tenneco.com), Varana Capital (www.varanacapital.com)</t>
  </si>
  <si>
    <t>37.76x</t>
  </si>
  <si>
    <t>2017: 4, 2017: 5, 2018: 10, 2018: 14, 2019: 18, 2019: 20, 2020: 24, 2020: 35, 2021: 40, 2021: 80, 2022: 94, 2024: 153</t>
  </si>
  <si>
    <t>Cybele-Holdings(Advisor: General), Erdinast, Ben Nathan, Toledano &amp; Co. With Hamburger Evron(Legal Advisor), Value Base(Advisor: General)</t>
  </si>
  <si>
    <t>54.18x</t>
  </si>
  <si>
    <t>Circuit arrangements or systems for supplying or distributing electric power, Magnets, Propulsion of electrically-propelled vehicles</t>
  </si>
  <si>
    <t>2019: 40, 2020: 9, 2021: 45, 2021: 50, 2022: 65, 2023: 65, 2024: 65</t>
  </si>
  <si>
    <t>Eos Energy Enterprises, UniEnergy Technologies, Primus Power, Aquion Energy, Vionx Energy, Avalon Battery, Maxwell Technologies, ViZn Energy, Powermat, SonicEnergy, WiTricity, C&amp;D Technologies, Green Charge Networks, E-Stone Batteries, Rongke Power, EaglePicher Technologies, K2 Energy Solutions, IDS Industries, Form Energy, RedFlow, Jolt</t>
  </si>
  <si>
    <t>Doral Group Renewable Energy Resources, Indian Oil Corporation</t>
  </si>
  <si>
    <t>Doral Group Renewable Energy Resources (www.doral-energy.com), Indian Oil Corporation (iocl.com)</t>
  </si>
  <si>
    <t>17.94x</t>
  </si>
  <si>
    <t>Compounds of the metals beryllium, magnesium, aluminium, calcium, strontium, barium, radium, thorium, or of the rare-earth metals, Electrolytic or electrophoretic processes for the production of compounds or non-metals, Processes or means, Production and refining of metals, Semiconductor devices not covered by class h10</t>
  </si>
  <si>
    <t>2016: 14, 2016: 46, 2018: 20, 2018: 20</t>
  </si>
  <si>
    <t>2020: 7, 2021: 7, 2021: 6, 2022: 3, 2023: 2, 2023: 3, 2025: 2</t>
  </si>
  <si>
    <t>adaptive systems, ai cores, attention sensing, automotive service, autonomous driving, car safety product, car safety system, car safety technology, monitoring technology</t>
  </si>
  <si>
    <t>ADAM</t>
  </si>
  <si>
    <t>2022: 9, 2022: 8, 2022: 9, 2023: 8, 2024: 7, 2025: 6</t>
  </si>
  <si>
    <t>2018: 17, 2018: 21, 2019: 25, 2020: 45, 2020: 27, 2020: 30, 2020: 33, 2021: 45, 2021: 51, 2022: 58, 2022: 65, 2022: 65, 2022: 80, 2022: 74, 2023: 79, 2023: 76, 2023: 82, 2025: 58, 2025: 56</t>
  </si>
  <si>
    <t>5.09x</t>
  </si>
  <si>
    <t>-10.48x</t>
  </si>
  <si>
    <t>2020: 29, 2021: 28, 2021: 30, 2022: 49, 2022: 40, 2024: 70, 2024: 70, 2025: 90, 2025: 101, 2025: 108, 2025: 120</t>
  </si>
  <si>
    <t>TruTac, GIRO, GPS Trackit, Paragon Software Systems, Rarestep., Linxup, Hacon Ingenieurges, Routematch Software, Fleet Complete, NexTraq, Ecolane, Masternaut, FleetMaster Software, Trapeze Group, Teletrac Navman Group, Donlen, FleetMind Solutions, Ridecell</t>
  </si>
  <si>
    <t>Developer of a fleet management optimization platform designed to streamline and automate operations while maximizing efficiency and customer experience. The company offers an AI-powered system that supports various fleet verticals, including car-sharing, ride-sharing, and logistics, enabling operators to improve fleet performance, reduce costs, and enhance service delivery.</t>
  </si>
  <si>
    <t>2015: 20, 2017: 50, 2018: 70, 2019: 70, 2019: 130, 2020: 172, 2020: 130, 2020: 150, 2020: 150, 2020: 130, 2020: 160, 2020: 176, 2021: 180, 2021: 200, 2021: 210, 2022: 251, 2022: 310, 2023: 270, 2023: 257, 2024: 220, 2025: 204</t>
  </si>
  <si>
    <t>Routific, GetSwift, LLamasoft, FarEye, Magaya, Onfleet, OneRail, ShipBob, Deliverr, Temando, Convey (Business/Productivity Software), EasyPost, Fabric (Logistics), Deliv, Shippo, Centiro Solutions, DeliveryCircle, Bond ( Business/Productivity Software), Qapla', Seven Senders, LogiNext, Dispatch (Boston), Sendcloud, Cogoport, Sorted (Logistics), Wuunder Nederland, MetaPack, Cubyn, Iterate.ai, Veeqo, parcelLab, Logility (Acquired), ProShip, Green Rabbit (Logistics), Xeneta, Axtria, Linc (Business/Productivity Software), Dakosy, Innovel Solutions, AfterShip, Fleetmatics Group, Final Mile Logistics, Freightos</t>
  </si>
  <si>
    <t>15.09x</t>
  </si>
  <si>
    <t>-11.85x</t>
  </si>
  <si>
    <t>25.45x</t>
  </si>
  <si>
    <t>2020: 10, 2021: 12, 2021: 11, 2022: 17, 2022: 22, 2022: 20, 2023: 23, 2023: 16, 2023: 14, 2024: 12</t>
  </si>
  <si>
    <t>3.76x</t>
  </si>
  <si>
    <t>Conjoint control of vehicle sub-units of different type or different function, Dredging, Image data processing or generation, in general, Image or video recognition or understanding, Measuring distances, levels or bearings</t>
  </si>
  <si>
    <t>2018: 28, 2020: 41, 2021: 47, 2022: 53, 2022: 65, 2022: 52</t>
  </si>
  <si>
    <t>rFpro, Waymo, Metamoto, May Mobility, AImotive, Cruise, Optimus Ride, Vires Simulationstechnologie, AVSimulation, Applied Intuition, Zoox, Nuro, Exa (Business/Productivity Software), dSPACE (Germany), Gamma Technologies</t>
  </si>
  <si>
    <t>Computing arrangements based on specific computational models, Conjoint control of vehicle sub-units of different type or different function, Electric digital data processing, Image data processing or generation, in general, Information and communication technology [ict] specially adapted for administrative, commercial, financial, managerial or supervisory purposes</t>
  </si>
  <si>
    <t>Millennium Group (Asset Manager)), NC Capital (Venutre Capital)</t>
  </si>
  <si>
    <t>Millennium Group (Asset Manager)) (www.milenium-group.com)</t>
  </si>
  <si>
    <t>2017: 10, 2018: 12, 2019: 18, 2019: 10, 2020: 25, 2020: 33, 2021: 38, 2021: 36, 2021: 33, 2021: 40, 2021: 45, 2022: 46, 2023: 47, 2023: 45, 2024: 40, 2024: 37, 2025: 33, 2025: 47</t>
  </si>
  <si>
    <t>11.84x</t>
  </si>
  <si>
    <t>19.41x</t>
  </si>
  <si>
    <t>2020: 7, 2020: 7, 2021: 6, 2022: 7, 2022: 7, 2023: 4, 2024: 3, 2025: 3</t>
  </si>
  <si>
    <t>Ridesharing</t>
  </si>
  <si>
    <t>http://www.linkedin.com/company/enroute-tech</t>
  </si>
  <si>
    <t>Aviv Frenkel</t>
  </si>
  <si>
    <t>Departure (New) Sagi Levanon, Co-Founder, Chief Technology Officer &amp; Board Member</t>
  </si>
  <si>
    <t>208452-52P</t>
  </si>
  <si>
    <t>Next Gear Ventures sold its stake in the company to an undisclosed buyer.</t>
  </si>
  <si>
    <t>COMEUP STARS, Drive TLV, European Commission, Intelak Hub, IP2 Launchpad, Pareto Holdings, Plug and Play Tech Center, SLINGSHOT (Singapore), Startup Autobahn, Startupbootcamp Holding</t>
  </si>
  <si>
    <t>Next Gear Ventures</t>
  </si>
  <si>
    <t>COMEUP STARS (www.comeup.org/en/whatiscomeupstars), Drive TLV (www.drivetlv.com/fastlane), European Commission (commission.europa.eu), Intelak Hub (www.intelak.com), IP2 Launchpad (www.startupterrace.com), Pareto Holdings (www.pareto20.com), Plug and Play Tech Center (www.plugandplaytechcenter.com), SLINGSHOT (Singapore) (slingshot.agorize.com), Startup Autobahn (www.startup-autobahn.com), Startupbootcamp Holding (www.startupbootcamp.org)</t>
  </si>
  <si>
    <t>Next Gear Ventures (www.nextgear.fund)</t>
  </si>
  <si>
    <t>0.93x</t>
  </si>
  <si>
    <t>1.59x</t>
  </si>
  <si>
    <t>2020: 45, 2020: 60, 2020: 60, 2021: 46, 2021: 45, 2021: 54, 2021: 60, 2022: 79, 2022: 83, 2023: 104, 2023: 150, 2023: 180, 2024: 133, 2024: 141</t>
  </si>
  <si>
    <t>KloudFuse, Environmental Systems Research Institute, Swiftly (Business/Productivity Software), ALK Technologies, Applied Intuition, INRIX, Oxa Autonomy, Caliper (Newton), Paramics Microsimulation, Five, TransLoc, Remix Technologies, Immense, Bestmile, Latent Logic, Phantom AI, Routematch Software, Phantom Cyber, Nauto, DeepMap, Velodyne Lidar, May Mobility, inthinc Technology Solutions, Wayve, LeddarTech Holdings, Siemens Energy &amp; Automation (Halmar Robicon power control technology)</t>
  </si>
  <si>
    <t>47.06x</t>
  </si>
  <si>
    <t>2020: 160, 2021: 200, 2021: 200, 2021: 81, 2021: 79, 2022: 85, 2022: 89</t>
  </si>
  <si>
    <t>GoTo</t>
  </si>
  <si>
    <t>2021: 6, 2021: 10, 2022: 8, 2022: 12, 2022: 14, 2022: 17, 2023: 15, 2024: 28, 2024: 27</t>
  </si>
  <si>
    <t>ITC</t>
  </si>
  <si>
    <t>0.79x</t>
  </si>
  <si>
    <t>2020: 12, 2021: 17, 2022: 19, 2024: 23, 2025: 29, 2025: 33</t>
  </si>
  <si>
    <t>17.18x</t>
  </si>
  <si>
    <t>31.35x</t>
  </si>
  <si>
    <t>2021: 2, 2021: 8, 2022: 4, 2022: 6, 2023: 6, 2024: 15, 2025: 13</t>
  </si>
  <si>
    <t>1.27x</t>
  </si>
  <si>
    <t>1.36x</t>
  </si>
  <si>
    <t>2.59x</t>
  </si>
  <si>
    <t>2020: 23, 2021: 31, 2022: 53, 2022: 66, 2023: 68, 2023: 100, 2024: 102, 2024: 107, 2024: 110, 2024: 114, 2024: 124, 2025: 123, 2025: 126</t>
  </si>
  <si>
    <t>Wayve, EasyMile, DeepRoute.Ai, Baraja, Velodyne Lidar, DeepScale, Autobrains Technologies, Roadstar.AI, DeepMap, Nuro, Nauto, Zubie, Bestmile, QCraft, May Mobility, Local Motors, ISEE, AEye, Five, Waymo, Comma, Boxbot</t>
  </si>
  <si>
    <t>Developer of an autonomous traffic management platform intended to reduce traffic congestion. The company's platform modernizes cities by transforming signalized intersections into a connected digital transportation network that enhances efficiency assures safety and maximizes infrastructure utilization, uses plug-and-play artificial intelligence sensors to offer road-user detection and classification via a fusion of machine vision and radar, enabling users to identify, categorize, and predict buses, cyclists, electric scooters, and pedestrians from the time of arrival at an intersection thus improving road safety in real-time.</t>
  </si>
  <si>
    <t>2xN, Alchimia Investments, Aleph (Israel), Balderton Capital, Grove Ventures, Lars Fjeldsoe-Nielsen, Leading Cities, Life Extension Ventures, lool ventures, M&amp;G, Menora Mivtachim Holdings, Naftali Udi Recanati, Next Gear Ventures, North First Ventures, Plug and Play Tech Center, Rami Lipman, Tal Recanati, Teramips Technologies, The Israeli Insurtech Accelerator, The Nielsen Company, The Prudential Assurance Company, UMC Capital, Uri Rubin, Vektor Partners, VNV Global</t>
  </si>
  <si>
    <t>2xN (2xn.vc), Alchimia Investments (www.alchimiainvestments.com), Aleph (Israel) (www.aleph.vc), Balderton Capital (www.balderton.com), Grove Ventures (www.grovevc.com), Leading Cities (leadingcities.org), Life Extension Ventures (www.lifex.vc), lool ventures (www.lool.vc), M&amp;G (www.mandg.com), Menora Mivtachim Holdings (www.menoramivt.co.il), Next Gear Ventures (www.nextgear.fund), North First Ventures (n1v.com), Plug and Play Tech Center (www.plugandplaytechcenter.com), Teramips Technologies (www.teramips.com), The Israeli Insurtech Accelerator (itiaccelerator.com), The Nielsen Company (www.nielsen.com), UMC Capital (www.umccapital.com), Uri Rubin (urirubin.com), Vektor Partners (www.vektorpartners.com), VNV Global (vnv.global)</t>
  </si>
  <si>
    <t>Goldberg Ventures (www.goldberg-ventures.com), Meitav Investment House (www.meitavdash.co.il)</t>
  </si>
  <si>
    <t>Radio direction-finding, Traffic control systems</t>
  </si>
  <si>
    <t>2021: 3, 2023: 4, 2023: 5, 2023: 7, 2024: 10, 2025: 10</t>
  </si>
  <si>
    <t>PxE</t>
  </si>
  <si>
    <t>2021: 4, 2021: 8, 2022: 15, 2022: 15</t>
  </si>
  <si>
    <t>RADSee</t>
  </si>
  <si>
    <t>0.59x</t>
  </si>
  <si>
    <t>2018: 8, 2018: 12, 2019: 18, 2019: 25, 2020: 35, 2020: 50, 2021: 39, 2021: 58, 2021: 70, 2021: 71, 2022: 83, 2022: 102, 2023: 113, 2023: 117, 2024: 139, 2024: 111, 2024: 109</t>
  </si>
  <si>
    <t>Advanced Manufacturing, AgTech, Autonomous cars, Internet of Things, Manufacturing, Mobility Tech, Supply Chain Tech</t>
  </si>
  <si>
    <t>av technology, chips semiconductor, dms technology, field iot, infrared imaging system, machine vision sensor, precision agriculture, semiconductor manufacturing, sensing solution, sensors and detectors</t>
  </si>
  <si>
    <t>Developer of short-wave infrared imaging systems designed to save lives and reduce risks of accidents in all weather and lighting conditions. The company's semiconductor technology and products are used to accelerate pixel level in a camera which solves the automotive low-visibility challenge by providing cost-effective and enhanced resolution, enabling clients to equip their autonomous vehicles with optimal sight under common low visibility conditions.</t>
  </si>
  <si>
    <t>Alicorn, Allied Group (Holding Companies), Atinum Investment, Climate First, Deep Insight (Herzliya), DeepStream Global Management, Discount Capital, Drive TLV, Grove Ventures, High House Investment, Intel Capital, M&amp;G, Marius Nacht, MassChallenge, Next Gear Ventures, Porsche Ventures, Samsung Electronics, Samsung Venture Investment, Startup Autobahn, Tawazun Strategic Development Fund, Varana Capital</t>
  </si>
  <si>
    <t>Alicorn (www.alicorn-vp.com), Allied Group (Holding Companies) (www.alliedgroup.com.hk), Atinum Investment (www.atinuminvest.co.kr), Climate First (climatefirst.vc), Deep Insight (Herzliya) (www.deepinsight.co.il), DeepStream Global Management (www.deepstreamgm.com), Discount Capital (www.dcapital.co.il), Drive TLV (www.drivetlv.com/fastlane), Grove Ventures (www.grovevc.com), High House Investment (high-house.vc), Intel Capital (www.intelcapital.com), M&amp;G (www.mandg.com), MassChallenge (www.masschallenge.org), Next Gear Ventures (www.nextgear.fund), Porsche Ventures (www.porsche.ventures), Samsung Electronics (www.samsung.com), Samsung Venture Investment (samsungventure.co.kr), Startup Autobahn (www.startup-autobahn.com), Tawazun Strategic Development Fund (www.sdf.ae), Varana Capital (www.varanacapital.com)</t>
  </si>
  <si>
    <t>10.94x</t>
  </si>
  <si>
    <t>2014: 50, 2014: 50</t>
  </si>
  <si>
    <t>2016: 16, 2018: 20, 2018: 18, 2019: 25, 2021: 24, 2021: 34, 2021: 23, 2022: 24, 2022: 32, 2023: 38, 2024: 37, 2025: 32, 2025: 31, 2025: 27</t>
  </si>
  <si>
    <t>WayCare, Motive (Hardware), Wintics, NoTraffic, Remix Technologies, Isotrak, Vnomics, Econolite Group, Clever Devices, GoodVision, Idelic, StreetLight Data, INRIX, Citi Logik, Omnitracs, Citilog, TransCore, Brisk Synergies, DataFromSky, MicroTraffic, Sensys Networks, Numina, SWARCO McCain, Airsage, Nauto, Teralytics, Routematch Software, Autoscope Technologies, Masternaut, IdealSpot, Haas Alert, PiinPoint, SmartDrive Systems, SiteZeus</t>
  </si>
  <si>
    <t>8.93x</t>
  </si>
  <si>
    <t>15.41x</t>
  </si>
  <si>
    <t>2016: 36, 2017: 50, 2018: 90, 2019: 150, 2021: 200, 2021: 300, 2021: 200, 2022: 250, 2022: 330, 2023: 330, 2024: 330, 2024: 288, 2025: 330</t>
  </si>
  <si>
    <t>34.74x</t>
  </si>
  <si>
    <t>7.55x</t>
  </si>
  <si>
    <t>61.94x</t>
  </si>
  <si>
    <t>0.18x</t>
  </si>
  <si>
    <t>V-HOLA</t>
  </si>
  <si>
    <t>0.54x</t>
  </si>
  <si>
    <t>2021: 15, 2022: 21, 2022: 25, 2022: 29, 2023: 45, 2023: 49, 2024: 55, 2024: 47, 2024: 50, 2025: 40</t>
  </si>
  <si>
    <t>Xpand</t>
  </si>
  <si>
    <t>Exotec, Ambi Robotics, ATTAbotics, Nimble Robotics, Scallog, HighJump, GreyOrange, TGW Logistics Group, Berkshire Grey, Ocado Mobile Robot System, Seegrid, MSI Automate, Bossa Nova, Dematic Group, Fetch Robotics, Swisslog Holding, Onward Robotics, AutoStore, Oxipital AI, KNAPP, Clearpath Robotics, Agility Robotics, SVT Robotics, Takeoff, inVia Robotics, Locus Robotics, Robotiq, System Logistics, Grabit ( Machinery (B2B)), Simbe</t>
  </si>
  <si>
    <t>1.92x</t>
  </si>
  <si>
    <t>1.90x</t>
  </si>
  <si>
    <t>Y-IT</t>
  </si>
  <si>
    <t>5.63x</t>
  </si>
  <si>
    <t>0.50x</t>
  </si>
  <si>
    <t>TIM (Rome)</t>
  </si>
  <si>
    <t>Trawex, DerbySoft, QuadLabs, Travelport Worldwide, Accelya Holding World, DHISCO, SQLI, MoEngage, Readify, Staah, Nats (Business/Productivity Software), Loyalty Prime, Airline Software, IBS Software, Laminaar Aviation Infotech, Farelogix, Chetu, Leon Software, Pegasus Solutions, Cornerstone Information Systems, Hitit Bilgisayar Hizmetleri, RateGain, Navitaire, Coforge, eRevMax, Revenue Management Systems, Maureva, Travel Technology Interactive, Skyvantage, Aviaso</t>
  </si>
  <si>
    <t>2013: 85, 2013: 85</t>
  </si>
  <si>
    <t>Vivint Solar, EV Connect, Wallbox, EVgo, Greenlots, Voltera Power, AC Propulsion, Mercedes Benz, Tesla, Blink Charging, SemaConnect, Rivian Automotive, BYD Company</t>
  </si>
  <si>
    <t>Security Innovation, PlaxidityX, Karamba Security, Trustwave, Veracode, Cylance, SCYTHE, Secunet, Blackberry, CrowdStrike Holdings, Cigital, Mandiant, TowerSec, Escrypt, Mocana, XenonStack</t>
  </si>
  <si>
    <t>2015: 21, 2020: 20, 2021: 25, 2021: 28, 2022: 29</t>
  </si>
  <si>
    <t>2016: 5, 2021: 8, 2021: 7, 2022: 9, 2022: 7, 2023: 7, 2024: 6, 2024: 3, 2025: 3</t>
  </si>
  <si>
    <t>2023: 3, 2023: 2</t>
  </si>
  <si>
    <t>2019: 100, 2020: 131, 2021: 132, 2021: 156, 2021: 170, 2021: 128, 2022: 225, 2023: 135</t>
  </si>
  <si>
    <t>INRIX, TrueMotion, Wejo, Citi Logik, Arity, Vinli, Mojio, Dash Labs, AssetTrackr, Excelfore</t>
  </si>
  <si>
    <t>Aptiv (www.aptiv.com), Avis Budget UK (www.avis.co.uk), Bessemer Venture Partners (www.bvp.com), BNP Paribas Asset Management (www.bnpparibas-am.com), Cerca Partners (www.cerca-partners.com), ClalTech (www.claltech.com), Dell Technologies Capital (www.delltechnologiescapital.com), Delphi Midstream Partners (www.delphimidstream.com), Delphi Technologies (www.delphi.com), Maniv Mobility (www.maniv.com), NTT Docomo Ventures (www.nttdocomo-v.com), Phoenix Court (www.phoenixcourt.vc), Plug and Play Tech Center (www.plugandplaytechcenter.com), RedBlue Capital (www.red.blue), Senvest Capital (www.senvest.com), SK Group (eng.sk.com), StageOne Ventures (www.stageonevc.com), Startup Autobahn (www.startup-autobahn.com), Symetryx Corporation (www.symetryx.com), Vintage (Private Equity) (www.vintage-ip.com)</t>
  </si>
  <si>
    <t>2016: 2, 2021: 9, 2021: 11, 2022: 8, 2022: 7</t>
  </si>
  <si>
    <t>DeepScale, Avrios, Bestmile, DeepMap, Five, Omnitracs, Azuga, Invers (Germany), LeddarTech Holdings, Clever Devices, Robosense, Blickfeld, Nauto, CreateAI Holdings, MileIQ, Metamoto, Baraja, Strobe (Electronic Equipment and Instruments), Princeton Lightwave, Cognata, Seyond, AEye, Velodyne Lidar, Routematch Software</t>
  </si>
  <si>
    <t>Asana</t>
  </si>
  <si>
    <t>2020: 9, 2021: 11, 2022: 10, 2022: 6</t>
  </si>
  <si>
    <t>2017: 10, 2018: 30, 2018: 30, 2019: 30, 2019: 50, 2019: 50, 2020: 75, 2020: 37, 2020: 75, 2021: 43, 2021: 75, 2021: 57, 2021: 75, 2021: 75, 2022: 67, 2022: 125, 2022: 125, 2023: 75, 2023: 80, 2023: 72, 2024: 73, 2025: 80</t>
  </si>
  <si>
    <t>2017: 5, 2021: 43, 2021: 56</t>
  </si>
  <si>
    <t>SafeRide</t>
  </si>
  <si>
    <t>2019: 70, 2021: 29, 2021: 31, 2022: 37</t>
  </si>
  <si>
    <t>LeapMind, Beijing Momenta Technology Company, Seldon, SiteSpect, Indico (Business/Productivity Software), UnitX (IT Consulting and Outsourcing), ArrayFire, Osaro, Scortex, Pathmind, KloudFuse, ParallelM, Xnor.ai, Icecream Labs, Imagry, Deeplite, Deepomatic, ImageVision, Vertex.AI, Ersatz Labs, Black.ai, Graphcore, Fotonation, iLenze, ViDi Systems, Face++, Sentient (Business/Productivity Software)</t>
  </si>
  <si>
    <t>2019: 25, 2020: 15, 2020: 20, 2020: 15</t>
  </si>
  <si>
    <t>TWS</t>
  </si>
  <si>
    <t>2021: 33, 2021: 33, 2022: 38, 2022: 45, 2023: 34</t>
  </si>
  <si>
    <t>InsurTech</t>
  </si>
  <si>
    <t>2018: 10, 2018: 10, 2019: 10, 2019: 12, 2020: 20, 2020: 20, 2020: 20, 2021: 18, 2021: 25, 2021: 22, 2021: 30, 2022: 23, 2022: 17, 2023: 12, 2023: 11</t>
  </si>
  <si>
    <t>Bambi</t>
  </si>
  <si>
    <t>Root (Financial Software), Trōv, Wrisk, SchemeServe, Acko, Majesco, Simplesurance, Zego, Cover (Financial Software), InsuranceDekho, Instanda, Slice (New York), Marshmallow, Clark, CoverGo, Riskcovry, Virado, REIN Technologies, Root Insurance, Symbo (Financial Software), Insly, Quotall, DigiSure (IT Consulting and Outsourcing), PolicyBazaar, Obie, Bunker, Bimaplan, Friendsurance, Getsafe, Wefox, Digital Insurance Group, Bomapp, Boost (Other Business Products and Services), Sure, Upsie Technology, Next Insurance, Novidea, JustInCase, Coverfox, CoverHound, LeaseLock, Jetty (Property and Casualty Insurance), Benefix, Goji (Information Services), Turtlemint Fintech Solutions, CoverWallet</t>
  </si>
  <si>
    <t>2019: 11, 2020: 11, 2020: 11, 2021: 8, 2022: 7, 2023: 5</t>
  </si>
  <si>
    <t>OVO</t>
  </si>
  <si>
    <t>Micro-Mobility</t>
  </si>
  <si>
    <t>Leo</t>
  </si>
  <si>
    <t>Xpera</t>
  </si>
  <si>
    <t>E-Commerce</t>
  </si>
  <si>
    <t>Ole</t>
  </si>
  <si>
    <t>PatPat, ThreadLab, Frank And Oak, Wanelo, getSpring, Wantable, Lyst, Verishop, Moda Operandi</t>
  </si>
  <si>
    <t>Deezle Scooters Ltd</t>
  </si>
  <si>
    <t>Company Name</t>
  </si>
  <si>
    <t>Office Name</t>
  </si>
  <si>
    <t>Office Type</t>
  </si>
  <si>
    <t>Address Line 1</t>
  </si>
  <si>
    <t>Address Line 2</t>
  </si>
  <si>
    <t>City</t>
  </si>
  <si>
    <t>State/Province</t>
  </si>
  <si>
    <t>Post Code</t>
  </si>
  <si>
    <t>Country/Territory</t>
  </si>
  <si>
    <t>Phone</t>
  </si>
  <si>
    <t>Fax</t>
  </si>
  <si>
    <t>Email</t>
  </si>
  <si>
    <t>Secondary Contact</t>
  </si>
  <si>
    <t>Company Business Status</t>
  </si>
  <si>
    <t># of Employees at Company</t>
  </si>
  <si>
    <t>PitchBook Link</t>
  </si>
  <si>
    <t>Regional Office</t>
  </si>
  <si>
    <t>159 20th Street</t>
  </si>
  <si>
    <t>Business/Productivity Software*; Logistics</t>
  </si>
  <si>
    <t>Primary HQ</t>
  </si>
  <si>
    <t>Weston</t>
  </si>
  <si>
    <t>1792 Bell Tower Lane</t>
  </si>
  <si>
    <t>Electronic Equipment and Instruments*; Aerospace and Defense; Network Management Software; Government</t>
  </si>
  <si>
    <t>Regional HQ</t>
  </si>
  <si>
    <t>119 West 72nd Street</t>
  </si>
  <si>
    <t>Suite 343</t>
  </si>
  <si>
    <t>Munich</t>
  </si>
  <si>
    <t>30 Beaver Dam Road</t>
  </si>
  <si>
    <t>North Easton</t>
  </si>
  <si>
    <t>Business/Productivity Software*; Software Development Applications; Road</t>
  </si>
  <si>
    <t>Detroit</t>
  </si>
  <si>
    <t>610 South Troy Street, Royal Oak</t>
  </si>
  <si>
    <t>Suite 104</t>
  </si>
  <si>
    <t>Frankfurt</t>
  </si>
  <si>
    <t>Gothenburg</t>
  </si>
  <si>
    <t>Sweden</t>
  </si>
  <si>
    <t>Japan</t>
  </si>
  <si>
    <t>Skopje</t>
  </si>
  <si>
    <t>Naum Naumovski Borche 65</t>
  </si>
  <si>
    <t>North Macedonia</t>
  </si>
  <si>
    <t>England</t>
  </si>
  <si>
    <t>Unterschleissheim</t>
  </si>
  <si>
    <t>Emmy-Noether-Ring 18</t>
  </si>
  <si>
    <t>280 North Old Woodward</t>
  </si>
  <si>
    <t>Suite 100</t>
  </si>
  <si>
    <t>Network Management Software*; Automotive; Business/Productivity Software</t>
  </si>
  <si>
    <t>19 Clifford Street</t>
  </si>
  <si>
    <t>4th Floor</t>
  </si>
  <si>
    <t>Novi</t>
  </si>
  <si>
    <t>39555 Orchard Hill Place</t>
  </si>
  <si>
    <t>Suite 600</t>
  </si>
  <si>
    <t>San Mateo</t>
  </si>
  <si>
    <t>55 East 3rd Avenue</t>
  </si>
  <si>
    <t>Tokyo</t>
  </si>
  <si>
    <t>1-2-3, Dogenzaka</t>
  </si>
  <si>
    <t>Fukuras 17F Shibuya-Ku</t>
  </si>
  <si>
    <t>103-0022</t>
  </si>
  <si>
    <t>Business/Productivity Software*; Automotive</t>
  </si>
  <si>
    <t>Arizona</t>
  </si>
  <si>
    <t>AZ</t>
  </si>
  <si>
    <t>Business/Productivity Software*; Road; Automotive; Electronic Equipment and Instruments</t>
  </si>
  <si>
    <t>Executive Plaza Office Building</t>
  </si>
  <si>
    <t>720 Main Street, Suite 12</t>
  </si>
  <si>
    <t>MO</t>
  </si>
  <si>
    <t>33 Nassau Ave</t>
  </si>
  <si>
    <t>Overland Park</t>
  </si>
  <si>
    <t>10801 Mastin Boulevard</t>
  </si>
  <si>
    <t>Suite 620</t>
  </si>
  <si>
    <t>Palo Alto</t>
  </si>
  <si>
    <t>2345 Yale Street</t>
  </si>
  <si>
    <t>Business/Productivity Software*; Aerospace and Defense; Other Hardware</t>
  </si>
  <si>
    <t>San Francisco</t>
  </si>
  <si>
    <t>Business/Productivity Software*; Road; Automotive</t>
  </si>
  <si>
    <t>Baltimore</t>
  </si>
  <si>
    <t>Road*; Business/Productivity Software; Media and Information Services (B2B); Electronic Equipment and Instruments</t>
  </si>
  <si>
    <t>California</t>
  </si>
  <si>
    <t>Labs Atrium Camden Market</t>
  </si>
  <si>
    <t>Chalk Farm Road</t>
  </si>
  <si>
    <t>NW1 8AH</t>
  </si>
  <si>
    <t>Orlando</t>
  </si>
  <si>
    <t>Valencia</t>
  </si>
  <si>
    <t>Spain</t>
  </si>
  <si>
    <t>Wilmington</t>
  </si>
  <si>
    <t>1007 North Orange Street</t>
  </si>
  <si>
    <t>DE</t>
  </si>
  <si>
    <t>Bnie Darom</t>
  </si>
  <si>
    <t>Logistics*; Business/Productivity Software; Automation/Workflow Software; Other Hardware</t>
  </si>
  <si>
    <t>Cambridge</t>
  </si>
  <si>
    <t>Skalitzer Street 104</t>
  </si>
  <si>
    <t>Road*; Business/Productivity Software</t>
  </si>
  <si>
    <t>3443 West Belmont Avenue</t>
  </si>
  <si>
    <t>optibusna@optibus.com</t>
  </si>
  <si>
    <t>Donostia-San Sebastian</t>
  </si>
  <si>
    <t>Mikeletegi Pasealekua, 65</t>
  </si>
  <si>
    <t>Dusseldorf</t>
  </si>
  <si>
    <t>Düsseldorf</t>
  </si>
  <si>
    <t>Lisboa</t>
  </si>
  <si>
    <t>Avanue da Liberdade 110</t>
  </si>
  <si>
    <t>Lisbon</t>
  </si>
  <si>
    <t>1269-046</t>
  </si>
  <si>
    <t>60 London Wall</t>
  </si>
  <si>
    <t>EC2M 5SJ</t>
  </si>
  <si>
    <t>Hagavish 10</t>
  </si>
  <si>
    <t>Industrious Tower 49</t>
  </si>
  <si>
    <t>12 East 49th Street</t>
  </si>
  <si>
    <t>Paris</t>
  </si>
  <si>
    <t>Regus, 27 avenue de l'Opéra</t>
  </si>
  <si>
    <t>Portland</t>
  </si>
  <si>
    <t>310 Southwest 4th Avenue</t>
  </si>
  <si>
    <t>Board of Trade Building, Suite 1100</t>
  </si>
  <si>
    <t>OR</t>
  </si>
  <si>
    <t>Roma RM</t>
  </si>
  <si>
    <t>Via Vittorio Veneto 54b</t>
  </si>
  <si>
    <t>Italy</t>
  </si>
  <si>
    <t>Sammamish</t>
  </si>
  <si>
    <t>26628 Southeast 15th Street</t>
  </si>
  <si>
    <t>WA</t>
  </si>
  <si>
    <t>535 Mission Street</t>
  </si>
  <si>
    <t>Sao Paulo</t>
  </si>
  <si>
    <t>Brazil</t>
  </si>
  <si>
    <t>Seattle</t>
  </si>
  <si>
    <t>Stockholm</t>
  </si>
  <si>
    <t>Kollektivtrafikens Hus</t>
  </si>
  <si>
    <t>Centralplan 3</t>
  </si>
  <si>
    <t>111 20</t>
  </si>
  <si>
    <t>Kfar Saba</t>
  </si>
  <si>
    <t>Business/Productivity Software*; Road; Information Services (B2C)</t>
  </si>
  <si>
    <t>Khanayat ha-Beton Street</t>
  </si>
  <si>
    <t>Glil Yam</t>
  </si>
  <si>
    <t>510 5th Avenue</t>
  </si>
  <si>
    <t>6555 Sanger Road</t>
  </si>
  <si>
    <t>Afek</t>
  </si>
  <si>
    <t>10 Hamal Street</t>
  </si>
  <si>
    <t>info@traffilog.com</t>
  </si>
  <si>
    <t>Business/Productivity Software*; Automotive; Media and Information Services (B2B)</t>
  </si>
  <si>
    <t>Copenhagen</t>
  </si>
  <si>
    <t>Denmark</t>
  </si>
  <si>
    <t>Elstree Herts</t>
  </si>
  <si>
    <t>Tasman House</t>
  </si>
  <si>
    <t>The Waterfront</t>
  </si>
  <si>
    <t>WD6 3BS</t>
  </si>
  <si>
    <t>Luton</t>
  </si>
  <si>
    <t>Cubix, 42-50 Kimpton Road</t>
  </si>
  <si>
    <t>Bedfordshire</t>
  </si>
  <si>
    <t>LU2 0FP</t>
  </si>
  <si>
    <t>Mexico City</t>
  </si>
  <si>
    <t>624 Ejercito Nacional</t>
  </si>
  <si>
    <t>Mexico</t>
  </si>
  <si>
    <t>Pandrup</t>
  </si>
  <si>
    <t>Industrivej 28A</t>
  </si>
  <si>
    <t>info@traffilog.dk</t>
  </si>
  <si>
    <t>Rosh Haayin</t>
  </si>
  <si>
    <t>10 Hamal Street 4809234, Park Afek</t>
  </si>
  <si>
    <t>Seoul</t>
  </si>
  <si>
    <t>South Korea</t>
  </si>
  <si>
    <t>Livonia</t>
  </si>
  <si>
    <t>39040 West Seven Mile Road</t>
  </si>
  <si>
    <t>Electronic Equipment and Instruments*; Application Specific Semiconductors; Automotive</t>
  </si>
  <si>
    <t>2 Hatidhar Street</t>
  </si>
  <si>
    <t>Fresno</t>
  </si>
  <si>
    <t>3731 West Ashcroft Avenue</t>
  </si>
  <si>
    <t>Syracuse</t>
  </si>
  <si>
    <t>235 Harrison Street</t>
  </si>
  <si>
    <t>Electronic Equipment and Instruments*; Industrial Supplies and Parts; Road</t>
  </si>
  <si>
    <t>San Jose</t>
  </si>
  <si>
    <t>697 East Brokaw Road</t>
  </si>
  <si>
    <t>Application Specific Semiconductors*; Road; Automotive; Electronic Equipment and Instruments</t>
  </si>
  <si>
    <t>Bloomfield Hills</t>
  </si>
  <si>
    <t>41000 Woodward Avenue</t>
  </si>
  <si>
    <t>Building East, Suite 350</t>
  </si>
  <si>
    <t>Network Management Software*; IT Consulting and Outsourcing</t>
  </si>
  <si>
    <t>Wasserburger</t>
  </si>
  <si>
    <t>Landstraße 264</t>
  </si>
  <si>
    <t>Business/Productivity Software*; Logistics; Other Commercial Services; Automation/Workflow Software</t>
  </si>
  <si>
    <t>Bath</t>
  </si>
  <si>
    <t>2nd and 3rd Floors, Northgate House</t>
  </si>
  <si>
    <t>Upper Borough Walls</t>
  </si>
  <si>
    <t>BA1 1RG</t>
  </si>
  <si>
    <t>Suites 301 302</t>
  </si>
  <si>
    <t>Evanston</t>
  </si>
  <si>
    <t>1603 Orrington Avenue</t>
  </si>
  <si>
    <t>Suite 305</t>
  </si>
  <si>
    <t>Kyiv</t>
  </si>
  <si>
    <t>Kniaziv Ostrozkykh street, 8</t>
  </si>
  <si>
    <t>Creative State of Arsenal</t>
  </si>
  <si>
    <t>Ukraine</t>
  </si>
  <si>
    <t>Berkeley Square House</t>
  </si>
  <si>
    <t>W1J 6BD</t>
  </si>
  <si>
    <t>246 5th Avenue</t>
  </si>
  <si>
    <t>Poland</t>
  </si>
  <si>
    <t>Warsaw, Tadeusza Czackiego 15/17</t>
  </si>
  <si>
    <t>1 University Avenue</t>
  </si>
  <si>
    <t>Ontario</t>
  </si>
  <si>
    <t>M5J 2P1</t>
  </si>
  <si>
    <t>Post Office Box 7284</t>
  </si>
  <si>
    <t>Southern District</t>
  </si>
  <si>
    <t>Network Management Software*; Business/Productivity Software</t>
  </si>
  <si>
    <t>Seocho-Gu Gangnam-Daero 455</t>
  </si>
  <si>
    <t>Taeyoung Dessian Loube A-903</t>
  </si>
  <si>
    <t>Dani Cherkassky Ph.D</t>
  </si>
  <si>
    <t>Business/Productivity Software*; Communication Software; Electronic Equipment and Instruments</t>
  </si>
  <si>
    <t>Gaithersburg</t>
  </si>
  <si>
    <t>9841 Washingtonian Boulevard</t>
  </si>
  <si>
    <t>Suite 220</t>
  </si>
  <si>
    <t>Business/Productivity Software*; Media and Information Services (B2B); Aerospace and Defense</t>
  </si>
  <si>
    <t>400 Florence Street</t>
  </si>
  <si>
    <t>94301-1705</t>
  </si>
  <si>
    <t>San Diego</t>
  </si>
  <si>
    <t>8910 University Center Lane</t>
  </si>
  <si>
    <t>Barcelona</t>
  </si>
  <si>
    <t>Verdi 87</t>
  </si>
  <si>
    <t>Business/Productivity Software*; Road</t>
  </si>
  <si>
    <t>Tenafly</t>
  </si>
  <si>
    <t>94 Cortlandt Place</t>
  </si>
  <si>
    <t>Other Commercial Products*; Road</t>
  </si>
  <si>
    <t>Communication Software*; Vertical Market Software</t>
  </si>
  <si>
    <t>Benbrook</t>
  </si>
  <si>
    <t>552 Inwood</t>
  </si>
  <si>
    <t>Savion street, 1</t>
  </si>
  <si>
    <t>Road*; Business/Productivity Software; Media and Information Services (B2B)</t>
  </si>
  <si>
    <t>Kirchheim unter Teck</t>
  </si>
  <si>
    <t>Plochinger Strasse 58</t>
  </si>
  <si>
    <t>75 East Santa Clara Street</t>
  </si>
  <si>
    <t>Kibbutz</t>
  </si>
  <si>
    <t>Beit Guvrin</t>
  </si>
  <si>
    <t>Yoav Berlatzky Ph.D</t>
  </si>
  <si>
    <t>Electronic Equipment and Instruments*; Electrical Equipment</t>
  </si>
  <si>
    <t>Business/Productivity Software*; Media and Information Services (B2B); Road</t>
  </si>
  <si>
    <t>Changzhou</t>
  </si>
  <si>
    <t>Room 305, 3rd Floor, 24A Harmony Times Square</t>
  </si>
  <si>
    <t>Suzhou Industrial Park, Jiangsu</t>
  </si>
  <si>
    <t>China</t>
  </si>
  <si>
    <t>Naftali Chayat, Co-Founder &amp; Chief Technology Officer</t>
  </si>
  <si>
    <t>Other Hardware*; General Purpose Semiconductors</t>
  </si>
  <si>
    <t>33 West Monroe Street</t>
  </si>
  <si>
    <t>Suite 1025</t>
  </si>
  <si>
    <t>Sderot HaMeginim 39</t>
  </si>
  <si>
    <t>King George Street, 20</t>
  </si>
  <si>
    <t>Dam HaMaccabim Street 38</t>
  </si>
  <si>
    <t>KG10, Kungstan 10</t>
  </si>
  <si>
    <t>111 43</t>
  </si>
  <si>
    <t>Shinagaw a East One Tower 7F&amp;8F</t>
  </si>
  <si>
    <t>2-16-1, Kounan, Minato-Ku</t>
  </si>
  <si>
    <t>Business/Productivity Software*; Media and Information Services (B2B); Automation/Workflow Software</t>
  </si>
  <si>
    <t>Shanghai</t>
  </si>
  <si>
    <t>Asaf Formoza Ph.D</t>
  </si>
  <si>
    <t>Bangalore</t>
  </si>
  <si>
    <t>480/B Ground Floor 18th Cross 27th Main Road</t>
  </si>
  <si>
    <t>Sector-2 HSR Layout Bangalore South</t>
  </si>
  <si>
    <t>India</t>
  </si>
  <si>
    <t>infoindia@irpsystems.com</t>
  </si>
  <si>
    <t>Automotive*; Electrical Equipment; Other Commercial Products</t>
  </si>
  <si>
    <t>Local 2 de Planta Baja, Edificio B 1.1</t>
  </si>
  <si>
    <t>Avinguda Parc Logístic 22-26</t>
  </si>
  <si>
    <t>infoeurope@irpsystems.com</t>
  </si>
  <si>
    <t>5 Science Park</t>
  </si>
  <si>
    <t>Electrical Equipment*; Road; Other Commercial Products</t>
  </si>
  <si>
    <t>Abba Hillel Silver Road 154</t>
  </si>
  <si>
    <t>Connectivity Products*; Information Services (B2C); Electronics (B2C); Software Development Applications</t>
  </si>
  <si>
    <t>Electronic Equipment and Instruments*; Vertical Market Software; Automotive</t>
  </si>
  <si>
    <t>Milan</t>
  </si>
  <si>
    <t>Via dei Missaglia, 89</t>
  </si>
  <si>
    <t>Silicon Valley</t>
  </si>
  <si>
    <t>ask@ride.vison</t>
  </si>
  <si>
    <t>Kraijenhoffstraat 137A</t>
  </si>
  <si>
    <t>North Holland</t>
  </si>
  <si>
    <t>1018 RG</t>
  </si>
  <si>
    <t>Netherlands</t>
  </si>
  <si>
    <t>Media and Information Services (B2B)*; Marine; Information Services (B2C)</t>
  </si>
  <si>
    <t>Electronic Equipment and Instruments*; Automotive</t>
  </si>
  <si>
    <t>Business/Productivity Software*; Other Energy Services</t>
  </si>
  <si>
    <t>Lexington</t>
  </si>
  <si>
    <t>KY</t>
  </si>
  <si>
    <t>28 Dam Maccabim Boulevard</t>
  </si>
  <si>
    <t>Tulsa</t>
  </si>
  <si>
    <t>12 North Cheyenne Avenue</t>
  </si>
  <si>
    <t>OK</t>
  </si>
  <si>
    <t>Doron Myersdorf Ph.D</t>
  </si>
  <si>
    <t>Automotive*; Other Equipment</t>
  </si>
  <si>
    <t>35 Park Lane</t>
  </si>
  <si>
    <t>Mayfair</t>
  </si>
  <si>
    <t>W1K 1RB</t>
  </si>
  <si>
    <t>Kings Langley</t>
  </si>
  <si>
    <t>Church House, Church Lane</t>
  </si>
  <si>
    <t>WD4 8JP</t>
  </si>
  <si>
    <t>Business/Productivity Software*; Media and Information Services (B2B); Other Transportation</t>
  </si>
  <si>
    <t>106a Street Georges Square</t>
  </si>
  <si>
    <t>SW1V 3QY</t>
  </si>
  <si>
    <t>Business/Productivity Software*; Other Hardware; Automation/Workflow Software</t>
  </si>
  <si>
    <t>Business/Productivity Software*; Other Energy Services; Alternative Energy Equipment</t>
  </si>
  <si>
    <t>HaAmal 1</t>
  </si>
  <si>
    <t>Rosh HaAyin</t>
  </si>
  <si>
    <t>Dov Hoz Street 32</t>
  </si>
  <si>
    <t>Electronic Equipment and Instruments*; Road; Business/Productivity Software</t>
  </si>
  <si>
    <t>Automotive*; Other Commercial Products</t>
  </si>
  <si>
    <t>Industrial Supplies and Parts*; Road</t>
  </si>
  <si>
    <t>Indianapolis</t>
  </si>
  <si>
    <t>9850 East 30th Street</t>
  </si>
  <si>
    <t>Automotive*; Electronics (B2C)</t>
  </si>
  <si>
    <t>Kumeu</t>
  </si>
  <si>
    <t>163 Taupaki Road RD2</t>
  </si>
  <si>
    <t>New Zealand</t>
  </si>
  <si>
    <t>36 Clay Hill Enfield</t>
  </si>
  <si>
    <t>EN2 9AA</t>
  </si>
  <si>
    <t>Electronic Equipment and Instruments*; Road</t>
  </si>
  <si>
    <t>6 Argaman</t>
  </si>
  <si>
    <t>Business/Productivity Software*; IT Consulting and Outsourcing; Media and Information Services (B2B)</t>
  </si>
  <si>
    <t>Other Commercial Services*; Road; Automotive</t>
  </si>
  <si>
    <t>Business/Productivity Software*; Media and Information Services (B2B)</t>
  </si>
  <si>
    <t>Gaimersheim</t>
  </si>
  <si>
    <t>Dieselstrasse 6a</t>
  </si>
  <si>
    <t>Markgröningen</t>
  </si>
  <si>
    <t>Auf Hart 81</t>
  </si>
  <si>
    <t>office@aidymo-cv.com</t>
  </si>
  <si>
    <t>94 Shlomo Smeltzer Road</t>
  </si>
  <si>
    <t>Porter Building</t>
  </si>
  <si>
    <t>Tel Aviv University</t>
  </si>
  <si>
    <t>Communication Software*; Business/Productivity Software</t>
  </si>
  <si>
    <t>Specialty Retail*; Automotive</t>
  </si>
  <si>
    <t>Road*; Other Hardware; Business/Productivity Software</t>
  </si>
  <si>
    <t>Automotive*; Business/Productivity Software</t>
  </si>
  <si>
    <t>Arbe Robotics</t>
  </si>
  <si>
    <t>Plano</t>
  </si>
  <si>
    <t>3617 Leathertop Drive</t>
  </si>
  <si>
    <t>Noam Arkind Ph.D</t>
  </si>
  <si>
    <t>Shlomit Hacohen, Chief Marketing Officer, Marketing</t>
  </si>
  <si>
    <t>Business/Productivity Software*; Electronic Equipment and Instruments</t>
  </si>
  <si>
    <t>Tower Bridge House</t>
  </si>
  <si>
    <t>St. Katharine's way</t>
  </si>
  <si>
    <t>E1W 1DD</t>
  </si>
  <si>
    <t>Other Commercial Services*; Business/Productivity Software</t>
  </si>
  <si>
    <t>Road*; Operating Systems Software</t>
  </si>
  <si>
    <t>hey@autofleet.io</t>
  </si>
  <si>
    <t>Business/Productivity Software*; Other Commercial Services; Road</t>
  </si>
  <si>
    <t>Beijing</t>
  </si>
  <si>
    <t>24 Floor, Tower 3, China Central Place</t>
  </si>
  <si>
    <t>77 Jianguo Road, Chaoyang District</t>
  </si>
  <si>
    <t>Application Specific Semiconductors*; Connectivity Products</t>
  </si>
  <si>
    <t>Clarkston</t>
  </si>
  <si>
    <t>Post Office Box 1765</t>
  </si>
  <si>
    <t>Kiev</t>
  </si>
  <si>
    <t>Leonardo Business Center</t>
  </si>
  <si>
    <t>Bohdana Khmelnytskoho Street 17/52</t>
  </si>
  <si>
    <t>Nentershausen</t>
  </si>
  <si>
    <t>Wiedstraße 1</t>
  </si>
  <si>
    <t>18 rue de la Romance Cergy le Haut</t>
  </si>
  <si>
    <t>6 Floor, 44 LeadersqureMagok A Building</t>
  </si>
  <si>
    <t>45, MagokJungang 6ro Gangseo-gu</t>
  </si>
  <si>
    <t>Yokohama</t>
  </si>
  <si>
    <t>Industry and Trade Center Building 2Floor</t>
  </si>
  <si>
    <t>Yamashita-cho, Kanagawa-ken</t>
  </si>
  <si>
    <t>Business/Productivity Software*; Other Transportation</t>
  </si>
  <si>
    <t>Road*; Rail</t>
  </si>
  <si>
    <t>Netiv HaLamed-Heh</t>
  </si>
  <si>
    <t>Business/Productivity Software*; Aerospace and Defense; IT Consulting and Outsourcing</t>
  </si>
  <si>
    <t>Social/Platform Software*; Automotive</t>
  </si>
  <si>
    <t>Financial Software*; Automotive Insurance; Other Insurance</t>
  </si>
  <si>
    <t>Other Transportation*; Application Software</t>
  </si>
  <si>
    <t>Automotive*; Alternative Energy Equipment</t>
  </si>
  <si>
    <t>Lygten 39</t>
  </si>
  <si>
    <t>Denver</t>
  </si>
  <si>
    <t>CO</t>
  </si>
  <si>
    <t>Other Hardware*; Electronic Equipment and Instruments; Logistics</t>
  </si>
  <si>
    <t>Ein HaBesor</t>
  </si>
  <si>
    <t>329 Rimon</t>
  </si>
  <si>
    <t>Gan HaDarom</t>
  </si>
  <si>
    <t>Mishmar HaNegev</t>
  </si>
  <si>
    <t>Sha'ar HaNegev</t>
  </si>
  <si>
    <t>Automotive*; Road</t>
  </si>
  <si>
    <t>Tel-aviv</t>
  </si>
  <si>
    <t>Marine*; Application Software; Internet Retail</t>
  </si>
  <si>
    <t>Road*; Automotive</t>
  </si>
  <si>
    <t>Aerospace and Defense*; Electronic Equipment and Instruments</t>
  </si>
  <si>
    <t>Northville</t>
  </si>
  <si>
    <t>115 North Center Street</t>
  </si>
  <si>
    <t>Suite 203</t>
  </si>
  <si>
    <t>Business/Productivity Software*; Electronics (B2C); IT Consulting and Outsourcing</t>
  </si>
  <si>
    <t>Electronic Equipment and Instruments*; Automotive; Electronics (B2C)</t>
  </si>
  <si>
    <t>Other Commercial Products*; Automotive; Other Consumer Durables</t>
  </si>
  <si>
    <t>Other Hardware*; Business/Productivity Software; Road</t>
  </si>
  <si>
    <t>Application Specific Semiconductors*; Production (Semiconductors)</t>
  </si>
  <si>
    <t>Road*; Other Commercial Services</t>
  </si>
  <si>
    <t>Logistics*; Road</t>
  </si>
  <si>
    <t>Cupertino</t>
  </si>
  <si>
    <t>10620 Merriman Road</t>
  </si>
  <si>
    <t>Electronic Equipment and Instruments*; Electronics (B2C); Media and Information Services (B2B); Automation/Workflow Software</t>
  </si>
  <si>
    <t>Hong Kong</t>
  </si>
  <si>
    <t>Room 405, Nan fun Commercial Center</t>
  </si>
  <si>
    <t>19 Lam Lok Street</t>
  </si>
  <si>
    <t>Redmond</t>
  </si>
  <si>
    <t>16703 NE 41 Street</t>
  </si>
  <si>
    <t>Shan</t>
  </si>
  <si>
    <t>Shenzhen VC&amp;PE Building, Shenzhen Nan</t>
  </si>
  <si>
    <t>Keyuan Road Suite 1001</t>
  </si>
  <si>
    <t>Electrical Equipment*; Logistics; Other Commercial Products</t>
  </si>
  <si>
    <t>Distributors/Wholesale*; Machinery (B2B); Automotive</t>
  </si>
  <si>
    <t>Automotive*; Other Services (B2C Non-Financial); Specialty Retail</t>
  </si>
  <si>
    <t>Other Hardware*; Aerospace and Defense</t>
  </si>
  <si>
    <t>Danny Friedman Frydman</t>
  </si>
  <si>
    <t>Business/Productivity Software*; Other Commercial Services; Automotive</t>
  </si>
  <si>
    <t>Connectivity Products*; Automotive</t>
  </si>
  <si>
    <t>Information Services (B2C)*; Road</t>
  </si>
  <si>
    <t>Hanwang Tower, Building Number 5</t>
  </si>
  <si>
    <t>Zhongguancun Software Park, Haidian District</t>
  </si>
  <si>
    <t>Network Management Software*; Other Healthcare Technology Systems</t>
  </si>
  <si>
    <t>Frankfurt Airport Center 1 Hugo-Eckener-Ring Gebäude 234</t>
  </si>
  <si>
    <t>8. Stock, HBK 19</t>
  </si>
  <si>
    <t>156 2nd Street</t>
  </si>
  <si>
    <t>Taipei</t>
  </si>
  <si>
    <t>8th Floor, Number.300</t>
  </si>
  <si>
    <t>Yang Guang Street, NeiHu</t>
  </si>
  <si>
    <t>Taiwan</t>
  </si>
  <si>
    <t>1-11-1 Marunouchi</t>
  </si>
  <si>
    <t>8th Floor/13th Floor Pacific Century Place Marunouchi</t>
  </si>
  <si>
    <t>100-6208</t>
  </si>
  <si>
    <t>108 West 13th Street</t>
  </si>
  <si>
    <t>Yuval Shalom Diskin</t>
  </si>
  <si>
    <t>Tamir Bechor, Co-Founder</t>
  </si>
  <si>
    <t>Network Management Software*; Automotive</t>
  </si>
  <si>
    <t>Delek Automotive Systems</t>
  </si>
  <si>
    <t>Distributors/Wholesale*; Automotive</t>
  </si>
  <si>
    <t>Logistics*; Business/Productivity Software</t>
  </si>
  <si>
    <t>Road*; Construction and Engineering</t>
  </si>
  <si>
    <t>Zikhron Ya'akov</t>
  </si>
  <si>
    <t>Sherman Oaks</t>
  </si>
  <si>
    <t>15233 Ventura Boulevard</t>
  </si>
  <si>
    <t>Suite 500</t>
  </si>
  <si>
    <t>Be er Sheva</t>
  </si>
  <si>
    <t>Other Transportation*; Automotive</t>
  </si>
  <si>
    <t>Yacov Yancale Shahar</t>
  </si>
  <si>
    <t>Air*; Logistics; Air</t>
  </si>
  <si>
    <t>Other Energy*; Other Transportation; Other Transportation</t>
  </si>
  <si>
    <t>Eldan Transportation</t>
  </si>
  <si>
    <t>Electreon Wireless</t>
  </si>
  <si>
    <t>Automotive*; Other Energy</t>
  </si>
  <si>
    <t>Road*; Other Commercial Products</t>
  </si>
  <si>
    <t>17 Shagal Mark</t>
  </si>
  <si>
    <t>Automotive*; Road; Other Transportation; Other Transportation</t>
  </si>
  <si>
    <t>Other Services (B2C Non-Financial)*; Application Software; Automotive</t>
  </si>
  <si>
    <t>Business/Productivity Software*; Automation/Workflow Software; Other Hardware; Automotive</t>
  </si>
  <si>
    <t>Business/Productivity Software*; Other Commercial Services; Other Hardware</t>
  </si>
  <si>
    <t>ETGA Group</t>
  </si>
  <si>
    <t>Air*; Marine</t>
  </si>
  <si>
    <t>Automotive*; Other Transportation</t>
  </si>
  <si>
    <t>Business/Productivity Software*; Electric Utilities</t>
  </si>
  <si>
    <t>Road*; Other Transportation</t>
  </si>
  <si>
    <t>EZRaider Global</t>
  </si>
  <si>
    <t>Kent</t>
  </si>
  <si>
    <t>1303 Central Avenue South</t>
  </si>
  <si>
    <t>Unit D</t>
  </si>
  <si>
    <t>Other Commercial Services*; Aerospace and Defense; Electronic Equipment and Instruments; Automotive</t>
  </si>
  <si>
    <t>Foresight Autonomous Holdings</t>
  </si>
  <si>
    <t>Automation/Workflow Software*; Road</t>
  </si>
  <si>
    <t>Freightos</t>
  </si>
  <si>
    <t>Room 2003, Mongkok Commercial Centre</t>
  </si>
  <si>
    <t>16 Argyle Street</t>
  </si>
  <si>
    <t>Zvi Schreiber Ph.D</t>
  </si>
  <si>
    <t>Logistics*; Business/Productivity Software; Media and Information Services (B2B)</t>
  </si>
  <si>
    <t>Ha-Sivim Street 30</t>
  </si>
  <si>
    <t>Business/Productivity Software*; Road; Other Hardware</t>
  </si>
  <si>
    <t>Atir Yeda Street 21</t>
  </si>
  <si>
    <t>Distributors/Wholesale*; Road</t>
  </si>
  <si>
    <t>Global Automax</t>
  </si>
  <si>
    <t>Automotive*; Other Energy Services; Electrical Equipment</t>
  </si>
  <si>
    <t>Madrid</t>
  </si>
  <si>
    <t>Calle Albasanz, 12</t>
  </si>
  <si>
    <t>info.es@gotoglobal.com</t>
  </si>
  <si>
    <t>Automotive*; Application Software; Other Transportation</t>
  </si>
  <si>
    <t>Paola</t>
  </si>
  <si>
    <t>2nd Floor, KW12</t>
  </si>
  <si>
    <t>Kordin Industrial Estate</t>
  </si>
  <si>
    <t>PLA 3000</t>
  </si>
  <si>
    <t>Malta</t>
  </si>
  <si>
    <t>Logistics*; Road; Media and Information Services (B2B)</t>
  </si>
  <si>
    <t>Nahariyya</t>
  </si>
  <si>
    <t>HaZafon</t>
  </si>
  <si>
    <t>Automotive*; Electronic Equipment and Instruments; Other Hardware; Information Services (B2C)</t>
  </si>
  <si>
    <t>Automotive*; Application Software</t>
  </si>
  <si>
    <t>Electronic Equipment and Instruments*; Business/Productivity Software; Information Services (B2C)</t>
  </si>
  <si>
    <t>17177 North Laurel Park Drive</t>
  </si>
  <si>
    <t>Automotive*; Electronic Equipment and Instruments</t>
  </si>
  <si>
    <t>Neuturmstraße 5</t>
  </si>
  <si>
    <t>Other Commercial Services*; Automotive</t>
  </si>
  <si>
    <t>Buildings and Property*; Infrastructure; Road</t>
  </si>
  <si>
    <t>Business/Productivity Software*; Road; Automation/Workflow Software</t>
  </si>
  <si>
    <t>10 Hanechoshet Street</t>
  </si>
  <si>
    <t>Road*; Aerospace and Defense</t>
  </si>
  <si>
    <t>Innoviz Technologies</t>
  </si>
  <si>
    <t>info@innoviz-tech.com</t>
  </si>
  <si>
    <t>Electronic Equipment and Instruments*; Automotive; Business/Productivity Software</t>
  </si>
  <si>
    <t>Other Commercial Services*; Systems and Information Management; Automotive</t>
  </si>
  <si>
    <t>Air*; Leisure Facilities; Media and Information Services (B2B)</t>
  </si>
  <si>
    <t>Other Services (B2C Non-Financial)*; Food Products; Air</t>
  </si>
  <si>
    <t>Business/Productivity Software*; Automotive Insurance; Electronic Equipment and Instruments</t>
  </si>
  <si>
    <t>Information Services (B2C)*; Application Software; Air</t>
  </si>
  <si>
    <t>Automotive*; Electronic Equipment and Instruments; Application Software</t>
  </si>
  <si>
    <t>Food Products*; Road; Distributors/Wholesale</t>
  </si>
  <si>
    <t>Media and Information Services (B2B)*; Automotive</t>
  </si>
  <si>
    <t>Knafaim Holdings</t>
  </si>
  <si>
    <t>Astrid Wollenberg Ph.D</t>
  </si>
  <si>
    <t>Marine*; Application Software; Recreational Goods</t>
  </si>
  <si>
    <t>Business/Productivity Software*; Electronic Equipment and Instruments; Application Specific Semiconductors; Multimedia and Design Software</t>
  </si>
  <si>
    <t>Industrial Supplies and Parts*; Road; Machinery (B2B)</t>
  </si>
  <si>
    <t>Application Software*; Automation/Workflow Software</t>
  </si>
  <si>
    <t>Automotive*; Industrial Supplies and Parts</t>
  </si>
  <si>
    <t>Electronic Equipment and Instruments*; Electrical Equipment; Road</t>
  </si>
  <si>
    <t>Logistics*; Air; Air</t>
  </si>
  <si>
    <t>Infrastructure*; Business/Productivity Software; Road</t>
  </si>
  <si>
    <t>Marine*; Business/Productivity Software</t>
  </si>
  <si>
    <t>Business/Productivity Software*; Marine</t>
  </si>
  <si>
    <t>41 Haatzmaut Road</t>
  </si>
  <si>
    <t>Electronic Equipment and Instruments*; Media and Information Services (B2B)</t>
  </si>
  <si>
    <t>Logistics*; Road; Air; Marine</t>
  </si>
  <si>
    <t>Automotive*; Other Commercial Services</t>
  </si>
  <si>
    <t>Mia Dynamics</t>
  </si>
  <si>
    <t>Automotive*; Electronic Equipment and Instruments; IT Consulting and Outsourcing</t>
  </si>
  <si>
    <t>Mobileye Global</t>
  </si>
  <si>
    <t>Lütticher Strasse 132</t>
  </si>
  <si>
    <t>Moran Shemesh Rojansky</t>
  </si>
  <si>
    <t>Business/Productivity Software*; Application Software; Automotive; Application Specific Semiconductors</t>
  </si>
  <si>
    <t>Energy Production*; Electrical Equipment; Electric Utilities</t>
  </si>
  <si>
    <t>Athens</t>
  </si>
  <si>
    <t>Greece</t>
  </si>
  <si>
    <t>Business/Productivity Software*; Application Software; Information Services (B2C); Other Transportation; Database Software</t>
  </si>
  <si>
    <t>Atlanta</t>
  </si>
  <si>
    <t>GA</t>
  </si>
  <si>
    <t>Buenos Aires</t>
  </si>
  <si>
    <t>Argentina</t>
  </si>
  <si>
    <t>Istanbul</t>
  </si>
  <si>
    <t>Turkey</t>
  </si>
  <si>
    <t>Jakarta</t>
  </si>
  <si>
    <t>Indonesia</t>
  </si>
  <si>
    <t>Kuala Lumpur</t>
  </si>
  <si>
    <t>Malaysia</t>
  </si>
  <si>
    <t>New Delhi</t>
  </si>
  <si>
    <t>Philadelphia</t>
  </si>
  <si>
    <t>PA</t>
  </si>
  <si>
    <t>Rio de Janeiro</t>
  </si>
  <si>
    <t>Rome</t>
  </si>
  <si>
    <t>600 California Street</t>
  </si>
  <si>
    <t>Santiago</t>
  </si>
  <si>
    <t>Chile</t>
  </si>
  <si>
    <t>Sydney</t>
  </si>
  <si>
    <t>New South Wales</t>
  </si>
  <si>
    <t>Mordechai Fishman, Co-Founder</t>
  </si>
  <si>
    <t>Other Transportation*; Other Devices and Supplies</t>
  </si>
  <si>
    <t>Montreal</t>
  </si>
  <si>
    <t>1002 Rue Sherbrooke Ouest</t>
  </si>
  <si>
    <t>Bureau 1900</t>
  </si>
  <si>
    <t>Quebec</t>
  </si>
  <si>
    <t>H3A 3L6</t>
  </si>
  <si>
    <t>Marine*; Infrastructure; Other Commercial Services</t>
  </si>
  <si>
    <t>Durham</t>
  </si>
  <si>
    <t>One City Center</t>
  </si>
  <si>
    <t>110 Corcoran Street</t>
  </si>
  <si>
    <t>Tal Cohen Ph.D</t>
  </si>
  <si>
    <t>Business/Productivity Software*; Logistics; Automation/Workflow Software</t>
  </si>
  <si>
    <t>NewSight Imaging</t>
  </si>
  <si>
    <t>Unit 2403, Tung Wai Commercial Building</t>
  </si>
  <si>
    <t>Gloucester Road</t>
  </si>
  <si>
    <t>109-111</t>
  </si>
  <si>
    <t>Electronic Equipment and Instruments*; General Purpose Semiconductors</t>
  </si>
  <si>
    <t>Jiashan</t>
  </si>
  <si>
    <t>China Innovation Town of Jiashan Guigu Park</t>
  </si>
  <si>
    <t>Jiashan County</t>
  </si>
  <si>
    <t>Shenzhen</t>
  </si>
  <si>
    <t>Room 3603A, Block 9A-1</t>
  </si>
  <si>
    <t>Shenzhen Bay Science-Eco Park</t>
  </si>
  <si>
    <t>Other Utilities*; Electrical Equipment</t>
  </si>
  <si>
    <t>205 West 37th Street</t>
  </si>
  <si>
    <t>Specialty Retail*; Application Software; Clothing</t>
  </si>
  <si>
    <t>Business/Productivity Software*; Application Software; Automotive</t>
  </si>
  <si>
    <t>Jamil R. Mazzawi</t>
  </si>
  <si>
    <t>Business/Productivity Software*; Other Semiconductors; Automation/Workflow Software</t>
  </si>
  <si>
    <t>Wireless Communications Equipment*; Internet Software</t>
  </si>
  <si>
    <t>Fremont</t>
  </si>
  <si>
    <t>43134 Osgood Road</t>
  </si>
  <si>
    <t>ORT Technologies</t>
  </si>
  <si>
    <t>Electrical Equipment*; Other Commercial Products</t>
  </si>
  <si>
    <t>Business/Productivity Software*; Logistics; Other Commercial Services</t>
  </si>
  <si>
    <t>Westendstreet 28</t>
  </si>
  <si>
    <t>Redwood City</t>
  </si>
  <si>
    <t>889 Winslow Street</t>
  </si>
  <si>
    <t>2443 Fillmore Street</t>
  </si>
  <si>
    <t>Suite 380-8751</t>
  </si>
  <si>
    <t>Road*; Air</t>
  </si>
  <si>
    <t>Automotive*; Network Management Software; Road</t>
  </si>
  <si>
    <t>Gorinchem</t>
  </si>
  <si>
    <t>Stationsweg 29</t>
  </si>
  <si>
    <t>office@parkam-ip.com</t>
  </si>
  <si>
    <t>Information Services (B2C)*; Automotive; Application Software</t>
  </si>
  <si>
    <t>Melbourne</t>
  </si>
  <si>
    <t>3/1711-1713 Malvern Road</t>
  </si>
  <si>
    <t>Glen Iris</t>
  </si>
  <si>
    <t>Victoria</t>
  </si>
  <si>
    <t>32 Emek Harod</t>
  </si>
  <si>
    <t>Hanofar 2 st</t>
  </si>
  <si>
    <t>Aerospace and Defense*; Air; Other Commercial Products</t>
  </si>
  <si>
    <t>Okura Annex building 5th Floor</t>
  </si>
  <si>
    <t>3-4-1 Ginza Chuo-ku</t>
  </si>
  <si>
    <t>104-0061</t>
  </si>
  <si>
    <t>japan-info@pentaxi.aero</t>
  </si>
  <si>
    <t>Suite 350</t>
  </si>
  <si>
    <t>Bulgaria</t>
  </si>
  <si>
    <t>Farmington Hills</t>
  </si>
  <si>
    <t>34705 West 12 Mile Road</t>
  </si>
  <si>
    <t>45 Derech Ha'atzmaut Street</t>
  </si>
  <si>
    <t>European Metropolitan Region Stuttgart</t>
  </si>
  <si>
    <t>541 Jefferson Avenue</t>
  </si>
  <si>
    <t>Seongnam-si</t>
  </si>
  <si>
    <t>1001 JS Tower</t>
  </si>
  <si>
    <t>184 Pangyoyeok-ro Bundang-gu</t>
  </si>
  <si>
    <t>Stuttgart</t>
  </si>
  <si>
    <t>Elektrobit Automotive GmbH</t>
  </si>
  <si>
    <t>Industriestrasse 23</t>
  </si>
  <si>
    <t>Osaki New City Number 1 Building</t>
  </si>
  <si>
    <t>Floor 16, 1-6-1 Osaki, Shinagawa-ku</t>
  </si>
  <si>
    <t>141-0032</t>
  </si>
  <si>
    <t>Other Transportation*; Social/Platform Software</t>
  </si>
  <si>
    <t>Other Utilities*; Other Commercial Services</t>
  </si>
  <si>
    <t>Automotive*; Application Software; Other Hardware</t>
  </si>
  <si>
    <t>Electronic Equipment and Instruments*; Other Hardware; Automotive</t>
  </si>
  <si>
    <t>Electronic Equipment and Instruments*; Rail</t>
  </si>
  <si>
    <t>Machinery (B2B)*; Business/Productivity Software; Other Hardware; Other Commercial Products</t>
  </si>
  <si>
    <t>Raval ACS</t>
  </si>
  <si>
    <t>Information Services (B2C)*; Business/Productivity Software; Media and Information Services (B2B); Other Hardware</t>
  </si>
  <si>
    <t>Bogota</t>
  </si>
  <si>
    <t>Colombia</t>
  </si>
  <si>
    <t>Other Business Products and Services*; Business/Productivity Software</t>
  </si>
  <si>
    <t>Delaware</t>
  </si>
  <si>
    <t>Heerbrugg</t>
  </si>
  <si>
    <t>Automotive*; Road; Other Commercial Products</t>
  </si>
  <si>
    <t>Ningbo</t>
  </si>
  <si>
    <t>Number 8 Gehechen industrial zone Donggangqi</t>
  </si>
  <si>
    <t>Xiaogang street, Beilun district</t>
  </si>
  <si>
    <t>Energy Marketing*; Other Commercial Services</t>
  </si>
  <si>
    <t>Automotive*; Other Software; Media and Information Services (B2B)</t>
  </si>
  <si>
    <t>Daniel Ben Dov</t>
  </si>
  <si>
    <t>Business/Productivity Software*; Automation/Workflow Software</t>
  </si>
  <si>
    <t>Delhi</t>
  </si>
  <si>
    <t>12th Floor Ambadeep 14</t>
  </si>
  <si>
    <t>KG Marg, Barakhamba</t>
  </si>
  <si>
    <t>Media and Information Services (B2B)*; Telecommunications Service Providers; Business/Productivity Software; Other Commercial Services</t>
  </si>
  <si>
    <t>Ghaziabad</t>
  </si>
  <si>
    <t>T-17, 3rd Floor, Aditya Corporate Office</t>
  </si>
  <si>
    <t>Aditya Mall, Indirapuram</t>
  </si>
  <si>
    <t>Lucknow</t>
  </si>
  <si>
    <t>3/162, Vivek Khand</t>
  </si>
  <si>
    <t>Gomati Nager</t>
  </si>
  <si>
    <t>Maharashtra</t>
  </si>
  <si>
    <t>Eitan Ben Meir</t>
  </si>
  <si>
    <t>Network Management Software*; Application Software; Automotive</t>
  </si>
  <si>
    <t>Other Hardware*; Other Commercial Products</t>
  </si>
  <si>
    <t>Security Services (B2B)*; Other Commercial Services</t>
  </si>
  <si>
    <t>Shagrir Systems (Certain Assets and Liabilities)</t>
  </si>
  <si>
    <t>Automotive*; Application Software; Information Services (B2C)</t>
  </si>
  <si>
    <t>Marina del Rey</t>
  </si>
  <si>
    <t>4267 Marina City Drive</t>
  </si>
  <si>
    <t>PH 4</t>
  </si>
  <si>
    <t>90292-5824</t>
  </si>
  <si>
    <t>Other Restaurants, Hotels and Leisure*; Automotive</t>
  </si>
  <si>
    <t>IT Consulting and Outsourcing*; Systems and Information Management</t>
  </si>
  <si>
    <t>Business/Productivity Software*; Road; Database Software</t>
  </si>
  <si>
    <t>Aerospace and Defense*; Air</t>
  </si>
  <si>
    <t>Ha-Nagar Street 2</t>
  </si>
  <si>
    <t>Electronic Equipment and Instruments*; Business/Productivity Software; Other Hardware</t>
  </si>
  <si>
    <t>Other Hardware*; Business/Productivity Software</t>
  </si>
  <si>
    <t>Ilan Bar Beigel</t>
  </si>
  <si>
    <t>Information Services (B2C)*; Automotive</t>
  </si>
  <si>
    <t>Air*; Air</t>
  </si>
  <si>
    <t>Automotive*; Infrastructure; Energy Infrastructure</t>
  </si>
  <si>
    <t>TGI Infrastructures</t>
  </si>
  <si>
    <t>Rachel Imenu Street 44</t>
  </si>
  <si>
    <t>Application Software*; Automotive; IT Consulting and Outsourcing</t>
  </si>
  <si>
    <t>Focsani</t>
  </si>
  <si>
    <t>StraBe Mureşului 15</t>
  </si>
  <si>
    <t>Romania</t>
  </si>
  <si>
    <t>romania@trucknet.io</t>
  </si>
  <si>
    <t>Neuilly-sur-Seine</t>
  </si>
  <si>
    <t>3 Rue du Commandant Pilot</t>
  </si>
  <si>
    <t>Pitesti</t>
  </si>
  <si>
    <t>Straße Dumbravei 11</t>
  </si>
  <si>
    <t>Etaj 1, Jud Arges</t>
  </si>
  <si>
    <t>Nadav Lavi Ph.D</t>
  </si>
  <si>
    <t>Other Commercial Services*; Business/Productivity Software; Other Hardware</t>
  </si>
  <si>
    <t>Automotive*; Distributors/Wholesale</t>
  </si>
  <si>
    <t>Other Commercial Products*; Logistics</t>
  </si>
  <si>
    <t>Valens Semiconductor</t>
  </si>
  <si>
    <t>Massad Eyal, Co-Founder and Senior Vice President, Core Technologies Development</t>
  </si>
  <si>
    <t>Application Specific Semiconductors*; Connectivity Products; Multimedia and Design Software</t>
  </si>
  <si>
    <t>Pasadena</t>
  </si>
  <si>
    <t>501 Bradford Street</t>
  </si>
  <si>
    <t>Seongnam</t>
  </si>
  <si>
    <t>Suite 24 Naejeong-ro, Bundang Jeongdeun Hanjin</t>
  </si>
  <si>
    <t>Kyongki</t>
  </si>
  <si>
    <t>604-201</t>
  </si>
  <si>
    <t>Seo-Goong Building</t>
  </si>
  <si>
    <t>Banpo Dae-Ro, 20Gil 27, Seocho-Gu</t>
  </si>
  <si>
    <t>Unit Level 8, Jing An Kerry Centre, Tower 2</t>
  </si>
  <si>
    <t>1515 West Nanjing Road, Jingan District</t>
  </si>
  <si>
    <t>4th Floor, Number 607, Ruiguang Road</t>
  </si>
  <si>
    <t>Neihu District</t>
  </si>
  <si>
    <t>114-92</t>
  </si>
  <si>
    <t>Nisso 12 Building, Office Number 602</t>
  </si>
  <si>
    <t>Expert Office Grand Shin-Yokohama, 3-6-12, Shin-Yokohama, Kohoku-ku, Kanagawa</t>
  </si>
  <si>
    <t>220-8120</t>
  </si>
  <si>
    <t>info@vayavision.com</t>
  </si>
  <si>
    <t>Business/Productivity Software*; Road; Automotive; Media and Information Services (B2B)</t>
  </si>
  <si>
    <t>Automotive*; Automation/Workflow Software</t>
  </si>
  <si>
    <t>Media and Information Services (B2B)*; Application Software; Information Services (B2C)</t>
  </si>
  <si>
    <t>Rishon Lezion</t>
  </si>
  <si>
    <t>6 Karo Yosef</t>
  </si>
  <si>
    <t>Migdal Tefen</t>
  </si>
  <si>
    <t>Application Software*; Automotive</t>
  </si>
  <si>
    <t>Ben Gurion Airport Terminal 3</t>
  </si>
  <si>
    <t>Application Software*; Other Energy Services</t>
  </si>
  <si>
    <t>Automotive*; Other Services (B2C Non-Financial)</t>
  </si>
  <si>
    <t>180 North Lasalle</t>
  </si>
  <si>
    <t>Application Software*; Multimedia and Design Software; Media and Information Services (B2B)</t>
  </si>
  <si>
    <t>info@winkapp.co</t>
  </si>
  <si>
    <t>Automotive*; Other Services (B2C Non-Financial); Other Restaurants, Hotels and Leisure</t>
  </si>
  <si>
    <t>Business/Productivity Software*; Application Software; Road</t>
  </si>
  <si>
    <t>Electrical Equipment*; Road; Automotive</t>
  </si>
  <si>
    <t>Tübingen</t>
  </si>
  <si>
    <t>Eisenbahnstr. 126</t>
  </si>
  <si>
    <t>Deal Date</t>
  </si>
  <si>
    <t>Financing/Exit Type</t>
  </si>
  <si>
    <t>Amount $m</t>
  </si>
  <si>
    <t>Extended Round</t>
  </si>
  <si>
    <t>IVC Profile</t>
  </si>
  <si>
    <t>http://www.ivc-online.com/Company-Card?Id=bb98620c-e0ad-e311-b941-80c16e7d3630</t>
  </si>
  <si>
    <t>Addionics Ltd.</t>
  </si>
  <si>
    <t>Third Round</t>
  </si>
  <si>
    <t>http://www.ivc-online.com/Company-Card?Id=c209c27c-fa63-e811-80e4-00155d0b832c</t>
  </si>
  <si>
    <t>VisIC Technologies Ltd.</t>
  </si>
  <si>
    <t>Second Round</t>
  </si>
  <si>
    <t>http://www.ivc-online.com/Company-Card?Id=54aaa5ba-1f7a-e111-ac59-00155d32a403</t>
  </si>
  <si>
    <t>Check Point Software Technologies Ltd.</t>
  </si>
  <si>
    <t>http://www.ivc-online.com/Company-Card?Id=edd77fd8-1f7a-e111-ac59-00155d32a403</t>
  </si>
  <si>
    <t>MIA Dynamics Ltd.</t>
  </si>
  <si>
    <t>http://www.ivc-online.com/Company-Card?Id=3a0c164b-f941-ec11-b80d-00505695cd29</t>
  </si>
  <si>
    <t>Roboteam Defense Ltd.</t>
  </si>
  <si>
    <t>Acquired</t>
  </si>
  <si>
    <t>http://www.ivc-online.com/Company-Card?Id=9735a827-9d21-e211-beec-00155d32a408</t>
  </si>
  <si>
    <t>http://www.robo-team.com</t>
  </si>
  <si>
    <t>Aquarius Engines (AM) Ltd.</t>
  </si>
  <si>
    <t>http://www.ivc-online.com/Company-Card?Id=95f55ad6-07ae-e511-bd22-80c16e7d3630</t>
  </si>
  <si>
    <t>Fuse Autotech Ltd.</t>
  </si>
  <si>
    <t>http://www.ivc-online.com/Company-Card?Id=6379e43a-5c5a-eb11-810c-0050569a1018</t>
  </si>
  <si>
    <t>https://fuseautotech.com</t>
  </si>
  <si>
    <t>GT Gettaxi Systems Ltd. (Gett)</t>
  </si>
  <si>
    <t>http://www.ivc-online.com/Company-Card?Id=23aaa5ba-1f7a-e111-ac59-00155d32a403</t>
  </si>
  <si>
    <t>Kitov Systems Ltd.</t>
  </si>
  <si>
    <t>Bridge</t>
  </si>
  <si>
    <t>http://www.ivc-online.com/Company-Card?Id=eca8fce6-d8be-e711-80d7-00155d0b832c</t>
  </si>
  <si>
    <t>Air VEV Ltd. (Air One)</t>
  </si>
  <si>
    <t>First Round</t>
  </si>
  <si>
    <t>http://www.ivc-online.com/Company-Card?Id=faffc27f-6f31-ec11-b80d-00505695cd29</t>
  </si>
  <si>
    <t>http://www.ivc-online.com/Company-Card?Id=f7d67fd8-1f7a-e111-ac59-00155d32a403</t>
  </si>
  <si>
    <t>https://cipia.com</t>
  </si>
  <si>
    <t>http://www.ivc-online.com/Company-Card?Id=44f868cb-b160-e211-be6c-00155d32a408</t>
  </si>
  <si>
    <t>http://www.ivc-online.com/Company-Card?Id=c0b42626-207a-e111-ac59-00155d32a403</t>
  </si>
  <si>
    <t>https://www.auto-talks.com</t>
  </si>
  <si>
    <t>DYM Sense Ltd.</t>
  </si>
  <si>
    <t>http://www.ivc-online.com/Company-Card?Id=bf4dfc1f-7f52-ec11-b80d-00505695cd29</t>
  </si>
  <si>
    <t>Micronet Ltd.</t>
  </si>
  <si>
    <t>http://www.ivc-online.com/Company-Card?Id=20da57f6-1f7a-e111-ac59-00155d32a403</t>
  </si>
  <si>
    <t>http://www.micronet-inc.com</t>
  </si>
  <si>
    <t>LiGenerate Technologies Ltd.</t>
  </si>
  <si>
    <t>http://www.ivc-online.com/Company-Card?Id=274f5f16-1e2f-f011-b819-00505695cd29</t>
  </si>
  <si>
    <t>Hi Auto Ltd.</t>
  </si>
  <si>
    <t>http://www.ivc-online.com/Company-Card?Id=256a6355-c748-e911-80fe-0050569a1018</t>
  </si>
  <si>
    <t>WiseSight Technologies Ltd.</t>
  </si>
  <si>
    <t>http://www.ivc-online.com/Company-Card?Id=4d494175-4658-e811-80e4-00155d0b832c</t>
  </si>
  <si>
    <t>Radomatics Ltd.</t>
  </si>
  <si>
    <t>http://www.ivc-online.com/Company-Card?Id=04a89bc2-fa30-e811-80e4-00155d0b832c</t>
  </si>
  <si>
    <t>http://www.radomatics.com</t>
  </si>
  <si>
    <t>Eye-Net Mobile Ltd.</t>
  </si>
  <si>
    <t>http://www.ivc-online.com/Company-Card?Id=79dd30b1-8c8d-e811-80f7-0050569a1018</t>
  </si>
  <si>
    <t>EVR Motors Ltd.</t>
  </si>
  <si>
    <t>http://www.ivc-online.com/Company-Card?Id=de808dcc-1f7a-e111-ac59-00155d32a403</t>
  </si>
  <si>
    <t>Makalu Optics Ltd.</t>
  </si>
  <si>
    <t>http://www.ivc-online.com/Company-Card?Id=d7b85d81-4356-ea11-810a-0050569a1018</t>
  </si>
  <si>
    <t>UVEye Ltd.</t>
  </si>
  <si>
    <t>Fourth Round</t>
  </si>
  <si>
    <t>http://www.ivc-online.com/Company-Card?Id=84db988f-af84-e611-9113-80c16e7d3630</t>
  </si>
  <si>
    <t>SolidT Technologies Ltd.</t>
  </si>
  <si>
    <t>http://www.ivc-online.com/Company-Card?Id=8c47cc15-412c-ed11-b80e-00505695cd29</t>
  </si>
  <si>
    <t>DriveU Tech Ltd. (DriveU.auto)</t>
  </si>
  <si>
    <t>http://www.ivc-online.com/Company-Card?Id=f7ffed42-7664-ea11-810a-0050569a1018</t>
  </si>
  <si>
    <t>IRP Nexus Group Ltd. (IRP Systems)</t>
  </si>
  <si>
    <t>http://www.ivc-online.com/Company-Card?Id=f0f0c5ff-87d1-e611-80cd-00155d0b832b</t>
  </si>
  <si>
    <t>http://www.ivc-online.com/Company-Card?Id=3de2e46a-614a-ef11-b817-00505695cd29</t>
  </si>
  <si>
    <t>http://www.ivc-online.com/Company-Card?Id=06552fb5-13e5-e911-8106-0050569a1018</t>
  </si>
  <si>
    <t>http://www.ivc-online.com/Company-Card?Id=8197c8ab-ecb5-e411-b677-80c16e7d3630</t>
  </si>
  <si>
    <t>EEG Sense Ltd. (Brain.Space)</t>
  </si>
  <si>
    <t>http://www.ivc-online.com/Company-Card?Id=a7bc3a22-76a3-ec11-b80e-00505695cd29</t>
  </si>
  <si>
    <t>Hoopo Systems Ltd.</t>
  </si>
  <si>
    <t>http://www.ivc-online.com/Company-Card?Id=a6cbb9c2-9a8b-e511-bd22-80c16e7d3630</t>
  </si>
  <si>
    <t>Remote Energy Ltd.</t>
  </si>
  <si>
    <t>http://www.ivc-online.com/Company-Card?Id=d20a3720-f4bd-ef11-b817-9319f1798f89</t>
  </si>
  <si>
    <t>BooksOnMap Ltd. (Mappo)</t>
  </si>
  <si>
    <t>http://www.ivc-online.com/Company-Card?Id=23773635-9383-e511-bd22-80c16e7d3630</t>
  </si>
  <si>
    <t>http://www.ivc-online.com/Company-Card?Id=07fa2b5f-f699-ef11-b817-9319f1798f89</t>
  </si>
  <si>
    <t>Kardome Technologies Ltd.</t>
  </si>
  <si>
    <t>http://www.ivc-online.com/Company-Card?Id=3ccc523c-0898-e911-80ff-0050569a1018</t>
  </si>
  <si>
    <t>http://www.ivc-online.com/Company-Card?Id=9a990c9c-1a94-ea11-810a-0050569a1018</t>
  </si>
  <si>
    <t>Ception Technologies Ltd.</t>
  </si>
  <si>
    <t>http://www.ivc-online.com/Company-Card?Id=574e8462-2b3b-e911-80fd-0050569a1018</t>
  </si>
  <si>
    <t>https://www.ception.ai</t>
  </si>
  <si>
    <t>http://www.ivc-online.com/Company-Card?Id=857d0111-0425-e711-80d2-00155d0b832b</t>
  </si>
  <si>
    <t>http://www.ivc-online.com/Company-Card?Id=85d01e2c-207a-e111-ac59-00155d32a403</t>
  </si>
  <si>
    <t>CaPow Technologies Ltd.</t>
  </si>
  <si>
    <t>http://www.ivc-online.com/Company-Card?Id=1045e4cc-1c92-ec11-b80e-00505695cd29</t>
  </si>
  <si>
    <t>Plataine Ltd.</t>
  </si>
  <si>
    <t>http://www.ivc-online.com/Company-Card?Id=57cb77de-1f7a-e111-ac59-00155d32a403</t>
  </si>
  <si>
    <t>AutoFleet Systems Ltd.</t>
  </si>
  <si>
    <t>http://www.ivc-online.com/Company-Card?Id=c6172d59-8c0a-e811-80e1-00155d0b8329</t>
  </si>
  <si>
    <t>https://www.autofleet.io</t>
  </si>
  <si>
    <t>Hip Mobility Inc. (HQ)</t>
  </si>
  <si>
    <t>http://www.ivc-online.com/Company-Card?Id=83b625d0-00e9-e911-8106-0050569a1018</t>
  </si>
  <si>
    <t>RodRadar Ltd.</t>
  </si>
  <si>
    <t>http://www.ivc-online.com/Company-Card?Id=773d3112-1d59-e411-b8a5-80c16e7d3630</t>
  </si>
  <si>
    <t>Simplex Growth Ltd.</t>
  </si>
  <si>
    <t>http://www.ivc-online.com/Company-Card?Id=89f32118-4dec-ef11-b818-00505695cd29</t>
  </si>
  <si>
    <t>http://www.ivc-online.com/Company-Card?Id=d2483da8-732c-ef11-b815-00505695cd29</t>
  </si>
  <si>
    <t>Gauzy Ltd.</t>
  </si>
  <si>
    <t>http://www.ivc-online.com/Company-Card?Id=0bfa1d98-b7f9-e211-b3be-00237de91982</t>
  </si>
  <si>
    <t>HighIoT Ltd. (Akita)</t>
  </si>
  <si>
    <t>http://www.ivc-online.com/Company-Card?Id=7f39087a-c86a-e711-80d7-00155d0b832c</t>
  </si>
  <si>
    <t>https://akita.cloud</t>
  </si>
  <si>
    <t>Tupaia Ltd.</t>
  </si>
  <si>
    <t>http://www.ivc-online.com/Company-Card?Id=91a5808f-78da-eb11-b80b-00505695cd29</t>
  </si>
  <si>
    <t>Venture Lending</t>
  </si>
  <si>
    <t>http://www.ivc-online.com/Company-Card?Id=b3cb8fbb-e533-e711-80d5-00155d0b8329</t>
  </si>
  <si>
    <t>Carrar Ltd.</t>
  </si>
  <si>
    <t>http://www.ivc-online.com/Company-Card?Id=4a8f0271-253d-ea11-8107-0050569a1018</t>
  </si>
  <si>
    <t>http://www.ivc-online.com/Company-Card?Id=fdd11e2c-207a-e111-ac59-00155d32a403</t>
  </si>
  <si>
    <t>https://www.roseman.tech</t>
  </si>
  <si>
    <t>http://www.ivc-online.com/Company-Card?Id=4701762c-a5ca-ec11-b80e-00505695cd29</t>
  </si>
  <si>
    <t>https://wevo.energy</t>
  </si>
  <si>
    <t>http://www.ivc-online.com/Company-Card?Id=4919d8d4-3507-e411-b941-80c16e7d3630</t>
  </si>
  <si>
    <t>Clinch Labs Ltd.</t>
  </si>
  <si>
    <t>http://www.ivc-online.com/Company-Card?Id=0eb7dd2b-25a3-e111-ad2f-00155d32a403</t>
  </si>
  <si>
    <t>Moovex Ltd.</t>
  </si>
  <si>
    <t>http://www.ivc-online.com/Company-Card?Id=46818dcc-1f7a-e111-ac59-00155d32a403</t>
  </si>
  <si>
    <t>https://www.moovex.ai</t>
  </si>
  <si>
    <t>Hailo Technologies Ltd.</t>
  </si>
  <si>
    <t>http://www.ivc-online.com/Company-Card?Id=5be6b0bd-59b9-e711-80d7-00155d0b832c</t>
  </si>
  <si>
    <t>Inspekto Ltd.</t>
  </si>
  <si>
    <t>http://www.ivc-online.com/Company-Card?Id=e66c2632-b661-e811-80e4-00155d0b832c</t>
  </si>
  <si>
    <t>https://inspekto.com</t>
  </si>
  <si>
    <t>Korra AI Ltd.</t>
  </si>
  <si>
    <t>http://www.ivc-online.com/Company-Card?Id=864c501c-6fdc-ea11-810a-0050569a1018</t>
  </si>
  <si>
    <t>Rider Dome Pte. Ltd.</t>
  </si>
  <si>
    <t>http://www.ivc-online.com/Company-Card?Id=04dcaaf1-60ae-eb11-b80b-00505695cd29</t>
  </si>
  <si>
    <t>Actasys Inc.</t>
  </si>
  <si>
    <t>http://www.ivc-online.com/Company-Card?Id=78b35f9b-e94d-e811-80e4-00155d0b832c</t>
  </si>
  <si>
    <t>Audio Pixels Ltd.</t>
  </si>
  <si>
    <t>http://www.ivc-online.com/Company-Card?Id=a61e341a-207a-e111-ac59-00155d32a403</t>
  </si>
  <si>
    <t>http://www.ivc-online.com/Company-Card?Id=5c00ecf8-1933-e811-80e4-00155d0b832c</t>
  </si>
  <si>
    <t>Nuel Advanced Technologies Ltd.</t>
  </si>
  <si>
    <t>http://www.ivc-online.com/Company-Card?Id=13c9a87b-f19a-ed11-b811-00505695cd29</t>
  </si>
  <si>
    <t>Anagog Ltd.</t>
  </si>
  <si>
    <t>http://www.ivc-online.com/Company-Card?Id=5ad740c9-b884-e211-b93c-00155d32a40a</t>
  </si>
  <si>
    <t>https://www.anagog.com</t>
  </si>
  <si>
    <t>Enervibe Ltd.</t>
  </si>
  <si>
    <t>http://www.ivc-online.com/Company-Card?Id=b6e74a1b-3d55-e911-80fe-0050569a1018</t>
  </si>
  <si>
    <t>The Tomorrow Companies Inc. (Tomorrow.io)</t>
  </si>
  <si>
    <t>Fifth Round</t>
  </si>
  <si>
    <t>http://www.ivc-online.com/Company-Card?Id=42b53339-46f7-e611-80cf-00155d0b832c</t>
  </si>
  <si>
    <t>Intuition Robotics Ltd. (ElliQ)</t>
  </si>
  <si>
    <t>http://www.ivc-online.com/Company-Card?Id=2784a87e-b715-e611-bd22-80c16e7d3630</t>
  </si>
  <si>
    <t>CENS Materials Ltd.</t>
  </si>
  <si>
    <t>http://www.ivc-online.com/Company-Card?Id=8bf0f799-a3a2-e311-b941-80c16e7d3630</t>
  </si>
  <si>
    <t>TruckNet Enterprise Ltd.</t>
  </si>
  <si>
    <t>http://www.ivc-online.com/Company-Card?Id=9164008b-1a11-e611-bd22-80c16e7d3630</t>
  </si>
  <si>
    <t>Step Hear Ltd.</t>
  </si>
  <si>
    <t>http://www.ivc-online.com/Company-Card?Id=85d11e2c-207a-e111-ac59-00155d32a403</t>
  </si>
  <si>
    <t>Carteav Technologies Ltd.</t>
  </si>
  <si>
    <t>http://www.ivc-online.com/Company-Card?Id=eeef68a6-105f-eb11-810c-0050569a1018</t>
  </si>
  <si>
    <t>C2A Security Ltd.</t>
  </si>
  <si>
    <t>http://www.ivc-online.com/Company-Card?Id=2e68e7f1-f62f-e711-80d3-00155d0b832b</t>
  </si>
  <si>
    <t>Phinergy Ltd.</t>
  </si>
  <si>
    <t>http://www.ivc-online.com/Company-Card?Id=6f022e3c-eac5-e111-b9b4-00155d32a408</t>
  </si>
  <si>
    <t>Nexar Ltd.</t>
  </si>
  <si>
    <t>http://www.ivc-online.com/Company-Card?Id=3879a066-0681-e411-b8a6-80c16e7d3630</t>
  </si>
  <si>
    <t>ALGOLiON Ltd.</t>
  </si>
  <si>
    <t>http://www.ivc-online.com/Company-Card?Id=6f05aa56-8a7f-e411-b8a6-80c16e7d3630</t>
  </si>
  <si>
    <t>https://www.algolion.com</t>
  </si>
  <si>
    <t>http://www.ivc-online.com/Company-Card?Id=4ecad951-04e2-e611-80cd-00155d0b832b</t>
  </si>
  <si>
    <t>http://www.ivc-online.com/Company-Card?Id=cf187d1d-063e-e711-80d5-00155d0b8329</t>
  </si>
  <si>
    <t>Spinframe Technologies Ltd.</t>
  </si>
  <si>
    <t>http://www.ivc-online.com/Company-Card?Id=49ca53f0-5935-eb11-810b-0050569a1018</t>
  </si>
  <si>
    <t>Ravin AI Ltd.</t>
  </si>
  <si>
    <t>http://www.ivc-online.com/Company-Card?Id=5a8c7a3d-d87b-e911-80ff-0050569a1018</t>
  </si>
  <si>
    <t>http://www.ivc-online.com/Company-Card?Id=916d2426-645d-e611-893a-80c16e7d3630</t>
  </si>
  <si>
    <t>ADASKY Ltd.</t>
  </si>
  <si>
    <t>http://www.ivc-online.com/Company-Card?Id=ea6dfa06-862c-e611-bd22-80c16e7d3630</t>
  </si>
  <si>
    <t>Wisense Technologies Ltd.</t>
  </si>
  <si>
    <t>http://www.ivc-online.com/Company-Card?Id=3b3f3700-1058-ec11-b80d-00505695cd29</t>
  </si>
  <si>
    <t>https://www.wisense.tech</t>
  </si>
  <si>
    <t>Phantom Auto Inc.</t>
  </si>
  <si>
    <t>http://www.ivc-online.com/Company-Card?Id=9707c7aa-07d5-e711-80dd-00155d0b832c</t>
  </si>
  <si>
    <t>https://phantom.auto</t>
  </si>
  <si>
    <t>ZE CorrActions Ltd. (CorrActions)</t>
  </si>
  <si>
    <t>http://www.ivc-online.com/Company-Card?Id=4548d7e9-e809-ea11-8107-0050569a1018</t>
  </si>
  <si>
    <t>Straight Up Insurance Services LLC (Fairmatic)</t>
  </si>
  <si>
    <t>http://www.ivc-online.com/Company-Card?Id=18cae051-b629-ed11-b80e-00505695cd29</t>
  </si>
  <si>
    <t>ConnVAS Ltd.</t>
  </si>
  <si>
    <t>http://www.ivc-online.com/Company-Card?Id=e572c915-a4a5-eb11-b80b-00505695cd29</t>
  </si>
  <si>
    <t>http://www.ivc-online.com/Company-Card?Id=c78aa751-e7e1-ed11-b811-00505695cd29</t>
  </si>
  <si>
    <t>Continual Ltd.</t>
  </si>
  <si>
    <t>http://www.ivc-online.com/Company-Card?Id=2a693001-86e9-e211-b3b5-00155d32a40a</t>
  </si>
  <si>
    <t>https://continualexperience.com</t>
  </si>
  <si>
    <t>http://www.ivc-online.com/Company-Card?Id=faf36605-cf98-e511-bd22-80c16e7d3630</t>
  </si>
  <si>
    <t>https://otonomo.io</t>
  </si>
  <si>
    <t>Binah.ai Ltd.</t>
  </si>
  <si>
    <t>http://www.ivc-online.com/Company-Card?Id=aa8f8c3f-5736-e711-80d5-00155d0b8329</t>
  </si>
  <si>
    <t>Ottopia Technologies Ltd.</t>
  </si>
  <si>
    <t>http://www.ivc-online.com/Company-Card?Id=9f938ee2-3aeb-e811-80f9-0050569a1018</t>
  </si>
  <si>
    <t>OPSYS Tech Ltd.</t>
  </si>
  <si>
    <t>http://www.ivc-online.com/Company-Card?Id=9bc61dd2-652d-e711-80d2-00155d0b832b</t>
  </si>
  <si>
    <t>Sensa AI Ltd.</t>
  </si>
  <si>
    <t>http://www.ivc-online.com/Company-Card?Id=40a3e6d5-3fdf-e711-80df-00155d0b832c</t>
  </si>
  <si>
    <t>https://www.joinsensa.com</t>
  </si>
  <si>
    <t>http://www.ivc-online.com/Company-Card?Id=59818dcc-1f7a-e111-ac59-00155d32a403</t>
  </si>
  <si>
    <t>SaverOne Ltd. (Saver1)</t>
  </si>
  <si>
    <t>http://www.ivc-online.com/Company-Card?Id=52dfb9b2-b159-e411-b8a5-80c16e7d3630</t>
  </si>
  <si>
    <t>Powermat Technologies Ltd.</t>
  </si>
  <si>
    <t>http://www.ivc-online.com/Company-Card?Id=70c967ea-1f7a-e111-ac59-00155d32a403</t>
  </si>
  <si>
    <t>MOV.AI Ltd.</t>
  </si>
  <si>
    <t>http://www.ivc-online.com/Company-Card?Id=0125c677-539a-e811-80f7-0050569a1018</t>
  </si>
  <si>
    <t>Fullpath Ltd.</t>
  </si>
  <si>
    <t>http://www.ivc-online.com/Company-Card?Id=63562791-d9de-e111-a748-00155d32a408</t>
  </si>
  <si>
    <t>Click-Ins Ltd.</t>
  </si>
  <si>
    <t>http://www.ivc-online.com/Company-Card?Id=0d2dc124-f085-e511-bd22-80c16e7d3630</t>
  </si>
  <si>
    <t>Mobileye Vision Technologies Ltd.</t>
  </si>
  <si>
    <t>http://www.ivc-online.com/Company-Card?Id=e4d957f6-1f7a-e111-ac59-00155d32a403</t>
  </si>
  <si>
    <t>Tervizio 3D Ltd.</t>
  </si>
  <si>
    <t>http://www.ivc-online.com/Company-Card?Id=0e6b3d1c-3cc2-ed11-b811-00505695cd29</t>
  </si>
  <si>
    <t>Revoltz Ltd.</t>
  </si>
  <si>
    <t>http://www.ivc-online.com/Company-Card?Id=c9de9ffa-2ebd-eb11-b80b-00505695cd29</t>
  </si>
  <si>
    <t>RoadSense Advanced Technologies Ltd.</t>
  </si>
  <si>
    <t>http://www.ivc-online.com/Company-Card?Id=9e60795e-affb-e811-80fa-0050569a1018</t>
  </si>
  <si>
    <t>Visionary.ai Ltd.</t>
  </si>
  <si>
    <t>http://www.ivc-online.com/Company-Card?Id=8eb4f0e0-3ca3-eb11-b80b-00505695cd29</t>
  </si>
  <si>
    <t>Apollo Power Ltd.</t>
  </si>
  <si>
    <t>http://www.ivc-online.com/Company-Card?Id=2f3e34a0-172d-e411-a2af-80c16e7d3630</t>
  </si>
  <si>
    <t>CaareSys Ltd.</t>
  </si>
  <si>
    <t>http://www.ivc-online.com/Company-Card?Id=cce05377-83f3-e611-80cf-00155d0b832c</t>
  </si>
  <si>
    <t>https://caaresys.com</t>
  </si>
  <si>
    <t>Bringoz Technologies Ltd.</t>
  </si>
  <si>
    <t>http://www.ivc-online.com/Company-Card?Id=26509cc8-9cdb-e511-bd22-80c16e7d3630</t>
  </si>
  <si>
    <t>GO Ovo Automotive Ltd.</t>
  </si>
  <si>
    <t>http://www.ivc-online.com/Company-Card?Id=eafb232d-0d81-e911-80ff-0050569a1018</t>
  </si>
  <si>
    <t>Economotor Innovation Ltd.</t>
  </si>
  <si>
    <t>http://www.ivc-online.com/Company-Card?Id=23ee496f-eaad-ed11-b811-00505695cd29</t>
  </si>
  <si>
    <t>Lendbuzz Funding LLC</t>
  </si>
  <si>
    <t>https://www.ivc-online.com/Company-Card?Id=143dd871-e863-e811-80e4-00155d0b832c</t>
  </si>
  <si>
    <t>SafeFields Technologies Ltd.</t>
  </si>
  <si>
    <t>http://www.ivc-online.com/Company-Card?Id=8e0f7e3b-f045-ec11-b80d-00505695cd29</t>
  </si>
  <si>
    <t>Inpris Innovative Products From Israel Ltd. (Humains)</t>
  </si>
  <si>
    <t>http://www.ivc-online.com/Company-Card?Id=6dd01e2c-207a-e111-ac59-00155d32a403</t>
  </si>
  <si>
    <t>http://www.ivc-online.com/Company-Card?Id=24512f59-f9da-e111-a748-00155d32a408</t>
  </si>
  <si>
    <t>Moodify Ltd.</t>
  </si>
  <si>
    <t>http://www.ivc-online.com/Company-Card?Id=8d46ef44-90e4-e711-80df-00155d0b832c</t>
  </si>
  <si>
    <t>http://www.ivc-online.com/Company-Card?Id=0b77ed66-b5bb-e111-b9b4-00155d32a408</t>
  </si>
  <si>
    <t>City Transformer Ltd.</t>
  </si>
  <si>
    <t>http://www.ivc-online.com/Company-Card?Id=a60f7e5b-384c-e311-9814-80c16e7d3632</t>
  </si>
  <si>
    <t>TankU Ltd.</t>
  </si>
  <si>
    <t>http://www.ivc-online.com/Company-Card?Id=ccc4faa1-8ee6-e411-b68f-080027005cc8</t>
  </si>
  <si>
    <t>SafeMode Mobility Ltd. (Driverz)</t>
  </si>
  <si>
    <t>http://www.ivc-online.com/Company-Card?Id=682f3dbf-4524-e711-80d2-00155d0b832b</t>
  </si>
  <si>
    <t>http://www.ivc-online.com/Company-Card?Id=e16a1880-cbae-e911-8106-0050569a1018</t>
  </si>
  <si>
    <t>Sparkion Power Algorithms Ltd.</t>
  </si>
  <si>
    <t>http://www.ivc-online.com/Company-Card?Id=9dc15774-1203-ec11-b80c-00505695cd29</t>
  </si>
  <si>
    <t>http://sparkion.io</t>
  </si>
  <si>
    <t>http://www.ivc-online.com/Company-Card?Id=7647379c-16bd-e611-80ca-00155d0b832c</t>
  </si>
  <si>
    <t>http://www.ivc-online.com/Company-Card?Id=cc4b1417-31d4-e311-b941-80c16e7d3630</t>
  </si>
  <si>
    <t>https://driivz.com</t>
  </si>
  <si>
    <t>imVision Software Technologies Ltd.</t>
  </si>
  <si>
    <t>http://www.ivc-online.com/Company-Card?Id=fc2ea3dc-07b8-e311-b941-80c16e7d3630</t>
  </si>
  <si>
    <t>https://www.imvision.ai</t>
  </si>
  <si>
    <t>Sixth Round</t>
  </si>
  <si>
    <t>SolidRun Ltd.</t>
  </si>
  <si>
    <t>http://www.ivc-online.com/Company-Card?Id=007abcc0-b255-e211-8316-00155d32a408</t>
  </si>
  <si>
    <t>http://www.ivc-online.com/Company-Card?Id=9f696f31-caf1-e611-80cf-00155d0b832c</t>
  </si>
  <si>
    <t>http://www.saferide.io</t>
  </si>
  <si>
    <t>Grivo Ltd.</t>
  </si>
  <si>
    <t>http://www.ivc-online.com/Company-Card?Id=8e3d3bfd-5cc5-ec11-b80e-00505695cd29</t>
  </si>
  <si>
    <t>Screenovate Technologies Ltd.</t>
  </si>
  <si>
    <t>http://www.ivc-online.com/Company-Card?Id=00aaa5ba-1f7a-e111-ac59-00155d32a403</t>
  </si>
  <si>
    <t>http://www.screenovate.com</t>
  </si>
  <si>
    <t>http://www.ivc-online.com/Company-Card?Id=2ee10614-3a98-e511-bd22-80c16e7d3630</t>
  </si>
  <si>
    <t>Spectralics Ltd.</t>
  </si>
  <si>
    <t>http://www.ivc-online.com/Company-Card?Id=75a8cd85-74ed-e811-80f9-0050569a1018</t>
  </si>
  <si>
    <t>http://spectralics.com</t>
  </si>
  <si>
    <t>Evco Pro Ltd.</t>
  </si>
  <si>
    <t>http://www.ivc-online.com/Company-Card?Id=8ec5d789-d69e-e811-80f7-0050569a1018</t>
  </si>
  <si>
    <t>Make My Day Ltd.</t>
  </si>
  <si>
    <t>http://www.ivc-online.com/Company-Card?Id=51ca3cfb-f078-e611-9113-80c16e7d3630</t>
  </si>
  <si>
    <t>ALMA Technologies Ltd.</t>
  </si>
  <si>
    <t>http://www.ivc-online.com/Company-Card?Id=d5e342ac-3aea-ec11-b80e-00505695cd29</t>
  </si>
  <si>
    <t>http://www.ivc-online.com/Company-Card?Id=8caddc92-8d37-e611-bd22-80c16e7d3630</t>
  </si>
  <si>
    <t>Otorize Ltd.</t>
  </si>
  <si>
    <t>http://www.ivc-online.com/Company-Card?Id=794a1f71-d6c2-e611-80ca-00155d0b832c</t>
  </si>
  <si>
    <t>http://www.ivc-online.com/Company-Card?Id=df4852fc-1f7a-e111-ac59-00155d32a403</t>
  </si>
  <si>
    <t>Cybellum Technologies Ltd.</t>
  </si>
  <si>
    <t>http://www.ivc-online.com/Company-Card?Id=e7019b32-6b88-e511-bd22-80c16e7d3630</t>
  </si>
  <si>
    <t>https://cybellum.com</t>
  </si>
  <si>
    <t>Agent Video Intelligence Ltd. (Agent Vi)</t>
  </si>
  <si>
    <t>http://www.ivc-online.com/Company-Card?Id=579c410e-207a-e111-ac59-00155d32a403</t>
  </si>
  <si>
    <t>http://www.agentvi.com</t>
  </si>
  <si>
    <t>Balcar Report Ltd.</t>
  </si>
  <si>
    <t>http://www.ivc-online.com/Company-Card?Id=e8db0bd0-3953-ec11-b80d-00505695cd29</t>
  </si>
  <si>
    <t>Voyage81 Ltd.</t>
  </si>
  <si>
    <t>http://www.ivc-online.com/Company-Card?Id=a6b25626-9012-e911-80fa-0050569a1018</t>
  </si>
  <si>
    <t>https://voyage81.com</t>
  </si>
  <si>
    <t>Waycare Technologies Ltd.</t>
  </si>
  <si>
    <t>http://www.ivc-online.com/Company-Card?Id=9e3e974e-e8f3-e511-bd22-80c16e7d3630</t>
  </si>
  <si>
    <t>https://waycaretech.com</t>
  </si>
  <si>
    <t>Cervello Ltd.</t>
  </si>
  <si>
    <t>http://www.ivc-online.com/Company-Card?Id=d790171a-1b63-e811-80e4-00155d0b832c</t>
  </si>
  <si>
    <t>HydroX Ltd.</t>
  </si>
  <si>
    <t>http://www.ivc-online.com/Company-Card?Id=9c64e72c-ba86-e511-bd22-80c16e7d3630</t>
  </si>
  <si>
    <t>GreenRoad Driving Technologies Ltd.</t>
  </si>
  <si>
    <t>Seventh Round</t>
  </si>
  <si>
    <t>http://www.ivc-online.com/Company-Card?Id=a59b410e-207a-e111-ac59-00155d32a403</t>
  </si>
  <si>
    <t>Jungo Connectivity Ltd.</t>
  </si>
  <si>
    <t>http://www.ivc-online.com/Company-Card?Id=0968f4ba-c273-e311-9814-80c16e7d3632</t>
  </si>
  <si>
    <t>Honcker Ltd. (Rodo)</t>
  </si>
  <si>
    <t>http://www.ivc-online.com/Company-Card?Id=89f48d07-7d1c-e811-80e4-00155d0b832c</t>
  </si>
  <si>
    <t>I4D Ltd. (i4drive)</t>
  </si>
  <si>
    <t>http://www.ivc-online.com/Company-Card?Id=be77f490-6d62-e311-9814-80c16e7d3632</t>
  </si>
  <si>
    <t>Griiip Automotive Engineering Ltd.</t>
  </si>
  <si>
    <t>http://www.ivc-online.com/Company-Card?Id=1e439a56-ef90-e511-bd22-80c16e7d3630</t>
  </si>
  <si>
    <t>Viisights Solutions Ltd.</t>
  </si>
  <si>
    <t>http://www.ivc-online.com/Company-Card?Id=005e15ed-7e74-e411-b8a5-80c16e7d3630</t>
  </si>
  <si>
    <t>https://www.viisights.com</t>
  </si>
  <si>
    <t>Silentium Ltd.</t>
  </si>
  <si>
    <t>http://www.ivc-online.com/Company-Card?Id=04ce5ff0-1f7a-e111-ac59-00155d32a403</t>
  </si>
  <si>
    <t>Noveto Systems Ltd.</t>
  </si>
  <si>
    <t>http://www.ivc-online.com/Company-Card?Id=cbbe4394-f7fc-e211-b3be-00237de91982</t>
  </si>
  <si>
    <t>https://noveto.com</t>
  </si>
  <si>
    <t>Clair Labs Ltd.</t>
  </si>
  <si>
    <t>http://www.ivc-online.com/Company-Card?Id=07d7c2f4-24ea-e711-80df-00155d0b832c</t>
  </si>
  <si>
    <t>https://www.clairlabs.com</t>
  </si>
  <si>
    <t>Enigmatos Ltd.</t>
  </si>
  <si>
    <t>http://www.ivc-online.com/Company-Card?Id=dc4cba52-bc34-e711-80d5-00155d0b8329</t>
  </si>
  <si>
    <t>NanoScent Ltd.</t>
  </si>
  <si>
    <t>http://www.ivc-online.com/Company-Card?Id=a397a59b-1aeb-e711-80df-00155d0b832c</t>
  </si>
  <si>
    <t>KappaSense Ltd.</t>
  </si>
  <si>
    <t>http://www.ivc-online.com/Company-Card?Id=22d4c2cb-6652-e211-8316-00155d32a408</t>
  </si>
  <si>
    <t>HopOn Mobility Ltd.</t>
  </si>
  <si>
    <t>http://www.ivc-online.com/Company-Card?Id=a278ed15-cc30-e311-8237-00237de91982</t>
  </si>
  <si>
    <t>Telit IoT Platforms LLC (Telit Cinterion)</t>
  </si>
  <si>
    <t>http://www.ivc-online.com/Company-Card?Id=d47e85d2-1f7a-e111-ac59-00155d32a403</t>
  </si>
  <si>
    <t>Sunbit Payment Software Ltd.</t>
  </si>
  <si>
    <t>http://www.ivc-online.com/Company-Card?Id=153eb0af-0839-e611-bd22-80c16e7d3630</t>
  </si>
  <si>
    <t>Galooli Ltd. (GalooliOTO)</t>
  </si>
  <si>
    <t>http://www.ivc-online.com/Company-Card?Id=69c96fe4-1f7a-e111-ac59-00155d32a403</t>
  </si>
  <si>
    <t>http://www.ivc-online.com/Company-Card?Id=e3e91632-207a-e111-ac59-00155d32a403</t>
  </si>
  <si>
    <t>Cardo Systems Ltd.</t>
  </si>
  <si>
    <t>http://www.ivc-online.com/Company-Card?Id=7f9b410e-207a-e111-ac59-00155d32a403</t>
  </si>
  <si>
    <t>http://www.ivc-online.com/Company-Card?Id=07e69f12-f22b-e611-bd22-80c16e7d3630</t>
  </si>
  <si>
    <t>Gorilla Link Ltd.</t>
  </si>
  <si>
    <t>http://www.ivc-online.com/Company-Card?Id=e7b45722-51bf-ea11-810a-0050569a1018</t>
  </si>
  <si>
    <t>AD Knight Ltd.</t>
  </si>
  <si>
    <t>http://www.ivc-online.com/Company-Card?Id=3293f11b-2d1a-e911-80fd-0050569a1018</t>
  </si>
  <si>
    <t>ARTsys360 Ltd.</t>
  </si>
  <si>
    <t>http://www.ivc-online.com/Company-Card?Id=d5318376-632a-e311-8237-00237de91982</t>
  </si>
  <si>
    <t>Elbit Systems - Rokar Ltd.</t>
  </si>
  <si>
    <t>http://www.ivc-online.com/Company-Card?Id=1096093e-207a-e111-ac59-00155d32a403</t>
  </si>
  <si>
    <t>http://www.ivc-online.com/Company-Card?Id=c4249fe6-70d8-e411-b680-080027005cc8</t>
  </si>
  <si>
    <t>http://www.guardian-optech.com</t>
  </si>
  <si>
    <t>CompuLab Ltd.</t>
  </si>
  <si>
    <t>http://www.ivc-online.com/Company-Card?Id=d91e341a-207a-e111-ac59-00155d32a403</t>
  </si>
  <si>
    <t>RadSee Technologies Ltd.</t>
  </si>
  <si>
    <t>http://www.ivc-online.com/Company-Card?Id=7a498d5d-1765-e611-893a-80c16e7d3630</t>
  </si>
  <si>
    <t>Charging Robotics Ltd.</t>
  </si>
  <si>
    <t>http://www.ivc-online.com/Company-Card?Id=e06a4c03-40d7-ec11-b80e-00505695cd29</t>
  </si>
  <si>
    <t>Redler Technologies Ltd.</t>
  </si>
  <si>
    <t>http://www.ivc-online.com/Company-Card?Id=767f85d2-1f7a-e111-ac59-00155d32a403</t>
  </si>
  <si>
    <t>VHOLA Labs Ltd.</t>
  </si>
  <si>
    <t>http://www.ivc-online.com/Company-Card?Id=15a700e7-cd6f-e911-80fe-0050569a1018</t>
  </si>
  <si>
    <t>Eighth Round</t>
  </si>
  <si>
    <t>Siyata Mobile Ltd.</t>
  </si>
  <si>
    <t>http://www.ivc-online.com/Company-Card?Id=80bf1009-ce9c-e911-80ff-0050569a1018</t>
  </si>
  <si>
    <t>Wise Smoker Ltd. (Vootto)</t>
  </si>
  <si>
    <t>http://www.ivc-online.com/Company-Card?Id=4d9e147c-3fa2-e911-8100-0050569a1018</t>
  </si>
  <si>
    <t>Axilion Smart Mobility Ltd.</t>
  </si>
  <si>
    <t>http://www.ivc-online.com/Company-Card?Id=1923f4c4-293a-e311-8237-00237de91982</t>
  </si>
  <si>
    <t>EtherWaves Ltd.</t>
  </si>
  <si>
    <t>http://www.ivc-online.com/Company-Card?Id=29aa3914-207a-e111-ac59-00155d32a403</t>
  </si>
  <si>
    <t>http://www.etherwaves.com</t>
  </si>
  <si>
    <t>TIBA Research and Development Ltd. (TIBA Parking)</t>
  </si>
  <si>
    <t>http://www.ivc-online.com/Company-Card?Id=416885ea-0c44-e511-bd22-80c16e7d3630</t>
  </si>
  <si>
    <t>https://tibaparking.com</t>
  </si>
  <si>
    <t>Signals Analytics Ltd. (now a Skai company)</t>
  </si>
  <si>
    <t>http://www.ivc-online.com/Company-Card?Id=90fcd400-9cb5-e211-b59d-00155d32a40a</t>
  </si>
  <si>
    <t>https://www.signals-analytics.com</t>
  </si>
  <si>
    <t>RoadMetric Ltd.</t>
  </si>
  <si>
    <t>http://www.ivc-online.com/Company-Card?Id=eed41d4d-952e-e311-8237-00237de91982</t>
  </si>
  <si>
    <t>https://roadmetric.com</t>
  </si>
  <si>
    <t>Assembrix Ltd.</t>
  </si>
  <si>
    <t>http://www.ivc-online.com/Company-Card?Id=772e4c3b-3eb8-e511-bd22-80c16e7d3630</t>
  </si>
  <si>
    <t>Mobility Insight Ltd. (Mobi)</t>
  </si>
  <si>
    <t>http://www.ivc-online.com/Company-Card?Id=d33afcc3-143f-e311-af9c-00237de91982</t>
  </si>
  <si>
    <t>http://www.ivc-online.com/Company-Card?Id=7616789a-0e4e-e811-80e4-00155d0b832c</t>
  </si>
  <si>
    <t>SiliB Ltd.</t>
  </si>
  <si>
    <t>http://www.ivc-online.com/Company-Card?Id=2abf8f7b-a6fc-ea11-810b-0050569a1018</t>
  </si>
  <si>
    <t>Safe-On</t>
  </si>
  <si>
    <t>http://www.ivc-online.com/Company-Card?Id=0bfac731-56ca-ea11-810a-0050569a1018</t>
  </si>
  <si>
    <t>http://safe-on.com</t>
  </si>
  <si>
    <t>Acktar Ltd.</t>
  </si>
  <si>
    <t>http://www.ivc-online.com/Company-Card?Id=6caa3914-207a-e111-ac59-00155d32a403</t>
  </si>
  <si>
    <t>Fleetonomy Ltd.</t>
  </si>
  <si>
    <t>http://www.ivc-online.com/Company-Card?Id=483b4bfc-e054-e711-80d7-00155d0b832c</t>
  </si>
  <si>
    <t>https://www.fleetonomy.io</t>
  </si>
  <si>
    <t>SolarEdge Technologies Ltd.</t>
  </si>
  <si>
    <t>http://www.ivc-online.com/Company-Card?Id=e5aa3914-207a-e111-ac59-00155d32a403</t>
  </si>
  <si>
    <t>Pixtier Ltd.</t>
  </si>
  <si>
    <t>http://www.ivc-online.com/Company-Card?Id=74925b3a-00f9-e211-ba51-00237de91982</t>
  </si>
  <si>
    <t>AutoTrust Ltd.</t>
  </si>
  <si>
    <t>http://www.ivc-online.com/Company-Card?Id=995a15e3-0dae-e911-8106-0050569a1018</t>
  </si>
  <si>
    <t>https://www.autotrust.tech</t>
  </si>
  <si>
    <t>Crispify Ltd.</t>
  </si>
  <si>
    <t>http://www.ivc-online.com/Company-Card?Id=415eb931-8212-e911-80fa-0050569a1018</t>
  </si>
  <si>
    <t>https://crispify.io</t>
  </si>
  <si>
    <t>http://www.ivc-online.com/Company-Card?Id=ec52da85-26b7-e711-80d7-00155d0b832c</t>
  </si>
  <si>
    <t>https://bambidynamic.com</t>
  </si>
  <si>
    <t>FeatherCloud Ltd.</t>
  </si>
  <si>
    <t>http://www.ivc-online.com/Company-Card?Id=106ef709-a61d-eb11-810b-0050569a1018</t>
  </si>
  <si>
    <t>https://www.feathercloud.net</t>
  </si>
  <si>
    <t>3DBatteries Ltd. (3Dbattery)</t>
  </si>
  <si>
    <t>http://www.ivc-online.com/Company-Card?Id=87d8384f-dde2-e611-80cd-00155d0b832b</t>
  </si>
  <si>
    <t>http://www.ivc-online.com/Company-Card?Id=d9cffa1b-b5d0-e511-bd22-80c16e7d3630</t>
  </si>
  <si>
    <t>http://www.vayavision.com</t>
  </si>
  <si>
    <t>ADAM Cogtech Ltd.</t>
  </si>
  <si>
    <t>http://www.ivc-online.com/Company-Card?Id=b1f60876-419b-e911-80ff-0050569a1018</t>
  </si>
  <si>
    <t>OptimalPlus Ltd.</t>
  </si>
  <si>
    <t>http://www.ivc-online.com/Company-Card?Id=91cd5ff0-1f7a-e111-ac59-00155d32a403</t>
  </si>
  <si>
    <t>http://www.optimalplus.com</t>
  </si>
  <si>
    <t>Newsight Imaging Ltd.</t>
  </si>
  <si>
    <t>http://www.ivc-online.com/Company-Card?Id=fe46ab38-e027-e611-bd22-80c16e7d3630</t>
  </si>
  <si>
    <t>Regulus Cyber Ltd.</t>
  </si>
  <si>
    <t>http://www.ivc-online.com/Company-Card?Id=300dc97b-1562-e611-893a-80c16e7d3630</t>
  </si>
  <si>
    <t>http://www.ivc-online.com/Company-Card?Id=136f1138-207a-e111-ac59-00155d32a403</t>
  </si>
  <si>
    <t>DSRaider Ltd. (EZRaider)</t>
  </si>
  <si>
    <t>http://www.ivc-online.com/Company-Card?Id=0938c1e1-f94d-e811-80e4-00155d0b832c</t>
  </si>
  <si>
    <t>sPARK Parking Technologies Ltd. (Polly)</t>
  </si>
  <si>
    <t>http://www.ivc-online.com/Company-Card?Id=ba81f39a-95ea-e111-a13f-00155d32a408</t>
  </si>
  <si>
    <t>https://www.parking-polly.com</t>
  </si>
  <si>
    <t>Ryde Mobility Ltd.</t>
  </si>
  <si>
    <t>http://www.ivc-online.com/Company-Card?Id=98e12f2f-b945-eb11-810c-0050569a1018</t>
  </si>
  <si>
    <t>https://goryde.com</t>
  </si>
  <si>
    <t>Getta</t>
  </si>
  <si>
    <t>http://www.ivc-online.com/Company-Card?Id=f3fab76f-056f-ec11-b80d-00505695cd29</t>
  </si>
  <si>
    <t>https://www.gettacar.com</t>
  </si>
  <si>
    <t>OTAS</t>
  </si>
  <si>
    <t>http://www.ivc-online.com/Company-Card?Id=88bd1563-0ca4-ea11-810a-0050569a1018</t>
  </si>
  <si>
    <t>https://www.overturning-alert-system.com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</si>
</sst>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hh]:mm:ss"/>
    <numFmt numFmtId="165" formatCode="d-mmm-yyyy"/>
    <numFmt numFmtId="166" formatCode="dd-mmm-yyyy"/>
    <numFmt numFmtId="167" formatCode="dd-mmmm-yyyy"/>
    <numFmt numFmtId="168" formatCode="d-mmmm-yyyy"/>
    <numFmt numFmtId="169" formatCode="dd/MM/yyyy"/>
  </numFmts>
  <fonts count="23">
    <font>
      <sz val="10.0"/>
      <color rgb="FF000000"/>
      <name val="Arial"/>
      <scheme val="minor"/>
    </font>
    <font>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u/>
      <sz val="11.0"/>
      <color rgb="FF000000"/>
      <name val="Arial"/>
    </font>
    <font>
      <color theme="1"/>
      <name val="Arial"/>
      <scheme val="minor"/>
    </font>
    <font>
      <sz val="8.0"/>
      <color rgb="FF000000"/>
      <name val="&quot;Open Sans&quot;"/>
    </font>
    <font>
      <b/>
      <sz val="8.0"/>
      <color rgb="FF000000"/>
      <name val="&quot;Open Sans&quot;"/>
    </font>
    <font>
      <b/>
      <sz val="8.0"/>
      <color rgb="FFFFFFFF"/>
      <name val="&quot;Open Sans&quot;"/>
    </font>
    <font>
      <u/>
      <sz val="8.0"/>
      <color rgb="FF000000"/>
      <name val="&quot;Open Sans&quot;"/>
    </font>
    <font>
      <u/>
      <sz val="8.0"/>
      <color rgb="FF26649E"/>
      <name val="&quot;Open Sans&quot;"/>
    </font>
    <font>
      <sz val="8.0"/>
      <color rgb="FF26649E"/>
      <name val="&quot;Open Sans&quot;"/>
    </font>
    <font>
      <u/>
      <sz val="8.0"/>
      <color rgb="FF26649E"/>
      <name val="&quot;Open Sans&quot;"/>
    </font>
    <font>
      <u/>
      <sz val="8.0"/>
      <color rgb="FF000000"/>
      <name val="&quot;Open Sans&quot;"/>
    </font>
    <font>
      <sz val="11.0"/>
      <color theme="1"/>
      <name val="&quot;Aptos Narrow&quot;"/>
    </font>
    <font>
      <u/>
      <sz val="11.0"/>
      <color rgb="FF0000FF"/>
      <name val="&quot;Aptos Narrow&quot;"/>
    </font>
    <font>
      <sz val="11.0"/>
      <color theme="1"/>
      <name val="Arial"/>
    </font>
  </fonts>
  <fills count="16">
    <fill>
      <patternFill patternType="none"/>
    </fill>
    <fill>
      <patternFill patternType="lightGray"/>
    </fill>
    <fill>
      <patternFill patternType="solid">
        <fgColor rgb="FFEA9999"/>
        <bgColor rgb="FFEA9999"/>
      </patternFill>
    </fill>
    <fill>
      <patternFill patternType="solid">
        <fgColor rgb="FFFCE4D6"/>
        <bgColor rgb="FFFCE4D6"/>
      </patternFill>
    </fill>
    <fill>
      <patternFill patternType="solid">
        <fgColor rgb="FF9BC2E6"/>
        <bgColor rgb="FF9BC2E6"/>
      </patternFill>
    </fill>
    <fill>
      <patternFill patternType="solid">
        <fgColor rgb="FFDDEBF7"/>
        <bgColor rgb="FFDDEBF7"/>
      </patternFill>
    </fill>
    <fill>
      <patternFill patternType="solid">
        <fgColor rgb="FFBF8F00"/>
        <bgColor rgb="FFBF8F00"/>
      </patternFill>
    </fill>
    <fill>
      <patternFill patternType="solid">
        <fgColor rgb="FF2F75B5"/>
        <bgColor rgb="FF2F75B5"/>
      </patternFill>
    </fill>
    <fill>
      <patternFill patternType="solid">
        <fgColor rgb="FFFCE5CD"/>
        <bgColor rgb="FFFCE5CD"/>
      </patternFill>
    </fill>
    <fill>
      <patternFill patternType="solid">
        <fgColor rgb="FFD0CECE"/>
        <bgColor rgb="FFD0CECE"/>
      </patternFill>
    </fill>
    <fill>
      <patternFill patternType="solid">
        <fgColor rgb="FF7F6000"/>
        <bgColor rgb="FF7F6000"/>
      </patternFill>
    </fill>
    <fill>
      <patternFill patternType="solid">
        <fgColor rgb="FF051C38"/>
        <bgColor rgb="FF051C38"/>
      </patternFill>
    </fill>
    <fill>
      <patternFill patternType="solid">
        <fgColor rgb="FFF8F5EF"/>
        <bgColor rgb="FFF8F5EF"/>
      </patternFill>
    </fill>
    <fill>
      <patternFill patternType="solid">
        <fgColor rgb="FFE06666"/>
        <bgColor rgb="FFE06666"/>
      </patternFill>
    </fill>
    <fill>
      <patternFill patternType="solid">
        <fgColor rgb="FFFFFFFF"/>
        <bgColor rgb="FFFFFFFF"/>
      </patternFill>
    </fill>
    <fill>
      <patternFill patternType="solid">
        <fgColor rgb="FFFFF2CC"/>
        <bgColor rgb="FFFFF2CC"/>
      </patternFill>
    </fill>
  </fills>
  <borders count="2">
    <border/>
    <border>
      <right style="thin">
        <color rgb="FFD3D3D3"/>
      </righ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1"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0"/>
    </xf>
    <xf borderId="0" fillId="3" fontId="1" numFmtId="0" xfId="0" applyAlignment="1" applyFill="1" applyFont="1">
      <alignment readingOrder="0" shrinkToFit="0" vertical="bottom" wrapText="0"/>
    </xf>
    <xf borderId="0" fillId="3" fontId="3" numFmtId="0" xfId="0" applyAlignment="1" applyFont="1">
      <alignment readingOrder="0" shrinkToFit="0" vertical="bottom" wrapText="0"/>
    </xf>
    <xf borderId="0" fillId="4" fontId="1" numFmtId="0" xfId="0" applyAlignment="1" applyFill="1" applyFont="1">
      <alignment readingOrder="0" shrinkToFit="0" vertical="bottom" wrapText="0"/>
    </xf>
    <xf borderId="0" fillId="4" fontId="4" numFmtId="0" xfId="0" applyAlignment="1" applyFont="1">
      <alignment readingOrder="0" shrinkToFit="0" vertical="bottom" wrapText="0"/>
    </xf>
    <xf borderId="0" fillId="5" fontId="1" numFmtId="0" xfId="0" applyAlignment="1" applyFill="1" applyFont="1">
      <alignment readingOrder="0" shrinkToFit="0" vertical="bottom" wrapText="0"/>
    </xf>
    <xf borderId="0" fillId="5" fontId="5" numFmtId="0" xfId="0" applyAlignment="1" applyFont="1">
      <alignment readingOrder="0" shrinkToFit="0" vertical="bottom" wrapText="0"/>
    </xf>
    <xf borderId="0" fillId="6" fontId="1" numFmtId="0" xfId="0" applyAlignment="1" applyFill="1" applyFont="1">
      <alignment readingOrder="0" shrinkToFit="0" vertical="bottom" wrapText="0"/>
    </xf>
    <xf borderId="0" fillId="6" fontId="1" numFmtId="0" xfId="0" applyAlignment="1" applyFont="1">
      <alignment shrinkToFit="0" vertical="bottom" wrapText="0"/>
    </xf>
    <xf borderId="0" fillId="6" fontId="6" numFmtId="0" xfId="0" applyAlignment="1" applyFont="1">
      <alignment readingOrder="0" shrinkToFit="0" vertical="bottom" wrapText="0"/>
    </xf>
    <xf borderId="0" fillId="4" fontId="1" numFmtId="0" xfId="0" applyAlignment="1" applyFont="1">
      <alignment shrinkToFit="0" vertical="bottom" wrapText="0"/>
    </xf>
    <xf borderId="0" fillId="3" fontId="1" numFmtId="0" xfId="0" applyAlignment="1" applyFont="1">
      <alignment shrinkToFit="0" vertical="bottom" wrapText="0"/>
    </xf>
    <xf borderId="0" fillId="7" fontId="1" numFmtId="0" xfId="0" applyAlignment="1" applyFill="1" applyFont="1">
      <alignment readingOrder="0" shrinkToFit="0" vertical="bottom" wrapText="0"/>
    </xf>
    <xf borderId="0" fillId="7" fontId="7" numFmtId="0" xfId="0" applyAlignment="1" applyFont="1">
      <alignment readingOrder="0" shrinkToFit="0" vertical="bottom" wrapText="0"/>
    </xf>
    <xf borderId="0" fillId="5" fontId="1" numFmtId="0" xfId="0" applyAlignment="1" applyFont="1">
      <alignment shrinkToFit="0" vertical="bottom" wrapText="0"/>
    </xf>
    <xf borderId="0" fillId="8" fontId="1" numFmtId="0" xfId="0" applyAlignment="1" applyFill="1" applyFont="1">
      <alignment readingOrder="0" shrinkToFit="0" vertical="bottom" wrapText="0"/>
    </xf>
    <xf borderId="0" fillId="8" fontId="1" numFmtId="0" xfId="0" applyAlignment="1" applyFont="1">
      <alignment shrinkToFit="0" vertical="bottom" wrapText="0"/>
    </xf>
    <xf borderId="0" fillId="8" fontId="8" numFmtId="0" xfId="0" applyAlignment="1" applyFont="1">
      <alignment readingOrder="0" shrinkToFit="0" vertical="bottom" wrapText="0"/>
    </xf>
    <xf borderId="0" fillId="9" fontId="1" numFmtId="0" xfId="0" applyAlignment="1" applyFill="1" applyFont="1">
      <alignment readingOrder="0" shrinkToFit="0" vertical="bottom" wrapText="0"/>
    </xf>
    <xf borderId="0" fillId="9" fontId="9" numFmtId="0" xfId="0" applyAlignment="1" applyFont="1">
      <alignment readingOrder="0" shrinkToFit="0" vertical="bottom" wrapText="0"/>
    </xf>
    <xf borderId="0" fillId="10" fontId="1" numFmtId="0" xfId="0" applyAlignment="1" applyFill="1" applyFont="1">
      <alignment readingOrder="0" shrinkToFit="0" vertical="bottom" wrapText="0"/>
    </xf>
    <xf borderId="0" fillId="10" fontId="1" numFmtId="0" xfId="0" applyAlignment="1" applyFont="1">
      <alignment shrinkToFit="0" vertical="bottom" wrapText="0"/>
    </xf>
    <xf borderId="0" fillId="10" fontId="10" numFmtId="0" xfId="0" applyAlignment="1" applyFont="1">
      <alignment readingOrder="0" shrinkToFit="0" vertical="bottom" wrapText="0"/>
    </xf>
    <xf borderId="0" fillId="0" fontId="11" numFmtId="0" xfId="0" applyAlignment="1" applyFont="1">
      <alignment readingOrder="0"/>
    </xf>
    <xf borderId="0" fillId="0" fontId="12" numFmtId="0" xfId="0" applyAlignment="1" applyFont="1">
      <alignment horizontal="right" readingOrder="0" shrinkToFit="0" vertical="top" wrapText="0"/>
    </xf>
    <xf borderId="0" fillId="0" fontId="13" numFmtId="0" xfId="0" applyAlignment="1" applyFont="1">
      <alignment horizontal="left" readingOrder="0" vertical="top"/>
    </xf>
    <xf borderId="0" fillId="11" fontId="14" numFmtId="0" xfId="0" applyAlignment="1" applyFill="1" applyFont="1">
      <alignment horizontal="center" readingOrder="0"/>
    </xf>
    <xf borderId="1" fillId="12" fontId="12" numFmtId="0" xfId="0" applyAlignment="1" applyBorder="1" applyFill="1" applyFont="1">
      <alignment horizontal="right" readingOrder="0" shrinkToFit="0" wrapText="0"/>
    </xf>
    <xf borderId="1" fillId="12" fontId="15" numFmtId="0" xfId="0" applyAlignment="1" applyBorder="1" applyFont="1">
      <alignment horizontal="left" readingOrder="0" shrinkToFit="0" wrapText="0"/>
    </xf>
    <xf borderId="1" fillId="12" fontId="12" numFmtId="0" xfId="0" applyAlignment="1" applyBorder="1" applyFont="1">
      <alignment horizontal="left" shrinkToFit="0" wrapText="0"/>
    </xf>
    <xf borderId="1" fillId="12" fontId="12" numFmtId="0" xfId="0" applyAlignment="1" applyBorder="1" applyFont="1">
      <alignment horizontal="left" readingOrder="0" shrinkToFit="0" wrapText="0"/>
    </xf>
    <xf borderId="1" fillId="12" fontId="16" numFmtId="0" xfId="0" applyAlignment="1" applyBorder="1" applyFont="1">
      <alignment horizontal="left" readingOrder="0" shrinkToFit="0" wrapText="0"/>
    </xf>
    <xf borderId="1" fillId="12" fontId="12" numFmtId="0" xfId="0" applyAlignment="1" applyBorder="1" applyFont="1">
      <alignment horizontal="right" shrinkToFit="0" wrapText="0"/>
    </xf>
    <xf borderId="1" fillId="12" fontId="12" numFmtId="0" xfId="0" applyAlignment="1" applyBorder="1" applyFont="1">
      <alignment horizontal="right" readingOrder="0" shrinkToFit="0" wrapText="0"/>
    </xf>
    <xf borderId="1" fillId="12" fontId="12" numFmtId="10" xfId="0" applyAlignment="1" applyBorder="1" applyFont="1" applyNumberFormat="1">
      <alignment horizontal="right" readingOrder="0" shrinkToFit="0" wrapText="0"/>
    </xf>
    <xf borderId="1" fillId="12" fontId="17" numFmtId="0" xfId="0" applyAlignment="1" applyBorder="1" applyFont="1">
      <alignment horizontal="left" readingOrder="0" shrinkToFit="0" wrapText="0"/>
    </xf>
    <xf borderId="1" fillId="0" fontId="12" numFmtId="0" xfId="0" applyAlignment="1" applyBorder="1" applyFont="1">
      <alignment horizontal="right" readingOrder="0" shrinkToFit="0" wrapText="0"/>
    </xf>
    <xf borderId="1" fillId="0" fontId="12" numFmtId="0" xfId="0" applyAlignment="1" applyBorder="1" applyFont="1">
      <alignment horizontal="left" readingOrder="0" shrinkToFit="0" wrapText="0"/>
    </xf>
    <xf borderId="1" fillId="0" fontId="12" numFmtId="0" xfId="0" applyAlignment="1" applyBorder="1" applyFont="1">
      <alignment horizontal="left" shrinkToFit="0" wrapText="0"/>
    </xf>
    <xf borderId="1" fillId="0" fontId="18" numFmtId="0" xfId="0" applyAlignment="1" applyBorder="1" applyFont="1">
      <alignment horizontal="left" readingOrder="0" shrinkToFit="0" wrapText="0"/>
    </xf>
    <xf borderId="1" fillId="0" fontId="12" numFmtId="0" xfId="0" applyAlignment="1" applyBorder="1" applyFont="1">
      <alignment horizontal="right" shrinkToFit="0" wrapText="0"/>
    </xf>
    <xf borderId="1" fillId="0" fontId="12" numFmtId="0" xfId="0" applyAlignment="1" applyBorder="1" applyFont="1">
      <alignment horizontal="right" readingOrder="0" shrinkToFit="0" wrapText="0"/>
    </xf>
    <xf borderId="1" fillId="0" fontId="12" numFmtId="10" xfId="0" applyAlignment="1" applyBorder="1" applyFont="1" applyNumberFormat="1">
      <alignment horizontal="right" readingOrder="0" shrinkToFit="0" wrapText="0"/>
    </xf>
    <xf borderId="1" fillId="0" fontId="17" numFmtId="0" xfId="0" applyAlignment="1" applyBorder="1" applyFont="1">
      <alignment horizontal="left" readingOrder="0" shrinkToFit="0" wrapText="0"/>
    </xf>
    <xf borderId="1" fillId="12" fontId="12" numFmtId="3" xfId="0" applyAlignment="1" applyBorder="1" applyFont="1" applyNumberFormat="1">
      <alignment horizontal="right" readingOrder="0" shrinkToFit="0" wrapText="0"/>
    </xf>
    <xf borderId="1" fillId="12" fontId="12" numFmtId="4" xfId="0" applyAlignment="1" applyBorder="1" applyFont="1" applyNumberFormat="1">
      <alignment horizontal="right" readingOrder="0" shrinkToFit="0" wrapText="0"/>
    </xf>
    <xf borderId="1" fillId="0" fontId="12" numFmtId="4" xfId="0" applyAlignment="1" applyBorder="1" applyFont="1" applyNumberFormat="1">
      <alignment horizontal="right" readingOrder="0" shrinkToFit="0" wrapText="0"/>
    </xf>
    <xf borderId="1" fillId="0" fontId="12" numFmtId="3" xfId="0" applyAlignment="1" applyBorder="1" applyFont="1" applyNumberFormat="1">
      <alignment horizontal="right" readingOrder="0" shrinkToFit="0" wrapText="0"/>
    </xf>
    <xf borderId="1" fillId="12" fontId="12" numFmtId="164" xfId="0" applyAlignment="1" applyBorder="1" applyFont="1" applyNumberFormat="1">
      <alignment horizontal="left" readingOrder="0" shrinkToFit="0" wrapText="0"/>
    </xf>
    <xf borderId="1" fillId="0" fontId="12" numFmtId="164" xfId="0" applyAlignment="1" applyBorder="1" applyFont="1" applyNumberFormat="1">
      <alignment horizontal="left" readingOrder="0" shrinkToFit="0" wrapText="0"/>
    </xf>
    <xf borderId="1" fillId="0" fontId="19" numFmtId="0" xfId="0" applyAlignment="1" applyBorder="1" applyFont="1">
      <alignment horizontal="left" readingOrder="0" shrinkToFit="0" wrapText="0"/>
    </xf>
    <xf borderId="0" fillId="0" fontId="11" numFmtId="4" xfId="0" applyFont="1" applyNumberFormat="1"/>
    <xf borderId="0" fillId="9" fontId="14" numFmtId="0" xfId="0" applyAlignment="1" applyFont="1">
      <alignment horizontal="center" readingOrder="0"/>
    </xf>
    <xf borderId="0" fillId="13" fontId="14" numFmtId="0" xfId="0" applyAlignment="1" applyFill="1" applyFont="1">
      <alignment horizontal="center" readingOrder="0"/>
    </xf>
    <xf borderId="0" fillId="11" fontId="14" numFmtId="4" xfId="0" applyAlignment="1" applyFont="1" applyNumberFormat="1">
      <alignment horizontal="center" readingOrder="0"/>
    </xf>
    <xf borderId="1" fillId="12" fontId="12" numFmtId="165" xfId="0" applyAlignment="1" applyBorder="1" applyFont="1" applyNumberFormat="1">
      <alignment horizontal="right" readingOrder="0" shrinkToFit="0" wrapText="0"/>
    </xf>
    <xf borderId="1" fillId="12" fontId="12" numFmtId="4" xfId="0" applyAlignment="1" applyBorder="1" applyFont="1" applyNumberFormat="1">
      <alignment horizontal="left" shrinkToFit="0" wrapText="0"/>
    </xf>
    <xf borderId="1" fillId="12" fontId="12" numFmtId="166" xfId="0" applyAlignment="1" applyBorder="1" applyFont="1" applyNumberFormat="1">
      <alignment horizontal="right" readingOrder="0" shrinkToFit="0" wrapText="0"/>
    </xf>
    <xf borderId="1" fillId="0" fontId="12" numFmtId="165" xfId="0" applyAlignment="1" applyBorder="1" applyFont="1" applyNumberFormat="1">
      <alignment horizontal="right" readingOrder="0" shrinkToFit="0" wrapText="0"/>
    </xf>
    <xf borderId="1" fillId="0" fontId="12" numFmtId="4" xfId="0" applyAlignment="1" applyBorder="1" applyFont="1" applyNumberFormat="1">
      <alignment horizontal="left" shrinkToFit="0" wrapText="0"/>
    </xf>
    <xf borderId="1" fillId="0" fontId="12" numFmtId="166" xfId="0" applyAlignment="1" applyBorder="1" applyFont="1" applyNumberFormat="1">
      <alignment horizontal="right" readingOrder="0" shrinkToFit="0" wrapText="0"/>
    </xf>
    <xf borderId="1" fillId="0" fontId="12" numFmtId="167" xfId="0" applyAlignment="1" applyBorder="1" applyFont="1" applyNumberFormat="1">
      <alignment horizontal="right" readingOrder="0" shrinkToFit="0" wrapText="0"/>
    </xf>
    <xf borderId="1" fillId="12" fontId="12" numFmtId="168" xfId="0" applyAlignment="1" applyBorder="1" applyFont="1" applyNumberFormat="1">
      <alignment horizontal="right" readingOrder="0" shrinkToFit="0" wrapText="0"/>
    </xf>
    <xf borderId="1" fillId="12" fontId="12" numFmtId="167" xfId="0" applyAlignment="1" applyBorder="1" applyFont="1" applyNumberFormat="1">
      <alignment horizontal="right" readingOrder="0" shrinkToFit="0" wrapText="0"/>
    </xf>
    <xf borderId="1" fillId="14" fontId="12" numFmtId="166" xfId="0" applyAlignment="1" applyBorder="1" applyFill="1" applyFont="1" applyNumberFormat="1">
      <alignment horizontal="right" readingOrder="0" shrinkToFit="0" wrapText="0"/>
    </xf>
    <xf borderId="1" fillId="0" fontId="12" numFmtId="168" xfId="0" applyAlignment="1" applyBorder="1" applyFont="1" applyNumberFormat="1">
      <alignment horizontal="right" readingOrder="0" shrinkToFit="0" wrapText="0"/>
    </xf>
    <xf borderId="1" fillId="14" fontId="12" numFmtId="165" xfId="0" applyAlignment="1" applyBorder="1" applyFont="1" applyNumberFormat="1">
      <alignment horizontal="right" readingOrder="0" shrinkToFit="0" wrapText="0"/>
    </xf>
    <xf borderId="1" fillId="15" fontId="12" numFmtId="0" xfId="0" applyAlignment="1" applyBorder="1" applyFill="1" applyFont="1">
      <alignment horizontal="left" readingOrder="0" shrinkToFit="0" wrapText="0"/>
    </xf>
    <xf borderId="1" fillId="15" fontId="12" numFmtId="0" xfId="0" applyAlignment="1" applyBorder="1" applyFont="1">
      <alignment horizontal="left" shrinkToFit="0" wrapText="0"/>
    </xf>
    <xf borderId="1" fillId="15" fontId="12" numFmtId="0" xfId="0" applyAlignment="1" applyBorder="1" applyFont="1">
      <alignment horizontal="right" shrinkToFit="0" wrapText="0"/>
    </xf>
    <xf borderId="1" fillId="15" fontId="12" numFmtId="0" xfId="0" applyAlignment="1" applyBorder="1" applyFont="1">
      <alignment horizontal="right" readingOrder="0" shrinkToFit="0" wrapText="0"/>
    </xf>
    <xf borderId="1" fillId="15" fontId="17" numFmtId="0" xfId="0" applyAlignment="1" applyBorder="1" applyFont="1">
      <alignment horizontal="left" readingOrder="0" shrinkToFit="0" wrapText="0"/>
    </xf>
    <xf borderId="1" fillId="2" fontId="12" numFmtId="0" xfId="0" applyAlignment="1" applyBorder="1" applyFont="1">
      <alignment horizontal="left" readingOrder="0" shrinkToFit="0" wrapText="0"/>
    </xf>
    <xf borderId="1" fillId="2" fontId="12" numFmtId="0" xfId="0" applyAlignment="1" applyBorder="1" applyFont="1">
      <alignment horizontal="left" shrinkToFit="0" wrapText="0"/>
    </xf>
    <xf borderId="1" fillId="2" fontId="12" numFmtId="0" xfId="0" applyAlignment="1" applyBorder="1" applyFont="1">
      <alignment horizontal="right" shrinkToFit="0" wrapText="0"/>
    </xf>
    <xf borderId="1" fillId="2" fontId="12" numFmtId="0" xfId="0" applyAlignment="1" applyBorder="1" applyFont="1">
      <alignment horizontal="right" readingOrder="0" shrinkToFit="0" wrapText="0"/>
    </xf>
    <xf borderId="1" fillId="2" fontId="17" numFmtId="0" xfId="0" applyAlignment="1" applyBorder="1" applyFont="1">
      <alignment horizontal="left" readingOrder="0" shrinkToFit="0" wrapText="0"/>
    </xf>
    <xf borderId="0" fillId="0" fontId="20" numFmtId="0" xfId="0" applyAlignment="1" applyFont="1">
      <alignment horizontal="left" readingOrder="0" shrinkToFit="0" vertical="bottom" wrapText="0"/>
    </xf>
    <xf borderId="0" fillId="0" fontId="20" numFmtId="169" xfId="0" applyAlignment="1" applyFont="1" applyNumberForma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readingOrder="0" shrinkToFit="0" vertical="bottom" wrapText="0"/>
    </xf>
    <xf borderId="0" fillId="0" fontId="20" numFmtId="0" xfId="0" applyAlignment="1" applyFont="1">
      <alignment readingOrder="0" shrinkToFit="0" vertical="bottom" wrapText="0"/>
    </xf>
    <xf borderId="0" fillId="0" fontId="21" numFmtId="0" xfId="0" applyAlignment="1" applyFont="1">
      <alignment readingOrder="0" shrinkToFit="0" vertical="bottom" wrapText="0"/>
    </xf>
    <xf borderId="0" fillId="0" fontId="20" numFmtId="0" xfId="0" applyAlignment="1" applyFont="1">
      <alignment shrinkToFit="0" vertical="bottom" wrapText="0"/>
    </xf>
    <xf borderId="0" fillId="0" fontId="22" numFmtId="0" xfId="0" applyAlignment="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Investment 2020-2025 in auto 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417" displayName="Table1" name="Table1" id="1">
  <autoFilter ref="$A$3:$H$417"/>
  <tableColumns count="8">
    <tableColumn name="Deal Date" id="1"/>
    <tableColumn name="Company Name" id="2"/>
    <tableColumn name="Reg Number" id="3"/>
    <tableColumn name="Financing/Exit Type" id="4"/>
    <tableColumn name="Amount $m" id="5"/>
    <tableColumn name="Extended Round" id="6"/>
    <tableColumn name="IVC Profile" id="7"/>
    <tableColumn name="Website" id="8"/>
  </tableColumns>
  <tableStyleInfo name="Investment 2020-2025 in auto 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agry.co" TargetMode="External"/><Relationship Id="rId190" Type="http://schemas.openxmlformats.org/officeDocument/2006/relationships/hyperlink" Target="https://officetrack.com" TargetMode="External"/><Relationship Id="rId42" Type="http://schemas.openxmlformats.org/officeDocument/2006/relationships/hyperlink" Target="https://saferplace.com" TargetMode="External"/><Relationship Id="rId41" Type="http://schemas.openxmlformats.org/officeDocument/2006/relationships/hyperlink" Target="https://fairmatic.com" TargetMode="External"/><Relationship Id="rId44" Type="http://schemas.openxmlformats.org/officeDocument/2006/relationships/hyperlink" Target="https://www.ultrawis.com" TargetMode="External"/><Relationship Id="rId194" Type="http://schemas.openxmlformats.org/officeDocument/2006/relationships/hyperlink" Target="https://www.contguard.com" TargetMode="External"/><Relationship Id="rId43" Type="http://schemas.openxmlformats.org/officeDocument/2006/relationships/hyperlink" Target="http://www.spnano.com" TargetMode="External"/><Relationship Id="rId193" Type="http://schemas.openxmlformats.org/officeDocument/2006/relationships/hyperlink" Target="https://www.trucknet.io" TargetMode="External"/><Relationship Id="rId46" Type="http://schemas.openxmlformats.org/officeDocument/2006/relationships/hyperlink" Target="https://meatesting.net" TargetMode="External"/><Relationship Id="rId192" Type="http://schemas.openxmlformats.org/officeDocument/2006/relationships/hyperlink" Target="https://www.starcomsystems.com" TargetMode="External"/><Relationship Id="rId45" Type="http://schemas.openxmlformats.org/officeDocument/2006/relationships/hyperlink" Target="https://ride.vision" TargetMode="External"/><Relationship Id="rId191" Type="http://schemas.openxmlformats.org/officeDocument/2006/relationships/hyperlink" Target="https://scanmaster-irt.com" TargetMode="External"/><Relationship Id="rId48" Type="http://schemas.openxmlformats.org/officeDocument/2006/relationships/hyperlink" Target="https://elbitsystems.com" TargetMode="External"/><Relationship Id="rId187" Type="http://schemas.openxmlformats.org/officeDocument/2006/relationships/hyperlink" Target="https://tactilemobility.com" TargetMode="External"/><Relationship Id="rId47" Type="http://schemas.openxmlformats.org/officeDocument/2006/relationships/hyperlink" Target="https://www.enigmatos.com" TargetMode="External"/><Relationship Id="rId186" Type="http://schemas.openxmlformats.org/officeDocument/2006/relationships/hyperlink" Target="https://www.c2a-sec.com" TargetMode="External"/><Relationship Id="rId185" Type="http://schemas.openxmlformats.org/officeDocument/2006/relationships/hyperlink" Target="https://www.saver.one" TargetMode="External"/><Relationship Id="rId49" Type="http://schemas.openxmlformats.org/officeDocument/2006/relationships/hyperlink" Target="https://www.getnexar.com" TargetMode="External"/><Relationship Id="rId184" Type="http://schemas.openxmlformats.org/officeDocument/2006/relationships/hyperlink" Target="https://www.ligenerate.com" TargetMode="External"/><Relationship Id="rId189" Type="http://schemas.openxmlformats.org/officeDocument/2006/relationships/hyperlink" Target="https://www.moodify.ai" TargetMode="External"/><Relationship Id="rId188" Type="http://schemas.openxmlformats.org/officeDocument/2006/relationships/hyperlink" Target="https://www.brain.space" TargetMode="External"/><Relationship Id="rId31" Type="http://schemas.openxmlformats.org/officeDocument/2006/relationships/hyperlink" Target="https://xjet3d.com" TargetMode="External"/><Relationship Id="rId30" Type="http://schemas.openxmlformats.org/officeDocument/2006/relationships/hyperlink" Target="https://enervibe.co" TargetMode="External"/><Relationship Id="rId33" Type="http://schemas.openxmlformats.org/officeDocument/2006/relationships/hyperlink" Target="https://makemydayapp.com" TargetMode="External"/><Relationship Id="rId183" Type="http://schemas.openxmlformats.org/officeDocument/2006/relationships/hyperlink" Target="https://www.pzartech.com" TargetMode="External"/><Relationship Id="rId32" Type="http://schemas.openxmlformats.org/officeDocument/2006/relationships/hyperlink" Target="http://www.miadynamics.com" TargetMode="External"/><Relationship Id="rId182" Type="http://schemas.openxmlformats.org/officeDocument/2006/relationships/hyperlink" Target="https://www.connvas.com" TargetMode="External"/><Relationship Id="rId35" Type="http://schemas.openxmlformats.org/officeDocument/2006/relationships/hyperlink" Target="https://donisihealth.com" TargetMode="External"/><Relationship Id="rId181" Type="http://schemas.openxmlformats.org/officeDocument/2006/relationships/hyperlink" Target="http://www.aurislink.com" TargetMode="External"/><Relationship Id="rId34" Type="http://schemas.openxmlformats.org/officeDocument/2006/relationships/hyperlink" Target="https://www.tourengine.com" TargetMode="External"/><Relationship Id="rId180" Type="http://schemas.openxmlformats.org/officeDocument/2006/relationships/hyperlink" Target="https://trackimo.com" TargetMode="External"/><Relationship Id="rId37" Type="http://schemas.openxmlformats.org/officeDocument/2006/relationships/hyperlink" Target="http://www.danenergy.com" TargetMode="External"/><Relationship Id="rId176" Type="http://schemas.openxmlformats.org/officeDocument/2006/relationships/hyperlink" Target="https://www.bringoz.com" TargetMode="External"/><Relationship Id="rId297" Type="http://schemas.openxmlformats.org/officeDocument/2006/relationships/hyperlink" Target="https://www.ibccoatings.com" TargetMode="External"/><Relationship Id="rId36" Type="http://schemas.openxmlformats.org/officeDocument/2006/relationships/hyperlink" Target="https://steerlinq.com" TargetMode="External"/><Relationship Id="rId175" Type="http://schemas.openxmlformats.org/officeDocument/2006/relationships/hyperlink" Target="https://www.solaredge.com" TargetMode="External"/><Relationship Id="rId296" Type="http://schemas.openxmlformats.org/officeDocument/2006/relationships/hyperlink" Target="https://www.si-lib.com" TargetMode="External"/><Relationship Id="rId39" Type="http://schemas.openxmlformats.org/officeDocument/2006/relationships/hyperlink" Target="https://www.regulus.com" TargetMode="External"/><Relationship Id="rId174" Type="http://schemas.openxmlformats.org/officeDocument/2006/relationships/hyperlink" Target="https://www.optibus.com" TargetMode="External"/><Relationship Id="rId295" Type="http://schemas.openxmlformats.org/officeDocument/2006/relationships/hyperlink" Target="https://revoltzev.com" TargetMode="External"/><Relationship Id="rId38" Type="http://schemas.openxmlformats.org/officeDocument/2006/relationships/hyperlink" Target="https://vootto.com" TargetMode="External"/><Relationship Id="rId173" Type="http://schemas.openxmlformats.org/officeDocument/2006/relationships/hyperlink" Target="http://www.roadprotect.co.il" TargetMode="External"/><Relationship Id="rId294" Type="http://schemas.openxmlformats.org/officeDocument/2006/relationships/hyperlink" Target="https://www.albus-tech.com" TargetMode="External"/><Relationship Id="rId179" Type="http://schemas.openxmlformats.org/officeDocument/2006/relationships/hyperlink" Target="https://www.cognata.com" TargetMode="External"/><Relationship Id="rId178" Type="http://schemas.openxmlformats.org/officeDocument/2006/relationships/hyperlink" Target="http://www.innoviz.tech" TargetMode="External"/><Relationship Id="rId299" Type="http://schemas.openxmlformats.org/officeDocument/2006/relationships/hyperlink" Target="https://cello-app.com/global" TargetMode="External"/><Relationship Id="rId177" Type="http://schemas.openxmlformats.org/officeDocument/2006/relationships/hyperlink" Target="https://acktar.com" TargetMode="External"/><Relationship Id="rId298" Type="http://schemas.openxmlformats.org/officeDocument/2006/relationships/hyperlink" Target="https://www.giv-solutions.com" TargetMode="External"/><Relationship Id="rId20" Type="http://schemas.openxmlformats.org/officeDocument/2006/relationships/hyperlink" Target="https://nuel.co.il" TargetMode="External"/><Relationship Id="rId22" Type="http://schemas.openxmlformats.org/officeDocument/2006/relationships/hyperlink" Target="http://www.incentives-solutions.com" TargetMode="External"/><Relationship Id="rId21" Type="http://schemas.openxmlformats.org/officeDocument/2006/relationships/hyperlink" Target="https://www.ototo.tech" TargetMode="External"/><Relationship Id="rId24" Type="http://schemas.openxmlformats.org/officeDocument/2006/relationships/hyperlink" Target="https://www.opsys-tech.com" TargetMode="External"/><Relationship Id="rId23" Type="http://schemas.openxmlformats.org/officeDocument/2006/relationships/hyperlink" Target="https://www.apollo-power.com" TargetMode="External"/><Relationship Id="rId26" Type="http://schemas.openxmlformats.org/officeDocument/2006/relationships/hyperlink" Target="https://nng.com" TargetMode="External"/><Relationship Id="rId25" Type="http://schemas.openxmlformats.org/officeDocument/2006/relationships/hyperlink" Target="https://hi.auto" TargetMode="External"/><Relationship Id="rId28" Type="http://schemas.openxmlformats.org/officeDocument/2006/relationships/hyperlink" Target="https://autobrains.ai" TargetMode="External"/><Relationship Id="rId27" Type="http://schemas.openxmlformats.org/officeDocument/2006/relationships/hyperlink" Target="https://www.compulab.com" TargetMode="External"/><Relationship Id="rId29" Type="http://schemas.openxmlformats.org/officeDocument/2006/relationships/hyperlink" Target="https://trieye.tech" TargetMode="External"/><Relationship Id="rId11" Type="http://schemas.openxmlformats.org/officeDocument/2006/relationships/hyperlink" Target="http://agam-greenhouses.com/" TargetMode="External"/><Relationship Id="rId10" Type="http://schemas.openxmlformats.org/officeDocument/2006/relationships/hyperlink" Target="https://isrtransit.com" TargetMode="External"/><Relationship Id="rId13" Type="http://schemas.openxmlformats.org/officeDocument/2006/relationships/hyperlink" Target="https://www.tortechnano.com" TargetMode="External"/><Relationship Id="rId12" Type="http://schemas.openxmlformats.org/officeDocument/2006/relationships/hyperlink" Target="https://www.makaluoptics.com" TargetMode="External"/><Relationship Id="rId15" Type="http://schemas.openxmlformats.org/officeDocument/2006/relationships/hyperlink" Target="http://www.virtual-extension.com" TargetMode="External"/><Relationship Id="rId198" Type="http://schemas.openxmlformats.org/officeDocument/2006/relationships/hyperlink" Target="http://www.simigon.com" TargetMode="External"/><Relationship Id="rId14" Type="http://schemas.openxmlformats.org/officeDocument/2006/relationships/hyperlink" Target="https://www.tamicare.com" TargetMode="External"/><Relationship Id="rId197" Type="http://schemas.openxmlformats.org/officeDocument/2006/relationships/hyperlink" Target="https://karambasecurity.com" TargetMode="External"/><Relationship Id="rId17" Type="http://schemas.openxmlformats.org/officeDocument/2006/relationships/hyperlink" Target="https://cqm-group.com" TargetMode="External"/><Relationship Id="rId196" Type="http://schemas.openxmlformats.org/officeDocument/2006/relationships/hyperlink" Target="https://www.ceva-ip.com" TargetMode="External"/><Relationship Id="rId16" Type="http://schemas.openxmlformats.org/officeDocument/2006/relationships/hyperlink" Target="https://aero-magnesium.com" TargetMode="External"/><Relationship Id="rId195" Type="http://schemas.openxmlformats.org/officeDocument/2006/relationships/hyperlink" Target="http://www.mobileye.com" TargetMode="External"/><Relationship Id="rId19" Type="http://schemas.openxmlformats.org/officeDocument/2006/relationships/hyperlink" Target="http://adam-cogtec.com" TargetMode="External"/><Relationship Id="rId18" Type="http://schemas.openxmlformats.org/officeDocument/2006/relationships/hyperlink" Target="https://www.cenh2.com" TargetMode="External"/><Relationship Id="rId199" Type="http://schemas.openxmlformats.org/officeDocument/2006/relationships/hyperlink" Target="http://mov.ai" TargetMode="External"/><Relationship Id="rId84" Type="http://schemas.openxmlformats.org/officeDocument/2006/relationships/hyperlink" Target="https://www.cardosystems.com" TargetMode="External"/><Relationship Id="rId83" Type="http://schemas.openxmlformats.org/officeDocument/2006/relationships/hyperlink" Target="https://www.lidwave.com" TargetMode="External"/><Relationship Id="rId86" Type="http://schemas.openxmlformats.org/officeDocument/2006/relationships/hyperlink" Target="https://www.mprest.com" TargetMode="External"/><Relationship Id="rId85" Type="http://schemas.openxmlformats.org/officeDocument/2006/relationships/hyperlink" Target="https://www.foretellix.com" TargetMode="External"/><Relationship Id="rId88" Type="http://schemas.openxmlformats.org/officeDocument/2006/relationships/hyperlink" Target="https://www.chargingrobotics.com" TargetMode="External"/><Relationship Id="rId150" Type="http://schemas.openxmlformats.org/officeDocument/2006/relationships/hyperlink" Target="https://parkings.co.il" TargetMode="External"/><Relationship Id="rId271" Type="http://schemas.openxmlformats.org/officeDocument/2006/relationships/hyperlink" Target="https://www.vizible.zone" TargetMode="External"/><Relationship Id="rId87" Type="http://schemas.openxmlformats.org/officeDocument/2006/relationships/hyperlink" Target="https://www.cymotive.com" TargetMode="External"/><Relationship Id="rId270" Type="http://schemas.openxmlformats.org/officeDocument/2006/relationships/hyperlink" Target="https://i4drive.com" TargetMode="External"/><Relationship Id="rId89" Type="http://schemas.openxmlformats.org/officeDocument/2006/relationships/hyperlink" Target="http://www.israjuk.com" TargetMode="External"/><Relationship Id="rId80" Type="http://schemas.openxmlformats.org/officeDocument/2006/relationships/hyperlink" Target="https://www.citytransformer.com" TargetMode="External"/><Relationship Id="rId82" Type="http://schemas.openxmlformats.org/officeDocument/2006/relationships/hyperlink" Target="https://www.siyatamobile.com" TargetMode="External"/><Relationship Id="rId81" Type="http://schemas.openxmlformats.org/officeDocument/2006/relationships/hyperlink" Target="https://www.motormia.co" TargetMode="External"/><Relationship Id="rId1" Type="http://schemas.openxmlformats.org/officeDocument/2006/relationships/hyperlink" Target="http://www.pi-harvest.com" TargetMode="External"/><Relationship Id="rId2" Type="http://schemas.openxmlformats.org/officeDocument/2006/relationships/hyperlink" Target="https://www.myrouteonline.com" TargetMode="External"/><Relationship Id="rId3" Type="http://schemas.openxmlformats.org/officeDocument/2006/relationships/hyperlink" Target="http://bonshine.com" TargetMode="External"/><Relationship Id="rId149" Type="http://schemas.openxmlformats.org/officeDocument/2006/relationships/hyperlink" Target="https://www.caradviser.io/en" TargetMode="External"/><Relationship Id="rId4" Type="http://schemas.openxmlformats.org/officeDocument/2006/relationships/hyperlink" Target="http://www.rb-sys.com" TargetMode="External"/><Relationship Id="rId148" Type="http://schemas.openxmlformats.org/officeDocument/2006/relationships/hyperlink" Target="https://www.smartfilmsinternational.com" TargetMode="External"/><Relationship Id="rId269" Type="http://schemas.openxmlformats.org/officeDocument/2006/relationships/hyperlink" Target="https://www.ravin.ai" TargetMode="External"/><Relationship Id="rId9" Type="http://schemas.openxmlformats.org/officeDocument/2006/relationships/hyperlink" Target="https://www.humains.com" TargetMode="External"/><Relationship Id="rId143" Type="http://schemas.openxmlformats.org/officeDocument/2006/relationships/hyperlink" Target="https://www.arcytec.com" TargetMode="External"/><Relationship Id="rId264" Type="http://schemas.openxmlformats.org/officeDocument/2006/relationships/hyperlink" Target="https://www.rodo.com" TargetMode="External"/><Relationship Id="rId142" Type="http://schemas.openxmlformats.org/officeDocument/2006/relationships/hyperlink" Target="http://www.totalviz.com" TargetMode="External"/><Relationship Id="rId263" Type="http://schemas.openxmlformats.org/officeDocument/2006/relationships/hyperlink" Target="https://www.imco-ind.com" TargetMode="External"/><Relationship Id="rId141" Type="http://schemas.openxmlformats.org/officeDocument/2006/relationships/hyperlink" Target="https://www.olive-eng.co.il" TargetMode="External"/><Relationship Id="rId262" Type="http://schemas.openxmlformats.org/officeDocument/2006/relationships/hyperlink" Target="https://www.ycdmultimedia.com" TargetMode="External"/><Relationship Id="rId140" Type="http://schemas.openxmlformats.org/officeDocument/2006/relationships/hyperlink" Target="https://www.driverly.tech" TargetMode="External"/><Relationship Id="rId261" Type="http://schemas.openxmlformats.org/officeDocument/2006/relationships/hyperlink" Target="http://www.asinegroup.com" TargetMode="External"/><Relationship Id="rId5" Type="http://schemas.openxmlformats.org/officeDocument/2006/relationships/hyperlink" Target="https://www.mobilityinsight.net" TargetMode="External"/><Relationship Id="rId147" Type="http://schemas.openxmlformats.org/officeDocument/2006/relationships/hyperlink" Target="https://mobilinx.wixsite.com/website" TargetMode="External"/><Relationship Id="rId268" Type="http://schemas.openxmlformats.org/officeDocument/2006/relationships/hyperlink" Target="https://towersemi.com" TargetMode="External"/><Relationship Id="rId6" Type="http://schemas.openxmlformats.org/officeDocument/2006/relationships/hyperlink" Target="https://parknav.com" TargetMode="External"/><Relationship Id="rId146" Type="http://schemas.openxmlformats.org/officeDocument/2006/relationships/hyperlink" Target="https://www.economotor.co" TargetMode="External"/><Relationship Id="rId267" Type="http://schemas.openxmlformats.org/officeDocument/2006/relationships/hyperlink" Target="http://sunbit.com" TargetMode="External"/><Relationship Id="rId7" Type="http://schemas.openxmlformats.org/officeDocument/2006/relationships/hyperlink" Target="https://axilion.com" TargetMode="External"/><Relationship Id="rId145" Type="http://schemas.openxmlformats.org/officeDocument/2006/relationships/hyperlink" Target="http://www.proactive4.com" TargetMode="External"/><Relationship Id="rId266" Type="http://schemas.openxmlformats.org/officeDocument/2006/relationships/hyperlink" Target="https://www.binah.ai" TargetMode="External"/><Relationship Id="rId8" Type="http://schemas.openxmlformats.org/officeDocument/2006/relationships/hyperlink" Target="https://www.ezraider.com" TargetMode="External"/><Relationship Id="rId144" Type="http://schemas.openxmlformats.org/officeDocument/2006/relationships/hyperlink" Target="https://www.gotechvision.com" TargetMode="External"/><Relationship Id="rId265" Type="http://schemas.openxmlformats.org/officeDocument/2006/relationships/hyperlink" Target="http://binah.ai" TargetMode="External"/><Relationship Id="rId73" Type="http://schemas.openxmlformats.org/officeDocument/2006/relationships/hyperlink" Target="https://www.ipgallery.com" TargetMode="External"/><Relationship Id="rId72" Type="http://schemas.openxmlformats.org/officeDocument/2006/relationships/hyperlink" Target="https://upstream.auto" TargetMode="External"/><Relationship Id="rId75" Type="http://schemas.openxmlformats.org/officeDocument/2006/relationships/hyperlink" Target="https://www.carteav.com" TargetMode="External"/><Relationship Id="rId74" Type="http://schemas.openxmlformats.org/officeDocument/2006/relationships/hyperlink" Target="https://www.maradin.co.il" TargetMode="External"/><Relationship Id="rId77" Type="http://schemas.openxmlformats.org/officeDocument/2006/relationships/hyperlink" Target="https://www.ituran.com/ituranfront/en" TargetMode="External"/><Relationship Id="rId260" Type="http://schemas.openxmlformats.org/officeDocument/2006/relationships/hyperlink" Target="https://www.videx-machine.com" TargetMode="External"/><Relationship Id="rId76" Type="http://schemas.openxmlformats.org/officeDocument/2006/relationships/hyperlink" Target="https://evedge.co.il" TargetMode="External"/><Relationship Id="rId79" Type="http://schemas.openxmlformats.org/officeDocument/2006/relationships/hyperlink" Target="https://www.3dbattery.co.il" TargetMode="External"/><Relationship Id="rId78" Type="http://schemas.openxmlformats.org/officeDocument/2006/relationships/hyperlink" Target="https://greenroad.com" TargetMode="External"/><Relationship Id="rId71" Type="http://schemas.openxmlformats.org/officeDocument/2006/relationships/hyperlink" Target="https://polymertal.com" TargetMode="External"/><Relationship Id="rId70" Type="http://schemas.openxmlformats.org/officeDocument/2006/relationships/hyperlink" Target="https://www.notraffic.tech" TargetMode="External"/><Relationship Id="rId139" Type="http://schemas.openxmlformats.org/officeDocument/2006/relationships/hyperlink" Target="https://www.otorize.com" TargetMode="External"/><Relationship Id="rId138" Type="http://schemas.openxmlformats.org/officeDocument/2006/relationships/hyperlink" Target="https://nano-vision.tech" TargetMode="External"/><Relationship Id="rId259" Type="http://schemas.openxmlformats.org/officeDocument/2006/relationships/hyperlink" Target="https://www.taborelec.com" TargetMode="External"/><Relationship Id="rId137" Type="http://schemas.openxmlformats.org/officeDocument/2006/relationships/hyperlink" Target="https://mat-ltd.com" TargetMode="External"/><Relationship Id="rId258" Type="http://schemas.openxmlformats.org/officeDocument/2006/relationships/hyperlink" Target="https://movinglife.com" TargetMode="External"/><Relationship Id="rId132" Type="http://schemas.openxmlformats.org/officeDocument/2006/relationships/hyperlink" Target="https://www.brightwayvision.com" TargetMode="External"/><Relationship Id="rId253" Type="http://schemas.openxmlformats.org/officeDocument/2006/relationships/hyperlink" Target="http://negevsol.com/?page_id=1471" TargetMode="External"/><Relationship Id="rId131" Type="http://schemas.openxmlformats.org/officeDocument/2006/relationships/hyperlink" Target="https://hailo.ai" TargetMode="External"/><Relationship Id="rId252" Type="http://schemas.openxmlformats.org/officeDocument/2006/relationships/hyperlink" Target="https://www.seedoo.co" TargetMode="External"/><Relationship Id="rId130" Type="http://schemas.openxmlformats.org/officeDocument/2006/relationships/hyperlink" Target="https://www.guardknox.com" TargetMode="External"/><Relationship Id="rId251" Type="http://schemas.openxmlformats.org/officeDocument/2006/relationships/hyperlink" Target="https://ottosec.com" TargetMode="External"/><Relationship Id="rId250" Type="http://schemas.openxmlformats.org/officeDocument/2006/relationships/hyperlink" Target="https://www.emuzev.com" TargetMode="External"/><Relationship Id="rId136" Type="http://schemas.openxmlformats.org/officeDocument/2006/relationships/hyperlink" Target="http://www.aeroshela.kd.co.il" TargetMode="External"/><Relationship Id="rId257" Type="http://schemas.openxmlformats.org/officeDocument/2006/relationships/hyperlink" Target="https://www.elbitsystems.com/land" TargetMode="External"/><Relationship Id="rId135" Type="http://schemas.openxmlformats.org/officeDocument/2006/relationships/hyperlink" Target="http://www.tltboard.com" TargetMode="External"/><Relationship Id="rId256" Type="http://schemas.openxmlformats.org/officeDocument/2006/relationships/hyperlink" Target="https://simplex.so" TargetMode="External"/><Relationship Id="rId134" Type="http://schemas.openxmlformats.org/officeDocument/2006/relationships/hyperlink" Target="https://moovitapp.com" TargetMode="External"/><Relationship Id="rId255" Type="http://schemas.openxmlformats.org/officeDocument/2006/relationships/hyperlink" Target="https://www.jupiter-ev.com" TargetMode="External"/><Relationship Id="rId133" Type="http://schemas.openxmlformats.org/officeDocument/2006/relationships/hyperlink" Target="http://www.cortica.com" TargetMode="External"/><Relationship Id="rId254" Type="http://schemas.openxmlformats.org/officeDocument/2006/relationships/hyperlink" Target="https://www.echo-id.com" TargetMode="External"/><Relationship Id="rId62" Type="http://schemas.openxmlformats.org/officeDocument/2006/relationships/hyperlink" Target="http://jpu.io" TargetMode="External"/><Relationship Id="rId61" Type="http://schemas.openxmlformats.org/officeDocument/2006/relationships/hyperlink" Target="https://www.kitov.ai" TargetMode="External"/><Relationship Id="rId64" Type="http://schemas.openxmlformats.org/officeDocument/2006/relationships/hyperlink" Target="https://www.unitronics.com" TargetMode="External"/><Relationship Id="rId63" Type="http://schemas.openxmlformats.org/officeDocument/2006/relationships/hyperlink" Target="http://www.jpu.io" TargetMode="External"/><Relationship Id="rId66" Type="http://schemas.openxmlformats.org/officeDocument/2006/relationships/hyperlink" Target="http://tomorrow.io" TargetMode="External"/><Relationship Id="rId172" Type="http://schemas.openxmlformats.org/officeDocument/2006/relationships/hyperlink" Target="https://inextechnologies.com" TargetMode="External"/><Relationship Id="rId293" Type="http://schemas.openxmlformats.org/officeDocument/2006/relationships/hyperlink" Target="http://www.cibeez.com" TargetMode="External"/><Relationship Id="rId65" Type="http://schemas.openxmlformats.org/officeDocument/2006/relationships/hyperlink" Target="http://www.arberobotics.com" TargetMode="External"/><Relationship Id="rId171" Type="http://schemas.openxmlformats.org/officeDocument/2006/relationships/hyperlink" Target="https://capow.energy" TargetMode="External"/><Relationship Id="rId292" Type="http://schemas.openxmlformats.org/officeDocument/2006/relationships/hyperlink" Target="https://www.v-hola.com" TargetMode="External"/><Relationship Id="rId68" Type="http://schemas.openxmlformats.org/officeDocument/2006/relationships/hyperlink" Target="https://questarauto.com" TargetMode="External"/><Relationship Id="rId170" Type="http://schemas.openxmlformats.org/officeDocument/2006/relationships/hyperlink" Target="https://hydrox.earth" TargetMode="External"/><Relationship Id="rId291" Type="http://schemas.openxmlformats.org/officeDocument/2006/relationships/hyperlink" Target="https://www.step-hear.com" TargetMode="External"/><Relationship Id="rId67" Type="http://schemas.openxmlformats.org/officeDocument/2006/relationships/hyperlink" Target="https://www.tomorrow.io" TargetMode="External"/><Relationship Id="rId290" Type="http://schemas.openxmlformats.org/officeDocument/2006/relationships/hyperlink" Target="https://assembrix.com" TargetMode="External"/><Relationship Id="rId60" Type="http://schemas.openxmlformats.org/officeDocument/2006/relationships/hyperlink" Target="https://ioten.co" TargetMode="External"/><Relationship Id="rId165" Type="http://schemas.openxmlformats.org/officeDocument/2006/relationships/hyperlink" Target="https://www.uveye.com" TargetMode="External"/><Relationship Id="rId286" Type="http://schemas.openxmlformats.org/officeDocument/2006/relationships/hyperlink" Target="https://www.gauzy.com" TargetMode="External"/><Relationship Id="rId69" Type="http://schemas.openxmlformats.org/officeDocument/2006/relationships/hyperlink" Target="https://elbitsystems.com" TargetMode="External"/><Relationship Id="rId164" Type="http://schemas.openxmlformats.org/officeDocument/2006/relationships/hyperlink" Target="http://www.kappasense.com" TargetMode="External"/><Relationship Id="rId285" Type="http://schemas.openxmlformats.org/officeDocument/2006/relationships/hyperlink" Target="https://phinergy.com" TargetMode="External"/><Relationship Id="rId163" Type="http://schemas.openxmlformats.org/officeDocument/2006/relationships/hyperlink" Target="https://www.gnrgy.com" TargetMode="External"/><Relationship Id="rId284" Type="http://schemas.openxmlformats.org/officeDocument/2006/relationships/hyperlink" Target="https://railvision.io" TargetMode="External"/><Relationship Id="rId162" Type="http://schemas.openxmlformats.org/officeDocument/2006/relationships/hyperlink" Target="https://www.redlertechnologies.com" TargetMode="External"/><Relationship Id="rId283" Type="http://schemas.openxmlformats.org/officeDocument/2006/relationships/hyperlink" Target="https://jungo.com" TargetMode="External"/><Relationship Id="rId169" Type="http://schemas.openxmlformats.org/officeDocument/2006/relationships/hyperlink" Target="https://www.novo-dr.com" TargetMode="External"/><Relationship Id="rId168" Type="http://schemas.openxmlformats.org/officeDocument/2006/relationships/hyperlink" Target="https://www.valerann.com" TargetMode="External"/><Relationship Id="rId289" Type="http://schemas.openxmlformats.org/officeDocument/2006/relationships/hyperlink" Target="https://www.solidt-tech.com" TargetMode="External"/><Relationship Id="rId167" Type="http://schemas.openxmlformats.org/officeDocument/2006/relationships/hyperlink" Target="https://orbit-cs.com" TargetMode="External"/><Relationship Id="rId288" Type="http://schemas.openxmlformats.org/officeDocument/2006/relationships/hyperlink" Target="https://www.cloud-wise.com" TargetMode="External"/><Relationship Id="rId166" Type="http://schemas.openxmlformats.org/officeDocument/2006/relationships/hyperlink" Target="https://www.kodiak.ai" TargetMode="External"/><Relationship Id="rId287" Type="http://schemas.openxmlformats.org/officeDocument/2006/relationships/hyperlink" Target="https://www.silentium.com" TargetMode="External"/><Relationship Id="rId51" Type="http://schemas.openxmlformats.org/officeDocument/2006/relationships/hyperlink" Target="http://www.etvenergy.com" TargetMode="External"/><Relationship Id="rId50" Type="http://schemas.openxmlformats.org/officeDocument/2006/relationships/hyperlink" Target="http://www.electreon.com" TargetMode="External"/><Relationship Id="rId53" Type="http://schemas.openxmlformats.org/officeDocument/2006/relationships/hyperlink" Target="https://vayyar.com" TargetMode="External"/><Relationship Id="rId52" Type="http://schemas.openxmlformats.org/officeDocument/2006/relationships/hyperlink" Target="https://www.clinch.co" TargetMode="External"/><Relationship Id="rId55" Type="http://schemas.openxmlformats.org/officeDocument/2006/relationships/hyperlink" Target="https://radsee.com" TargetMode="External"/><Relationship Id="rId161" Type="http://schemas.openxmlformats.org/officeDocument/2006/relationships/hyperlink" Target="https://eyenet-mobile.com" TargetMode="External"/><Relationship Id="rId282" Type="http://schemas.openxmlformats.org/officeDocument/2006/relationships/hyperlink" Target="https://www.accubeat.com" TargetMode="External"/><Relationship Id="rId54" Type="http://schemas.openxmlformats.org/officeDocument/2006/relationships/hyperlink" Target="https://hqtravel.com" TargetMode="External"/><Relationship Id="rId160" Type="http://schemas.openxmlformats.org/officeDocument/2006/relationships/hyperlink" Target="https://gasngo.com" TargetMode="External"/><Relationship Id="rId281" Type="http://schemas.openxmlformats.org/officeDocument/2006/relationships/hyperlink" Target="https://ir.vroom.com" TargetMode="External"/><Relationship Id="rId57" Type="http://schemas.openxmlformats.org/officeDocument/2006/relationships/hyperlink" Target="https://www.dymsense.com" TargetMode="External"/><Relationship Id="rId280" Type="http://schemas.openxmlformats.org/officeDocument/2006/relationships/hyperlink" Target="https://www.aquariusengines.com" TargetMode="External"/><Relationship Id="rId56" Type="http://schemas.openxmlformats.org/officeDocument/2006/relationships/hyperlink" Target="https://audiopixels.com.au" TargetMode="External"/><Relationship Id="rId159" Type="http://schemas.openxmlformats.org/officeDocument/2006/relationships/hyperlink" Target="https://www.rodradar.com" TargetMode="External"/><Relationship Id="rId59" Type="http://schemas.openxmlformats.org/officeDocument/2006/relationships/hyperlink" Target="https://www.artsys360.com" TargetMode="External"/><Relationship Id="rId154" Type="http://schemas.openxmlformats.org/officeDocument/2006/relationships/hyperlink" Target="https://www.solid-run.com" TargetMode="External"/><Relationship Id="rId275" Type="http://schemas.openxmlformats.org/officeDocument/2006/relationships/hyperlink" Target="https://dride.io" TargetMode="External"/><Relationship Id="rId58" Type="http://schemas.openxmlformats.org/officeDocument/2006/relationships/hyperlink" Target="https://www.safemode.co" TargetMode="External"/><Relationship Id="rId153" Type="http://schemas.openxmlformats.org/officeDocument/2006/relationships/hyperlink" Target="https://armorydefense.com" TargetMode="External"/><Relationship Id="rId274" Type="http://schemas.openxmlformats.org/officeDocument/2006/relationships/hyperlink" Target="https://www.scootair.co.il" TargetMode="External"/><Relationship Id="rId152" Type="http://schemas.openxmlformats.org/officeDocument/2006/relationships/hyperlink" Target="https://www.joynpower.com" TargetMode="External"/><Relationship Id="rId273" Type="http://schemas.openxmlformats.org/officeDocument/2006/relationships/hyperlink" Target="https://korra.ai" TargetMode="External"/><Relationship Id="rId151" Type="http://schemas.openxmlformats.org/officeDocument/2006/relationships/hyperlink" Target="https://ciphersip.com" TargetMode="External"/><Relationship Id="rId272" Type="http://schemas.openxmlformats.org/officeDocument/2006/relationships/hyperlink" Target="https://ovo.auto" TargetMode="External"/><Relationship Id="rId158" Type="http://schemas.openxmlformats.org/officeDocument/2006/relationships/hyperlink" Target="http://www.ermtelematics.com" TargetMode="External"/><Relationship Id="rId279" Type="http://schemas.openxmlformats.org/officeDocument/2006/relationships/hyperlink" Target="https://www.spetrotec.com" TargetMode="External"/><Relationship Id="rId157" Type="http://schemas.openxmlformats.org/officeDocument/2006/relationships/hyperlink" Target="https://www.zoozpower.com" TargetMode="External"/><Relationship Id="rId278" Type="http://schemas.openxmlformats.org/officeDocument/2006/relationships/hyperlink" Target="https://www.airev.aero" TargetMode="External"/><Relationship Id="rId156" Type="http://schemas.openxmlformats.org/officeDocument/2006/relationships/hyperlink" Target="https://www.hoopo.tech" TargetMode="External"/><Relationship Id="rId277" Type="http://schemas.openxmlformats.org/officeDocument/2006/relationships/hyperlink" Target="http://www.osrenterprises.com" TargetMode="External"/><Relationship Id="rId155" Type="http://schemas.openxmlformats.org/officeDocument/2006/relationships/hyperlink" Target="https://www.airwayz.co" TargetMode="External"/><Relationship Id="rId276" Type="http://schemas.openxmlformats.org/officeDocument/2006/relationships/hyperlink" Target="https://auto3p.com" TargetMode="External"/><Relationship Id="rId107" Type="http://schemas.openxmlformats.org/officeDocument/2006/relationships/hyperlink" Target="http://www.e-drivetech.com" TargetMode="External"/><Relationship Id="rId228" Type="http://schemas.openxmlformats.org/officeDocument/2006/relationships/hyperlink" Target="http://www.airlift-one.com" TargetMode="External"/><Relationship Id="rId106" Type="http://schemas.openxmlformats.org/officeDocument/2006/relationships/hyperlink" Target="https://audioburst.com" TargetMode="External"/><Relationship Id="rId227" Type="http://schemas.openxmlformats.org/officeDocument/2006/relationships/hyperlink" Target="https://www.skyermotors.com" TargetMode="External"/><Relationship Id="rId105" Type="http://schemas.openxmlformats.org/officeDocument/2006/relationships/hyperlink" Target="https://osg-group.com" TargetMode="External"/><Relationship Id="rId226" Type="http://schemas.openxmlformats.org/officeDocument/2006/relationships/hyperlink" Target="https://www.ridepny.com" TargetMode="External"/><Relationship Id="rId104" Type="http://schemas.openxmlformats.org/officeDocument/2006/relationships/hyperlink" Target="https://www.eltam-eh.co.il/en" TargetMode="External"/><Relationship Id="rId225" Type="http://schemas.openxmlformats.org/officeDocument/2006/relationships/hyperlink" Target="https://shareroute.com" TargetMode="External"/><Relationship Id="rId109" Type="http://schemas.openxmlformats.org/officeDocument/2006/relationships/hyperlink" Target="https://melodea.eu" TargetMode="External"/><Relationship Id="rId108" Type="http://schemas.openxmlformats.org/officeDocument/2006/relationships/hyperlink" Target="https://cervello.security" TargetMode="External"/><Relationship Id="rId229" Type="http://schemas.openxmlformats.org/officeDocument/2006/relationships/hyperlink" Target="https://www.whilx.tech" TargetMode="External"/><Relationship Id="rId220" Type="http://schemas.openxmlformats.org/officeDocument/2006/relationships/hyperlink" Target="https://www.youkol.biz" TargetMode="External"/><Relationship Id="rId103" Type="http://schemas.openxmlformats.org/officeDocument/2006/relationships/hyperlink" Target="https://ree.auto" TargetMode="External"/><Relationship Id="rId224" Type="http://schemas.openxmlformats.org/officeDocument/2006/relationships/hyperlink" Target="https://www.gorilla.link" TargetMode="External"/><Relationship Id="rId102" Type="http://schemas.openxmlformats.org/officeDocument/2006/relationships/hyperlink" Target="https://noam-urim.com" TargetMode="External"/><Relationship Id="rId223" Type="http://schemas.openxmlformats.org/officeDocument/2006/relationships/hyperlink" Target="https://censnano.com" TargetMode="External"/><Relationship Id="rId101" Type="http://schemas.openxmlformats.org/officeDocument/2006/relationships/hyperlink" Target="https://quicargo.com" TargetMode="External"/><Relationship Id="rId222" Type="http://schemas.openxmlformats.org/officeDocument/2006/relationships/hyperlink" Target="http://mkatzin.co.il" TargetMode="External"/><Relationship Id="rId100" Type="http://schemas.openxmlformats.org/officeDocument/2006/relationships/hyperlink" Target="https://nanoscentlabs.com" TargetMode="External"/><Relationship Id="rId221" Type="http://schemas.openxmlformats.org/officeDocument/2006/relationships/hyperlink" Target="https://www.chargebike.co" TargetMode="External"/><Relationship Id="rId217" Type="http://schemas.openxmlformats.org/officeDocument/2006/relationships/hyperlink" Target="https://mobixtron.com" TargetMode="External"/><Relationship Id="rId216" Type="http://schemas.openxmlformats.org/officeDocument/2006/relationships/hyperlink" Target="http://joingreenspot.com" TargetMode="External"/><Relationship Id="rId215" Type="http://schemas.openxmlformats.org/officeDocument/2006/relationships/hyperlink" Target="https://shieldpro.drivetech360.com" TargetMode="External"/><Relationship Id="rId214" Type="http://schemas.openxmlformats.org/officeDocument/2006/relationships/hyperlink" Target="https://www.modalai.co" TargetMode="External"/><Relationship Id="rId219" Type="http://schemas.openxmlformats.org/officeDocument/2006/relationships/hyperlink" Target="http://www.yafaenergy.com" TargetMode="External"/><Relationship Id="rId218" Type="http://schemas.openxmlformats.org/officeDocument/2006/relationships/hyperlink" Target="https://www.motoro-security.com" TargetMode="External"/><Relationship Id="rId330" Type="http://schemas.openxmlformats.org/officeDocument/2006/relationships/drawing" Target="../drawings/drawing1.xml"/><Relationship Id="rId213" Type="http://schemas.openxmlformats.org/officeDocument/2006/relationships/hyperlink" Target="https://www.ajinomatrix.org" TargetMode="External"/><Relationship Id="rId212" Type="http://schemas.openxmlformats.org/officeDocument/2006/relationships/hyperlink" Target="https://www.iphysicist.com/VioGlass.htm" TargetMode="External"/><Relationship Id="rId211" Type="http://schemas.openxmlformats.org/officeDocument/2006/relationships/hyperlink" Target="http://www.iphysicist.com" TargetMode="External"/><Relationship Id="rId210" Type="http://schemas.openxmlformats.org/officeDocument/2006/relationships/hyperlink" Target="https://www.optiways.io" TargetMode="External"/><Relationship Id="rId129" Type="http://schemas.openxmlformats.org/officeDocument/2006/relationships/hyperlink" Target="https://www.rsipvision.com" TargetMode="External"/><Relationship Id="rId128" Type="http://schemas.openxmlformats.org/officeDocument/2006/relationships/hyperlink" Target="https://driveu.auto" TargetMode="External"/><Relationship Id="rId249" Type="http://schemas.openxmlformats.org/officeDocument/2006/relationships/hyperlink" Target="https://0-10s.com" TargetMode="External"/><Relationship Id="rId127" Type="http://schemas.openxmlformats.org/officeDocument/2006/relationships/hyperlink" Target="http://aldservice.com/Reliability-products/ald-reliability-and-safety-tools-overview.html" TargetMode="External"/><Relationship Id="rId248" Type="http://schemas.openxmlformats.org/officeDocument/2006/relationships/hyperlink" Target="https://sps-app.com" TargetMode="External"/><Relationship Id="rId126" Type="http://schemas.openxmlformats.org/officeDocument/2006/relationships/hyperlink" Target="http://www.netroads.net" TargetMode="External"/><Relationship Id="rId247" Type="http://schemas.openxmlformats.org/officeDocument/2006/relationships/hyperlink" Target="http://evco.pro" TargetMode="External"/><Relationship Id="rId121" Type="http://schemas.openxmlformats.org/officeDocument/2006/relationships/hyperlink" Target="https://www.deeyook.com" TargetMode="External"/><Relationship Id="rId242" Type="http://schemas.openxmlformats.org/officeDocument/2006/relationships/hyperlink" Target="http://www.optima-da.com" TargetMode="External"/><Relationship Id="rId120" Type="http://schemas.openxmlformats.org/officeDocument/2006/relationships/hyperlink" Target="https://blitzmotors.com" TargetMode="External"/><Relationship Id="rId241" Type="http://schemas.openxmlformats.org/officeDocument/2006/relationships/hyperlink" Target="https://intelligent-vehicle-systems.com" TargetMode="External"/><Relationship Id="rId240" Type="http://schemas.openxmlformats.org/officeDocument/2006/relationships/hyperlink" Target="https://www.nrgspring.com" TargetMode="External"/><Relationship Id="rId125" Type="http://schemas.openxmlformats.org/officeDocument/2006/relationships/hyperlink" Target="http://www.rubidium.com" TargetMode="External"/><Relationship Id="rId246" Type="http://schemas.openxmlformats.org/officeDocument/2006/relationships/hyperlink" Target="http://121gw.tech" TargetMode="External"/><Relationship Id="rId124" Type="http://schemas.openxmlformats.org/officeDocument/2006/relationships/hyperlink" Target="https://www.visionary.ai" TargetMode="External"/><Relationship Id="rId245" Type="http://schemas.openxmlformats.org/officeDocument/2006/relationships/hyperlink" Target="http://roads.ai" TargetMode="External"/><Relationship Id="rId123" Type="http://schemas.openxmlformats.org/officeDocument/2006/relationships/hyperlink" Target="http://visionary.ai" TargetMode="External"/><Relationship Id="rId244" Type="http://schemas.openxmlformats.org/officeDocument/2006/relationships/hyperlink" Target="http://mycar.autocar.co.il" TargetMode="External"/><Relationship Id="rId122" Type="http://schemas.openxmlformats.org/officeDocument/2006/relationships/hyperlink" Target="https://corractions.com" TargetMode="External"/><Relationship Id="rId243" Type="http://schemas.openxmlformats.org/officeDocument/2006/relationships/hyperlink" Target="https://www.mobicar.co.il" TargetMode="External"/><Relationship Id="rId95" Type="http://schemas.openxmlformats.org/officeDocument/2006/relationships/hyperlink" Target="http://www.greenkote.com" TargetMode="External"/><Relationship Id="rId94" Type="http://schemas.openxmlformats.org/officeDocument/2006/relationships/hyperlink" Target="https://www.click-ins.com" TargetMode="External"/><Relationship Id="rId97" Type="http://schemas.openxmlformats.org/officeDocument/2006/relationships/hyperlink" Target="https://logi-tag.com" TargetMode="External"/><Relationship Id="rId96" Type="http://schemas.openxmlformats.org/officeDocument/2006/relationships/hyperlink" Target="http://www.nrg1.co.il/multilang/en" TargetMode="External"/><Relationship Id="rId99" Type="http://schemas.openxmlformats.org/officeDocument/2006/relationships/hyperlink" Target="https://www.runel.net" TargetMode="External"/><Relationship Id="rId98" Type="http://schemas.openxmlformats.org/officeDocument/2006/relationships/hyperlink" Target="https://www.riderdome.com" TargetMode="External"/><Relationship Id="rId91" Type="http://schemas.openxmlformats.org/officeDocument/2006/relationships/hyperlink" Target="https://www.actasysinc.com" TargetMode="External"/><Relationship Id="rId90" Type="http://schemas.openxmlformats.org/officeDocument/2006/relationships/hyperlink" Target="http://www.bqr.com" TargetMode="External"/><Relationship Id="rId93" Type="http://schemas.openxmlformats.org/officeDocument/2006/relationships/hyperlink" Target="http://www.sitaltech.com" TargetMode="External"/><Relationship Id="rId92" Type="http://schemas.openxmlformats.org/officeDocument/2006/relationships/hyperlink" Target="https://www.newsight.com" TargetMode="External"/><Relationship Id="rId118" Type="http://schemas.openxmlformats.org/officeDocument/2006/relationships/hyperlink" Target="https://spinframe.com" TargetMode="External"/><Relationship Id="rId239" Type="http://schemas.openxmlformats.org/officeDocument/2006/relationships/hyperlink" Target="https://mobilinx.wixsite.com/website" TargetMode="External"/><Relationship Id="rId117" Type="http://schemas.openxmlformats.org/officeDocument/2006/relationships/hyperlink" Target="https://www.griiip.com" TargetMode="External"/><Relationship Id="rId238" Type="http://schemas.openxmlformats.org/officeDocument/2006/relationships/hyperlink" Target="https://balcar.co.il" TargetMode="External"/><Relationship Id="rId116" Type="http://schemas.openxmlformats.org/officeDocument/2006/relationships/hyperlink" Target="https://www.mobius-ps.com" TargetMode="External"/><Relationship Id="rId237" Type="http://schemas.openxmlformats.org/officeDocument/2006/relationships/hyperlink" Target="https://www.pixtier.com" TargetMode="External"/><Relationship Id="rId115" Type="http://schemas.openxmlformats.org/officeDocument/2006/relationships/hyperlink" Target="https://www.wisesight.ai" TargetMode="External"/><Relationship Id="rId236" Type="http://schemas.openxmlformats.org/officeDocument/2006/relationships/hyperlink" Target="https://app-raiser.co" TargetMode="External"/><Relationship Id="rId119" Type="http://schemas.openxmlformats.org/officeDocument/2006/relationships/hyperlink" Target="https://carrar.net" TargetMode="External"/><Relationship Id="rId110" Type="http://schemas.openxmlformats.org/officeDocument/2006/relationships/hyperlink" Target="https://mappo.world" TargetMode="External"/><Relationship Id="rId231" Type="http://schemas.openxmlformats.org/officeDocument/2006/relationships/hyperlink" Target="http://beamshaping.io" TargetMode="External"/><Relationship Id="rId230" Type="http://schemas.openxmlformats.org/officeDocument/2006/relationships/hyperlink" Target="http://incareye.com" TargetMode="External"/><Relationship Id="rId114" Type="http://schemas.openxmlformats.org/officeDocument/2006/relationships/hyperlink" Target="https://www.fullpath.com" TargetMode="External"/><Relationship Id="rId235" Type="http://schemas.openxmlformats.org/officeDocument/2006/relationships/hyperlink" Target="http://www.sti-ltd.org" TargetMode="External"/><Relationship Id="rId113" Type="http://schemas.openxmlformats.org/officeDocument/2006/relationships/hyperlink" Target="https://www.kardome.com" TargetMode="External"/><Relationship Id="rId234" Type="http://schemas.openxmlformats.org/officeDocument/2006/relationships/hyperlink" Target="https://grivo.co.il" TargetMode="External"/><Relationship Id="rId112" Type="http://schemas.openxmlformats.org/officeDocument/2006/relationships/hyperlink" Target="https://www.galooli.com" TargetMode="External"/><Relationship Id="rId233" Type="http://schemas.openxmlformats.org/officeDocument/2006/relationships/hyperlink" Target="https://www.rego4x4.com" TargetMode="External"/><Relationship Id="rId111" Type="http://schemas.openxmlformats.org/officeDocument/2006/relationships/hyperlink" Target="https://www.valens.com" TargetMode="External"/><Relationship Id="rId232" Type="http://schemas.openxmlformats.org/officeDocument/2006/relationships/hyperlink" Target="http://www.semantipedia.com" TargetMode="External"/><Relationship Id="rId305" Type="http://schemas.openxmlformats.org/officeDocument/2006/relationships/hyperlink" Target="https://www.plataine.com" TargetMode="External"/><Relationship Id="rId304" Type="http://schemas.openxmlformats.org/officeDocument/2006/relationships/hyperlink" Target="https://friendly-tech.com" TargetMode="External"/><Relationship Id="rId303" Type="http://schemas.openxmlformats.org/officeDocument/2006/relationships/hyperlink" Target="https://www.foresightauto.com" TargetMode="External"/><Relationship Id="rId302" Type="http://schemas.openxmlformats.org/officeDocument/2006/relationships/hyperlink" Target="https://www.adasky.com" TargetMode="External"/><Relationship Id="rId309" Type="http://schemas.openxmlformats.org/officeDocument/2006/relationships/hyperlink" Target="https://remot.energy" TargetMode="External"/><Relationship Id="rId308" Type="http://schemas.openxmlformats.org/officeDocument/2006/relationships/hyperlink" Target="http://www.bmax.com" TargetMode="External"/><Relationship Id="rId307" Type="http://schemas.openxmlformats.org/officeDocument/2006/relationships/hyperlink" Target="http://www.plasan.com" TargetMode="External"/><Relationship Id="rId306" Type="http://schemas.openxmlformats.org/officeDocument/2006/relationships/hyperlink" Target="https://www.skylock.co.il" TargetMode="External"/><Relationship Id="rId301" Type="http://schemas.openxmlformats.org/officeDocument/2006/relationships/hyperlink" Target="http://www.checkpoint.com" TargetMode="External"/><Relationship Id="rId300" Type="http://schemas.openxmlformats.org/officeDocument/2006/relationships/hyperlink" Target="https://www.epsilor.com" TargetMode="External"/><Relationship Id="rId206" Type="http://schemas.openxmlformats.org/officeDocument/2006/relationships/hyperlink" Target="https://pass-drive.com" TargetMode="External"/><Relationship Id="rId327" Type="http://schemas.openxmlformats.org/officeDocument/2006/relationships/hyperlink" Target="https://hopon.co" TargetMode="External"/><Relationship Id="rId205" Type="http://schemas.openxmlformats.org/officeDocument/2006/relationships/hyperlink" Target="https://ottopia.tech" TargetMode="External"/><Relationship Id="rId326" Type="http://schemas.openxmlformats.org/officeDocument/2006/relationships/hyperlink" Target="http://www.intuitionrobotics.com" TargetMode="External"/><Relationship Id="rId204" Type="http://schemas.openxmlformats.org/officeDocument/2006/relationships/hyperlink" Target="https://lendbuzz.com" TargetMode="External"/><Relationship Id="rId325" Type="http://schemas.openxmlformats.org/officeDocument/2006/relationships/hyperlink" Target="https://www.anachoic.com" TargetMode="External"/><Relationship Id="rId203" Type="http://schemas.openxmlformats.org/officeDocument/2006/relationships/hyperlink" Target="https://powermat.com" TargetMode="External"/><Relationship Id="rId324" Type="http://schemas.openxmlformats.org/officeDocument/2006/relationships/hyperlink" Target="https://gett.com/il" TargetMode="External"/><Relationship Id="rId209" Type="http://schemas.openxmlformats.org/officeDocument/2006/relationships/hyperlink" Target="http://optiways.io" TargetMode="External"/><Relationship Id="rId208" Type="http://schemas.openxmlformats.org/officeDocument/2006/relationships/hyperlink" Target="https://www.novalert.com" TargetMode="External"/><Relationship Id="rId329" Type="http://schemas.openxmlformats.org/officeDocument/2006/relationships/hyperlink" Target="https://www.addionics.com" TargetMode="External"/><Relationship Id="rId207" Type="http://schemas.openxmlformats.org/officeDocument/2006/relationships/hyperlink" Target="https://www.carzone.co.il" TargetMode="External"/><Relationship Id="rId328" Type="http://schemas.openxmlformats.org/officeDocument/2006/relationships/hyperlink" Target="https://www.telit.com" TargetMode="External"/><Relationship Id="rId202" Type="http://schemas.openxmlformats.org/officeDocument/2006/relationships/hyperlink" Target="https://www.visic-tech.com" TargetMode="External"/><Relationship Id="rId323" Type="http://schemas.openxmlformats.org/officeDocument/2006/relationships/hyperlink" Target="https://en.pango.co.il" TargetMode="External"/><Relationship Id="rId201" Type="http://schemas.openxmlformats.org/officeDocument/2006/relationships/hyperlink" Target="https://evr-motors.com" TargetMode="External"/><Relationship Id="rId322" Type="http://schemas.openxmlformats.org/officeDocument/2006/relationships/hyperlink" Target="https://www.store-dot.com" TargetMode="External"/><Relationship Id="rId200" Type="http://schemas.openxmlformats.org/officeDocument/2006/relationships/hyperlink" Target="https://www.mov.ai" TargetMode="External"/><Relationship Id="rId321" Type="http://schemas.openxmlformats.org/officeDocument/2006/relationships/hyperlink" Target="https://www.irpsystems.com" TargetMode="External"/><Relationship Id="rId320" Type="http://schemas.openxmlformats.org/officeDocument/2006/relationships/hyperlink" Target="https://electricare-ev.com" TargetMode="External"/><Relationship Id="rId316" Type="http://schemas.openxmlformats.org/officeDocument/2006/relationships/hyperlink" Target="https://www.ellr.bike" TargetMode="External"/><Relationship Id="rId315" Type="http://schemas.openxmlformats.org/officeDocument/2006/relationships/hyperlink" Target="https://www.tupaia-pos.com" TargetMode="External"/><Relationship Id="rId314" Type="http://schemas.openxmlformats.org/officeDocument/2006/relationships/hyperlink" Target="https://www.zamir.cc" TargetMode="External"/><Relationship Id="rId313" Type="http://schemas.openxmlformats.org/officeDocument/2006/relationships/hyperlink" Target="https://www.ad-knight.com" TargetMode="External"/><Relationship Id="rId319" Type="http://schemas.openxmlformats.org/officeDocument/2006/relationships/hyperlink" Target="https://www.almatechnologies.com" TargetMode="External"/><Relationship Id="rId318" Type="http://schemas.openxmlformats.org/officeDocument/2006/relationships/hyperlink" Target="https://www.exelerate.com" TargetMode="External"/><Relationship Id="rId317" Type="http://schemas.openxmlformats.org/officeDocument/2006/relationships/hyperlink" Target="https://www.safefields-tech.com" TargetMode="External"/><Relationship Id="rId312" Type="http://schemas.openxmlformats.org/officeDocument/2006/relationships/hyperlink" Target="https://www.tanku.com" TargetMode="External"/><Relationship Id="rId311" Type="http://schemas.openxmlformats.org/officeDocument/2006/relationships/hyperlink" Target="https://www.roadsense.tech" TargetMode="External"/><Relationship Id="rId310" Type="http://schemas.openxmlformats.org/officeDocument/2006/relationships/hyperlink" Target="https://tervizio.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www.linkedin.com/company/c-m-d-ltd" TargetMode="External"/><Relationship Id="rId194" Type="http://schemas.openxmlformats.org/officeDocument/2006/relationships/hyperlink" Target="http://www.linkedin.com/company/colugo-systems" TargetMode="External"/><Relationship Id="rId193" Type="http://schemas.openxmlformats.org/officeDocument/2006/relationships/hyperlink" Target="http://www.colugo-sys.com" TargetMode="External"/><Relationship Id="rId192" Type="http://schemas.openxmlformats.org/officeDocument/2006/relationships/hyperlink" Target="http://colmobil.co.il" TargetMode="External"/><Relationship Id="rId191" Type="http://schemas.openxmlformats.org/officeDocument/2006/relationships/hyperlink" Target="http://www.co-moving.com" TargetMode="External"/><Relationship Id="rId187" Type="http://schemas.openxmlformats.org/officeDocument/2006/relationships/hyperlink" Target="http://www.citypass.co.il" TargetMode="External"/><Relationship Id="rId186" Type="http://schemas.openxmlformats.org/officeDocument/2006/relationships/hyperlink" Target="http://www.cipia.com" TargetMode="External"/><Relationship Id="rId185" Type="http://schemas.openxmlformats.org/officeDocument/2006/relationships/hyperlink" Target="http://www.chemichlor.co.il" TargetMode="External"/><Relationship Id="rId184" Type="http://schemas.openxmlformats.org/officeDocument/2006/relationships/hyperlink" Target="http://www.linkedin.com/company/cellopark-israel" TargetMode="External"/><Relationship Id="rId189" Type="http://schemas.openxmlformats.org/officeDocument/2006/relationships/hyperlink" Target="http://www.cmd.co.il" TargetMode="External"/><Relationship Id="rId188" Type="http://schemas.openxmlformats.org/officeDocument/2006/relationships/hyperlink" Target="http://www.clidrotech.com" TargetMode="External"/><Relationship Id="rId183" Type="http://schemas.openxmlformats.org/officeDocument/2006/relationships/hyperlink" Target="http://www.cello-app.com" TargetMode="External"/><Relationship Id="rId182" Type="http://schemas.openxmlformats.org/officeDocument/2006/relationships/hyperlink" Target="http://www.cell-guide.com" TargetMode="External"/><Relationship Id="rId181" Type="http://schemas.openxmlformats.org/officeDocument/2006/relationships/hyperlink" Target="http://www.carsdome.com" TargetMode="External"/><Relationship Id="rId180" Type="http://schemas.openxmlformats.org/officeDocument/2006/relationships/hyperlink" Target="http://www.linkedin.com/company/airborne-collision-avoidance" TargetMode="External"/><Relationship Id="rId176" Type="http://schemas.openxmlformats.org/officeDocument/2006/relationships/hyperlink" Target="http://www.freesbe.com" TargetMode="External"/><Relationship Id="rId297" Type="http://schemas.openxmlformats.org/officeDocument/2006/relationships/hyperlink" Target="http://www.hydrones.net" TargetMode="External"/><Relationship Id="rId175" Type="http://schemas.openxmlformats.org/officeDocument/2006/relationships/hyperlink" Target="http://car2go.co.il" TargetMode="External"/><Relationship Id="rId296" Type="http://schemas.openxmlformats.org/officeDocument/2006/relationships/hyperlink" Target="http://www.431road.co.il" TargetMode="External"/><Relationship Id="rId174" Type="http://schemas.openxmlformats.org/officeDocument/2006/relationships/hyperlink" Target="http://www.linkedin.com/company/car-adviser" TargetMode="External"/><Relationship Id="rId295" Type="http://schemas.openxmlformats.org/officeDocument/2006/relationships/hyperlink" Target="http://www.linkedin.com/company/helios-tracker" TargetMode="External"/><Relationship Id="rId173" Type="http://schemas.openxmlformats.org/officeDocument/2006/relationships/hyperlink" Target="http://www.caradviser.io" TargetMode="External"/><Relationship Id="rId294" Type="http://schemas.openxmlformats.org/officeDocument/2006/relationships/hyperlink" Target="http://heliostracker.io" TargetMode="External"/><Relationship Id="rId179" Type="http://schemas.openxmlformats.org/officeDocument/2006/relationships/hyperlink" Target="http://carpas.de" TargetMode="External"/><Relationship Id="rId178" Type="http://schemas.openxmlformats.org/officeDocument/2006/relationships/hyperlink" Target="http://www.cardboardtech.com" TargetMode="External"/><Relationship Id="rId299" Type="http://schemas.openxmlformats.org/officeDocument/2006/relationships/hyperlink" Target="http://www.linkedin.com/company/i4drive" TargetMode="External"/><Relationship Id="rId177" Type="http://schemas.openxmlformats.org/officeDocument/2006/relationships/hyperlink" Target="http://www.linkedin.com/company/freesbeisrael" TargetMode="External"/><Relationship Id="rId298" Type="http://schemas.openxmlformats.org/officeDocument/2006/relationships/hyperlink" Target="http://www.i4drive.com" TargetMode="External"/><Relationship Id="rId198" Type="http://schemas.openxmlformats.org/officeDocument/2006/relationships/hyperlink" Target="http://www.continualexperience.com" TargetMode="External"/><Relationship Id="rId197" Type="http://schemas.openxmlformats.org/officeDocument/2006/relationships/hyperlink" Target="http://www.linkedin.com/company/connvas" TargetMode="External"/><Relationship Id="rId196" Type="http://schemas.openxmlformats.org/officeDocument/2006/relationships/hyperlink" Target="http://www.connvas.com" TargetMode="External"/><Relationship Id="rId195" Type="http://schemas.openxmlformats.org/officeDocument/2006/relationships/hyperlink" Target="http://www.linkedin.com/company/connectlightrail" TargetMode="External"/><Relationship Id="rId199" Type="http://schemas.openxmlformats.org/officeDocument/2006/relationships/hyperlink" Target="http://www.cybellum.com" TargetMode="External"/><Relationship Id="rId150" Type="http://schemas.openxmlformats.org/officeDocument/2006/relationships/hyperlink" Target="http://www.ba-aero.com" TargetMode="External"/><Relationship Id="rId271" Type="http://schemas.openxmlformats.org/officeDocument/2006/relationships/hyperlink" Target="http://www.linkedin.com/company/freightos" TargetMode="External"/><Relationship Id="rId392" Type="http://schemas.openxmlformats.org/officeDocument/2006/relationships/hyperlink" Target="http://www.linkedin.com/company/opticity-global" TargetMode="External"/><Relationship Id="rId270" Type="http://schemas.openxmlformats.org/officeDocument/2006/relationships/hyperlink" Target="http://www.freightos.com" TargetMode="External"/><Relationship Id="rId391" Type="http://schemas.openxmlformats.org/officeDocument/2006/relationships/hyperlink" Target="http://www.opticity.co.il" TargetMode="External"/><Relationship Id="rId390" Type="http://schemas.openxmlformats.org/officeDocument/2006/relationships/hyperlink" Target="http://www.oleshop.com" TargetMode="External"/><Relationship Id="rId1" Type="http://schemas.openxmlformats.org/officeDocument/2006/relationships/hyperlink" Target="http://package.ai" TargetMode="External"/><Relationship Id="rId2" Type="http://schemas.openxmlformats.org/officeDocument/2006/relationships/hyperlink" Target="http://www.package.ai" TargetMode="External"/><Relationship Id="rId3" Type="http://schemas.openxmlformats.org/officeDocument/2006/relationships/hyperlink" Target="http://www.linkedin.com/company/package.ai" TargetMode="External"/><Relationship Id="rId149" Type="http://schemas.openxmlformats.org/officeDocument/2006/relationships/hyperlink" Target="http://www.chainfreebike.com" TargetMode="External"/><Relationship Id="rId4" Type="http://schemas.openxmlformats.org/officeDocument/2006/relationships/hyperlink" Target="http://www.infinidome.com" TargetMode="External"/><Relationship Id="rId148" Type="http://schemas.openxmlformats.org/officeDocument/2006/relationships/hyperlink" Target="http://www.linkedin.com/company/ayalon-highways-co." TargetMode="External"/><Relationship Id="rId269" Type="http://schemas.openxmlformats.org/officeDocument/2006/relationships/hyperlink" Target="http://www.linkedin.com/company/foresight-automotive" TargetMode="External"/><Relationship Id="rId9" Type="http://schemas.openxmlformats.org/officeDocument/2006/relationships/hyperlink" Target="http://www.linkedin.com/company/auroralabs" TargetMode="External"/><Relationship Id="rId143" Type="http://schemas.openxmlformats.org/officeDocument/2006/relationships/hyperlink" Target="http://www.auto-talks.com" TargetMode="External"/><Relationship Id="rId264" Type="http://schemas.openxmlformats.org/officeDocument/2006/relationships/hyperlink" Target="http://www.linkedin.com/company/f-n-aviation" TargetMode="External"/><Relationship Id="rId385" Type="http://schemas.openxmlformats.org/officeDocument/2006/relationships/hyperlink" Target="http://www.linkedin.com/company/newsight-imaging" TargetMode="External"/><Relationship Id="rId142" Type="http://schemas.openxmlformats.org/officeDocument/2006/relationships/hyperlink" Target="http://www.linkedin.com/company/autofleet" TargetMode="External"/><Relationship Id="rId263" Type="http://schemas.openxmlformats.org/officeDocument/2006/relationships/hyperlink" Target="http://fnaviation.co.il" TargetMode="External"/><Relationship Id="rId384" Type="http://schemas.openxmlformats.org/officeDocument/2006/relationships/hyperlink" Target="http://www.newsight.com" TargetMode="External"/><Relationship Id="rId141" Type="http://schemas.openxmlformats.org/officeDocument/2006/relationships/hyperlink" Target="http://www.autofleet.io" TargetMode="External"/><Relationship Id="rId262" Type="http://schemas.openxmlformats.org/officeDocument/2006/relationships/hyperlink" Target="http://www.linkedin.com/company/ezraider" TargetMode="External"/><Relationship Id="rId383" Type="http://schemas.openxmlformats.org/officeDocument/2006/relationships/hyperlink" Target="http://www.linkedin.com/company/newbyte-flight-dynamics-ltd" TargetMode="External"/><Relationship Id="rId140" Type="http://schemas.openxmlformats.org/officeDocument/2006/relationships/hyperlink" Target="http://www.auto-deal.co.il" TargetMode="External"/><Relationship Id="rId261" Type="http://schemas.openxmlformats.org/officeDocument/2006/relationships/hyperlink" Target="http://www.ezraider.com" TargetMode="External"/><Relationship Id="rId382" Type="http://schemas.openxmlformats.org/officeDocument/2006/relationships/hyperlink" Target="http://newbyte.co.il" TargetMode="External"/><Relationship Id="rId5" Type="http://schemas.openxmlformats.org/officeDocument/2006/relationships/hyperlink" Target="http://www.linkedin.com/company/gps-dome-ltd" TargetMode="External"/><Relationship Id="rId147" Type="http://schemas.openxmlformats.org/officeDocument/2006/relationships/hyperlink" Target="http://ayalonhw.co.il" TargetMode="External"/><Relationship Id="rId268" Type="http://schemas.openxmlformats.org/officeDocument/2006/relationships/hyperlink" Target="http://www.foresightauto.com" TargetMode="External"/><Relationship Id="rId389" Type="http://schemas.openxmlformats.org/officeDocument/2006/relationships/hyperlink" Target="http://www.linkedin.com/company/office-core-latam" TargetMode="External"/><Relationship Id="rId6" Type="http://schemas.openxmlformats.org/officeDocument/2006/relationships/hyperlink" Target="http://www.c2a-sec.com" TargetMode="External"/><Relationship Id="rId146" Type="http://schemas.openxmlformats.org/officeDocument/2006/relationships/hyperlink" Target="http://www.linkedin.com/company/axilion-ltd" TargetMode="External"/><Relationship Id="rId267" Type="http://schemas.openxmlformats.org/officeDocument/2006/relationships/hyperlink" Target="http://www.linkedin.com/company/flyvercity" TargetMode="External"/><Relationship Id="rId388" Type="http://schemas.openxmlformats.org/officeDocument/2006/relationships/hyperlink" Target="http://officetrack.com" TargetMode="External"/><Relationship Id="rId7" Type="http://schemas.openxmlformats.org/officeDocument/2006/relationships/hyperlink" Target="http://www.linkedin.com/company/c2a-security" TargetMode="External"/><Relationship Id="rId145" Type="http://schemas.openxmlformats.org/officeDocument/2006/relationships/hyperlink" Target="http://www.axilion.com" TargetMode="External"/><Relationship Id="rId266" Type="http://schemas.openxmlformats.org/officeDocument/2006/relationships/hyperlink" Target="http://www.flyvercity.com" TargetMode="External"/><Relationship Id="rId387" Type="http://schemas.openxmlformats.org/officeDocument/2006/relationships/hyperlink" Target="http://www.linkedin.com/company/nugencleanenergy" TargetMode="External"/><Relationship Id="rId8" Type="http://schemas.openxmlformats.org/officeDocument/2006/relationships/hyperlink" Target="http://www.auroralabs.com" TargetMode="External"/><Relationship Id="rId144" Type="http://schemas.openxmlformats.org/officeDocument/2006/relationships/hyperlink" Target="http://www.linkedin.com/company/autotrusttech" TargetMode="External"/><Relationship Id="rId265" Type="http://schemas.openxmlformats.org/officeDocument/2006/relationships/hyperlink" Target="http://www.fleetonomy.io" TargetMode="External"/><Relationship Id="rId386" Type="http://schemas.openxmlformats.org/officeDocument/2006/relationships/hyperlink" Target="http://www.nugeneco.com" TargetMode="External"/><Relationship Id="rId260" Type="http://schemas.openxmlformats.org/officeDocument/2006/relationships/hyperlink" Target="http://www.linkedin.com/company/ez-fleet-ev" TargetMode="External"/><Relationship Id="rId381" Type="http://schemas.openxmlformats.org/officeDocument/2006/relationships/hyperlink" Target="http://www.neomatix.com" TargetMode="External"/><Relationship Id="rId380" Type="http://schemas.openxmlformats.org/officeDocument/2006/relationships/hyperlink" Target="http://www.linkedin.com/company/nemodata" TargetMode="External"/><Relationship Id="rId139" Type="http://schemas.openxmlformats.org/officeDocument/2006/relationships/hyperlink" Target="http://www.linkedin.com/company/strasa-tech" TargetMode="External"/><Relationship Id="rId138" Type="http://schemas.openxmlformats.org/officeDocument/2006/relationships/hyperlink" Target="http://www.asanatechnology.com" TargetMode="External"/><Relationship Id="rId259" Type="http://schemas.openxmlformats.org/officeDocument/2006/relationships/hyperlink" Target="http://www.linkedin.com/company/eyeway-io" TargetMode="External"/><Relationship Id="rId137" Type="http://schemas.openxmlformats.org/officeDocument/2006/relationships/hyperlink" Target="http://www.linkedin.com/company/arkia" TargetMode="External"/><Relationship Id="rId258" Type="http://schemas.openxmlformats.org/officeDocument/2006/relationships/hyperlink" Target="http://eyeway.io" TargetMode="External"/><Relationship Id="rId379" Type="http://schemas.openxmlformats.org/officeDocument/2006/relationships/hyperlink" Target="http://www.nemodata.ai" TargetMode="External"/><Relationship Id="rId132" Type="http://schemas.openxmlformats.org/officeDocument/2006/relationships/hyperlink" Target="http://www.arberobotics.com" TargetMode="External"/><Relationship Id="rId253" Type="http://schemas.openxmlformats.org/officeDocument/2006/relationships/hyperlink" Target="http://www.linkedin.com/company/evpowerai" TargetMode="External"/><Relationship Id="rId374" Type="http://schemas.openxmlformats.org/officeDocument/2006/relationships/hyperlink" Target="http://mylefly.com" TargetMode="External"/><Relationship Id="rId495" Type="http://schemas.openxmlformats.org/officeDocument/2006/relationships/hyperlink" Target="http://www.tratix.online" TargetMode="External"/><Relationship Id="rId131" Type="http://schemas.openxmlformats.org/officeDocument/2006/relationships/hyperlink" Target="http://www.app-raiser.co" TargetMode="External"/><Relationship Id="rId252" Type="http://schemas.openxmlformats.org/officeDocument/2006/relationships/hyperlink" Target="http://www.evpower.ai" TargetMode="External"/><Relationship Id="rId373" Type="http://schemas.openxmlformats.org/officeDocument/2006/relationships/hyperlink" Target="http://www.muv-e.com" TargetMode="External"/><Relationship Id="rId494" Type="http://schemas.openxmlformats.org/officeDocument/2006/relationships/hyperlink" Target="http://www.trailze.com" TargetMode="External"/><Relationship Id="rId130" Type="http://schemas.openxmlformats.org/officeDocument/2006/relationships/hyperlink" Target="http://www.linkedin.com/company/automotive-robotic-industry" TargetMode="External"/><Relationship Id="rId251" Type="http://schemas.openxmlformats.org/officeDocument/2006/relationships/hyperlink" Target="http://evpower.ai" TargetMode="External"/><Relationship Id="rId372" Type="http://schemas.openxmlformats.org/officeDocument/2006/relationships/hyperlink" Target="http://www.linkedin.com/company/moving-life-ltd-" TargetMode="External"/><Relationship Id="rId493" Type="http://schemas.openxmlformats.org/officeDocument/2006/relationships/hyperlink" Target="http://www.linkedin.com/company/thinkz-iot-com" TargetMode="External"/><Relationship Id="rId250" Type="http://schemas.openxmlformats.org/officeDocument/2006/relationships/hyperlink" Target="http://www.evoway.com" TargetMode="External"/><Relationship Id="rId371" Type="http://schemas.openxmlformats.org/officeDocument/2006/relationships/hyperlink" Target="http://www.movinglife.com" TargetMode="External"/><Relationship Id="rId492" Type="http://schemas.openxmlformats.org/officeDocument/2006/relationships/hyperlink" Target="http://www.thinkz.ai" TargetMode="External"/><Relationship Id="rId136" Type="http://schemas.openxmlformats.org/officeDocument/2006/relationships/hyperlink" Target="http://www.arkia.co.il" TargetMode="External"/><Relationship Id="rId257" Type="http://schemas.openxmlformats.org/officeDocument/2006/relationships/hyperlink" Target="http://eyeway.io" TargetMode="External"/><Relationship Id="rId378" Type="http://schemas.openxmlformats.org/officeDocument/2006/relationships/hyperlink" Target="http://www.linkedin.com/company/nayamwings" TargetMode="External"/><Relationship Id="rId499" Type="http://schemas.openxmlformats.org/officeDocument/2006/relationships/hyperlink" Target="http://www.linkedin.com/company/tupaia-pos" TargetMode="External"/><Relationship Id="rId135" Type="http://schemas.openxmlformats.org/officeDocument/2006/relationships/hyperlink" Target="http://www.linkedin.com/company/arbitrip" TargetMode="External"/><Relationship Id="rId256" Type="http://schemas.openxmlformats.org/officeDocument/2006/relationships/hyperlink" Target="http://experahub.com" TargetMode="External"/><Relationship Id="rId377" Type="http://schemas.openxmlformats.org/officeDocument/2006/relationships/hyperlink" Target="http://www.nayamwings.com" TargetMode="External"/><Relationship Id="rId498" Type="http://schemas.openxmlformats.org/officeDocument/2006/relationships/hyperlink" Target="http://www.tupaia-pos.com" TargetMode="External"/><Relationship Id="rId134" Type="http://schemas.openxmlformats.org/officeDocument/2006/relationships/hyperlink" Target="http://www.arbitrip.com" TargetMode="External"/><Relationship Id="rId255" Type="http://schemas.openxmlformats.org/officeDocument/2006/relationships/hyperlink" Target="http://www.linkedin.com/company/exact-transportation-solutions-ltd" TargetMode="External"/><Relationship Id="rId376" Type="http://schemas.openxmlformats.org/officeDocument/2006/relationships/hyperlink" Target="http://www.nateevexpress.com" TargetMode="External"/><Relationship Id="rId497" Type="http://schemas.openxmlformats.org/officeDocument/2006/relationships/hyperlink" Target="http://www.linkedin.com/company/busnet-&amp;-trucknet" TargetMode="External"/><Relationship Id="rId133" Type="http://schemas.openxmlformats.org/officeDocument/2006/relationships/hyperlink" Target="http://www.linkedin.com/company/arbe-robotics" TargetMode="External"/><Relationship Id="rId254" Type="http://schemas.openxmlformats.org/officeDocument/2006/relationships/hyperlink" Target="http://exact-ts.com" TargetMode="External"/><Relationship Id="rId375" Type="http://schemas.openxmlformats.org/officeDocument/2006/relationships/hyperlink" Target="http://www.linkedin.com/company/mylefly" TargetMode="External"/><Relationship Id="rId496" Type="http://schemas.openxmlformats.org/officeDocument/2006/relationships/hyperlink" Target="http://www.trucknet.io" TargetMode="External"/><Relationship Id="rId172" Type="http://schemas.openxmlformats.org/officeDocument/2006/relationships/hyperlink" Target="http://www.linkedin.com/company/cannabilog-global-cannabis-logistics-solutions" TargetMode="External"/><Relationship Id="rId293" Type="http://schemas.openxmlformats.org/officeDocument/2006/relationships/hyperlink" Target="http://www.guardknox.com" TargetMode="External"/><Relationship Id="rId171" Type="http://schemas.openxmlformats.org/officeDocument/2006/relationships/hyperlink" Target="http://cannabilog.com" TargetMode="External"/><Relationship Id="rId292" Type="http://schemas.openxmlformats.org/officeDocument/2006/relationships/hyperlink" Target="http://www.guardian-optech.com" TargetMode="External"/><Relationship Id="rId170" Type="http://schemas.openxmlformats.org/officeDocument/2006/relationships/hyperlink" Target="http://www.calauto.co.il" TargetMode="External"/><Relationship Id="rId291" Type="http://schemas.openxmlformats.org/officeDocument/2006/relationships/hyperlink" Target="http://www.linkedin.com/company/grivo" TargetMode="External"/><Relationship Id="rId290" Type="http://schemas.openxmlformats.org/officeDocument/2006/relationships/hyperlink" Target="http://www.grivo.co.il" TargetMode="External"/><Relationship Id="rId165" Type="http://schemas.openxmlformats.org/officeDocument/2006/relationships/hyperlink" Target="http://www.linkedin.com/company/bon-tour-ltd-" TargetMode="External"/><Relationship Id="rId286" Type="http://schemas.openxmlformats.org/officeDocument/2006/relationships/hyperlink" Target="http://www.linkedin.com/company/gotomobility" TargetMode="External"/><Relationship Id="rId164" Type="http://schemas.openxmlformats.org/officeDocument/2006/relationships/hyperlink" Target="http://www.bontour.co.il" TargetMode="External"/><Relationship Id="rId285" Type="http://schemas.openxmlformats.org/officeDocument/2006/relationships/hyperlink" Target="http://www.gotoglobal.com" TargetMode="External"/><Relationship Id="rId163" Type="http://schemas.openxmlformats.org/officeDocument/2006/relationships/hyperlink" Target="http://www.linkedin.com/company/boat-click" TargetMode="External"/><Relationship Id="rId284" Type="http://schemas.openxmlformats.org/officeDocument/2006/relationships/hyperlink" Target="http://www.linkedin.com/company/gnrgy" TargetMode="External"/><Relationship Id="rId162" Type="http://schemas.openxmlformats.org/officeDocument/2006/relationships/hyperlink" Target="http://www.boat-click.com" TargetMode="External"/><Relationship Id="rId283" Type="http://schemas.openxmlformats.org/officeDocument/2006/relationships/hyperlink" Target="http://www.gnrgy.com" TargetMode="External"/><Relationship Id="rId169" Type="http://schemas.openxmlformats.org/officeDocument/2006/relationships/hyperlink" Target="http://www.caaresys.com" TargetMode="External"/><Relationship Id="rId168" Type="http://schemas.openxmlformats.org/officeDocument/2006/relationships/hyperlink" Target="http://www.brodmann17.com" TargetMode="External"/><Relationship Id="rId289" Type="http://schemas.openxmlformats.org/officeDocument/2006/relationships/hyperlink" Target="http://www.linkedin.com/company/green-ride-ltd-" TargetMode="External"/><Relationship Id="rId167" Type="http://schemas.openxmlformats.org/officeDocument/2006/relationships/hyperlink" Target="http://www.linkedin.com/company/brightway-vision-ltd-" TargetMode="External"/><Relationship Id="rId288" Type="http://schemas.openxmlformats.org/officeDocument/2006/relationships/hyperlink" Target="http://www.linkedin.com/company/gotrack-transportation-marketplace" TargetMode="External"/><Relationship Id="rId166" Type="http://schemas.openxmlformats.org/officeDocument/2006/relationships/hyperlink" Target="http://www.brightwayvision.com" TargetMode="External"/><Relationship Id="rId287" Type="http://schemas.openxmlformats.org/officeDocument/2006/relationships/hyperlink" Target="http://www.gotrack-drive.com" TargetMode="External"/><Relationship Id="rId161" Type="http://schemas.openxmlformats.org/officeDocument/2006/relationships/hyperlink" Target="http://www.linkedin.com/company/bnc-systems" TargetMode="External"/><Relationship Id="rId282" Type="http://schemas.openxmlformats.org/officeDocument/2006/relationships/hyperlink" Target="http://www.linkedin.com/company/global-automax" TargetMode="External"/><Relationship Id="rId160" Type="http://schemas.openxmlformats.org/officeDocument/2006/relationships/hyperlink" Target="http://bnc-s.com" TargetMode="External"/><Relationship Id="rId281" Type="http://schemas.openxmlformats.org/officeDocument/2006/relationships/hyperlink" Target="http://www.automax.co.il" TargetMode="External"/><Relationship Id="rId280" Type="http://schemas.openxmlformats.org/officeDocument/2006/relationships/hyperlink" Target="http://www.linkedin.com/company/gil-car" TargetMode="External"/><Relationship Id="rId159" Type="http://schemas.openxmlformats.org/officeDocument/2006/relationships/hyperlink" Target="http://www.linkedin.com/company/bms-international-systems-development" TargetMode="External"/><Relationship Id="rId154" Type="http://schemas.openxmlformats.org/officeDocument/2006/relationships/hyperlink" Target="http://www.betterplace.com" TargetMode="External"/><Relationship Id="rId275" Type="http://schemas.openxmlformats.org/officeDocument/2006/relationships/hyperlink" Target="http://www.linkedin.com/company/genesis-motors-israel" TargetMode="External"/><Relationship Id="rId396" Type="http://schemas.openxmlformats.org/officeDocument/2006/relationships/hyperlink" Target="http://www.origingps.com" TargetMode="External"/><Relationship Id="rId153" Type="http://schemas.openxmlformats.org/officeDocument/2006/relationships/hyperlink" Target="http://www.beepmeapp.com" TargetMode="External"/><Relationship Id="rId274" Type="http://schemas.openxmlformats.org/officeDocument/2006/relationships/hyperlink" Target="http://genesis.co.il" TargetMode="External"/><Relationship Id="rId395" Type="http://schemas.openxmlformats.org/officeDocument/2006/relationships/hyperlink" Target="http://www.optivector.com" TargetMode="External"/><Relationship Id="rId152" Type="http://schemas.openxmlformats.org/officeDocument/2006/relationships/hyperlink" Target="http://www.bambidynamic.com" TargetMode="External"/><Relationship Id="rId273" Type="http://schemas.openxmlformats.org/officeDocument/2006/relationships/hyperlink" Target="http://www.linkedin.com/company/gasngo-mexico-sapi-de-cv" TargetMode="External"/><Relationship Id="rId394" Type="http://schemas.openxmlformats.org/officeDocument/2006/relationships/hyperlink" Target="http://www.linkedin.com/company/9393340" TargetMode="External"/><Relationship Id="rId151" Type="http://schemas.openxmlformats.org/officeDocument/2006/relationships/hyperlink" Target="http://www.babawheels.com" TargetMode="External"/><Relationship Id="rId272" Type="http://schemas.openxmlformats.org/officeDocument/2006/relationships/hyperlink" Target="http://www.gasngo.com" TargetMode="External"/><Relationship Id="rId393" Type="http://schemas.openxmlformats.org/officeDocument/2006/relationships/hyperlink" Target="http://optima-da.com" TargetMode="External"/><Relationship Id="rId158" Type="http://schemas.openxmlformats.org/officeDocument/2006/relationships/hyperlink" Target="http://bmssys.com" TargetMode="External"/><Relationship Id="rId279" Type="http://schemas.openxmlformats.org/officeDocument/2006/relationships/hyperlink" Target="http://www.gil-car.co.il" TargetMode="External"/><Relationship Id="rId157" Type="http://schemas.openxmlformats.org/officeDocument/2006/relationships/hyperlink" Target="http://www.linkedin.com/company/blitz-motors" TargetMode="External"/><Relationship Id="rId278" Type="http://schemas.openxmlformats.org/officeDocument/2006/relationships/hyperlink" Target="http://www.linkedin.com/company/getruck-ltd" TargetMode="External"/><Relationship Id="rId399" Type="http://schemas.openxmlformats.org/officeDocument/2006/relationships/hyperlink" Target="http://www.oryxvision.com" TargetMode="External"/><Relationship Id="rId156" Type="http://schemas.openxmlformats.org/officeDocument/2006/relationships/hyperlink" Target="http://www.blitzmotors.com" TargetMode="External"/><Relationship Id="rId277" Type="http://schemas.openxmlformats.org/officeDocument/2006/relationships/hyperlink" Target="http://www.getruck.co" TargetMode="External"/><Relationship Id="rId398" Type="http://schemas.openxmlformats.org/officeDocument/2006/relationships/hyperlink" Target="http://www.ortechno.com" TargetMode="External"/><Relationship Id="rId155" Type="http://schemas.openxmlformats.org/officeDocument/2006/relationships/hyperlink" Target="http://www.bionichive.com" TargetMode="External"/><Relationship Id="rId276" Type="http://schemas.openxmlformats.org/officeDocument/2006/relationships/hyperlink" Target="http://www.get-bus.co.il" TargetMode="External"/><Relationship Id="rId397" Type="http://schemas.openxmlformats.org/officeDocument/2006/relationships/hyperlink" Target="http://www.orpak.com" TargetMode="External"/><Relationship Id="rId40" Type="http://schemas.openxmlformats.org/officeDocument/2006/relationships/hyperlink" Target="http://www.trieye.tech" TargetMode="External"/><Relationship Id="rId42" Type="http://schemas.openxmlformats.org/officeDocument/2006/relationships/hyperlink" Target="http://www.karambasecurity.com" TargetMode="External"/><Relationship Id="rId41" Type="http://schemas.openxmlformats.org/officeDocument/2006/relationships/hyperlink" Target="http://www.linkedin.com/company/trieye" TargetMode="External"/><Relationship Id="rId44" Type="http://schemas.openxmlformats.org/officeDocument/2006/relationships/hyperlink" Target="http://www.bringg.com" TargetMode="External"/><Relationship Id="rId43" Type="http://schemas.openxmlformats.org/officeDocument/2006/relationships/hyperlink" Target="http://www.linkedin.com/company/karamba-security" TargetMode="External"/><Relationship Id="rId46" Type="http://schemas.openxmlformats.org/officeDocument/2006/relationships/hyperlink" Target="http://www.evr-motors.com" TargetMode="External"/><Relationship Id="rId45" Type="http://schemas.openxmlformats.org/officeDocument/2006/relationships/hyperlink" Target="http://www.linkedin.com/company/bringg" TargetMode="External"/><Relationship Id="rId509" Type="http://schemas.openxmlformats.org/officeDocument/2006/relationships/hyperlink" Target="http://www.vcomm.tech" TargetMode="External"/><Relationship Id="rId508" Type="http://schemas.openxmlformats.org/officeDocument/2006/relationships/hyperlink" Target="http://www.vayavision.com" TargetMode="External"/><Relationship Id="rId503" Type="http://schemas.openxmlformats.org/officeDocument/2006/relationships/hyperlink" Target="http://www.linkedin.com/company/uniqor" TargetMode="External"/><Relationship Id="rId502" Type="http://schemas.openxmlformats.org/officeDocument/2006/relationships/hyperlink" Target="http://www.uniqor-tech.com" TargetMode="External"/><Relationship Id="rId501" Type="http://schemas.openxmlformats.org/officeDocument/2006/relationships/hyperlink" Target="http://www.umo.mobi" TargetMode="External"/><Relationship Id="rId500" Type="http://schemas.openxmlformats.org/officeDocument/2006/relationships/hyperlink" Target="http://www.umiservice.co.il" TargetMode="External"/><Relationship Id="rId507" Type="http://schemas.openxmlformats.org/officeDocument/2006/relationships/hyperlink" Target="http://www.linkedin.com/company/valens" TargetMode="External"/><Relationship Id="rId506" Type="http://schemas.openxmlformats.org/officeDocument/2006/relationships/hyperlink" Target="http://www.valens.com" TargetMode="External"/><Relationship Id="rId505" Type="http://schemas.openxmlformats.org/officeDocument/2006/relationships/hyperlink" Target="http://www.linkedin.com/company/v-gen" TargetMode="External"/><Relationship Id="rId504" Type="http://schemas.openxmlformats.org/officeDocument/2006/relationships/hyperlink" Target="http://www.vgen.com" TargetMode="External"/><Relationship Id="rId48" Type="http://schemas.openxmlformats.org/officeDocument/2006/relationships/hyperlink" Target="http://www.saiflow.com" TargetMode="External"/><Relationship Id="rId47" Type="http://schemas.openxmlformats.org/officeDocument/2006/relationships/hyperlink" Target="http://www.linkedin.com/company/evr-motors" TargetMode="External"/><Relationship Id="rId49" Type="http://schemas.openxmlformats.org/officeDocument/2006/relationships/hyperlink" Target="http://www.linkedin.com/company/saiflow" TargetMode="External"/><Relationship Id="rId31" Type="http://schemas.openxmlformats.org/officeDocument/2006/relationships/hyperlink" Target="http://www.linkedin.com/company/questarauto" TargetMode="External"/><Relationship Id="rId30" Type="http://schemas.openxmlformats.org/officeDocument/2006/relationships/hyperlink" Target="http://www.questarauto.com" TargetMode="External"/><Relationship Id="rId33" Type="http://schemas.openxmlformats.org/officeDocument/2006/relationships/hyperlink" Target="http://www.linkedin.com/company/adasky" TargetMode="External"/><Relationship Id="rId32" Type="http://schemas.openxmlformats.org/officeDocument/2006/relationships/hyperlink" Target="http://www.adasky.com" TargetMode="External"/><Relationship Id="rId35" Type="http://schemas.openxmlformats.org/officeDocument/2006/relationships/hyperlink" Target="http://www.linkedin.com/company/driveu-tech" TargetMode="External"/><Relationship Id="rId34" Type="http://schemas.openxmlformats.org/officeDocument/2006/relationships/hyperlink" Target="http://www.driveu.auto" TargetMode="External"/><Relationship Id="rId37" Type="http://schemas.openxmlformats.org/officeDocument/2006/relationships/hyperlink" Target="http://www.linkedin.com/company/bluewhite" TargetMode="External"/><Relationship Id="rId36" Type="http://schemas.openxmlformats.org/officeDocument/2006/relationships/hyperlink" Target="http://www.bluewhite.ai" TargetMode="External"/><Relationship Id="rId39" Type="http://schemas.openxmlformats.org/officeDocument/2006/relationships/hyperlink" Target="http://www.linkedin.com/company/opsys-technologies" TargetMode="External"/><Relationship Id="rId38" Type="http://schemas.openxmlformats.org/officeDocument/2006/relationships/hyperlink" Target="http://www.opsys-tech.com" TargetMode="External"/><Relationship Id="rId20" Type="http://schemas.openxmlformats.org/officeDocument/2006/relationships/hyperlink" Target="http://www.itc.city" TargetMode="External"/><Relationship Id="rId22" Type="http://schemas.openxmlformats.org/officeDocument/2006/relationships/hyperlink" Target="http://www.valerann.com" TargetMode="External"/><Relationship Id="rId21" Type="http://schemas.openxmlformats.org/officeDocument/2006/relationships/hyperlink" Target="http://www.linkedin.com/company/itc-city" TargetMode="External"/><Relationship Id="rId24" Type="http://schemas.openxmlformats.org/officeDocument/2006/relationships/hyperlink" Target="http://www.xpand.us" TargetMode="External"/><Relationship Id="rId23" Type="http://schemas.openxmlformats.org/officeDocument/2006/relationships/hyperlink" Target="http://www.linkedin.com/company/valerann" TargetMode="External"/><Relationship Id="rId409" Type="http://schemas.openxmlformats.org/officeDocument/2006/relationships/hyperlink" Target="http://www.linkedin.com/company/parkam" TargetMode="External"/><Relationship Id="rId404" Type="http://schemas.openxmlformats.org/officeDocument/2006/relationships/hyperlink" Target="http://www.ottoisrael.com" TargetMode="External"/><Relationship Id="rId525" Type="http://schemas.openxmlformats.org/officeDocument/2006/relationships/hyperlink" Target="http://www.whilx.tech" TargetMode="External"/><Relationship Id="rId403" Type="http://schemas.openxmlformats.org/officeDocument/2006/relationships/hyperlink" Target="http://urgent.ly" TargetMode="External"/><Relationship Id="rId524" Type="http://schemas.openxmlformats.org/officeDocument/2006/relationships/hyperlink" Target="http://www.linkedin.com/company/weev-energy" TargetMode="External"/><Relationship Id="rId402" Type="http://schemas.openxmlformats.org/officeDocument/2006/relationships/hyperlink" Target="http://www.otonomo.io" TargetMode="External"/><Relationship Id="rId523" Type="http://schemas.openxmlformats.org/officeDocument/2006/relationships/hyperlink" Target="http://www.wevo.energy" TargetMode="External"/><Relationship Id="rId401" Type="http://schemas.openxmlformats.org/officeDocument/2006/relationships/hyperlink" Target="http://www.linkedin.com/company/otofusion" TargetMode="External"/><Relationship Id="rId522" Type="http://schemas.openxmlformats.org/officeDocument/2006/relationships/hyperlink" Target="http://www.weshareit.co.il" TargetMode="External"/><Relationship Id="rId408" Type="http://schemas.openxmlformats.org/officeDocument/2006/relationships/hyperlink" Target="http://www.parkam.com" TargetMode="External"/><Relationship Id="rId529" Type="http://schemas.openxmlformats.org/officeDocument/2006/relationships/hyperlink" Target="http://www.linkedin.com/company/wright-aerial-solutions" TargetMode="External"/><Relationship Id="rId407" Type="http://schemas.openxmlformats.org/officeDocument/2006/relationships/hyperlink" Target="http://www.ovo.auto" TargetMode="External"/><Relationship Id="rId528" Type="http://schemas.openxmlformats.org/officeDocument/2006/relationships/hyperlink" Target="http://wright-as.com" TargetMode="External"/><Relationship Id="rId406" Type="http://schemas.openxmlformats.org/officeDocument/2006/relationships/hyperlink" Target="http://www.linkedin.com/company/ottosec" TargetMode="External"/><Relationship Id="rId527" Type="http://schemas.openxmlformats.org/officeDocument/2006/relationships/hyperlink" Target="http://www.winkapp.co" TargetMode="External"/><Relationship Id="rId405" Type="http://schemas.openxmlformats.org/officeDocument/2006/relationships/hyperlink" Target="http://ottosec.com" TargetMode="External"/><Relationship Id="rId526" Type="http://schemas.openxmlformats.org/officeDocument/2006/relationships/hyperlink" Target="http://www.linkedin.com/company/whilx-technologies" TargetMode="External"/><Relationship Id="rId26" Type="http://schemas.openxmlformats.org/officeDocument/2006/relationships/hyperlink" Target="http://www.optibus.com" TargetMode="External"/><Relationship Id="rId25" Type="http://schemas.openxmlformats.org/officeDocument/2006/relationships/hyperlink" Target="http://www.linkedin.com/company/xpand-today" TargetMode="External"/><Relationship Id="rId28" Type="http://schemas.openxmlformats.org/officeDocument/2006/relationships/hyperlink" Target="http://www.mobilityinsight.net" TargetMode="External"/><Relationship Id="rId27" Type="http://schemas.openxmlformats.org/officeDocument/2006/relationships/hyperlink" Target="http://www.linkedin.com/company/optibus" TargetMode="External"/><Relationship Id="rId400" Type="http://schemas.openxmlformats.org/officeDocument/2006/relationships/hyperlink" Target="http://www.otofusion.com" TargetMode="External"/><Relationship Id="rId521" Type="http://schemas.openxmlformats.org/officeDocument/2006/relationships/hyperlink" Target="http://www.weelz.co.il" TargetMode="External"/><Relationship Id="rId29" Type="http://schemas.openxmlformats.org/officeDocument/2006/relationships/hyperlink" Target="http://www.linkedin.com/company/mobi---mobility-insight" TargetMode="External"/><Relationship Id="rId520" Type="http://schemas.openxmlformats.org/officeDocument/2006/relationships/hyperlink" Target="http://www.linkedin.com/company/watt-car-industries" TargetMode="External"/><Relationship Id="rId11" Type="http://schemas.openxmlformats.org/officeDocument/2006/relationships/hyperlink" Target="http://www.linkedin.com/company/upstream-security" TargetMode="External"/><Relationship Id="rId10" Type="http://schemas.openxmlformats.org/officeDocument/2006/relationships/hyperlink" Target="http://www.upstream.auto" TargetMode="External"/><Relationship Id="rId13" Type="http://schemas.openxmlformats.org/officeDocument/2006/relationships/hyperlink" Target="http://www.linkedin.com/company/cognata-ltd" TargetMode="External"/><Relationship Id="rId12" Type="http://schemas.openxmlformats.org/officeDocument/2006/relationships/hyperlink" Target="http://www.cognata.com" TargetMode="External"/><Relationship Id="rId519" Type="http://schemas.openxmlformats.org/officeDocument/2006/relationships/hyperlink" Target="http://watt-ecar.com" TargetMode="External"/><Relationship Id="rId514" Type="http://schemas.openxmlformats.org/officeDocument/2006/relationships/hyperlink" Target="http://www.linkedin.com/company/viss-vehicle-improved-safety-system" TargetMode="External"/><Relationship Id="rId513" Type="http://schemas.openxmlformats.org/officeDocument/2006/relationships/hyperlink" Target="http://www.viss-sys.com" TargetMode="External"/><Relationship Id="rId512" Type="http://schemas.openxmlformats.org/officeDocument/2006/relationships/hyperlink" Target="http://www.linkedin.com/company/vectoraic" TargetMode="External"/><Relationship Id="rId511" Type="http://schemas.openxmlformats.org/officeDocument/2006/relationships/hyperlink" Target="http://www.vectoraic.com" TargetMode="External"/><Relationship Id="rId518" Type="http://schemas.openxmlformats.org/officeDocument/2006/relationships/hyperlink" Target="http://www.linkedin.com/company/vulcan-automotive-industries-ltd" TargetMode="External"/><Relationship Id="rId517" Type="http://schemas.openxmlformats.org/officeDocument/2006/relationships/hyperlink" Target="http://www.volta.co.il" TargetMode="External"/><Relationship Id="rId516" Type="http://schemas.openxmlformats.org/officeDocument/2006/relationships/hyperlink" Target="http://www.linkedin.com/company/viziblezone" TargetMode="External"/><Relationship Id="rId515" Type="http://schemas.openxmlformats.org/officeDocument/2006/relationships/hyperlink" Target="http://www.vizible.zone" TargetMode="External"/><Relationship Id="rId15" Type="http://schemas.openxmlformats.org/officeDocument/2006/relationships/hyperlink" Target="http://www.linkedin.com/company/notraffic" TargetMode="External"/><Relationship Id="rId14" Type="http://schemas.openxmlformats.org/officeDocument/2006/relationships/hyperlink" Target="http://www.notraffic.com" TargetMode="External"/><Relationship Id="rId17" Type="http://schemas.openxmlformats.org/officeDocument/2006/relationships/hyperlink" Target="http://www.linkedin.com/company/airwayz" TargetMode="External"/><Relationship Id="rId16" Type="http://schemas.openxmlformats.org/officeDocument/2006/relationships/hyperlink" Target="http://www.airwayz.co" TargetMode="External"/><Relationship Id="rId19" Type="http://schemas.openxmlformats.org/officeDocument/2006/relationships/hyperlink" Target="http://www.linkedin.com/company/ottopia" TargetMode="External"/><Relationship Id="rId510" Type="http://schemas.openxmlformats.org/officeDocument/2006/relationships/hyperlink" Target="http://www.linkedin.com/company/vcomm-smart-transportation-ltd" TargetMode="External"/><Relationship Id="rId18" Type="http://schemas.openxmlformats.org/officeDocument/2006/relationships/hyperlink" Target="http://www.ottopia.tech" TargetMode="External"/><Relationship Id="rId84" Type="http://schemas.openxmlformats.org/officeDocument/2006/relationships/hyperlink" Target="http://www.ride.vision" TargetMode="External"/><Relationship Id="rId83" Type="http://schemas.openxmlformats.org/officeDocument/2006/relationships/hyperlink" Target="http://www.linkedin.com/company/anachoic" TargetMode="External"/><Relationship Id="rId86" Type="http://schemas.openxmlformats.org/officeDocument/2006/relationships/hyperlink" Target="http://company.pickapier.com" TargetMode="External"/><Relationship Id="rId85" Type="http://schemas.openxmlformats.org/officeDocument/2006/relationships/hyperlink" Target="http://www.linkedin.com/company/ridevision" TargetMode="External"/><Relationship Id="rId88" Type="http://schemas.openxmlformats.org/officeDocument/2006/relationships/hyperlink" Target="http://www.v-hola.com" TargetMode="External"/><Relationship Id="rId87" Type="http://schemas.openxmlformats.org/officeDocument/2006/relationships/hyperlink" Target="http://www.linkedin.com/company/pickapier" TargetMode="External"/><Relationship Id="rId89" Type="http://schemas.openxmlformats.org/officeDocument/2006/relationships/hyperlink" Target="http://www.linkedin.com/company/vhola" TargetMode="External"/><Relationship Id="rId80" Type="http://schemas.openxmlformats.org/officeDocument/2006/relationships/hyperlink" Target="http://www.batteri.energy" TargetMode="External"/><Relationship Id="rId82" Type="http://schemas.openxmlformats.org/officeDocument/2006/relationships/hyperlink" Target="http://www.anachoic.com" TargetMode="External"/><Relationship Id="rId81" Type="http://schemas.openxmlformats.org/officeDocument/2006/relationships/hyperlink" Target="http://www.linkedin.com/company/batteri" TargetMode="External"/><Relationship Id="rId73" Type="http://schemas.openxmlformats.org/officeDocument/2006/relationships/hyperlink" Target="http://www.linkedin.com/company/foretellix" TargetMode="External"/><Relationship Id="rId72" Type="http://schemas.openxmlformats.org/officeDocument/2006/relationships/hyperlink" Target="http://www.foretellix.com" TargetMode="External"/><Relationship Id="rId75" Type="http://schemas.openxmlformats.org/officeDocument/2006/relationships/hyperlink" Target="http://www.linkedin.com/company/city-transformer" TargetMode="External"/><Relationship Id="rId74" Type="http://schemas.openxmlformats.org/officeDocument/2006/relationships/hyperlink" Target="http://www.citytransformer.com" TargetMode="External"/><Relationship Id="rId77" Type="http://schemas.openxmlformats.org/officeDocument/2006/relationships/hyperlink" Target="http://www.linkedin.com/company/irp-systems" TargetMode="External"/><Relationship Id="rId76" Type="http://schemas.openxmlformats.org/officeDocument/2006/relationships/hyperlink" Target="http://www.irpsystems.com" TargetMode="External"/><Relationship Id="rId79" Type="http://schemas.openxmlformats.org/officeDocument/2006/relationships/hyperlink" Target="http://www.linkedin.com/company/safefields-technologies" TargetMode="External"/><Relationship Id="rId78" Type="http://schemas.openxmlformats.org/officeDocument/2006/relationships/hyperlink" Target="http://www.safefields-tech.com" TargetMode="External"/><Relationship Id="rId71" Type="http://schemas.openxmlformats.org/officeDocument/2006/relationships/hyperlink" Target="http://www.linkedin.com/company/vayyar" TargetMode="External"/><Relationship Id="rId70" Type="http://schemas.openxmlformats.org/officeDocument/2006/relationships/hyperlink" Target="http://www.vayyar.com" TargetMode="External"/><Relationship Id="rId62" Type="http://schemas.openxmlformats.org/officeDocument/2006/relationships/hyperlink" Target="http://www.airev.aero" TargetMode="External"/><Relationship Id="rId61" Type="http://schemas.openxmlformats.org/officeDocument/2006/relationships/hyperlink" Target="http://www.linkedin.com/company/autobrains-technologies" TargetMode="External"/><Relationship Id="rId64" Type="http://schemas.openxmlformats.org/officeDocument/2006/relationships/hyperlink" Target="http://www.tactilemobility.com" TargetMode="External"/><Relationship Id="rId63" Type="http://schemas.openxmlformats.org/officeDocument/2006/relationships/hyperlink" Target="http://www.linkedin.com/company/air-ev" TargetMode="External"/><Relationship Id="rId66" Type="http://schemas.openxmlformats.org/officeDocument/2006/relationships/hyperlink" Target="http://www.pxeimaging.com" TargetMode="External"/><Relationship Id="rId65" Type="http://schemas.openxmlformats.org/officeDocument/2006/relationships/hyperlink" Target="http://www.linkedin.com/company/tactile-mobility" TargetMode="External"/><Relationship Id="rId68" Type="http://schemas.openxmlformats.org/officeDocument/2006/relationships/hyperlink" Target="http://www.tanku.com" TargetMode="External"/><Relationship Id="rId67" Type="http://schemas.openxmlformats.org/officeDocument/2006/relationships/hyperlink" Target="http://www.linkedin.com/company/pxe-holographic-imaging" TargetMode="External"/><Relationship Id="rId60" Type="http://schemas.openxmlformats.org/officeDocument/2006/relationships/hyperlink" Target="http://www.autobrains.ai" TargetMode="External"/><Relationship Id="rId69" Type="http://schemas.openxmlformats.org/officeDocument/2006/relationships/hyperlink" Target="http://www.linkedin.com/company/tanku" TargetMode="External"/><Relationship Id="rId51" Type="http://schemas.openxmlformats.org/officeDocument/2006/relationships/hyperlink" Target="http://www.linkedin.com/company/kardome" TargetMode="External"/><Relationship Id="rId50" Type="http://schemas.openxmlformats.org/officeDocument/2006/relationships/hyperlink" Target="http://www.kardome.com" TargetMode="External"/><Relationship Id="rId53" Type="http://schemas.openxmlformats.org/officeDocument/2006/relationships/hyperlink" Target="http://www.linkedin.com/company/edgybees-ltd" TargetMode="External"/><Relationship Id="rId52" Type="http://schemas.openxmlformats.org/officeDocument/2006/relationships/hyperlink" Target="http://www.edgybees.com" TargetMode="External"/><Relationship Id="rId55" Type="http://schemas.openxmlformats.org/officeDocument/2006/relationships/hyperlink" Target="http://www.linkedin.com/company/makemyday1" TargetMode="External"/><Relationship Id="rId54" Type="http://schemas.openxmlformats.org/officeDocument/2006/relationships/hyperlink" Target="http://www.makemydayapp.com" TargetMode="External"/><Relationship Id="rId57" Type="http://schemas.openxmlformats.org/officeDocument/2006/relationships/hyperlink" Target="http://www.linkedin.com/company/galileo-wheel" TargetMode="External"/><Relationship Id="rId56" Type="http://schemas.openxmlformats.org/officeDocument/2006/relationships/hyperlink" Target="http://www.galileowheel.com" TargetMode="External"/><Relationship Id="rId59" Type="http://schemas.openxmlformats.org/officeDocument/2006/relationships/hyperlink" Target="http://www.linkedin.com/company/eyenet-mobile" TargetMode="External"/><Relationship Id="rId58" Type="http://schemas.openxmlformats.org/officeDocument/2006/relationships/hyperlink" Target="http://www.eyenet-mobile.com" TargetMode="External"/><Relationship Id="rId107" Type="http://schemas.openxmlformats.org/officeDocument/2006/relationships/hyperlink" Target="http://www.ad-knight.com" TargetMode="External"/><Relationship Id="rId228" Type="http://schemas.openxmlformats.org/officeDocument/2006/relationships/hyperlink" Target="http://eambulances.com" TargetMode="External"/><Relationship Id="rId349" Type="http://schemas.openxmlformats.org/officeDocument/2006/relationships/hyperlink" Target="http://www.fiat.co.il" TargetMode="External"/><Relationship Id="rId106" Type="http://schemas.openxmlformats.org/officeDocument/2006/relationships/hyperlink" Target="http://www.0-10s.com" TargetMode="External"/><Relationship Id="rId227" Type="http://schemas.openxmlformats.org/officeDocument/2006/relationships/hyperlink" Target="http://www.linkedin.com/company/elinkair" TargetMode="External"/><Relationship Id="rId348" Type="http://schemas.openxmlformats.org/officeDocument/2006/relationships/hyperlink" Target="http://www.mdgo.io" TargetMode="External"/><Relationship Id="rId469" Type="http://schemas.openxmlformats.org/officeDocument/2006/relationships/hyperlink" Target="http://www.linkedin.com/company/shagrir-systems" TargetMode="External"/><Relationship Id="rId105" Type="http://schemas.openxmlformats.org/officeDocument/2006/relationships/hyperlink" Target="http://www.linkedin.com/company/synvertec" TargetMode="External"/><Relationship Id="rId226" Type="http://schemas.openxmlformats.org/officeDocument/2006/relationships/hyperlink" Target="http://elinkair.com" TargetMode="External"/><Relationship Id="rId347" Type="http://schemas.openxmlformats.org/officeDocument/2006/relationships/hyperlink" Target="http://www.linkedin.com/company/mayers-cars-and-trucks" TargetMode="External"/><Relationship Id="rId468" Type="http://schemas.openxmlformats.org/officeDocument/2006/relationships/hyperlink" Target="http://www.shagrir.co.il" TargetMode="External"/><Relationship Id="rId104" Type="http://schemas.openxmlformats.org/officeDocument/2006/relationships/hyperlink" Target="http://www.synvertec.com" TargetMode="External"/><Relationship Id="rId225" Type="http://schemas.openxmlformats.org/officeDocument/2006/relationships/hyperlink" Target="http://www.electricare-ev.com" TargetMode="External"/><Relationship Id="rId346" Type="http://schemas.openxmlformats.org/officeDocument/2006/relationships/hyperlink" Target="http://www.mct.co.il" TargetMode="External"/><Relationship Id="rId467" Type="http://schemas.openxmlformats.org/officeDocument/2006/relationships/hyperlink" Target="http://www.linkedin.com/company/sentient-robotics-ai" TargetMode="External"/><Relationship Id="rId109" Type="http://schemas.openxmlformats.org/officeDocument/2006/relationships/hyperlink" Target="http://www.adi-system.co.il" TargetMode="External"/><Relationship Id="rId108" Type="http://schemas.openxmlformats.org/officeDocument/2006/relationships/hyperlink" Target="http://www.linkedin.com/company/ad-knight" TargetMode="External"/><Relationship Id="rId229" Type="http://schemas.openxmlformats.org/officeDocument/2006/relationships/hyperlink" Target="http://www.linkedin.com/company/elite-ambualnces" TargetMode="External"/><Relationship Id="rId220" Type="http://schemas.openxmlformats.org/officeDocument/2006/relationships/hyperlink" Target="http://www.linkedin.com/company/el-al-israel-airlines" TargetMode="External"/><Relationship Id="rId341" Type="http://schemas.openxmlformats.org/officeDocument/2006/relationships/hyperlink" Target="http://www.linkedin.com/company/manamapps" TargetMode="External"/><Relationship Id="rId462" Type="http://schemas.openxmlformats.org/officeDocument/2006/relationships/hyperlink" Target="http://www.samelet.com" TargetMode="External"/><Relationship Id="rId340" Type="http://schemas.openxmlformats.org/officeDocument/2006/relationships/hyperlink" Target="http://www.manamapps.com" TargetMode="External"/><Relationship Id="rId461" Type="http://schemas.openxmlformats.org/officeDocument/2006/relationships/hyperlink" Target="http://www.saferide.io" TargetMode="External"/><Relationship Id="rId460" Type="http://schemas.openxmlformats.org/officeDocument/2006/relationships/hyperlink" Target="http://www.linkedin.com/company/safer-place-ltd-" TargetMode="External"/><Relationship Id="rId103" Type="http://schemas.openxmlformats.org/officeDocument/2006/relationships/hyperlink" Target="http://www.linkedin.com/company/ception" TargetMode="External"/><Relationship Id="rId224" Type="http://schemas.openxmlformats.org/officeDocument/2006/relationships/hyperlink" Target="http://www.linkedin.com/company/electreon" TargetMode="External"/><Relationship Id="rId345" Type="http://schemas.openxmlformats.org/officeDocument/2006/relationships/hyperlink" Target="http://www.linkedin.com/company/marine-edge" TargetMode="External"/><Relationship Id="rId466" Type="http://schemas.openxmlformats.org/officeDocument/2006/relationships/hyperlink" Target="http://www.sentient-robotics.ai" TargetMode="External"/><Relationship Id="rId102" Type="http://schemas.openxmlformats.org/officeDocument/2006/relationships/hyperlink" Target="http://www.ception.ai" TargetMode="External"/><Relationship Id="rId223" Type="http://schemas.openxmlformats.org/officeDocument/2006/relationships/hyperlink" Target="http://www.electreon.com" TargetMode="External"/><Relationship Id="rId344" Type="http://schemas.openxmlformats.org/officeDocument/2006/relationships/hyperlink" Target="http://www.marine-edge.com" TargetMode="External"/><Relationship Id="rId465" Type="http://schemas.openxmlformats.org/officeDocument/2006/relationships/hyperlink" Target="http://www.linkedin.com/company/saver1" TargetMode="External"/><Relationship Id="rId101" Type="http://schemas.openxmlformats.org/officeDocument/2006/relationships/hyperlink" Target="http://www.linkedin.com/company/hopon---travel-smart" TargetMode="External"/><Relationship Id="rId222" Type="http://schemas.openxmlformats.org/officeDocument/2006/relationships/hyperlink" Target="http://www.linkedin.com/company/eldan" TargetMode="External"/><Relationship Id="rId343" Type="http://schemas.openxmlformats.org/officeDocument/2006/relationships/hyperlink" Target="http://www.linkedin.com/company/mariculture-systems-ltd" TargetMode="External"/><Relationship Id="rId464" Type="http://schemas.openxmlformats.org/officeDocument/2006/relationships/hyperlink" Target="http://www.saver.one" TargetMode="External"/><Relationship Id="rId100" Type="http://schemas.openxmlformats.org/officeDocument/2006/relationships/hyperlink" Target="http://www.ravpass.co.il" TargetMode="External"/><Relationship Id="rId221" Type="http://schemas.openxmlformats.org/officeDocument/2006/relationships/hyperlink" Target="http://www.eldan.co.il/en/rent" TargetMode="External"/><Relationship Id="rId342" Type="http://schemas.openxmlformats.org/officeDocument/2006/relationships/hyperlink" Target="http://www.mariculture-systems.com" TargetMode="External"/><Relationship Id="rId463" Type="http://schemas.openxmlformats.org/officeDocument/2006/relationships/hyperlink" Target="http://www.linkedin.com/company/samelet" TargetMode="External"/><Relationship Id="rId217" Type="http://schemas.openxmlformats.org/officeDocument/2006/relationships/hyperlink" Target="http://www.linkedin.com/company/egged" TargetMode="External"/><Relationship Id="rId338" Type="http://schemas.openxmlformats.org/officeDocument/2006/relationships/hyperlink" Target="http://www.linkedin.com/company/makalu-optics" TargetMode="External"/><Relationship Id="rId459" Type="http://schemas.openxmlformats.org/officeDocument/2006/relationships/hyperlink" Target="http://www.saferplace.com" TargetMode="External"/><Relationship Id="rId216" Type="http://schemas.openxmlformats.org/officeDocument/2006/relationships/hyperlink" Target="http://www.egged.co.il" TargetMode="External"/><Relationship Id="rId337" Type="http://schemas.openxmlformats.org/officeDocument/2006/relationships/hyperlink" Target="http://www.makaluoptics.com" TargetMode="External"/><Relationship Id="rId458" Type="http://schemas.openxmlformats.org/officeDocument/2006/relationships/hyperlink" Target="http://www.linkedin.com/company/go-ryde" TargetMode="External"/><Relationship Id="rId215" Type="http://schemas.openxmlformats.org/officeDocument/2006/relationships/hyperlink" Target="http://www.linkedin.com/company/e-drive-technology" TargetMode="External"/><Relationship Id="rId336" Type="http://schemas.openxmlformats.org/officeDocument/2006/relationships/hyperlink" Target="http://www.linkedin.com/company/magaltech-automotive-engineering" TargetMode="External"/><Relationship Id="rId457" Type="http://schemas.openxmlformats.org/officeDocument/2006/relationships/hyperlink" Target="http://www.goryde.com" TargetMode="External"/><Relationship Id="rId214" Type="http://schemas.openxmlformats.org/officeDocument/2006/relationships/hyperlink" Target="http://e-drivetech.com" TargetMode="External"/><Relationship Id="rId335" Type="http://schemas.openxmlformats.org/officeDocument/2006/relationships/hyperlink" Target="http://magaltech.com" TargetMode="External"/><Relationship Id="rId456" Type="http://schemas.openxmlformats.org/officeDocument/2006/relationships/hyperlink" Target="http://www.linkedin.com/company/rur-industries" TargetMode="External"/><Relationship Id="rId219" Type="http://schemas.openxmlformats.org/officeDocument/2006/relationships/hyperlink" Target="http://www.elal.com" TargetMode="External"/><Relationship Id="rId218" Type="http://schemas.openxmlformats.org/officeDocument/2006/relationships/hyperlink" Target="http://www.egged-taavura.co.il" TargetMode="External"/><Relationship Id="rId339" Type="http://schemas.openxmlformats.org/officeDocument/2006/relationships/hyperlink" Target="http://www.maman.co.il" TargetMode="External"/><Relationship Id="rId330" Type="http://schemas.openxmlformats.org/officeDocument/2006/relationships/hyperlink" Target="http://www.locationet.com" TargetMode="External"/><Relationship Id="rId451" Type="http://schemas.openxmlformats.org/officeDocument/2006/relationships/hyperlink" Target="http://www.routevalet.com" TargetMode="External"/><Relationship Id="rId450" Type="http://schemas.openxmlformats.org/officeDocument/2006/relationships/hyperlink" Target="http://www.linkedin.com/company/roseman-engineering" TargetMode="External"/><Relationship Id="rId213" Type="http://schemas.openxmlformats.org/officeDocument/2006/relationships/hyperlink" Target="http://www.linkedin.com/company/dynamacs" TargetMode="External"/><Relationship Id="rId334" Type="http://schemas.openxmlformats.org/officeDocument/2006/relationships/hyperlink" Target="http://www.linkedin.com/company/m-adas" TargetMode="External"/><Relationship Id="rId455" Type="http://schemas.openxmlformats.org/officeDocument/2006/relationships/hyperlink" Target="http://www.rurindustries.com" TargetMode="External"/><Relationship Id="rId212" Type="http://schemas.openxmlformats.org/officeDocument/2006/relationships/hyperlink" Target="http://www.dynamacsiot.com" TargetMode="External"/><Relationship Id="rId333" Type="http://schemas.openxmlformats.org/officeDocument/2006/relationships/hyperlink" Target="http://m-adas.com" TargetMode="External"/><Relationship Id="rId454" Type="http://schemas.openxmlformats.org/officeDocument/2006/relationships/hyperlink" Target="http://www.linkedin.com/company/ruby-ai-robotic-technologies-ltd" TargetMode="External"/><Relationship Id="rId211" Type="http://schemas.openxmlformats.org/officeDocument/2006/relationships/hyperlink" Target="http://www.linkedin.com/company/driivz" TargetMode="External"/><Relationship Id="rId332" Type="http://schemas.openxmlformats.org/officeDocument/2006/relationships/hyperlink" Target="http://www.linkedin.com/company/bsd-lord-international." TargetMode="External"/><Relationship Id="rId453" Type="http://schemas.openxmlformats.org/officeDocument/2006/relationships/hyperlink" Target="http://www.rubyai.me" TargetMode="External"/><Relationship Id="rId210" Type="http://schemas.openxmlformats.org/officeDocument/2006/relationships/hyperlink" Target="http://www.driivz.com" TargetMode="External"/><Relationship Id="rId331" Type="http://schemas.openxmlformats.org/officeDocument/2006/relationships/hyperlink" Target="http://www.bsd-lord-international.com" TargetMode="External"/><Relationship Id="rId452" Type="http://schemas.openxmlformats.org/officeDocument/2006/relationships/hyperlink" Target="http://ruby.ai" TargetMode="External"/><Relationship Id="rId370" Type="http://schemas.openxmlformats.org/officeDocument/2006/relationships/hyperlink" Target="http://www.linkedin.com/company/motoro-security" TargetMode="External"/><Relationship Id="rId491" Type="http://schemas.openxmlformats.org/officeDocument/2006/relationships/hyperlink" Target="http://www.thewhollysee.com" TargetMode="External"/><Relationship Id="rId490" Type="http://schemas.openxmlformats.org/officeDocument/2006/relationships/hyperlink" Target="http://www.tadirgan-group.com" TargetMode="External"/><Relationship Id="rId129" Type="http://schemas.openxmlformats.org/officeDocument/2006/relationships/hyperlink" Target="http://www.amstaf-ugv.com" TargetMode="External"/><Relationship Id="rId128" Type="http://schemas.openxmlformats.org/officeDocument/2006/relationships/hyperlink" Target="http://www.amm.co.il" TargetMode="External"/><Relationship Id="rId249" Type="http://schemas.openxmlformats.org/officeDocument/2006/relationships/hyperlink" Target="http://www.ev-olution.co" TargetMode="External"/><Relationship Id="rId127" Type="http://schemas.openxmlformats.org/officeDocument/2006/relationships/hyperlink" Target="http://www.alfaoto.com.tr" TargetMode="External"/><Relationship Id="rId248" Type="http://schemas.openxmlformats.org/officeDocument/2006/relationships/hyperlink" Target="http://www.linkedin.com/company/evmeter" TargetMode="External"/><Relationship Id="rId369" Type="http://schemas.openxmlformats.org/officeDocument/2006/relationships/hyperlink" Target="http://www.motoro-security.com" TargetMode="External"/><Relationship Id="rId126" Type="http://schemas.openxmlformats.org/officeDocument/2006/relationships/hyperlink" Target="http://www.linkedin.com/company/ajo-im" TargetMode="External"/><Relationship Id="rId247" Type="http://schemas.openxmlformats.org/officeDocument/2006/relationships/hyperlink" Target="http://www.evmeter.com" TargetMode="External"/><Relationship Id="rId368" Type="http://schemas.openxmlformats.org/officeDocument/2006/relationships/hyperlink" Target="http://www.linkedin.com/company/motorad" TargetMode="External"/><Relationship Id="rId489" Type="http://schemas.openxmlformats.org/officeDocument/2006/relationships/hyperlink" Target="http://www.linkedin.com/company/ten-petroleum-company-ltd-" TargetMode="External"/><Relationship Id="rId121" Type="http://schemas.openxmlformats.org/officeDocument/2006/relationships/hyperlink" Target="http://www.aidymo-cv.com" TargetMode="External"/><Relationship Id="rId242" Type="http://schemas.openxmlformats.org/officeDocument/2006/relationships/hyperlink" Target="http://www.linkedin.com/company/esquareiot" TargetMode="External"/><Relationship Id="rId363" Type="http://schemas.openxmlformats.org/officeDocument/2006/relationships/hyperlink" Target="http://www.mobixtron.com" TargetMode="External"/><Relationship Id="rId484" Type="http://schemas.openxmlformats.org/officeDocument/2006/relationships/hyperlink" Target="http://www.starter.co.il" TargetMode="External"/><Relationship Id="rId120" Type="http://schemas.openxmlformats.org/officeDocument/2006/relationships/hyperlink" Target="http://www.linkedin.com/company/afcon-electric-mobility" TargetMode="External"/><Relationship Id="rId241" Type="http://schemas.openxmlformats.org/officeDocument/2006/relationships/hyperlink" Target="http://www.esquare-p.com" TargetMode="External"/><Relationship Id="rId362" Type="http://schemas.openxmlformats.org/officeDocument/2006/relationships/hyperlink" Target="http://www.linkedin.com/company/mobileye" TargetMode="External"/><Relationship Id="rId483" Type="http://schemas.openxmlformats.org/officeDocument/2006/relationships/hyperlink" Target="http://www.speareye.com" TargetMode="External"/><Relationship Id="rId240" Type="http://schemas.openxmlformats.org/officeDocument/2006/relationships/hyperlink" Target="http://www.linkedin.com/company/erm-telematics" TargetMode="External"/><Relationship Id="rId361" Type="http://schemas.openxmlformats.org/officeDocument/2006/relationships/hyperlink" Target="http://www.mobileye.com" TargetMode="External"/><Relationship Id="rId482" Type="http://schemas.openxmlformats.org/officeDocument/2006/relationships/hyperlink" Target="http://www.soniclue.com" TargetMode="External"/><Relationship Id="rId360" Type="http://schemas.openxmlformats.org/officeDocument/2006/relationships/hyperlink" Target="http://www.midnightrobotics.tech" TargetMode="External"/><Relationship Id="rId481" Type="http://schemas.openxmlformats.org/officeDocument/2006/relationships/hyperlink" Target="http://www.linkedin.com/company/solidt1" TargetMode="External"/><Relationship Id="rId125" Type="http://schemas.openxmlformats.org/officeDocument/2006/relationships/hyperlink" Target="http://www.ajo.im" TargetMode="External"/><Relationship Id="rId246" Type="http://schemas.openxmlformats.org/officeDocument/2006/relationships/hyperlink" Target="http://www.linkedin.com/company/ev-edge" TargetMode="External"/><Relationship Id="rId367" Type="http://schemas.openxmlformats.org/officeDocument/2006/relationships/hyperlink" Target="http://www.motorad.com" TargetMode="External"/><Relationship Id="rId488" Type="http://schemas.openxmlformats.org/officeDocument/2006/relationships/hyperlink" Target="http://www.10ten.co.il" TargetMode="External"/><Relationship Id="rId124" Type="http://schemas.openxmlformats.org/officeDocument/2006/relationships/hyperlink" Target="http://www.linkedin.com/company/air-haifa-ltd" TargetMode="External"/><Relationship Id="rId245" Type="http://schemas.openxmlformats.org/officeDocument/2006/relationships/hyperlink" Target="http://evedge.co.il" TargetMode="External"/><Relationship Id="rId366" Type="http://schemas.openxmlformats.org/officeDocument/2006/relationships/hyperlink" Target="http://www.linkedin.com/company/moovit" TargetMode="External"/><Relationship Id="rId487" Type="http://schemas.openxmlformats.org/officeDocument/2006/relationships/hyperlink" Target="http://www.sundor.co.il" TargetMode="External"/><Relationship Id="rId123" Type="http://schemas.openxmlformats.org/officeDocument/2006/relationships/hyperlink" Target="http://airhaifa.com" TargetMode="External"/><Relationship Id="rId244" Type="http://schemas.openxmlformats.org/officeDocument/2006/relationships/hyperlink" Target="http://www.etvenergy.com" TargetMode="External"/><Relationship Id="rId365" Type="http://schemas.openxmlformats.org/officeDocument/2006/relationships/hyperlink" Target="http://www.moovit.com" TargetMode="External"/><Relationship Id="rId486" Type="http://schemas.openxmlformats.org/officeDocument/2006/relationships/hyperlink" Target="http://www.streetsm4rt.com" TargetMode="External"/><Relationship Id="rId122" Type="http://schemas.openxmlformats.org/officeDocument/2006/relationships/hyperlink" Target="http://www.linkedin.com/company/aidymo-cv" TargetMode="External"/><Relationship Id="rId243" Type="http://schemas.openxmlformats.org/officeDocument/2006/relationships/hyperlink" Target="http://www.etga.co.il" TargetMode="External"/><Relationship Id="rId364" Type="http://schemas.openxmlformats.org/officeDocument/2006/relationships/hyperlink" Target="http://www.linkedin.com/company/mobixtron" TargetMode="External"/><Relationship Id="rId485" Type="http://schemas.openxmlformats.org/officeDocument/2006/relationships/hyperlink" Target="http://www.linkedin.com/company/starter-israel" TargetMode="External"/><Relationship Id="rId95" Type="http://schemas.openxmlformats.org/officeDocument/2006/relationships/hyperlink" Target="http://www.linkedin.com/company/urban-aeronautics" TargetMode="External"/><Relationship Id="rId94" Type="http://schemas.openxmlformats.org/officeDocument/2006/relationships/hyperlink" Target="http://www.urbanaero.com" TargetMode="External"/><Relationship Id="rId97" Type="http://schemas.openxmlformats.org/officeDocument/2006/relationships/hyperlink" Target="http://www.linkedin.com/company/crispifyio" TargetMode="External"/><Relationship Id="rId96" Type="http://schemas.openxmlformats.org/officeDocument/2006/relationships/hyperlink" Target="http://www.crispify.io" TargetMode="External"/><Relationship Id="rId99" Type="http://schemas.openxmlformats.org/officeDocument/2006/relationships/hyperlink" Target="http://www.linkedin.com/company/roadsense-advanced-technologies" TargetMode="External"/><Relationship Id="rId480" Type="http://schemas.openxmlformats.org/officeDocument/2006/relationships/hyperlink" Target="http://solidt-tech.com" TargetMode="External"/><Relationship Id="rId98" Type="http://schemas.openxmlformats.org/officeDocument/2006/relationships/hyperlink" Target="http://www.roadsense.tech" TargetMode="External"/><Relationship Id="rId91" Type="http://schemas.openxmlformats.org/officeDocument/2006/relationships/hyperlink" Target="http://www.linkedin.com/company/brightmerge" TargetMode="External"/><Relationship Id="rId90" Type="http://schemas.openxmlformats.org/officeDocument/2006/relationships/hyperlink" Target="http://www.brightmerge.com" TargetMode="External"/><Relationship Id="rId93" Type="http://schemas.openxmlformats.org/officeDocument/2006/relationships/hyperlink" Target="http://www.linkedin.com/company/storedot" TargetMode="External"/><Relationship Id="rId92" Type="http://schemas.openxmlformats.org/officeDocument/2006/relationships/hyperlink" Target="http://www.store-dot.com" TargetMode="External"/><Relationship Id="rId118" Type="http://schemas.openxmlformats.org/officeDocument/2006/relationships/hyperlink" Target="http://www.aerocrs.com" TargetMode="External"/><Relationship Id="rId239" Type="http://schemas.openxmlformats.org/officeDocument/2006/relationships/hyperlink" Target="http://www.ermtelematics.com" TargetMode="External"/><Relationship Id="rId117" Type="http://schemas.openxmlformats.org/officeDocument/2006/relationships/hyperlink" Target="http://www.linkedin.com/company/aero-ice-free-ltd" TargetMode="External"/><Relationship Id="rId238" Type="http://schemas.openxmlformats.org/officeDocument/2006/relationships/hyperlink" Target="http://www.linkedin.com/company/ensign-optics" TargetMode="External"/><Relationship Id="rId359" Type="http://schemas.openxmlformats.org/officeDocument/2006/relationships/hyperlink" Target="http://www.linkedin.com/company/-mida" TargetMode="External"/><Relationship Id="rId116" Type="http://schemas.openxmlformats.org/officeDocument/2006/relationships/hyperlink" Target="http://aeroicefree.com" TargetMode="External"/><Relationship Id="rId237" Type="http://schemas.openxmlformats.org/officeDocument/2006/relationships/hyperlink" Target="http://ensignoptics.com" TargetMode="External"/><Relationship Id="rId358" Type="http://schemas.openxmlformats.org/officeDocument/2006/relationships/hyperlink" Target="http://mida.co.il" TargetMode="External"/><Relationship Id="rId479" Type="http://schemas.openxmlformats.org/officeDocument/2006/relationships/hyperlink" Target="http://www.linkedin.com/company/solardrones-net" TargetMode="External"/><Relationship Id="rId115" Type="http://schemas.openxmlformats.org/officeDocument/2006/relationships/hyperlink" Target="http://www.linkedin.com/company/adam-cogtec" TargetMode="External"/><Relationship Id="rId236" Type="http://schemas.openxmlformats.org/officeDocument/2006/relationships/hyperlink" Target="http://www.enroute.tech" TargetMode="External"/><Relationship Id="rId357" Type="http://schemas.openxmlformats.org/officeDocument/2006/relationships/hyperlink" Target="http://www.linkedin.com/company/mia-dynamics" TargetMode="External"/><Relationship Id="rId478" Type="http://schemas.openxmlformats.org/officeDocument/2006/relationships/hyperlink" Target="http://www.solardrones.net" TargetMode="External"/><Relationship Id="rId119" Type="http://schemas.openxmlformats.org/officeDocument/2006/relationships/hyperlink" Target="http://www.afconev.co.il" TargetMode="External"/><Relationship Id="rId110" Type="http://schemas.openxmlformats.org/officeDocument/2006/relationships/hyperlink" Target="http://www.linkedin.com/company/a.d.i-system-ltd" TargetMode="External"/><Relationship Id="rId231" Type="http://schemas.openxmlformats.org/officeDocument/2006/relationships/hyperlink" Target="http://www.linkedin.com/company/elssway" TargetMode="External"/><Relationship Id="rId352" Type="http://schemas.openxmlformats.org/officeDocument/2006/relationships/hyperlink" Target="http://www.mentfield.com" TargetMode="External"/><Relationship Id="rId473" Type="http://schemas.openxmlformats.org/officeDocument/2006/relationships/hyperlink" Target="http://www.shiftlive.net" TargetMode="External"/><Relationship Id="rId230" Type="http://schemas.openxmlformats.org/officeDocument/2006/relationships/hyperlink" Target="http://www.elssway.com" TargetMode="External"/><Relationship Id="rId351" Type="http://schemas.openxmlformats.org/officeDocument/2006/relationships/hyperlink" Target="http://www.linkedin.com/company/megatok" TargetMode="External"/><Relationship Id="rId472" Type="http://schemas.openxmlformats.org/officeDocument/2006/relationships/hyperlink" Target="http://www.sheelds.ai" TargetMode="External"/><Relationship Id="rId350" Type="http://schemas.openxmlformats.org/officeDocument/2006/relationships/hyperlink" Target="http://megatok.com" TargetMode="External"/><Relationship Id="rId471" Type="http://schemas.openxmlformats.org/officeDocument/2006/relationships/hyperlink" Target="http://www.linkedin.com/company/shareroute-ltd" TargetMode="External"/><Relationship Id="rId470" Type="http://schemas.openxmlformats.org/officeDocument/2006/relationships/hyperlink" Target="http://www.shareroute.com" TargetMode="External"/><Relationship Id="rId114" Type="http://schemas.openxmlformats.org/officeDocument/2006/relationships/hyperlink" Target="http://www.adam-cogtec.com" TargetMode="External"/><Relationship Id="rId235" Type="http://schemas.openxmlformats.org/officeDocument/2006/relationships/hyperlink" Target="http://www.linkedin.com/company/5134061" TargetMode="External"/><Relationship Id="rId356" Type="http://schemas.openxmlformats.org/officeDocument/2006/relationships/hyperlink" Target="http://www.miadynamics.com" TargetMode="External"/><Relationship Id="rId477" Type="http://schemas.openxmlformats.org/officeDocument/2006/relationships/hyperlink" Target="http://www.smartbus.co.il" TargetMode="External"/><Relationship Id="rId113" Type="http://schemas.openxmlformats.org/officeDocument/2006/relationships/hyperlink" Target="http://www.acemobility.us" TargetMode="External"/><Relationship Id="rId234" Type="http://schemas.openxmlformats.org/officeDocument/2006/relationships/hyperlink" Target="http://www.engieapp.com" TargetMode="External"/><Relationship Id="rId355" Type="http://schemas.openxmlformats.org/officeDocument/2006/relationships/hyperlink" Target="http://www.metropoline.com" TargetMode="External"/><Relationship Id="rId476" Type="http://schemas.openxmlformats.org/officeDocument/2006/relationships/hyperlink" Target="http://www.linkedin.com/company/sital-technology" TargetMode="External"/><Relationship Id="rId112" Type="http://schemas.openxmlformats.org/officeDocument/2006/relationships/hyperlink" Target="http://www.linkedin.com/company/a-l-group" TargetMode="External"/><Relationship Id="rId233" Type="http://schemas.openxmlformats.org/officeDocument/2006/relationships/hyperlink" Target="http://www.linkedin.com/company/emoto-electric-motorcycles" TargetMode="External"/><Relationship Id="rId354" Type="http://schemas.openxmlformats.org/officeDocument/2006/relationships/hyperlink" Target="http://www.metro.co.il" TargetMode="External"/><Relationship Id="rId475" Type="http://schemas.openxmlformats.org/officeDocument/2006/relationships/hyperlink" Target="http://www.sitaltech.com" TargetMode="External"/><Relationship Id="rId111" Type="http://schemas.openxmlformats.org/officeDocument/2006/relationships/hyperlink" Target="http://www.algroup.com" TargetMode="External"/><Relationship Id="rId232" Type="http://schemas.openxmlformats.org/officeDocument/2006/relationships/hyperlink" Target="http://emoto.co.il" TargetMode="External"/><Relationship Id="rId353" Type="http://schemas.openxmlformats.org/officeDocument/2006/relationships/hyperlink" Target="http://www.linkedin.com/company/mentfield-logistics-group" TargetMode="External"/><Relationship Id="rId474" Type="http://schemas.openxmlformats.org/officeDocument/2006/relationships/hyperlink" Target="http://www.linkedin.com/company/shift-live" TargetMode="External"/><Relationship Id="rId305" Type="http://schemas.openxmlformats.org/officeDocument/2006/relationships/hyperlink" Target="http://www.linkedin.com/company/ministry-of-economy-embassy-of-israel" TargetMode="External"/><Relationship Id="rId426" Type="http://schemas.openxmlformats.org/officeDocument/2006/relationships/hyperlink" Target="http://www.linkedin.com/company/pointo" TargetMode="External"/><Relationship Id="rId304" Type="http://schemas.openxmlformats.org/officeDocument/2006/relationships/hyperlink" Target="http://itrade.gov.il" TargetMode="External"/><Relationship Id="rId425" Type="http://schemas.openxmlformats.org/officeDocument/2006/relationships/hyperlink" Target="http://www.pointo.me" TargetMode="External"/><Relationship Id="rId303" Type="http://schemas.openxmlformats.org/officeDocument/2006/relationships/hyperlink" Target="http://www.ionroad.com" TargetMode="External"/><Relationship Id="rId424" Type="http://schemas.openxmlformats.org/officeDocument/2006/relationships/hyperlink" Target="http://www.pointer.com" TargetMode="External"/><Relationship Id="rId302" Type="http://schemas.openxmlformats.org/officeDocument/2006/relationships/hyperlink" Target="http://www.linkedin.com/company/innoviz-technologies" TargetMode="External"/><Relationship Id="rId423" Type="http://schemas.openxmlformats.org/officeDocument/2006/relationships/hyperlink" Target="http://www.linkedin.com/company/ridepny" TargetMode="External"/><Relationship Id="rId309" Type="http://schemas.openxmlformats.org/officeDocument/2006/relationships/hyperlink" Target="http://www.jettaplus.com" TargetMode="External"/><Relationship Id="rId308" Type="http://schemas.openxmlformats.org/officeDocument/2006/relationships/hyperlink" Target="http://www.linkedin.com/company/ituran" TargetMode="External"/><Relationship Id="rId429" Type="http://schemas.openxmlformats.org/officeDocument/2006/relationships/hyperlink" Target="http://www.linkedin.com/company/pumbaparking" TargetMode="External"/><Relationship Id="rId307" Type="http://schemas.openxmlformats.org/officeDocument/2006/relationships/hyperlink" Target="http://www.ituran.com" TargetMode="External"/><Relationship Id="rId428" Type="http://schemas.openxmlformats.org/officeDocument/2006/relationships/hyperlink" Target="http://www.pumbaparking.com" TargetMode="External"/><Relationship Id="rId306" Type="http://schemas.openxmlformats.org/officeDocument/2006/relationships/hyperlink" Target="http://www.israirairlines.com" TargetMode="External"/><Relationship Id="rId427" Type="http://schemas.openxmlformats.org/officeDocument/2006/relationships/hyperlink" Target="http://www.powermobility.io" TargetMode="External"/><Relationship Id="rId301" Type="http://schemas.openxmlformats.org/officeDocument/2006/relationships/hyperlink" Target="http://www.innoviz.tech" TargetMode="External"/><Relationship Id="rId422" Type="http://schemas.openxmlformats.org/officeDocument/2006/relationships/hyperlink" Target="http://ridepny.com" TargetMode="External"/><Relationship Id="rId300" Type="http://schemas.openxmlformats.org/officeDocument/2006/relationships/hyperlink" Target="http://www.zibarusa.com" TargetMode="External"/><Relationship Id="rId421" Type="http://schemas.openxmlformats.org/officeDocument/2006/relationships/hyperlink" Target="http://www.linkedin.com/company/plaxidityx" TargetMode="External"/><Relationship Id="rId420" Type="http://schemas.openxmlformats.org/officeDocument/2006/relationships/hyperlink" Target="http://www.plaxidityx.com" TargetMode="External"/><Relationship Id="rId415" Type="http://schemas.openxmlformats.org/officeDocument/2006/relationships/hyperlink" Target="http://www.linkedin.com/company/pentaxi" TargetMode="External"/><Relationship Id="rId536" Type="http://schemas.openxmlformats.org/officeDocument/2006/relationships/drawing" Target="../drawings/drawing2.xml"/><Relationship Id="rId414" Type="http://schemas.openxmlformats.org/officeDocument/2006/relationships/hyperlink" Target="http://www.penta.aero" TargetMode="External"/><Relationship Id="rId535" Type="http://schemas.openxmlformats.org/officeDocument/2006/relationships/hyperlink" Target="http://www.linkedin.com/company/zooz-power" TargetMode="External"/><Relationship Id="rId413" Type="http://schemas.openxmlformats.org/officeDocument/2006/relationships/hyperlink" Target="http://www.linkedin.com/company/paxxi.net" TargetMode="External"/><Relationship Id="rId534" Type="http://schemas.openxmlformats.org/officeDocument/2006/relationships/hyperlink" Target="http://www.zoozpower.com" TargetMode="External"/><Relationship Id="rId412" Type="http://schemas.openxmlformats.org/officeDocument/2006/relationships/hyperlink" Target="http://paxxi.net" TargetMode="External"/><Relationship Id="rId533" Type="http://schemas.openxmlformats.org/officeDocument/2006/relationships/hyperlink" Target="http://www.linkedin.com/company/yit2007" TargetMode="External"/><Relationship Id="rId419" Type="http://schemas.openxmlformats.org/officeDocument/2006/relationships/hyperlink" Target="http://www.linkedin.com/company/pickoto" TargetMode="External"/><Relationship Id="rId418" Type="http://schemas.openxmlformats.org/officeDocument/2006/relationships/hyperlink" Target="http://www.pickoto.co.il" TargetMode="External"/><Relationship Id="rId417" Type="http://schemas.openxmlformats.org/officeDocument/2006/relationships/hyperlink" Target="http://www.linkedin.com/company/phinergy-clean-energy" TargetMode="External"/><Relationship Id="rId416" Type="http://schemas.openxmlformats.org/officeDocument/2006/relationships/hyperlink" Target="http://www.phinergy.com" TargetMode="External"/><Relationship Id="rId411" Type="http://schemas.openxmlformats.org/officeDocument/2006/relationships/hyperlink" Target="http://www.linkedin.com/company/parx-wise-parking-solutions" TargetMode="External"/><Relationship Id="rId532" Type="http://schemas.openxmlformats.org/officeDocument/2006/relationships/hyperlink" Target="http://www.y-it.co.il" TargetMode="External"/><Relationship Id="rId410" Type="http://schemas.openxmlformats.org/officeDocument/2006/relationships/hyperlink" Target="http://parxglobal.com" TargetMode="External"/><Relationship Id="rId531" Type="http://schemas.openxmlformats.org/officeDocument/2006/relationships/hyperlink" Target="http://www.yallabo.co.il" TargetMode="External"/><Relationship Id="rId530" Type="http://schemas.openxmlformats.org/officeDocument/2006/relationships/hyperlink" Target="http://www.yallayalla.co.il" TargetMode="External"/><Relationship Id="rId206" Type="http://schemas.openxmlformats.org/officeDocument/2006/relationships/hyperlink" Target="http://www.linkedin.com/company/deliverider" TargetMode="External"/><Relationship Id="rId327" Type="http://schemas.openxmlformats.org/officeDocument/2006/relationships/hyperlink" Target="http://www.linkedin.com/company/lidwaveil" TargetMode="External"/><Relationship Id="rId448" Type="http://schemas.openxmlformats.org/officeDocument/2006/relationships/hyperlink" Target="http://www.121gw.tech" TargetMode="External"/><Relationship Id="rId205" Type="http://schemas.openxmlformats.org/officeDocument/2006/relationships/hyperlink" Target="http://www.deliverider.com" TargetMode="External"/><Relationship Id="rId326" Type="http://schemas.openxmlformats.org/officeDocument/2006/relationships/hyperlink" Target="http://www.lidwave.com" TargetMode="External"/><Relationship Id="rId447" Type="http://schemas.openxmlformats.org/officeDocument/2006/relationships/hyperlink" Target="http://roads.ai" TargetMode="External"/><Relationship Id="rId204" Type="http://schemas.openxmlformats.org/officeDocument/2006/relationships/hyperlink" Target="http://www.deezle.co" TargetMode="External"/><Relationship Id="rId325" Type="http://schemas.openxmlformats.org/officeDocument/2006/relationships/hyperlink" Target="http://www.linkedin.com/company/level-hydrofoils" TargetMode="External"/><Relationship Id="rId446" Type="http://schemas.openxmlformats.org/officeDocument/2006/relationships/hyperlink" Target="http://www.rfisee.com" TargetMode="External"/><Relationship Id="rId203" Type="http://schemas.openxmlformats.org/officeDocument/2006/relationships/hyperlink" Target="http://www.dan.co.il" TargetMode="External"/><Relationship Id="rId324" Type="http://schemas.openxmlformats.org/officeDocument/2006/relationships/hyperlink" Target="http://www.levelfoils.com" TargetMode="External"/><Relationship Id="rId445" Type="http://schemas.openxmlformats.org/officeDocument/2006/relationships/hyperlink" Target="http://www.reprobatemotorcycles.com" TargetMode="External"/><Relationship Id="rId209" Type="http://schemas.openxmlformats.org/officeDocument/2006/relationships/hyperlink" Target="http://www.linkedin.com/company/directrains" TargetMode="External"/><Relationship Id="rId208" Type="http://schemas.openxmlformats.org/officeDocument/2006/relationships/hyperlink" Target="http://www.directrains.com" TargetMode="External"/><Relationship Id="rId329" Type="http://schemas.openxmlformats.org/officeDocument/2006/relationships/hyperlink" Target="http://www.linkedin.com/company/lastmileplanner" TargetMode="External"/><Relationship Id="rId207" Type="http://schemas.openxmlformats.org/officeDocument/2006/relationships/hyperlink" Target="http://www.derech-eretz.com" TargetMode="External"/><Relationship Id="rId328" Type="http://schemas.openxmlformats.org/officeDocument/2006/relationships/hyperlink" Target="http://lastmileplanner.com" TargetMode="External"/><Relationship Id="rId449" Type="http://schemas.openxmlformats.org/officeDocument/2006/relationships/hyperlink" Target="http://www.roseman.tech" TargetMode="External"/><Relationship Id="rId440" Type="http://schemas.openxmlformats.org/officeDocument/2006/relationships/hyperlink" Target="http://www.linkedin.com/company/reeautoofficial" TargetMode="External"/><Relationship Id="rId202" Type="http://schemas.openxmlformats.org/officeDocument/2006/relationships/hyperlink" Target="http://www.linkedin.com/company/cymotive-technologies" TargetMode="External"/><Relationship Id="rId323" Type="http://schemas.openxmlformats.org/officeDocument/2006/relationships/hyperlink" Target="http://www.leoride.co" TargetMode="External"/><Relationship Id="rId444" Type="http://schemas.openxmlformats.org/officeDocument/2006/relationships/hyperlink" Target="http://www.linkedin.com/company/revoltz-ev" TargetMode="External"/><Relationship Id="rId201" Type="http://schemas.openxmlformats.org/officeDocument/2006/relationships/hyperlink" Target="http://www.cymotive.com" TargetMode="External"/><Relationship Id="rId322" Type="http://schemas.openxmlformats.org/officeDocument/2006/relationships/hyperlink" Target="http://www.linkedin.com/company/konnectvw" TargetMode="External"/><Relationship Id="rId443" Type="http://schemas.openxmlformats.org/officeDocument/2006/relationships/hyperlink" Target="http://www.revoltzev.com" TargetMode="External"/><Relationship Id="rId200" Type="http://schemas.openxmlformats.org/officeDocument/2006/relationships/hyperlink" Target="http://www.linkedin.com/company/cybellum" TargetMode="External"/><Relationship Id="rId321" Type="http://schemas.openxmlformats.org/officeDocument/2006/relationships/hyperlink" Target="http://www.konnect-vwgroup.com" TargetMode="External"/><Relationship Id="rId442" Type="http://schemas.openxmlformats.org/officeDocument/2006/relationships/hyperlink" Target="http://www.linkedin.com/company/reinsglobal" TargetMode="External"/><Relationship Id="rId320" Type="http://schemas.openxmlformats.org/officeDocument/2006/relationships/hyperlink" Target="http://gkl-leasing.com" TargetMode="External"/><Relationship Id="rId441" Type="http://schemas.openxmlformats.org/officeDocument/2006/relationships/hyperlink" Target="http://www.reinsglobal.com" TargetMode="External"/><Relationship Id="rId316" Type="http://schemas.openxmlformats.org/officeDocument/2006/relationships/hyperlink" Target="http://karz.io" TargetMode="External"/><Relationship Id="rId437" Type="http://schemas.openxmlformats.org/officeDocument/2006/relationships/hyperlink" Target="http://www.redrive.info" TargetMode="External"/><Relationship Id="rId315" Type="http://schemas.openxmlformats.org/officeDocument/2006/relationships/hyperlink" Target="http://www.kafuzan.co.il" TargetMode="External"/><Relationship Id="rId436" Type="http://schemas.openxmlformats.org/officeDocument/2006/relationships/hyperlink" Target="http://www.raval.co.il" TargetMode="External"/><Relationship Id="rId314" Type="http://schemas.openxmlformats.org/officeDocument/2006/relationships/hyperlink" Target="http://www.justdrive.ai" TargetMode="External"/><Relationship Id="rId435" Type="http://schemas.openxmlformats.org/officeDocument/2006/relationships/hyperlink" Target="http://www.linkedin.com/company/ratha" TargetMode="External"/><Relationship Id="rId313" Type="http://schemas.openxmlformats.org/officeDocument/2006/relationships/hyperlink" Target="http://www.jupiter-ev.com" TargetMode="External"/><Relationship Id="rId434" Type="http://schemas.openxmlformats.org/officeDocument/2006/relationships/hyperlink" Target="http://www.ratha.ai" TargetMode="External"/><Relationship Id="rId319" Type="http://schemas.openxmlformats.org/officeDocument/2006/relationships/hyperlink" Target="http://www.linkedin.com/company/kef-international" TargetMode="External"/><Relationship Id="rId318" Type="http://schemas.openxmlformats.org/officeDocument/2006/relationships/hyperlink" Target="http://kefintl.com" TargetMode="External"/><Relationship Id="rId439" Type="http://schemas.openxmlformats.org/officeDocument/2006/relationships/hyperlink" Target="http://www.ree.auto" TargetMode="External"/><Relationship Id="rId317" Type="http://schemas.openxmlformats.org/officeDocument/2006/relationships/hyperlink" Target="http://www.karz.io" TargetMode="External"/><Relationship Id="rId438" Type="http://schemas.openxmlformats.org/officeDocument/2006/relationships/hyperlink" Target="http://www.linkedin.com/company/redriveil" TargetMode="External"/><Relationship Id="rId312" Type="http://schemas.openxmlformats.org/officeDocument/2006/relationships/hyperlink" Target="http://www.joynpower.com" TargetMode="External"/><Relationship Id="rId433" Type="http://schemas.openxmlformats.org/officeDocument/2006/relationships/hyperlink" Target="http://www.linkedin.com/company/railv-ision" TargetMode="External"/><Relationship Id="rId311" Type="http://schemas.openxmlformats.org/officeDocument/2006/relationships/hyperlink" Target="http://www.linkedin.com/company/journeez" TargetMode="External"/><Relationship Id="rId432" Type="http://schemas.openxmlformats.org/officeDocument/2006/relationships/hyperlink" Target="http://www.railvision.io" TargetMode="External"/><Relationship Id="rId310" Type="http://schemas.openxmlformats.org/officeDocument/2006/relationships/hyperlink" Target="http://journeez.io" TargetMode="External"/><Relationship Id="rId431" Type="http://schemas.openxmlformats.org/officeDocument/2006/relationships/hyperlink" Target="http://www.linkedin.com/company/radsee" TargetMode="External"/><Relationship Id="rId430" Type="http://schemas.openxmlformats.org/officeDocument/2006/relationships/hyperlink" Target="http://www.radsee.com"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www.linkedin.com/company/xpand-today" TargetMode="External"/><Relationship Id="rId194" Type="http://schemas.openxmlformats.org/officeDocument/2006/relationships/hyperlink" Target="http://www.locationet.com" TargetMode="External"/><Relationship Id="rId193" Type="http://schemas.openxmlformats.org/officeDocument/2006/relationships/hyperlink" Target="http://www.acemobility.us" TargetMode="External"/><Relationship Id="rId192" Type="http://schemas.openxmlformats.org/officeDocument/2006/relationships/hyperlink" Target="http://www.linkedin.com/company/yit2007" TargetMode="External"/><Relationship Id="rId191" Type="http://schemas.openxmlformats.org/officeDocument/2006/relationships/hyperlink" Target="http://www.y-it.co.il" TargetMode="External"/><Relationship Id="rId187" Type="http://schemas.openxmlformats.org/officeDocument/2006/relationships/hyperlink" Target="http://www.v-hola.com" TargetMode="External"/><Relationship Id="rId186" Type="http://schemas.openxmlformats.org/officeDocument/2006/relationships/hyperlink" Target="http://www.linkedin.com/company/vectoraic" TargetMode="External"/><Relationship Id="rId185" Type="http://schemas.openxmlformats.org/officeDocument/2006/relationships/hyperlink" Target="http://www.vectoraic.com" TargetMode="External"/><Relationship Id="rId184" Type="http://schemas.openxmlformats.org/officeDocument/2006/relationships/hyperlink" Target="http://www.linkedin.com/company/vayyar" TargetMode="External"/><Relationship Id="rId189" Type="http://schemas.openxmlformats.org/officeDocument/2006/relationships/hyperlink" Target="http://www.xpand.us" TargetMode="External"/><Relationship Id="rId188" Type="http://schemas.openxmlformats.org/officeDocument/2006/relationships/hyperlink" Target="http://www.linkedin.com/company/vhola" TargetMode="External"/><Relationship Id="rId183" Type="http://schemas.openxmlformats.org/officeDocument/2006/relationships/hyperlink" Target="http://www.vayyar.com" TargetMode="External"/><Relationship Id="rId182" Type="http://schemas.openxmlformats.org/officeDocument/2006/relationships/hyperlink" Target="http://www.linkedin.com/company/valerann" TargetMode="External"/><Relationship Id="rId181" Type="http://schemas.openxmlformats.org/officeDocument/2006/relationships/hyperlink" Target="http://www.valerann.com" TargetMode="External"/><Relationship Id="rId180" Type="http://schemas.openxmlformats.org/officeDocument/2006/relationships/hyperlink" Target="http://www.linkedin.com/company/v-gen" TargetMode="External"/><Relationship Id="rId176" Type="http://schemas.openxmlformats.org/officeDocument/2006/relationships/hyperlink" Target="http://www.linkedin.com/company/trieye" TargetMode="External"/><Relationship Id="rId175" Type="http://schemas.openxmlformats.org/officeDocument/2006/relationships/hyperlink" Target="http://www.trieye.tech" TargetMode="External"/><Relationship Id="rId174" Type="http://schemas.openxmlformats.org/officeDocument/2006/relationships/hyperlink" Target="http://www.linkedin.com/company/shareroute-ltd" TargetMode="External"/><Relationship Id="rId173" Type="http://schemas.openxmlformats.org/officeDocument/2006/relationships/hyperlink" Target="http://www.shareroute.com" TargetMode="External"/><Relationship Id="rId179" Type="http://schemas.openxmlformats.org/officeDocument/2006/relationships/hyperlink" Target="http://www.vgen.com" TargetMode="External"/><Relationship Id="rId178" Type="http://schemas.openxmlformats.org/officeDocument/2006/relationships/hyperlink" Target="http://www.linkedin.com/company/tupaia-pos" TargetMode="External"/><Relationship Id="rId177" Type="http://schemas.openxmlformats.org/officeDocument/2006/relationships/hyperlink" Target="http://www.tupaia-pos.com" TargetMode="External"/><Relationship Id="rId198" Type="http://schemas.openxmlformats.org/officeDocument/2006/relationships/hyperlink" Target="http://www.etvenergy.com" TargetMode="External"/><Relationship Id="rId197" Type="http://schemas.openxmlformats.org/officeDocument/2006/relationships/hyperlink" Target="http://www.betterplace.com" TargetMode="External"/><Relationship Id="rId196" Type="http://schemas.openxmlformats.org/officeDocument/2006/relationships/hyperlink" Target="http://www.aerocrs.com" TargetMode="External"/><Relationship Id="rId195" Type="http://schemas.openxmlformats.org/officeDocument/2006/relationships/hyperlink" Target="http://www.cell-guide.com" TargetMode="External"/><Relationship Id="rId199" Type="http://schemas.openxmlformats.org/officeDocument/2006/relationships/hyperlink" Target="http://www.oryxvision.com" TargetMode="External"/><Relationship Id="rId150" Type="http://schemas.openxmlformats.org/officeDocument/2006/relationships/hyperlink" Target="http://www.linkedin.com/company/elssway" TargetMode="External"/><Relationship Id="rId1" Type="http://schemas.openxmlformats.org/officeDocument/2006/relationships/hyperlink" Target="http://www.mobilityinsight.net" TargetMode="External"/><Relationship Id="rId2" Type="http://schemas.openxmlformats.org/officeDocument/2006/relationships/hyperlink" Target="http://www.linkedin.com/company/mobi---mobility-insight" TargetMode="External"/><Relationship Id="rId3" Type="http://schemas.openxmlformats.org/officeDocument/2006/relationships/hyperlink" Target="http://www.mobileye.com" TargetMode="External"/><Relationship Id="rId149" Type="http://schemas.openxmlformats.org/officeDocument/2006/relationships/hyperlink" Target="http://www.elssway.com" TargetMode="External"/><Relationship Id="rId4" Type="http://schemas.openxmlformats.org/officeDocument/2006/relationships/hyperlink" Target="http://www.linkedin.com/company/mobileye" TargetMode="External"/><Relationship Id="rId148" Type="http://schemas.openxmlformats.org/officeDocument/2006/relationships/hyperlink" Target="http://www.linkedin.com/company/edgybees-ltd" TargetMode="External"/><Relationship Id="rId9" Type="http://schemas.openxmlformats.org/officeDocument/2006/relationships/hyperlink" Target="http://www.newsight.com" TargetMode="External"/><Relationship Id="rId143" Type="http://schemas.openxmlformats.org/officeDocument/2006/relationships/hyperlink" Target="http://www.cognata.com" TargetMode="External"/><Relationship Id="rId142" Type="http://schemas.openxmlformats.org/officeDocument/2006/relationships/hyperlink" Target="http://www.linkedin.com/company/ception" TargetMode="External"/><Relationship Id="rId141" Type="http://schemas.openxmlformats.org/officeDocument/2006/relationships/hyperlink" Target="http://www.ception.ai" TargetMode="External"/><Relationship Id="rId140" Type="http://schemas.openxmlformats.org/officeDocument/2006/relationships/hyperlink" Target="http://www.linkedin.com/company/bringg" TargetMode="External"/><Relationship Id="rId5" Type="http://schemas.openxmlformats.org/officeDocument/2006/relationships/hyperlink" Target="http://www.arberobotics.com" TargetMode="External"/><Relationship Id="rId147" Type="http://schemas.openxmlformats.org/officeDocument/2006/relationships/hyperlink" Target="http://www.edgybees.com" TargetMode="External"/><Relationship Id="rId6" Type="http://schemas.openxmlformats.org/officeDocument/2006/relationships/hyperlink" Target="http://www.linkedin.com/company/arbe-robotics" TargetMode="External"/><Relationship Id="rId146" Type="http://schemas.openxmlformats.org/officeDocument/2006/relationships/hyperlink" Target="http://www.linkedin.com/company/deliverider" TargetMode="External"/><Relationship Id="rId7" Type="http://schemas.openxmlformats.org/officeDocument/2006/relationships/hyperlink" Target="http://www.innoviz.tech" TargetMode="External"/><Relationship Id="rId145" Type="http://schemas.openxmlformats.org/officeDocument/2006/relationships/hyperlink" Target="http://www.deliverider.com" TargetMode="External"/><Relationship Id="rId8" Type="http://schemas.openxmlformats.org/officeDocument/2006/relationships/hyperlink" Target="http://www.linkedin.com/company/innoviz-technologies" TargetMode="External"/><Relationship Id="rId144" Type="http://schemas.openxmlformats.org/officeDocument/2006/relationships/hyperlink" Target="http://www.linkedin.com/company/cognata-ltd" TargetMode="External"/><Relationship Id="rId139" Type="http://schemas.openxmlformats.org/officeDocument/2006/relationships/hyperlink" Target="http://www.bringg.com" TargetMode="External"/><Relationship Id="rId138" Type="http://schemas.openxmlformats.org/officeDocument/2006/relationships/hyperlink" Target="http://www.linkedin.com/company/autofleet" TargetMode="External"/><Relationship Id="rId137" Type="http://schemas.openxmlformats.org/officeDocument/2006/relationships/hyperlink" Target="http://www.autofleet.io" TargetMode="External"/><Relationship Id="rId132" Type="http://schemas.openxmlformats.org/officeDocument/2006/relationships/hyperlink" Target="http://www.linkedin.com/company/adam-cogtec" TargetMode="External"/><Relationship Id="rId131" Type="http://schemas.openxmlformats.org/officeDocument/2006/relationships/hyperlink" Target="http://www.adam-cogtec.com" TargetMode="External"/><Relationship Id="rId130" Type="http://schemas.openxmlformats.org/officeDocument/2006/relationships/hyperlink" Target="http://www.linkedin.com/company/5134061" TargetMode="External"/><Relationship Id="rId136" Type="http://schemas.openxmlformats.org/officeDocument/2006/relationships/hyperlink" Target="http://www.linkedin.com/company/auroralabs" TargetMode="External"/><Relationship Id="rId135" Type="http://schemas.openxmlformats.org/officeDocument/2006/relationships/hyperlink" Target="http://www.auroralabs.com" TargetMode="External"/><Relationship Id="rId134" Type="http://schemas.openxmlformats.org/officeDocument/2006/relationships/hyperlink" Target="http://www.linkedin.com/company/anachoic" TargetMode="External"/><Relationship Id="rId133" Type="http://schemas.openxmlformats.org/officeDocument/2006/relationships/hyperlink" Target="http://www.anachoic.com" TargetMode="External"/><Relationship Id="rId172" Type="http://schemas.openxmlformats.org/officeDocument/2006/relationships/hyperlink" Target="http://www.linkedin.com/company/radsee" TargetMode="External"/><Relationship Id="rId171" Type="http://schemas.openxmlformats.org/officeDocument/2006/relationships/hyperlink" Target="http://www.radsee.com" TargetMode="External"/><Relationship Id="rId170" Type="http://schemas.openxmlformats.org/officeDocument/2006/relationships/hyperlink" Target="http://www.linkedin.com/company/pxe-holographic-imaging" TargetMode="External"/><Relationship Id="rId165" Type="http://schemas.openxmlformats.org/officeDocument/2006/relationships/hyperlink" Target="http://www.notraffic.com" TargetMode="External"/><Relationship Id="rId164" Type="http://schemas.openxmlformats.org/officeDocument/2006/relationships/hyperlink" Target="http://www.linkedin.com/company/nayamwings" TargetMode="External"/><Relationship Id="rId163" Type="http://schemas.openxmlformats.org/officeDocument/2006/relationships/hyperlink" Target="http://www.nayamwings.com" TargetMode="External"/><Relationship Id="rId162" Type="http://schemas.openxmlformats.org/officeDocument/2006/relationships/hyperlink" Target="http://www.linkedin.com/company/lidwaveil" TargetMode="External"/><Relationship Id="rId169" Type="http://schemas.openxmlformats.org/officeDocument/2006/relationships/hyperlink" Target="http://www.pxeimaging.com" TargetMode="External"/><Relationship Id="rId168" Type="http://schemas.openxmlformats.org/officeDocument/2006/relationships/hyperlink" Target="http://www.linkedin.com/company/pointo" TargetMode="External"/><Relationship Id="rId167" Type="http://schemas.openxmlformats.org/officeDocument/2006/relationships/hyperlink" Target="http://www.pointo.me" TargetMode="External"/><Relationship Id="rId166" Type="http://schemas.openxmlformats.org/officeDocument/2006/relationships/hyperlink" Target="http://www.linkedin.com/company/notraffic" TargetMode="External"/><Relationship Id="rId161" Type="http://schemas.openxmlformats.org/officeDocument/2006/relationships/hyperlink" Target="http://www.lidwave.com" TargetMode="External"/><Relationship Id="rId160" Type="http://schemas.openxmlformats.org/officeDocument/2006/relationships/hyperlink" Target="http://www.linkedin.com/company/kardome" TargetMode="External"/><Relationship Id="rId159" Type="http://schemas.openxmlformats.org/officeDocument/2006/relationships/hyperlink" Target="http://www.kardome.com" TargetMode="External"/><Relationship Id="rId154" Type="http://schemas.openxmlformats.org/officeDocument/2006/relationships/hyperlink" Target="http://www.linkedin.com/company/foretellix" TargetMode="External"/><Relationship Id="rId153" Type="http://schemas.openxmlformats.org/officeDocument/2006/relationships/hyperlink" Target="http://www.foretellix.com" TargetMode="External"/><Relationship Id="rId152" Type="http://schemas.openxmlformats.org/officeDocument/2006/relationships/hyperlink" Target="http://www.linkedin.com/company/enroute-tech" TargetMode="External"/><Relationship Id="rId151" Type="http://schemas.openxmlformats.org/officeDocument/2006/relationships/hyperlink" Target="http://www.enroute.tech" TargetMode="External"/><Relationship Id="rId158" Type="http://schemas.openxmlformats.org/officeDocument/2006/relationships/hyperlink" Target="http://www.linkedin.com/company/itc-city" TargetMode="External"/><Relationship Id="rId157" Type="http://schemas.openxmlformats.org/officeDocument/2006/relationships/hyperlink" Target="http://www.itc.city" TargetMode="External"/><Relationship Id="rId156" Type="http://schemas.openxmlformats.org/officeDocument/2006/relationships/hyperlink" Target="http://www.linkedin.com/company/gotomobility" TargetMode="External"/><Relationship Id="rId155" Type="http://schemas.openxmlformats.org/officeDocument/2006/relationships/hyperlink" Target="http://www.gotoglobal.com" TargetMode="External"/><Relationship Id="rId40" Type="http://schemas.openxmlformats.org/officeDocument/2006/relationships/hyperlink" Target="http://www.linkedin.com/company/arbitrip" TargetMode="External"/><Relationship Id="rId42" Type="http://schemas.openxmlformats.org/officeDocument/2006/relationships/hyperlink" Target="http://www.linkedin.com/company/automotive-robotic-industry" TargetMode="External"/><Relationship Id="rId41" Type="http://schemas.openxmlformats.org/officeDocument/2006/relationships/hyperlink" Target="http://www.amstaf-ugv.com" TargetMode="External"/><Relationship Id="rId44" Type="http://schemas.openxmlformats.org/officeDocument/2006/relationships/hyperlink" Target="http://www.linkedin.com/company/autotalks" TargetMode="External"/><Relationship Id="rId43" Type="http://schemas.openxmlformats.org/officeDocument/2006/relationships/hyperlink" Target="http://www.auto-talks.com" TargetMode="External"/><Relationship Id="rId46" Type="http://schemas.openxmlformats.org/officeDocument/2006/relationships/hyperlink" Target="http://www.linkedin.com/company/bluewhite" TargetMode="External"/><Relationship Id="rId45" Type="http://schemas.openxmlformats.org/officeDocument/2006/relationships/hyperlink" Target="http://www.bluewhite.ai" TargetMode="External"/><Relationship Id="rId48" Type="http://schemas.openxmlformats.org/officeDocument/2006/relationships/hyperlink" Target="http://www.linkedin.com/company/brightway-vision-ltd-" TargetMode="External"/><Relationship Id="rId47" Type="http://schemas.openxmlformats.org/officeDocument/2006/relationships/hyperlink" Target="http://www.brightwayvision.com" TargetMode="External"/><Relationship Id="rId49" Type="http://schemas.openxmlformats.org/officeDocument/2006/relationships/hyperlink" Target="http://www.c2a-sec.com" TargetMode="External"/><Relationship Id="rId31" Type="http://schemas.openxmlformats.org/officeDocument/2006/relationships/hyperlink" Target="http://www.adasky.com" TargetMode="External"/><Relationship Id="rId30" Type="http://schemas.openxmlformats.org/officeDocument/2006/relationships/hyperlink" Target="http://www.linkedin.com/company/ad-knight" TargetMode="External"/><Relationship Id="rId33" Type="http://schemas.openxmlformats.org/officeDocument/2006/relationships/hyperlink" Target="http://www.afconev.co.il" TargetMode="External"/><Relationship Id="rId32" Type="http://schemas.openxmlformats.org/officeDocument/2006/relationships/hyperlink" Target="http://www.linkedin.com/company/adasky" TargetMode="External"/><Relationship Id="rId35" Type="http://schemas.openxmlformats.org/officeDocument/2006/relationships/hyperlink" Target="http://www.aidymo-cv.com" TargetMode="External"/><Relationship Id="rId34" Type="http://schemas.openxmlformats.org/officeDocument/2006/relationships/hyperlink" Target="http://www.linkedin.com/company/afcon-electric-mobility" TargetMode="External"/><Relationship Id="rId37" Type="http://schemas.openxmlformats.org/officeDocument/2006/relationships/hyperlink" Target="http://www.airev.aero" TargetMode="External"/><Relationship Id="rId36" Type="http://schemas.openxmlformats.org/officeDocument/2006/relationships/hyperlink" Target="http://www.linkedin.com/company/aidymo-cv" TargetMode="External"/><Relationship Id="rId39" Type="http://schemas.openxmlformats.org/officeDocument/2006/relationships/hyperlink" Target="http://www.arbitrip.com" TargetMode="External"/><Relationship Id="rId38" Type="http://schemas.openxmlformats.org/officeDocument/2006/relationships/hyperlink" Target="http://www.linkedin.com/company/air-ev" TargetMode="External"/><Relationship Id="rId20" Type="http://schemas.openxmlformats.org/officeDocument/2006/relationships/hyperlink" Target="http://www.linkedin.com/company/el-al-israel-airlines" TargetMode="External"/><Relationship Id="rId22" Type="http://schemas.openxmlformats.org/officeDocument/2006/relationships/hyperlink" Target="http://www.linkedin.com/company/eyesight-mobile-technologies" TargetMode="External"/><Relationship Id="rId21" Type="http://schemas.openxmlformats.org/officeDocument/2006/relationships/hyperlink" Target="http://www.cipia.com" TargetMode="External"/><Relationship Id="rId24" Type="http://schemas.openxmlformats.org/officeDocument/2006/relationships/hyperlink" Target="http://www.linkedin.com/company/foresight-automotive" TargetMode="External"/><Relationship Id="rId23" Type="http://schemas.openxmlformats.org/officeDocument/2006/relationships/hyperlink" Target="http://www.foresightauto.com" TargetMode="External"/><Relationship Id="rId26" Type="http://schemas.openxmlformats.org/officeDocument/2006/relationships/hyperlink" Target="http://www.linkedin.com/company/zooz-power" TargetMode="External"/><Relationship Id="rId25" Type="http://schemas.openxmlformats.org/officeDocument/2006/relationships/hyperlink" Target="http://www.zoozpower.com" TargetMode="External"/><Relationship Id="rId28" Type="http://schemas.openxmlformats.org/officeDocument/2006/relationships/hyperlink" Target="http://www.linkedin.com/company/9393340" TargetMode="External"/><Relationship Id="rId27" Type="http://schemas.openxmlformats.org/officeDocument/2006/relationships/hyperlink" Target="http://optima-da.com" TargetMode="External"/><Relationship Id="rId29" Type="http://schemas.openxmlformats.org/officeDocument/2006/relationships/hyperlink" Target="http://www.ad-knight.com" TargetMode="External"/><Relationship Id="rId11" Type="http://schemas.openxmlformats.org/officeDocument/2006/relationships/hyperlink" Target="http://www.railvision.io" TargetMode="External"/><Relationship Id="rId10" Type="http://schemas.openxmlformats.org/officeDocument/2006/relationships/hyperlink" Target="http://www.linkedin.com/company/newsight-imaging" TargetMode="External"/><Relationship Id="rId13" Type="http://schemas.openxmlformats.org/officeDocument/2006/relationships/hyperlink" Target="http://www.valens.com" TargetMode="External"/><Relationship Id="rId12" Type="http://schemas.openxmlformats.org/officeDocument/2006/relationships/hyperlink" Target="http://www.linkedin.com/company/railv-ision" TargetMode="External"/><Relationship Id="rId15" Type="http://schemas.openxmlformats.org/officeDocument/2006/relationships/hyperlink" Target="http://www.ezraider.com" TargetMode="External"/><Relationship Id="rId14" Type="http://schemas.openxmlformats.org/officeDocument/2006/relationships/hyperlink" Target="http://www.linkedin.com/company/valens" TargetMode="External"/><Relationship Id="rId17" Type="http://schemas.openxmlformats.org/officeDocument/2006/relationships/hyperlink" Target="http://www.axilion.com" TargetMode="External"/><Relationship Id="rId16" Type="http://schemas.openxmlformats.org/officeDocument/2006/relationships/hyperlink" Target="http://www.linkedin.com/company/ezraider" TargetMode="External"/><Relationship Id="rId19" Type="http://schemas.openxmlformats.org/officeDocument/2006/relationships/hyperlink" Target="http://www.elal.com" TargetMode="External"/><Relationship Id="rId18" Type="http://schemas.openxmlformats.org/officeDocument/2006/relationships/hyperlink" Target="http://www.linkedin.com/company/axilion-ltd" TargetMode="External"/><Relationship Id="rId84" Type="http://schemas.openxmlformats.org/officeDocument/2006/relationships/hyperlink" Target="http://www.linkedin.com/company/moovit" TargetMode="External"/><Relationship Id="rId83" Type="http://schemas.openxmlformats.org/officeDocument/2006/relationships/hyperlink" Target="http://www.moovit.com" TargetMode="External"/><Relationship Id="rId86" Type="http://schemas.openxmlformats.org/officeDocument/2006/relationships/hyperlink" Target="http://www.linkedin.com/company/moving-life-ltd-" TargetMode="External"/><Relationship Id="rId85" Type="http://schemas.openxmlformats.org/officeDocument/2006/relationships/hyperlink" Target="http://www.movinglife.com" TargetMode="External"/><Relationship Id="rId88" Type="http://schemas.openxmlformats.org/officeDocument/2006/relationships/hyperlink" Target="http://www.linkedin.com/company/opsys-technologies" TargetMode="External"/><Relationship Id="rId87" Type="http://schemas.openxmlformats.org/officeDocument/2006/relationships/hyperlink" Target="http://www.opsys-tech.com" TargetMode="External"/><Relationship Id="rId89" Type="http://schemas.openxmlformats.org/officeDocument/2006/relationships/hyperlink" Target="http://www.optibus.com" TargetMode="External"/><Relationship Id="rId80" Type="http://schemas.openxmlformats.org/officeDocument/2006/relationships/hyperlink" Target="http://www.linkedin.com/company/makemyday1" TargetMode="External"/><Relationship Id="rId82" Type="http://schemas.openxmlformats.org/officeDocument/2006/relationships/hyperlink" Target="http://www.linkedin.com/company/marine-edge" TargetMode="External"/><Relationship Id="rId81" Type="http://schemas.openxmlformats.org/officeDocument/2006/relationships/hyperlink" Target="http://www.marine-edge.com" TargetMode="External"/><Relationship Id="rId73" Type="http://schemas.openxmlformats.org/officeDocument/2006/relationships/hyperlink" Target="http://www.irpsystems.com" TargetMode="External"/><Relationship Id="rId72" Type="http://schemas.openxmlformats.org/officeDocument/2006/relationships/hyperlink" Target="http://www.linkedin.com/company/i4drive" TargetMode="External"/><Relationship Id="rId75" Type="http://schemas.openxmlformats.org/officeDocument/2006/relationships/hyperlink" Target="http://www.konnect-vwgroup.com" TargetMode="External"/><Relationship Id="rId74" Type="http://schemas.openxmlformats.org/officeDocument/2006/relationships/hyperlink" Target="http://www.linkedin.com/company/irp-systems" TargetMode="External"/><Relationship Id="rId77" Type="http://schemas.openxmlformats.org/officeDocument/2006/relationships/hyperlink" Target="http://www.makaluoptics.com" TargetMode="External"/><Relationship Id="rId76" Type="http://schemas.openxmlformats.org/officeDocument/2006/relationships/hyperlink" Target="http://www.linkedin.com/company/konnectvw" TargetMode="External"/><Relationship Id="rId79" Type="http://schemas.openxmlformats.org/officeDocument/2006/relationships/hyperlink" Target="http://www.makemydayapp.com" TargetMode="External"/><Relationship Id="rId78" Type="http://schemas.openxmlformats.org/officeDocument/2006/relationships/hyperlink" Target="http://www.linkedin.com/company/makalu-optics" TargetMode="External"/><Relationship Id="rId71" Type="http://schemas.openxmlformats.org/officeDocument/2006/relationships/hyperlink" Target="http://www.i4drive.com" TargetMode="External"/><Relationship Id="rId70" Type="http://schemas.openxmlformats.org/officeDocument/2006/relationships/hyperlink" Target="http://www.linkedin.com/company/hopon---travel-smart" TargetMode="External"/><Relationship Id="rId62" Type="http://schemas.openxmlformats.org/officeDocument/2006/relationships/hyperlink" Target="http://www.linkedin.com/company/evr-motors" TargetMode="External"/><Relationship Id="rId61" Type="http://schemas.openxmlformats.org/officeDocument/2006/relationships/hyperlink" Target="http://www.evr-motors.com" TargetMode="External"/><Relationship Id="rId64" Type="http://schemas.openxmlformats.org/officeDocument/2006/relationships/hyperlink" Target="http://www.linkedin.com/company/galileo-wheel" TargetMode="External"/><Relationship Id="rId63" Type="http://schemas.openxmlformats.org/officeDocument/2006/relationships/hyperlink" Target="http://www.galileowheel.com" TargetMode="External"/><Relationship Id="rId66" Type="http://schemas.openxmlformats.org/officeDocument/2006/relationships/hyperlink" Target="http://www.linkedin.com/company/getruck-ltd" TargetMode="External"/><Relationship Id="rId65" Type="http://schemas.openxmlformats.org/officeDocument/2006/relationships/hyperlink" Target="http://www.getruck.co" TargetMode="External"/><Relationship Id="rId68" Type="http://schemas.openxmlformats.org/officeDocument/2006/relationships/hyperlink" Target="http://www.linkedin.com/company/gps-dome-ltd" TargetMode="External"/><Relationship Id="rId67" Type="http://schemas.openxmlformats.org/officeDocument/2006/relationships/hyperlink" Target="http://www.infinidome.com" TargetMode="External"/><Relationship Id="rId60" Type="http://schemas.openxmlformats.org/officeDocument/2006/relationships/hyperlink" Target="http://www.linkedin.com/company/esquareiot" TargetMode="External"/><Relationship Id="rId69" Type="http://schemas.openxmlformats.org/officeDocument/2006/relationships/hyperlink" Target="http://www.ravpass.co.il" TargetMode="External"/><Relationship Id="rId51" Type="http://schemas.openxmlformats.org/officeDocument/2006/relationships/hyperlink" Target="http://www.citytransformer.com" TargetMode="External"/><Relationship Id="rId50" Type="http://schemas.openxmlformats.org/officeDocument/2006/relationships/hyperlink" Target="http://www.linkedin.com/company/c2a-security" TargetMode="External"/><Relationship Id="rId53" Type="http://schemas.openxmlformats.org/officeDocument/2006/relationships/hyperlink" Target="http://www.driivz.com" TargetMode="External"/><Relationship Id="rId52" Type="http://schemas.openxmlformats.org/officeDocument/2006/relationships/hyperlink" Target="http://www.linkedin.com/company/city-transformer" TargetMode="External"/><Relationship Id="rId55" Type="http://schemas.openxmlformats.org/officeDocument/2006/relationships/hyperlink" Target="http://www.driveu.auto" TargetMode="External"/><Relationship Id="rId54" Type="http://schemas.openxmlformats.org/officeDocument/2006/relationships/hyperlink" Target="http://www.linkedin.com/company/driivz" TargetMode="External"/><Relationship Id="rId57" Type="http://schemas.openxmlformats.org/officeDocument/2006/relationships/hyperlink" Target="http://www.dynamacsiot.com" TargetMode="External"/><Relationship Id="rId56" Type="http://schemas.openxmlformats.org/officeDocument/2006/relationships/hyperlink" Target="http://www.linkedin.com/company/driveu-tech" TargetMode="External"/><Relationship Id="rId59" Type="http://schemas.openxmlformats.org/officeDocument/2006/relationships/hyperlink" Target="http://www.esquare-p.com" TargetMode="External"/><Relationship Id="rId58" Type="http://schemas.openxmlformats.org/officeDocument/2006/relationships/hyperlink" Target="http://www.linkedin.com/company/dynamacs" TargetMode="External"/><Relationship Id="rId107" Type="http://schemas.openxmlformats.org/officeDocument/2006/relationships/hyperlink" Target="http://www.linkedin.com/company/thinkz-iot-com" TargetMode="External"/><Relationship Id="rId228" Type="http://schemas.openxmlformats.org/officeDocument/2006/relationships/hyperlink" Target="http://www.mdgo.io" TargetMode="External"/><Relationship Id="rId106" Type="http://schemas.openxmlformats.org/officeDocument/2006/relationships/hyperlink" Target="http://www.thinkz.ai" TargetMode="External"/><Relationship Id="rId227" Type="http://schemas.openxmlformats.org/officeDocument/2006/relationships/hyperlink" Target="http://www.routevalet.com" TargetMode="External"/><Relationship Id="rId105" Type="http://schemas.openxmlformats.org/officeDocument/2006/relationships/hyperlink" Target="http://www.linkedin.com/company/tactile-mobility" TargetMode="External"/><Relationship Id="rId226" Type="http://schemas.openxmlformats.org/officeDocument/2006/relationships/hyperlink" Target="http://www.thewhollysee.com" TargetMode="External"/><Relationship Id="rId104" Type="http://schemas.openxmlformats.org/officeDocument/2006/relationships/hyperlink" Target="http://www.tactilemobility.com" TargetMode="External"/><Relationship Id="rId225" Type="http://schemas.openxmlformats.org/officeDocument/2006/relationships/hyperlink" Target="http://www.fleetonomy.io" TargetMode="External"/><Relationship Id="rId109" Type="http://schemas.openxmlformats.org/officeDocument/2006/relationships/hyperlink" Target="http://www.linkedin.com/company/upstream-security" TargetMode="External"/><Relationship Id="rId108" Type="http://schemas.openxmlformats.org/officeDocument/2006/relationships/hyperlink" Target="http://www.upstream.auto" TargetMode="External"/><Relationship Id="rId229" Type="http://schemas.openxmlformats.org/officeDocument/2006/relationships/hyperlink" Target="http://www.bambidynamic.com" TargetMode="External"/><Relationship Id="rId220" Type="http://schemas.openxmlformats.org/officeDocument/2006/relationships/hyperlink" Target="http://www.karz.io" TargetMode="External"/><Relationship Id="rId103" Type="http://schemas.openxmlformats.org/officeDocument/2006/relationships/hyperlink" Target="http://www.linkedin.com/company/storedot" TargetMode="External"/><Relationship Id="rId224" Type="http://schemas.openxmlformats.org/officeDocument/2006/relationships/hyperlink" Target="http://www.brodmann17.com" TargetMode="External"/><Relationship Id="rId102" Type="http://schemas.openxmlformats.org/officeDocument/2006/relationships/hyperlink" Target="http://www.store-dot.com" TargetMode="External"/><Relationship Id="rId223" Type="http://schemas.openxmlformats.org/officeDocument/2006/relationships/hyperlink" Target="http://www.saferide.io" TargetMode="External"/><Relationship Id="rId101" Type="http://schemas.openxmlformats.org/officeDocument/2006/relationships/hyperlink" Target="http://www.linkedin.com/company/ratha" TargetMode="External"/><Relationship Id="rId222" Type="http://schemas.openxmlformats.org/officeDocument/2006/relationships/hyperlink" Target="http://www.guardknox.com" TargetMode="External"/><Relationship Id="rId100" Type="http://schemas.openxmlformats.org/officeDocument/2006/relationships/hyperlink" Target="http://www.ratha.ai" TargetMode="External"/><Relationship Id="rId221" Type="http://schemas.openxmlformats.org/officeDocument/2006/relationships/hyperlink" Target="http://www.caaresys.com" TargetMode="External"/><Relationship Id="rId217" Type="http://schemas.openxmlformats.org/officeDocument/2006/relationships/hyperlink" Target="http://www.streetsm4rt.com" TargetMode="External"/><Relationship Id="rId216" Type="http://schemas.openxmlformats.org/officeDocument/2006/relationships/hyperlink" Target="http://www.jettaplus.com" TargetMode="External"/><Relationship Id="rId215" Type="http://schemas.openxmlformats.org/officeDocument/2006/relationships/hyperlink" Target="http://www.vayavision.com" TargetMode="External"/><Relationship Id="rId214" Type="http://schemas.openxmlformats.org/officeDocument/2006/relationships/hyperlink" Target="http://www.justdrive.ai" TargetMode="External"/><Relationship Id="rId219" Type="http://schemas.openxmlformats.org/officeDocument/2006/relationships/hyperlink" Target="http://karz.io" TargetMode="External"/><Relationship Id="rId218" Type="http://schemas.openxmlformats.org/officeDocument/2006/relationships/hyperlink" Target="http://www.asanatechnology.com" TargetMode="External"/><Relationship Id="rId213" Type="http://schemas.openxmlformats.org/officeDocument/2006/relationships/hyperlink" Target="http://urgent.ly" TargetMode="External"/><Relationship Id="rId212" Type="http://schemas.openxmlformats.org/officeDocument/2006/relationships/hyperlink" Target="http://www.otonomo.io" TargetMode="External"/><Relationship Id="rId211" Type="http://schemas.openxmlformats.org/officeDocument/2006/relationships/hyperlink" Target="http://www.chainfreebike.com" TargetMode="External"/><Relationship Id="rId210" Type="http://schemas.openxmlformats.org/officeDocument/2006/relationships/hyperlink" Target="http://www.trailze.com" TargetMode="External"/><Relationship Id="rId129" Type="http://schemas.openxmlformats.org/officeDocument/2006/relationships/hyperlink" Target="http://www.engieapp.com" TargetMode="External"/><Relationship Id="rId128" Type="http://schemas.openxmlformats.org/officeDocument/2006/relationships/hyperlink" Target="http://www.linkedin.com/company/phinergy-clean-energy" TargetMode="External"/><Relationship Id="rId127" Type="http://schemas.openxmlformats.org/officeDocument/2006/relationships/hyperlink" Target="http://www.phinergy.com" TargetMode="External"/><Relationship Id="rId126" Type="http://schemas.openxmlformats.org/officeDocument/2006/relationships/hyperlink" Target="http://www.linkedin.com/company/electreon" TargetMode="External"/><Relationship Id="rId121" Type="http://schemas.openxmlformats.org/officeDocument/2006/relationships/hyperlink" Target="http://www.freightos.com" TargetMode="External"/><Relationship Id="rId120" Type="http://schemas.openxmlformats.org/officeDocument/2006/relationships/hyperlink" Target="http://www.amm.co.il" TargetMode="External"/><Relationship Id="rId240" Type="http://schemas.openxmlformats.org/officeDocument/2006/relationships/drawing" Target="../drawings/drawing3.xml"/><Relationship Id="rId125" Type="http://schemas.openxmlformats.org/officeDocument/2006/relationships/hyperlink" Target="http://www.electreon.com" TargetMode="External"/><Relationship Id="rId124" Type="http://schemas.openxmlformats.org/officeDocument/2006/relationships/hyperlink" Target="http://www.linkedin.com/company/reeautoofficial" TargetMode="External"/><Relationship Id="rId123" Type="http://schemas.openxmlformats.org/officeDocument/2006/relationships/hyperlink" Target="http://www.ree.auto" TargetMode="External"/><Relationship Id="rId122" Type="http://schemas.openxmlformats.org/officeDocument/2006/relationships/hyperlink" Target="http://www.linkedin.com/company/freightos" TargetMode="External"/><Relationship Id="rId95" Type="http://schemas.openxmlformats.org/officeDocument/2006/relationships/hyperlink" Target="http://www.linkedin.com/company/package.ai" TargetMode="External"/><Relationship Id="rId94" Type="http://schemas.openxmlformats.org/officeDocument/2006/relationships/hyperlink" Target="http://www.package.ai" TargetMode="External"/><Relationship Id="rId97" Type="http://schemas.openxmlformats.org/officeDocument/2006/relationships/hyperlink" Target="http://www.linkedin.com/company/plaxidityx" TargetMode="External"/><Relationship Id="rId96" Type="http://schemas.openxmlformats.org/officeDocument/2006/relationships/hyperlink" Target="http://www.plaxidityx.com" TargetMode="External"/><Relationship Id="rId99" Type="http://schemas.openxmlformats.org/officeDocument/2006/relationships/hyperlink" Target="http://www.linkedin.com/company/questarauto" TargetMode="External"/><Relationship Id="rId98" Type="http://schemas.openxmlformats.org/officeDocument/2006/relationships/hyperlink" Target="http://www.questarauto.com" TargetMode="External"/><Relationship Id="rId91" Type="http://schemas.openxmlformats.org/officeDocument/2006/relationships/hyperlink" Target="http://www.ottopia.tech" TargetMode="External"/><Relationship Id="rId90" Type="http://schemas.openxmlformats.org/officeDocument/2006/relationships/hyperlink" Target="http://www.linkedin.com/company/optibus" TargetMode="External"/><Relationship Id="rId93" Type="http://schemas.openxmlformats.org/officeDocument/2006/relationships/hyperlink" Target="http://package.ai" TargetMode="External"/><Relationship Id="rId92" Type="http://schemas.openxmlformats.org/officeDocument/2006/relationships/hyperlink" Target="http://www.linkedin.com/company/ottopia" TargetMode="External"/><Relationship Id="rId118" Type="http://schemas.openxmlformats.org/officeDocument/2006/relationships/hyperlink" Target="http://www.whilx.tech" TargetMode="External"/><Relationship Id="rId239" Type="http://schemas.openxmlformats.org/officeDocument/2006/relationships/hyperlink" Target="http://www.citypass.co.il" TargetMode="External"/><Relationship Id="rId117" Type="http://schemas.openxmlformats.org/officeDocument/2006/relationships/hyperlink" Target="http://www.linkedin.com/company/viziblezone" TargetMode="External"/><Relationship Id="rId238" Type="http://schemas.openxmlformats.org/officeDocument/2006/relationships/hyperlink" Target="http://www.deezle.co" TargetMode="External"/><Relationship Id="rId116" Type="http://schemas.openxmlformats.org/officeDocument/2006/relationships/hyperlink" Target="http://www.vizible.zone" TargetMode="External"/><Relationship Id="rId237" Type="http://schemas.openxmlformats.org/officeDocument/2006/relationships/hyperlink" Target="http://www.ba-aero.com" TargetMode="External"/><Relationship Id="rId115" Type="http://schemas.openxmlformats.org/officeDocument/2006/relationships/hyperlink" Target="http://www.linkedin.com/company/viss-vehicle-improved-safety-system" TargetMode="External"/><Relationship Id="rId236" Type="http://schemas.openxmlformats.org/officeDocument/2006/relationships/hyperlink" Target="http://www.oleshop.com" TargetMode="External"/><Relationship Id="rId119" Type="http://schemas.openxmlformats.org/officeDocument/2006/relationships/hyperlink" Target="http://www.linkedin.com/company/whilx-technologies" TargetMode="External"/><Relationship Id="rId110" Type="http://schemas.openxmlformats.org/officeDocument/2006/relationships/hyperlink" Target="http://www.urbanaero.com" TargetMode="External"/><Relationship Id="rId231" Type="http://schemas.openxmlformats.org/officeDocument/2006/relationships/hyperlink" Target="http://www.midnightrobotics.tech" TargetMode="External"/><Relationship Id="rId230" Type="http://schemas.openxmlformats.org/officeDocument/2006/relationships/hyperlink" Target="http://www.ovo.auto" TargetMode="External"/><Relationship Id="rId114" Type="http://schemas.openxmlformats.org/officeDocument/2006/relationships/hyperlink" Target="http://www.viss-sys.com" TargetMode="External"/><Relationship Id="rId235" Type="http://schemas.openxmlformats.org/officeDocument/2006/relationships/hyperlink" Target="http://www.speareye.com" TargetMode="External"/><Relationship Id="rId113" Type="http://schemas.openxmlformats.org/officeDocument/2006/relationships/hyperlink" Target="http://www.linkedin.com/company/vcomm-smart-transportation-ltd" TargetMode="External"/><Relationship Id="rId234" Type="http://schemas.openxmlformats.org/officeDocument/2006/relationships/hyperlink" Target="http://experahub.com" TargetMode="External"/><Relationship Id="rId112" Type="http://schemas.openxmlformats.org/officeDocument/2006/relationships/hyperlink" Target="http://www.vcomm.tech" TargetMode="External"/><Relationship Id="rId233" Type="http://schemas.openxmlformats.org/officeDocument/2006/relationships/hyperlink" Target="http://www.leoride.co" TargetMode="External"/><Relationship Id="rId111" Type="http://schemas.openxmlformats.org/officeDocument/2006/relationships/hyperlink" Target="http://www.linkedin.com/company/urban-aeronautics" TargetMode="External"/><Relationship Id="rId232" Type="http://schemas.openxmlformats.org/officeDocument/2006/relationships/hyperlink" Target="http://www.powermobility.io" TargetMode="External"/><Relationship Id="rId206" Type="http://schemas.openxmlformats.org/officeDocument/2006/relationships/hyperlink" Target="http://www.winkapp.co" TargetMode="External"/><Relationship Id="rId205" Type="http://schemas.openxmlformats.org/officeDocument/2006/relationships/hyperlink" Target="http://www.muv-e.com" TargetMode="External"/><Relationship Id="rId204" Type="http://schemas.openxmlformats.org/officeDocument/2006/relationships/hyperlink" Target="http://www.sheelds.ai" TargetMode="External"/><Relationship Id="rId203" Type="http://schemas.openxmlformats.org/officeDocument/2006/relationships/hyperlink" Target="http://www.beepmeapp.com" TargetMode="External"/><Relationship Id="rId209" Type="http://schemas.openxmlformats.org/officeDocument/2006/relationships/hyperlink" Target="http://www.umo.mobi" TargetMode="External"/><Relationship Id="rId208" Type="http://schemas.openxmlformats.org/officeDocument/2006/relationships/hyperlink" Target="http://www.guardian-optech.com" TargetMode="External"/><Relationship Id="rId207" Type="http://schemas.openxmlformats.org/officeDocument/2006/relationships/hyperlink" Target="http://www.continualexperience.com" TargetMode="External"/><Relationship Id="rId202" Type="http://schemas.openxmlformats.org/officeDocument/2006/relationships/hyperlink" Target="http://www.ionroad.com" TargetMode="External"/><Relationship Id="rId201" Type="http://schemas.openxmlformats.org/officeDocument/2006/relationships/hyperlink" Target="http://www.babawheels.com" TargetMode="External"/><Relationship Id="rId200" Type="http://schemas.openxmlformats.org/officeDocument/2006/relationships/hyperlink" Target="http://www.yallabo.co.i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package.ai" TargetMode="External"/><Relationship Id="rId2" Type="http://schemas.openxmlformats.org/officeDocument/2006/relationships/hyperlink" Target="http://package.ai" TargetMode="External"/><Relationship Id="rId3" Type="http://schemas.openxmlformats.org/officeDocument/2006/relationships/hyperlink" Target="http://package.ai" TargetMode="External"/><Relationship Id="rId4" Type="http://schemas.openxmlformats.org/officeDocument/2006/relationships/hyperlink" Target="http://evpower.ai" TargetMode="External"/><Relationship Id="rId9" Type="http://schemas.openxmlformats.org/officeDocument/2006/relationships/hyperlink" Target="http://ruby.ai" TargetMode="External"/><Relationship Id="rId5" Type="http://schemas.openxmlformats.org/officeDocument/2006/relationships/hyperlink" Target="http://evpower.ai" TargetMode="External"/><Relationship Id="rId6" Type="http://schemas.openxmlformats.org/officeDocument/2006/relationships/hyperlink" Target="http://eyeway.io" TargetMode="External"/><Relationship Id="rId7" Type="http://schemas.openxmlformats.org/officeDocument/2006/relationships/hyperlink" Target="http://karz.io" TargetMode="External"/><Relationship Id="rId8" Type="http://schemas.openxmlformats.org/officeDocument/2006/relationships/hyperlink" Target="http://roads.ai"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phinergy.com" TargetMode="External"/><Relationship Id="rId194" Type="http://schemas.openxmlformats.org/officeDocument/2006/relationships/hyperlink" Target="https://remot.energy" TargetMode="External"/><Relationship Id="rId193" Type="http://schemas.openxmlformats.org/officeDocument/2006/relationships/hyperlink" Target="http://www.ivc-online.com/Company-Card?Id=d20a3720-f4bd-ef11-b817-9319f1798f89" TargetMode="External"/><Relationship Id="rId192" Type="http://schemas.openxmlformats.org/officeDocument/2006/relationships/hyperlink" Target="https://www.getnexar.com" TargetMode="External"/><Relationship Id="rId191" Type="http://schemas.openxmlformats.org/officeDocument/2006/relationships/hyperlink" Target="http://www.ivc-online.com/Company-Card?Id=3879a066-0681-e411-b8a6-80c16e7d3630" TargetMode="External"/><Relationship Id="rId187" Type="http://schemas.openxmlformats.org/officeDocument/2006/relationships/hyperlink" Target="http://www.ivc-online.com/Company-Card?Id=faffc27f-6f31-ec11-b80d-00505695cd29" TargetMode="External"/><Relationship Id="rId186" Type="http://schemas.openxmlformats.org/officeDocument/2006/relationships/hyperlink" Target="https://www.c2a-sec.com" TargetMode="External"/><Relationship Id="rId185" Type="http://schemas.openxmlformats.org/officeDocument/2006/relationships/hyperlink" Target="http://www.ivc-online.com/Company-Card?Id=2e68e7f1-f62f-e711-80d3-00155d0b832b" TargetMode="External"/><Relationship Id="rId184" Type="http://schemas.openxmlformats.org/officeDocument/2006/relationships/hyperlink" Target="https://nuel.co.il" TargetMode="External"/><Relationship Id="rId189" Type="http://schemas.openxmlformats.org/officeDocument/2006/relationships/hyperlink" Target="http://www.ivc-online.com/Company-Card?Id=6f022e3c-eac5-e111-b9b4-00155d32a408" TargetMode="External"/><Relationship Id="rId188" Type="http://schemas.openxmlformats.org/officeDocument/2006/relationships/hyperlink" Target="https://www.airev.aero" TargetMode="External"/><Relationship Id="rId183" Type="http://schemas.openxmlformats.org/officeDocument/2006/relationships/hyperlink" Target="http://www.ivc-online.com/Company-Card?Id=13c9a87b-f19a-ed11-b811-00505695cd29" TargetMode="External"/><Relationship Id="rId182" Type="http://schemas.openxmlformats.org/officeDocument/2006/relationships/hyperlink" Target="https://www.carteav.com" TargetMode="External"/><Relationship Id="rId181" Type="http://schemas.openxmlformats.org/officeDocument/2006/relationships/hyperlink" Target="http://www.ivc-online.com/Company-Card?Id=eeef68a6-105f-eb11-810c-0050569a1018" TargetMode="External"/><Relationship Id="rId180" Type="http://schemas.openxmlformats.org/officeDocument/2006/relationships/hyperlink" Target="https://www.step-hear.com" TargetMode="External"/><Relationship Id="rId176" Type="http://schemas.openxmlformats.org/officeDocument/2006/relationships/hyperlink" Target="https://censnano.com" TargetMode="External"/><Relationship Id="rId175" Type="http://schemas.openxmlformats.org/officeDocument/2006/relationships/hyperlink" Target="http://www.ivc-online.com/Company-Card?Id=8bf0f799-a3a2-e311-b941-80c16e7d3630" TargetMode="External"/><Relationship Id="rId174" Type="http://schemas.openxmlformats.org/officeDocument/2006/relationships/hyperlink" Target="http://www.intuitionrobotics.com" TargetMode="External"/><Relationship Id="rId173" Type="http://schemas.openxmlformats.org/officeDocument/2006/relationships/hyperlink" Target="http://www.ivc-online.com/Company-Card?Id=2784a87e-b715-e611-bd22-80c16e7d3630" TargetMode="External"/><Relationship Id="rId179" Type="http://schemas.openxmlformats.org/officeDocument/2006/relationships/hyperlink" Target="http://www.ivc-online.com/Company-Card?Id=85d11e2c-207a-e111-ac59-00155d32a403" TargetMode="External"/><Relationship Id="rId178" Type="http://schemas.openxmlformats.org/officeDocument/2006/relationships/hyperlink" Target="https://www.trucknet.io" TargetMode="External"/><Relationship Id="rId177" Type="http://schemas.openxmlformats.org/officeDocument/2006/relationships/hyperlink" Target="http://www.ivc-online.com/Company-Card?Id=9164008b-1a11-e611-bd22-80c16e7d3630" TargetMode="External"/><Relationship Id="rId198" Type="http://schemas.openxmlformats.org/officeDocument/2006/relationships/hyperlink" Target="https://www.notraffic.tech" TargetMode="External"/><Relationship Id="rId197" Type="http://schemas.openxmlformats.org/officeDocument/2006/relationships/hyperlink" Target="http://www.ivc-online.com/Company-Card?Id=857d0111-0425-e711-80d2-00155d0b832b" TargetMode="External"/><Relationship Id="rId196" Type="http://schemas.openxmlformats.org/officeDocument/2006/relationships/hyperlink" Target="https://www.algolion.com" TargetMode="External"/><Relationship Id="rId195" Type="http://schemas.openxmlformats.org/officeDocument/2006/relationships/hyperlink" Target="http://www.ivc-online.com/Company-Card?Id=6f05aa56-8a7f-e411-b8a6-80c16e7d3630" TargetMode="External"/><Relationship Id="rId199" Type="http://schemas.openxmlformats.org/officeDocument/2006/relationships/hyperlink" Target="http://www.ivc-online.com/Company-Card?Id=4ecad951-04e2-e611-80cd-00155d0b832b" TargetMode="External"/><Relationship Id="rId150" Type="http://schemas.openxmlformats.org/officeDocument/2006/relationships/hyperlink" Target="https://www.actasysinc.com" TargetMode="External"/><Relationship Id="rId392" Type="http://schemas.openxmlformats.org/officeDocument/2006/relationships/hyperlink" Target="https://grivo.co.il" TargetMode="External"/><Relationship Id="rId391" Type="http://schemas.openxmlformats.org/officeDocument/2006/relationships/hyperlink" Target="http://www.ivc-online.com/Company-Card?Id=8e3d3bfd-5cc5-ec11-b80e-00505695cd29" TargetMode="External"/><Relationship Id="rId390" Type="http://schemas.openxmlformats.org/officeDocument/2006/relationships/hyperlink" Target="https://continualexperience.com" TargetMode="External"/><Relationship Id="rId1" Type="http://schemas.openxmlformats.org/officeDocument/2006/relationships/hyperlink" Target="http://www.ivc-online.com/Company-Card?Id=bb98620c-e0ad-e311-b941-80c16e7d3630" TargetMode="External"/><Relationship Id="rId2" Type="http://schemas.openxmlformats.org/officeDocument/2006/relationships/hyperlink" Target="http://www.electreon.com" TargetMode="External"/><Relationship Id="rId3" Type="http://schemas.openxmlformats.org/officeDocument/2006/relationships/hyperlink" Target="http://www.ivc-online.com/Company-Card?Id=c209c27c-fa63-e811-80e4-00155d0b832c" TargetMode="External"/><Relationship Id="rId149" Type="http://schemas.openxmlformats.org/officeDocument/2006/relationships/hyperlink" Target="http://www.ivc-online.com/Company-Card?Id=78b35f9b-e94d-e811-80e4-00155d0b832c" TargetMode="External"/><Relationship Id="rId4" Type="http://schemas.openxmlformats.org/officeDocument/2006/relationships/hyperlink" Target="https://www.addionics.com" TargetMode="External"/><Relationship Id="rId148" Type="http://schemas.openxmlformats.org/officeDocument/2006/relationships/hyperlink" Target="https://www.riderdome.com" TargetMode="External"/><Relationship Id="rId9" Type="http://schemas.openxmlformats.org/officeDocument/2006/relationships/hyperlink" Target="http://www.ivc-online.com/Company-Card?Id=3a0c164b-f941-ec11-b80d-00505695cd29" TargetMode="External"/><Relationship Id="rId143" Type="http://schemas.openxmlformats.org/officeDocument/2006/relationships/hyperlink" Target="http://www.ivc-online.com/Company-Card?Id=e66c2632-b661-e811-80e4-00155d0b832c" TargetMode="External"/><Relationship Id="rId385" Type="http://schemas.openxmlformats.org/officeDocument/2006/relationships/hyperlink" Target="http://www.ivc-online.com/Company-Card?Id=007abcc0-b255-e211-8316-00155d32a408" TargetMode="External"/><Relationship Id="rId142" Type="http://schemas.openxmlformats.org/officeDocument/2006/relationships/hyperlink" Target="https://hailo.ai" TargetMode="External"/><Relationship Id="rId384" Type="http://schemas.openxmlformats.org/officeDocument/2006/relationships/hyperlink" Target="https://powermat.com" TargetMode="External"/><Relationship Id="rId141" Type="http://schemas.openxmlformats.org/officeDocument/2006/relationships/hyperlink" Target="http://www.ivc-online.com/Company-Card?Id=5be6b0bd-59b9-e711-80d7-00155d0b832c" TargetMode="External"/><Relationship Id="rId383" Type="http://schemas.openxmlformats.org/officeDocument/2006/relationships/hyperlink" Target="http://www.ivc-online.com/Company-Card?Id=70c967ea-1f7a-e111-ac59-00155d32a403" TargetMode="External"/><Relationship Id="rId140" Type="http://schemas.openxmlformats.org/officeDocument/2006/relationships/hyperlink" Target="https://www.moovex.ai" TargetMode="External"/><Relationship Id="rId382" Type="http://schemas.openxmlformats.org/officeDocument/2006/relationships/hyperlink" Target="https://www.addionics.com" TargetMode="External"/><Relationship Id="rId5" Type="http://schemas.openxmlformats.org/officeDocument/2006/relationships/hyperlink" Target="http://www.ivc-online.com/Company-Card?Id=54aaa5ba-1f7a-e111-ac59-00155d32a403" TargetMode="External"/><Relationship Id="rId147" Type="http://schemas.openxmlformats.org/officeDocument/2006/relationships/hyperlink" Target="http://www.ivc-online.com/Company-Card?Id=04dcaaf1-60ae-eb11-b80b-00505695cd29" TargetMode="External"/><Relationship Id="rId389" Type="http://schemas.openxmlformats.org/officeDocument/2006/relationships/hyperlink" Target="http://www.ivc-online.com/Company-Card?Id=2a693001-86e9-e211-b3b5-00155d32a40a" TargetMode="External"/><Relationship Id="rId6" Type="http://schemas.openxmlformats.org/officeDocument/2006/relationships/hyperlink" Target="https://www.visic-tech.com" TargetMode="External"/><Relationship Id="rId146" Type="http://schemas.openxmlformats.org/officeDocument/2006/relationships/hyperlink" Target="https://korra.ai" TargetMode="External"/><Relationship Id="rId388" Type="http://schemas.openxmlformats.org/officeDocument/2006/relationships/hyperlink" Target="http://www.saferide.io" TargetMode="External"/><Relationship Id="rId7" Type="http://schemas.openxmlformats.org/officeDocument/2006/relationships/hyperlink" Target="http://www.ivc-online.com/Company-Card?Id=edd77fd8-1f7a-e111-ac59-00155d32a403" TargetMode="External"/><Relationship Id="rId145" Type="http://schemas.openxmlformats.org/officeDocument/2006/relationships/hyperlink" Target="http://www.ivc-online.com/Company-Card?Id=864c501c-6fdc-ea11-810a-0050569a1018" TargetMode="External"/><Relationship Id="rId387" Type="http://schemas.openxmlformats.org/officeDocument/2006/relationships/hyperlink" Target="http://www.ivc-online.com/Company-Card?Id=9f696f31-caf1-e611-80cf-00155d0b832c" TargetMode="External"/><Relationship Id="rId8" Type="http://schemas.openxmlformats.org/officeDocument/2006/relationships/hyperlink" Target="http://www.checkpoint.com" TargetMode="External"/><Relationship Id="rId144" Type="http://schemas.openxmlformats.org/officeDocument/2006/relationships/hyperlink" Target="https://inspekto.com" TargetMode="External"/><Relationship Id="rId386" Type="http://schemas.openxmlformats.org/officeDocument/2006/relationships/hyperlink" Target="https://www.solid-run.com" TargetMode="External"/><Relationship Id="rId381" Type="http://schemas.openxmlformats.org/officeDocument/2006/relationships/hyperlink" Target="http://www.ivc-online.com/Company-Card?Id=c209c27c-fa63-e811-80e4-00155d0b832c" TargetMode="External"/><Relationship Id="rId380" Type="http://schemas.openxmlformats.org/officeDocument/2006/relationships/hyperlink" Target="https://blitzmotors.com" TargetMode="External"/><Relationship Id="rId139" Type="http://schemas.openxmlformats.org/officeDocument/2006/relationships/hyperlink" Target="http://www.ivc-online.com/Company-Card?Id=46818dcc-1f7a-e111-ac59-00155d32a403" TargetMode="External"/><Relationship Id="rId138" Type="http://schemas.openxmlformats.org/officeDocument/2006/relationships/hyperlink" Target="https://evr-motors.com" TargetMode="External"/><Relationship Id="rId137" Type="http://schemas.openxmlformats.org/officeDocument/2006/relationships/hyperlink" Target="http://www.ivc-online.com/Company-Card?Id=de808dcc-1f7a-e111-ac59-00155d32a403" TargetMode="External"/><Relationship Id="rId379" Type="http://schemas.openxmlformats.org/officeDocument/2006/relationships/hyperlink" Target="http://www.ivc-online.com/Company-Card?Id=8197c8ab-ecb5-e411-b677-80c16e7d3630" TargetMode="External"/><Relationship Id="rId132" Type="http://schemas.openxmlformats.org/officeDocument/2006/relationships/hyperlink" Target="https://wevo.energy" TargetMode="External"/><Relationship Id="rId374" Type="http://schemas.openxmlformats.org/officeDocument/2006/relationships/hyperlink" Target="https://carrar.net" TargetMode="External"/><Relationship Id="rId131" Type="http://schemas.openxmlformats.org/officeDocument/2006/relationships/hyperlink" Target="http://www.ivc-online.com/Company-Card?Id=4701762c-a5ca-ec11-b80e-00505695cd29" TargetMode="External"/><Relationship Id="rId373" Type="http://schemas.openxmlformats.org/officeDocument/2006/relationships/hyperlink" Target="http://www.ivc-online.com/Company-Card?Id=4a8f0271-253d-ea11-8107-0050569a1018" TargetMode="External"/><Relationship Id="rId130" Type="http://schemas.openxmlformats.org/officeDocument/2006/relationships/hyperlink" Target="https://www.roseman.tech" TargetMode="External"/><Relationship Id="rId372" Type="http://schemas.openxmlformats.org/officeDocument/2006/relationships/hyperlink" Target="https://caaresys.com" TargetMode="External"/><Relationship Id="rId371" Type="http://schemas.openxmlformats.org/officeDocument/2006/relationships/hyperlink" Target="http://www.ivc-online.com/Company-Card?Id=cce05377-83f3-e611-80cf-00155d0b832c" TargetMode="External"/><Relationship Id="rId136" Type="http://schemas.openxmlformats.org/officeDocument/2006/relationships/hyperlink" Target="https://www.clinch.co" TargetMode="External"/><Relationship Id="rId378" Type="http://schemas.openxmlformats.org/officeDocument/2006/relationships/hyperlink" Target="https://www.imvision.ai" TargetMode="External"/><Relationship Id="rId135" Type="http://schemas.openxmlformats.org/officeDocument/2006/relationships/hyperlink" Target="http://www.ivc-online.com/Company-Card?Id=0eb7dd2b-25a3-e111-ad2f-00155d32a403" TargetMode="External"/><Relationship Id="rId377" Type="http://schemas.openxmlformats.org/officeDocument/2006/relationships/hyperlink" Target="http://www.ivc-online.com/Company-Card?Id=fc2ea3dc-07b8-e311-b941-80c16e7d3630" TargetMode="External"/><Relationship Id="rId134" Type="http://schemas.openxmlformats.org/officeDocument/2006/relationships/hyperlink" Target="https://www.optibus.com" TargetMode="External"/><Relationship Id="rId376" Type="http://schemas.openxmlformats.org/officeDocument/2006/relationships/hyperlink" Target="https://driivz.com" TargetMode="External"/><Relationship Id="rId133" Type="http://schemas.openxmlformats.org/officeDocument/2006/relationships/hyperlink" Target="http://www.ivc-online.com/Company-Card?Id=4919d8d4-3507-e411-b941-80c16e7d3630" TargetMode="External"/><Relationship Id="rId375" Type="http://schemas.openxmlformats.org/officeDocument/2006/relationships/hyperlink" Target="http://www.ivc-online.com/Company-Card?Id=cc4b1417-31d4-e311-b941-80c16e7d3630" TargetMode="External"/><Relationship Id="rId172" Type="http://schemas.openxmlformats.org/officeDocument/2006/relationships/hyperlink" Target="http://www.intuitionrobotics.com" TargetMode="External"/><Relationship Id="rId171" Type="http://schemas.openxmlformats.org/officeDocument/2006/relationships/hyperlink" Target="http://www.ivc-online.com/Company-Card?Id=2784a87e-b715-e611-bd22-80c16e7d3630" TargetMode="External"/><Relationship Id="rId170" Type="http://schemas.openxmlformats.org/officeDocument/2006/relationships/hyperlink" Target="https://www.tomorrow.io" TargetMode="External"/><Relationship Id="rId165" Type="http://schemas.openxmlformats.org/officeDocument/2006/relationships/hyperlink" Target="http://www.ivc-online.com/Company-Card?Id=b6e74a1b-3d55-e911-80fe-0050569a1018" TargetMode="External"/><Relationship Id="rId164" Type="http://schemas.openxmlformats.org/officeDocument/2006/relationships/hyperlink" Target="https://www.anagog.com" TargetMode="External"/><Relationship Id="rId163" Type="http://schemas.openxmlformats.org/officeDocument/2006/relationships/hyperlink" Target="http://www.ivc-online.com/Company-Card?Id=5ad740c9-b884-e211-b93c-00155d32a40a" TargetMode="External"/><Relationship Id="rId162" Type="http://schemas.openxmlformats.org/officeDocument/2006/relationships/hyperlink" Target="https://cipia.com" TargetMode="External"/><Relationship Id="rId169" Type="http://schemas.openxmlformats.org/officeDocument/2006/relationships/hyperlink" Target="http://www.ivc-online.com/Company-Card?Id=42b53339-46f7-e611-80cf-00155d0b832c" TargetMode="External"/><Relationship Id="rId168" Type="http://schemas.openxmlformats.org/officeDocument/2006/relationships/hyperlink" Target="https://driveu.auto" TargetMode="External"/><Relationship Id="rId167" Type="http://schemas.openxmlformats.org/officeDocument/2006/relationships/hyperlink" Target="http://www.ivc-online.com/Company-Card?Id=f7ffed42-7664-ea11-810a-0050569a1018" TargetMode="External"/><Relationship Id="rId166" Type="http://schemas.openxmlformats.org/officeDocument/2006/relationships/hyperlink" Target="https://enervibe.co" TargetMode="External"/><Relationship Id="rId161" Type="http://schemas.openxmlformats.org/officeDocument/2006/relationships/hyperlink" Target="http://www.ivc-online.com/Company-Card?Id=f7d67fd8-1f7a-e111-ac59-00155d32a403" TargetMode="External"/><Relationship Id="rId160" Type="http://schemas.openxmlformats.org/officeDocument/2006/relationships/hyperlink" Target="https://nuel.co.il" TargetMode="External"/><Relationship Id="rId159" Type="http://schemas.openxmlformats.org/officeDocument/2006/relationships/hyperlink" Target="http://www.ivc-online.com/Company-Card?Id=13c9a87b-f19a-ed11-b811-00505695cd29" TargetMode="External"/><Relationship Id="rId154" Type="http://schemas.openxmlformats.org/officeDocument/2006/relationships/hyperlink" Target="https://audiopixels.com.au" TargetMode="External"/><Relationship Id="rId396" Type="http://schemas.openxmlformats.org/officeDocument/2006/relationships/hyperlink" Target="https://karambasecurity.com" TargetMode="External"/><Relationship Id="rId153" Type="http://schemas.openxmlformats.org/officeDocument/2006/relationships/hyperlink" Target="http://www.ivc-online.com/Company-Card?Id=a61e341a-207a-e111-ac59-00155d32a403" TargetMode="External"/><Relationship Id="rId395" Type="http://schemas.openxmlformats.org/officeDocument/2006/relationships/hyperlink" Target="http://www.ivc-online.com/Company-Card?Id=2ee10614-3a98-e511-bd22-80c16e7d3630" TargetMode="External"/><Relationship Id="rId152" Type="http://schemas.openxmlformats.org/officeDocument/2006/relationships/hyperlink" Target="https://carrar.net" TargetMode="External"/><Relationship Id="rId394" Type="http://schemas.openxmlformats.org/officeDocument/2006/relationships/hyperlink" Target="http://www.screenovate.com" TargetMode="External"/><Relationship Id="rId151" Type="http://schemas.openxmlformats.org/officeDocument/2006/relationships/hyperlink" Target="http://www.ivc-online.com/Company-Card?Id=4a8f0271-253d-ea11-8107-0050569a1018" TargetMode="External"/><Relationship Id="rId393" Type="http://schemas.openxmlformats.org/officeDocument/2006/relationships/hyperlink" Target="http://www.ivc-online.com/Company-Card?Id=00aaa5ba-1f7a-e111-ac59-00155d32a403" TargetMode="External"/><Relationship Id="rId158" Type="http://schemas.openxmlformats.org/officeDocument/2006/relationships/hyperlink" Target="https://www.hoopo.tech" TargetMode="External"/><Relationship Id="rId157" Type="http://schemas.openxmlformats.org/officeDocument/2006/relationships/hyperlink" Target="http://www.ivc-online.com/Company-Card?Id=a6cbb9c2-9a8b-e511-bd22-80c16e7d3630" TargetMode="External"/><Relationship Id="rId399" Type="http://schemas.openxmlformats.org/officeDocument/2006/relationships/hyperlink" Target="http://www.ivc-online.com/Company-Card?Id=f7d67fd8-1f7a-e111-ac59-00155d32a403" TargetMode="External"/><Relationship Id="rId156" Type="http://schemas.openxmlformats.org/officeDocument/2006/relationships/hyperlink" Target="https://www.foretellix.com" TargetMode="External"/><Relationship Id="rId398" Type="http://schemas.openxmlformats.org/officeDocument/2006/relationships/hyperlink" Target="https://www.auto-talks.com" TargetMode="External"/><Relationship Id="rId155" Type="http://schemas.openxmlformats.org/officeDocument/2006/relationships/hyperlink" Target="http://www.ivc-online.com/Company-Card?Id=5c00ecf8-1933-e811-80e4-00155d0b832c" TargetMode="External"/><Relationship Id="rId397" Type="http://schemas.openxmlformats.org/officeDocument/2006/relationships/hyperlink" Target="http://www.ivc-online.com/Company-Card?Id=c0b42626-207a-e111-ac59-00155d32a403" TargetMode="External"/><Relationship Id="rId808" Type="http://schemas.openxmlformats.org/officeDocument/2006/relationships/hyperlink" Target="https://www.overturning-alert-system.com" TargetMode="External"/><Relationship Id="rId807" Type="http://schemas.openxmlformats.org/officeDocument/2006/relationships/hyperlink" Target="http://www.ivc-online.com/Company-Card?Id=88bd1563-0ca4-ea11-810a-0050569a1018" TargetMode="External"/><Relationship Id="rId806" Type="http://schemas.openxmlformats.org/officeDocument/2006/relationships/hyperlink" Target="https://lendbuzz.com" TargetMode="External"/><Relationship Id="rId805" Type="http://schemas.openxmlformats.org/officeDocument/2006/relationships/hyperlink" Target="https://www.ivc-online.com/Company-Card?Id=143dd871-e863-e811-80e4-00155d0b832c" TargetMode="External"/><Relationship Id="rId809" Type="http://schemas.openxmlformats.org/officeDocument/2006/relationships/hyperlink" Target="http://www.ivc-online.com/Company-Card?Id=416885ea-0c44-e511-bd22-80c16e7d3630" TargetMode="External"/><Relationship Id="rId800" Type="http://schemas.openxmlformats.org/officeDocument/2006/relationships/hyperlink" Target="https://www.apollo-power.com" TargetMode="External"/><Relationship Id="rId804" Type="http://schemas.openxmlformats.org/officeDocument/2006/relationships/hyperlink" Target="https://www.citytransformer.com" TargetMode="External"/><Relationship Id="rId803" Type="http://schemas.openxmlformats.org/officeDocument/2006/relationships/hyperlink" Target="http://www.ivc-online.com/Company-Card?Id=a60f7e5b-384c-e311-9814-80c16e7d3632" TargetMode="External"/><Relationship Id="rId802" Type="http://schemas.openxmlformats.org/officeDocument/2006/relationships/hyperlink" Target="http://www.robo-team.com" TargetMode="External"/><Relationship Id="rId801" Type="http://schemas.openxmlformats.org/officeDocument/2006/relationships/hyperlink" Target="http://www.ivc-online.com/Company-Card?Id=9735a827-9d21-e211-beec-00155d32a408" TargetMode="External"/><Relationship Id="rId40" Type="http://schemas.openxmlformats.org/officeDocument/2006/relationships/hyperlink" Target="https://hi.auto" TargetMode="External"/><Relationship Id="rId42" Type="http://schemas.openxmlformats.org/officeDocument/2006/relationships/hyperlink" Target="https://www.wisesight.ai" TargetMode="External"/><Relationship Id="rId41" Type="http://schemas.openxmlformats.org/officeDocument/2006/relationships/hyperlink" Target="http://www.ivc-online.com/Company-Card?Id=4d494175-4658-e811-80e4-00155d0b832c" TargetMode="External"/><Relationship Id="rId44" Type="http://schemas.openxmlformats.org/officeDocument/2006/relationships/hyperlink" Target="http://www.radomatics.com" TargetMode="External"/><Relationship Id="rId43" Type="http://schemas.openxmlformats.org/officeDocument/2006/relationships/hyperlink" Target="http://www.ivc-online.com/Company-Card?Id=04a89bc2-fa30-e811-80e4-00155d0b832c" TargetMode="External"/><Relationship Id="rId46" Type="http://schemas.openxmlformats.org/officeDocument/2006/relationships/hyperlink" Target="https://eyenet-mobile.com" TargetMode="External"/><Relationship Id="rId45" Type="http://schemas.openxmlformats.org/officeDocument/2006/relationships/hyperlink" Target="http://www.ivc-online.com/Company-Card?Id=79dd30b1-8c8d-e811-80f7-0050569a1018" TargetMode="External"/><Relationship Id="rId509" Type="http://schemas.openxmlformats.org/officeDocument/2006/relationships/hyperlink" Target="https://www.ivc-online.com/Company-Card?Id=143dd871-e863-e811-80e4-00155d0b832c" TargetMode="External"/><Relationship Id="rId508" Type="http://schemas.openxmlformats.org/officeDocument/2006/relationships/hyperlink" Target="https://lendbuzz.com" TargetMode="External"/><Relationship Id="rId503" Type="http://schemas.openxmlformats.org/officeDocument/2006/relationships/hyperlink" Target="http://www.ivc-online.com/Company-Card?Id=005e15ed-7e74-e411-b8a5-80c16e7d3630" TargetMode="External"/><Relationship Id="rId745" Type="http://schemas.openxmlformats.org/officeDocument/2006/relationships/hyperlink" Target="http://www.ivc-online.com/Company-Card?Id=91cd5ff0-1f7a-e111-ac59-00155d32a403" TargetMode="External"/><Relationship Id="rId502" Type="http://schemas.openxmlformats.org/officeDocument/2006/relationships/hyperlink" Target="https://www.wisesight.ai" TargetMode="External"/><Relationship Id="rId744" Type="http://schemas.openxmlformats.org/officeDocument/2006/relationships/hyperlink" Target="https://www.saver.one" TargetMode="External"/><Relationship Id="rId501" Type="http://schemas.openxmlformats.org/officeDocument/2006/relationships/hyperlink" Target="http://www.ivc-online.com/Company-Card?Id=4d494175-4658-e811-80e4-00155d0b832c" TargetMode="External"/><Relationship Id="rId743" Type="http://schemas.openxmlformats.org/officeDocument/2006/relationships/hyperlink" Target="http://www.ivc-online.com/Company-Card?Id=52dfb9b2-b159-e411-b8a5-80c16e7d3630" TargetMode="External"/><Relationship Id="rId500" Type="http://schemas.openxmlformats.org/officeDocument/2006/relationships/hyperlink" Target="https://www.griiip.com" TargetMode="External"/><Relationship Id="rId742" Type="http://schemas.openxmlformats.org/officeDocument/2006/relationships/hyperlink" Target="https://www.saver.one" TargetMode="External"/><Relationship Id="rId507" Type="http://schemas.openxmlformats.org/officeDocument/2006/relationships/hyperlink" Target="https://www.ivc-online.com/Company-Card?Id=143dd871-e863-e811-80e4-00155d0b832c" TargetMode="External"/><Relationship Id="rId749" Type="http://schemas.openxmlformats.org/officeDocument/2006/relationships/hyperlink" Target="http://www.ivc-online.com/Company-Card?Id=23773635-9383-e511-bd22-80c16e7d3630" TargetMode="External"/><Relationship Id="rId506" Type="http://schemas.openxmlformats.org/officeDocument/2006/relationships/hyperlink" Target="https://hailo.ai" TargetMode="External"/><Relationship Id="rId748" Type="http://schemas.openxmlformats.org/officeDocument/2006/relationships/hyperlink" Target="https://www.tupaia-pos.com" TargetMode="External"/><Relationship Id="rId505" Type="http://schemas.openxmlformats.org/officeDocument/2006/relationships/hyperlink" Target="http://www.ivc-online.com/Company-Card?Id=5be6b0bd-59b9-e711-80d7-00155d0b832c" TargetMode="External"/><Relationship Id="rId747" Type="http://schemas.openxmlformats.org/officeDocument/2006/relationships/hyperlink" Target="http://www.ivc-online.com/Company-Card?Id=91a5808f-78da-eb11-b80b-00505695cd29" TargetMode="External"/><Relationship Id="rId504" Type="http://schemas.openxmlformats.org/officeDocument/2006/relationships/hyperlink" Target="https://www.viisights.com" TargetMode="External"/><Relationship Id="rId746" Type="http://schemas.openxmlformats.org/officeDocument/2006/relationships/hyperlink" Target="http://www.optimalplus.com" TargetMode="External"/><Relationship Id="rId48" Type="http://schemas.openxmlformats.org/officeDocument/2006/relationships/hyperlink" Target="https://evr-motors.com" TargetMode="External"/><Relationship Id="rId47" Type="http://schemas.openxmlformats.org/officeDocument/2006/relationships/hyperlink" Target="http://www.ivc-online.com/Company-Card?Id=de808dcc-1f7a-e111-ac59-00155d32a403" TargetMode="External"/><Relationship Id="rId49" Type="http://schemas.openxmlformats.org/officeDocument/2006/relationships/hyperlink" Target="http://www.ivc-online.com/Company-Card?Id=d7b85d81-4356-ea11-810a-0050569a1018" TargetMode="External"/><Relationship Id="rId741" Type="http://schemas.openxmlformats.org/officeDocument/2006/relationships/hyperlink" Target="http://www.ivc-online.com/Company-Card?Id=52dfb9b2-b159-e411-b8a5-80c16e7d3630" TargetMode="External"/><Relationship Id="rId740" Type="http://schemas.openxmlformats.org/officeDocument/2006/relationships/hyperlink" Target="https://hqtravel.com" TargetMode="External"/><Relationship Id="rId31" Type="http://schemas.openxmlformats.org/officeDocument/2006/relationships/hyperlink" Target="http://www.ivc-online.com/Company-Card?Id=c0b42626-207a-e111-ac59-00155d32a403" TargetMode="External"/><Relationship Id="rId30" Type="http://schemas.openxmlformats.org/officeDocument/2006/relationships/hyperlink" Target="http://www.electreon.com" TargetMode="External"/><Relationship Id="rId33" Type="http://schemas.openxmlformats.org/officeDocument/2006/relationships/hyperlink" Target="http://www.ivc-online.com/Company-Card?Id=bf4dfc1f-7f52-ec11-b80d-00505695cd29" TargetMode="External"/><Relationship Id="rId32" Type="http://schemas.openxmlformats.org/officeDocument/2006/relationships/hyperlink" Target="https://www.auto-talks.com" TargetMode="External"/><Relationship Id="rId35" Type="http://schemas.openxmlformats.org/officeDocument/2006/relationships/hyperlink" Target="http://www.ivc-online.com/Company-Card?Id=20da57f6-1f7a-e111-ac59-00155d32a403" TargetMode="External"/><Relationship Id="rId34" Type="http://schemas.openxmlformats.org/officeDocument/2006/relationships/hyperlink" Target="https://www.dymsense.com" TargetMode="External"/><Relationship Id="rId739" Type="http://schemas.openxmlformats.org/officeDocument/2006/relationships/hyperlink" Target="http://www.ivc-online.com/Company-Card?Id=83b625d0-00e9-e911-8106-0050569a1018" TargetMode="External"/><Relationship Id="rId734" Type="http://schemas.openxmlformats.org/officeDocument/2006/relationships/hyperlink" Target="https://www.kardome.com" TargetMode="External"/><Relationship Id="rId733" Type="http://schemas.openxmlformats.org/officeDocument/2006/relationships/hyperlink" Target="http://www.ivc-online.com/Company-Card?Id=3ccc523c-0898-e911-80ff-0050569a1018" TargetMode="External"/><Relationship Id="rId732" Type="http://schemas.openxmlformats.org/officeDocument/2006/relationships/hyperlink" Target="https://censnano.com" TargetMode="External"/><Relationship Id="rId731" Type="http://schemas.openxmlformats.org/officeDocument/2006/relationships/hyperlink" Target="http://www.ivc-online.com/Company-Card?Id=8bf0f799-a3a2-e311-b941-80c16e7d3630" TargetMode="External"/><Relationship Id="rId738" Type="http://schemas.openxmlformats.org/officeDocument/2006/relationships/hyperlink" Target="https://upstream.auto" TargetMode="External"/><Relationship Id="rId737" Type="http://schemas.openxmlformats.org/officeDocument/2006/relationships/hyperlink" Target="http://www.ivc-online.com/Company-Card?Id=b3cb8fbb-e533-e711-80d5-00155d0b8329" TargetMode="External"/><Relationship Id="rId736" Type="http://schemas.openxmlformats.org/officeDocument/2006/relationships/hyperlink" Target="http://adam-cogtec.com" TargetMode="External"/><Relationship Id="rId735" Type="http://schemas.openxmlformats.org/officeDocument/2006/relationships/hyperlink" Target="http://www.ivc-online.com/Company-Card?Id=b1f60876-419b-e911-80ff-0050569a1018" TargetMode="External"/><Relationship Id="rId37" Type="http://schemas.openxmlformats.org/officeDocument/2006/relationships/hyperlink" Target="http://www.ivc-online.com/Company-Card?Id=274f5f16-1e2f-f011-b819-00505695cd29" TargetMode="External"/><Relationship Id="rId36" Type="http://schemas.openxmlformats.org/officeDocument/2006/relationships/hyperlink" Target="http://www.micronet-inc.com" TargetMode="External"/><Relationship Id="rId39" Type="http://schemas.openxmlformats.org/officeDocument/2006/relationships/hyperlink" Target="http://www.ivc-online.com/Company-Card?Id=256a6355-c748-e911-80fe-0050569a1018" TargetMode="External"/><Relationship Id="rId38" Type="http://schemas.openxmlformats.org/officeDocument/2006/relationships/hyperlink" Target="https://www.ligenerate.com" TargetMode="External"/><Relationship Id="rId730" Type="http://schemas.openxmlformats.org/officeDocument/2006/relationships/hyperlink" Target="http://www.electreon.com" TargetMode="External"/><Relationship Id="rId20" Type="http://schemas.openxmlformats.org/officeDocument/2006/relationships/hyperlink" Target="https://www.kitov.ai" TargetMode="External"/><Relationship Id="rId22" Type="http://schemas.openxmlformats.org/officeDocument/2006/relationships/hyperlink" Target="https://www.kitov.ai" TargetMode="External"/><Relationship Id="rId21" Type="http://schemas.openxmlformats.org/officeDocument/2006/relationships/hyperlink" Target="http://www.ivc-online.com/Company-Card?Id=eca8fce6-d8be-e711-80d7-00155d0b832c" TargetMode="External"/><Relationship Id="rId24" Type="http://schemas.openxmlformats.org/officeDocument/2006/relationships/hyperlink" Target="https://www.airev.aero" TargetMode="External"/><Relationship Id="rId23" Type="http://schemas.openxmlformats.org/officeDocument/2006/relationships/hyperlink" Target="http://www.ivc-online.com/Company-Card?Id=faffc27f-6f31-ec11-b80d-00505695cd29" TargetMode="External"/><Relationship Id="rId525" Type="http://schemas.openxmlformats.org/officeDocument/2006/relationships/hyperlink" Target="http://www.ivc-online.com/Company-Card?Id=8197c8ab-ecb5-e411-b677-80c16e7d3630" TargetMode="External"/><Relationship Id="rId767" Type="http://schemas.openxmlformats.org/officeDocument/2006/relationships/hyperlink" Target="http://www.ivc-online.com/Company-Card?Id=faf36605-cf98-e511-bd22-80c16e7d3630" TargetMode="External"/><Relationship Id="rId524" Type="http://schemas.openxmlformats.org/officeDocument/2006/relationships/hyperlink" Target="http://www.kappasense.com" TargetMode="External"/><Relationship Id="rId766" Type="http://schemas.openxmlformats.org/officeDocument/2006/relationships/hyperlink" Target="https://www.getnexar.com" TargetMode="External"/><Relationship Id="rId523" Type="http://schemas.openxmlformats.org/officeDocument/2006/relationships/hyperlink" Target="http://www.ivc-online.com/Company-Card?Id=22d4c2cb-6652-e211-8316-00155d32a408" TargetMode="External"/><Relationship Id="rId765" Type="http://schemas.openxmlformats.org/officeDocument/2006/relationships/hyperlink" Target="http://www.ivc-online.com/Company-Card?Id=3879a066-0681-e411-b8a6-80c16e7d3630" TargetMode="External"/><Relationship Id="rId522" Type="http://schemas.openxmlformats.org/officeDocument/2006/relationships/hyperlink" Target="https://nanoscentlabs.com" TargetMode="External"/><Relationship Id="rId764" Type="http://schemas.openxmlformats.org/officeDocument/2006/relationships/hyperlink" Target="https://www.saver.one" TargetMode="External"/><Relationship Id="rId529" Type="http://schemas.openxmlformats.org/officeDocument/2006/relationships/hyperlink" Target="http://www.ivc-online.com/Company-Card?Id=d47e85d2-1f7a-e111-ac59-00155d32a403" TargetMode="External"/><Relationship Id="rId528" Type="http://schemas.openxmlformats.org/officeDocument/2006/relationships/hyperlink" Target="https://hopon.co" TargetMode="External"/><Relationship Id="rId527" Type="http://schemas.openxmlformats.org/officeDocument/2006/relationships/hyperlink" Target="http://www.ivc-online.com/Company-Card?Id=a278ed15-cc30-e311-8237-00237de91982" TargetMode="External"/><Relationship Id="rId769" Type="http://schemas.openxmlformats.org/officeDocument/2006/relationships/hyperlink" Target="http://www.ivc-online.com/Company-Card?Id=0bfa1d98-b7f9-e211-b3be-00237de91982" TargetMode="External"/><Relationship Id="rId526" Type="http://schemas.openxmlformats.org/officeDocument/2006/relationships/hyperlink" Target="https://blitzmotors.com" TargetMode="External"/><Relationship Id="rId768" Type="http://schemas.openxmlformats.org/officeDocument/2006/relationships/hyperlink" Target="https://otonomo.io" TargetMode="External"/><Relationship Id="rId26" Type="http://schemas.openxmlformats.org/officeDocument/2006/relationships/hyperlink" Target="https://cipia.com" TargetMode="External"/><Relationship Id="rId25" Type="http://schemas.openxmlformats.org/officeDocument/2006/relationships/hyperlink" Target="http://www.ivc-online.com/Company-Card?Id=f7d67fd8-1f7a-e111-ac59-00155d32a403" TargetMode="External"/><Relationship Id="rId28" Type="http://schemas.openxmlformats.org/officeDocument/2006/relationships/hyperlink" Target="https://www.zoozpower.com" TargetMode="External"/><Relationship Id="rId27" Type="http://schemas.openxmlformats.org/officeDocument/2006/relationships/hyperlink" Target="http://www.ivc-online.com/Company-Card?Id=44f868cb-b160-e211-be6c-00155d32a408" TargetMode="External"/><Relationship Id="rId521" Type="http://schemas.openxmlformats.org/officeDocument/2006/relationships/hyperlink" Target="http://www.ivc-online.com/Company-Card?Id=a397a59b-1aeb-e711-80df-00155d0b832c" TargetMode="External"/><Relationship Id="rId763" Type="http://schemas.openxmlformats.org/officeDocument/2006/relationships/hyperlink" Target="http://www.ivc-online.com/Company-Card?Id=52dfb9b2-b159-e411-b8a5-80c16e7d3630" TargetMode="External"/><Relationship Id="rId29" Type="http://schemas.openxmlformats.org/officeDocument/2006/relationships/hyperlink" Target="http://www.ivc-online.com/Company-Card?Id=bb98620c-e0ad-e311-b941-80c16e7d3630" TargetMode="External"/><Relationship Id="rId520" Type="http://schemas.openxmlformats.org/officeDocument/2006/relationships/hyperlink" Target="https://www.enigmatos.com" TargetMode="External"/><Relationship Id="rId762" Type="http://schemas.openxmlformats.org/officeDocument/2006/relationships/hyperlink" Target="https://moovitapp.com" TargetMode="External"/><Relationship Id="rId761" Type="http://schemas.openxmlformats.org/officeDocument/2006/relationships/hyperlink" Target="http://www.ivc-online.com/Company-Card?Id=136f1138-207a-e111-ac59-00155d32a403" TargetMode="External"/><Relationship Id="rId760" Type="http://schemas.openxmlformats.org/officeDocument/2006/relationships/hyperlink" Target="https://www.irpsystems.com" TargetMode="External"/><Relationship Id="rId11" Type="http://schemas.openxmlformats.org/officeDocument/2006/relationships/hyperlink" Target="http://www.ivc-online.com/Company-Card?Id=9735a827-9d21-e211-beec-00155d32a408" TargetMode="External"/><Relationship Id="rId10" Type="http://schemas.openxmlformats.org/officeDocument/2006/relationships/hyperlink" Target="http://www.miadynamics.com" TargetMode="External"/><Relationship Id="rId13" Type="http://schemas.openxmlformats.org/officeDocument/2006/relationships/hyperlink" Target="http://www.ivc-online.com/Company-Card?Id=95f55ad6-07ae-e511-bd22-80c16e7d3630" TargetMode="External"/><Relationship Id="rId12" Type="http://schemas.openxmlformats.org/officeDocument/2006/relationships/hyperlink" Target="http://www.robo-team.com" TargetMode="External"/><Relationship Id="rId519" Type="http://schemas.openxmlformats.org/officeDocument/2006/relationships/hyperlink" Target="http://www.ivc-online.com/Company-Card?Id=dc4cba52-bc34-e711-80d5-00155d0b8329" TargetMode="External"/><Relationship Id="rId514" Type="http://schemas.openxmlformats.org/officeDocument/2006/relationships/hyperlink" Target="https://www.silentium.com" TargetMode="External"/><Relationship Id="rId756" Type="http://schemas.openxmlformats.org/officeDocument/2006/relationships/hyperlink" Target="https://www.regulus.com" TargetMode="External"/><Relationship Id="rId513" Type="http://schemas.openxmlformats.org/officeDocument/2006/relationships/hyperlink" Target="http://www.ivc-online.com/Company-Card?Id=04ce5ff0-1f7a-e111-ac59-00155d32a403" TargetMode="External"/><Relationship Id="rId755" Type="http://schemas.openxmlformats.org/officeDocument/2006/relationships/hyperlink" Target="http://www.ivc-online.com/Company-Card?Id=300dc97b-1562-e611-893a-80c16e7d3630" TargetMode="External"/><Relationship Id="rId512" Type="http://schemas.openxmlformats.org/officeDocument/2006/relationships/hyperlink" Target="https://www.bringoz.com" TargetMode="External"/><Relationship Id="rId754" Type="http://schemas.openxmlformats.org/officeDocument/2006/relationships/hyperlink" Target="https://www.newsight.com" TargetMode="External"/><Relationship Id="rId511" Type="http://schemas.openxmlformats.org/officeDocument/2006/relationships/hyperlink" Target="http://www.ivc-online.com/Company-Card?Id=26509cc8-9cdb-e511-bd22-80c16e7d3630" TargetMode="External"/><Relationship Id="rId753" Type="http://schemas.openxmlformats.org/officeDocument/2006/relationships/hyperlink" Target="http://www.ivc-online.com/Company-Card?Id=fe46ab38-e027-e611-bd22-80c16e7d3630" TargetMode="External"/><Relationship Id="rId518" Type="http://schemas.openxmlformats.org/officeDocument/2006/relationships/hyperlink" Target="https://www.clairlabs.com" TargetMode="External"/><Relationship Id="rId517" Type="http://schemas.openxmlformats.org/officeDocument/2006/relationships/hyperlink" Target="http://www.ivc-online.com/Company-Card?Id=07d7c2f4-24ea-e711-80df-00155d0b832c" TargetMode="External"/><Relationship Id="rId759" Type="http://schemas.openxmlformats.org/officeDocument/2006/relationships/hyperlink" Target="http://www.ivc-online.com/Company-Card?Id=f0f0c5ff-87d1-e611-80cd-00155d0b832b" TargetMode="External"/><Relationship Id="rId516" Type="http://schemas.openxmlformats.org/officeDocument/2006/relationships/hyperlink" Target="https://noveto.com" TargetMode="External"/><Relationship Id="rId758" Type="http://schemas.openxmlformats.org/officeDocument/2006/relationships/hyperlink" Target="http://sunbit.com" TargetMode="External"/><Relationship Id="rId515" Type="http://schemas.openxmlformats.org/officeDocument/2006/relationships/hyperlink" Target="http://www.ivc-online.com/Company-Card?Id=cbbe4394-f7fc-e211-b3be-00237de91982" TargetMode="External"/><Relationship Id="rId757" Type="http://schemas.openxmlformats.org/officeDocument/2006/relationships/hyperlink" Target="http://www.ivc-online.com/Company-Card?Id=153eb0af-0839-e611-bd22-80c16e7d3630" TargetMode="External"/><Relationship Id="rId15" Type="http://schemas.openxmlformats.org/officeDocument/2006/relationships/hyperlink" Target="http://www.ivc-online.com/Company-Card?Id=6379e43a-5c5a-eb11-810c-0050569a1018" TargetMode="External"/><Relationship Id="rId14" Type="http://schemas.openxmlformats.org/officeDocument/2006/relationships/hyperlink" Target="https://www.aquariusengines.com" TargetMode="External"/><Relationship Id="rId17" Type="http://schemas.openxmlformats.org/officeDocument/2006/relationships/hyperlink" Target="http://www.ivc-online.com/Company-Card?Id=23aaa5ba-1f7a-e111-ac59-00155d32a403" TargetMode="External"/><Relationship Id="rId16" Type="http://schemas.openxmlformats.org/officeDocument/2006/relationships/hyperlink" Target="https://fuseautotech.com" TargetMode="External"/><Relationship Id="rId19" Type="http://schemas.openxmlformats.org/officeDocument/2006/relationships/hyperlink" Target="http://www.ivc-online.com/Company-Card?Id=eca8fce6-d8be-e711-80d7-00155d0b832c" TargetMode="External"/><Relationship Id="rId510" Type="http://schemas.openxmlformats.org/officeDocument/2006/relationships/hyperlink" Target="https://lendbuzz.com" TargetMode="External"/><Relationship Id="rId752" Type="http://schemas.openxmlformats.org/officeDocument/2006/relationships/hyperlink" Target="https://nanoscentlabs.com" TargetMode="External"/><Relationship Id="rId18" Type="http://schemas.openxmlformats.org/officeDocument/2006/relationships/hyperlink" Target="https://gett.com/il" TargetMode="External"/><Relationship Id="rId751" Type="http://schemas.openxmlformats.org/officeDocument/2006/relationships/hyperlink" Target="http://www.ivc-online.com/Company-Card?Id=a397a59b-1aeb-e711-80df-00155d0b832c" TargetMode="External"/><Relationship Id="rId750" Type="http://schemas.openxmlformats.org/officeDocument/2006/relationships/hyperlink" Target="https://mappo.world" TargetMode="External"/><Relationship Id="rId84" Type="http://schemas.openxmlformats.org/officeDocument/2006/relationships/hyperlink" Target="https://www.lidwave.com" TargetMode="External"/><Relationship Id="rId83" Type="http://schemas.openxmlformats.org/officeDocument/2006/relationships/hyperlink" Target="http://www.ivc-online.com/Company-Card?Id=9a990c9c-1a94-ea11-810a-0050569a1018" TargetMode="External"/><Relationship Id="rId86" Type="http://schemas.openxmlformats.org/officeDocument/2006/relationships/hyperlink" Target="https://www.airev.aero" TargetMode="External"/><Relationship Id="rId85" Type="http://schemas.openxmlformats.org/officeDocument/2006/relationships/hyperlink" Target="http://www.ivc-online.com/Company-Card?Id=faffc27f-6f31-ec11-b80d-00505695cd29" TargetMode="External"/><Relationship Id="rId88" Type="http://schemas.openxmlformats.org/officeDocument/2006/relationships/hyperlink" Target="https://www.ception.ai" TargetMode="External"/><Relationship Id="rId87" Type="http://schemas.openxmlformats.org/officeDocument/2006/relationships/hyperlink" Target="http://www.ivc-online.com/Company-Card?Id=574e8462-2b3b-e911-80fd-0050569a1018" TargetMode="External"/><Relationship Id="rId89" Type="http://schemas.openxmlformats.org/officeDocument/2006/relationships/hyperlink" Target="http://www.ivc-online.com/Company-Card?Id=d7b85d81-4356-ea11-810a-0050569a1018" TargetMode="External"/><Relationship Id="rId709" Type="http://schemas.openxmlformats.org/officeDocument/2006/relationships/hyperlink" Target="http://www.ivc-online.com/Company-Card?Id=ec52da85-26b7-e711-80d7-00155d0b832c" TargetMode="External"/><Relationship Id="rId708" Type="http://schemas.openxmlformats.org/officeDocument/2006/relationships/hyperlink" Target="https://crispify.io" TargetMode="External"/><Relationship Id="rId707" Type="http://schemas.openxmlformats.org/officeDocument/2006/relationships/hyperlink" Target="http://www.ivc-online.com/Company-Card?Id=415eb931-8212-e911-80fa-0050569a1018" TargetMode="External"/><Relationship Id="rId706" Type="http://schemas.openxmlformats.org/officeDocument/2006/relationships/hyperlink" Target="https://www.safemode.co" TargetMode="External"/><Relationship Id="rId80" Type="http://schemas.openxmlformats.org/officeDocument/2006/relationships/hyperlink" Target="https://www.motormia.co" TargetMode="External"/><Relationship Id="rId82" Type="http://schemas.openxmlformats.org/officeDocument/2006/relationships/hyperlink" Target="https://www.kardome.com" TargetMode="External"/><Relationship Id="rId81" Type="http://schemas.openxmlformats.org/officeDocument/2006/relationships/hyperlink" Target="http://www.ivc-online.com/Company-Card?Id=3ccc523c-0898-e911-80ff-0050569a1018" TargetMode="External"/><Relationship Id="rId701" Type="http://schemas.openxmlformats.org/officeDocument/2006/relationships/hyperlink" Target="http://www.ivc-online.com/Company-Card?Id=49ca53f0-5935-eb11-810b-0050569a1018" TargetMode="External"/><Relationship Id="rId700" Type="http://schemas.openxmlformats.org/officeDocument/2006/relationships/hyperlink" Target="https://www.pixtier.com" TargetMode="External"/><Relationship Id="rId705" Type="http://schemas.openxmlformats.org/officeDocument/2006/relationships/hyperlink" Target="http://www.ivc-online.com/Company-Card?Id=682f3dbf-4524-e711-80d2-00155d0b832b" TargetMode="External"/><Relationship Id="rId704" Type="http://schemas.openxmlformats.org/officeDocument/2006/relationships/hyperlink" Target="https://www.autotrust.tech" TargetMode="External"/><Relationship Id="rId703" Type="http://schemas.openxmlformats.org/officeDocument/2006/relationships/hyperlink" Target="http://www.ivc-online.com/Company-Card?Id=995a15e3-0dae-e911-8106-0050569a1018" TargetMode="External"/><Relationship Id="rId702" Type="http://schemas.openxmlformats.org/officeDocument/2006/relationships/hyperlink" Target="https://spinframe.com" TargetMode="External"/><Relationship Id="rId73" Type="http://schemas.openxmlformats.org/officeDocument/2006/relationships/hyperlink" Target="http://www.ivc-online.com/Company-Card?Id=a6cbb9c2-9a8b-e511-bd22-80c16e7d3630" TargetMode="External"/><Relationship Id="rId72" Type="http://schemas.openxmlformats.org/officeDocument/2006/relationships/hyperlink" Target="https://www.brain.space" TargetMode="External"/><Relationship Id="rId75" Type="http://schemas.openxmlformats.org/officeDocument/2006/relationships/hyperlink" Target="http://www.ivc-online.com/Company-Card?Id=d20a3720-f4bd-ef11-b817-9319f1798f89" TargetMode="External"/><Relationship Id="rId74" Type="http://schemas.openxmlformats.org/officeDocument/2006/relationships/hyperlink" Target="https://www.hoopo.tech" TargetMode="External"/><Relationship Id="rId77" Type="http://schemas.openxmlformats.org/officeDocument/2006/relationships/hyperlink" Target="http://www.ivc-online.com/Company-Card?Id=23773635-9383-e511-bd22-80c16e7d3630" TargetMode="External"/><Relationship Id="rId76" Type="http://schemas.openxmlformats.org/officeDocument/2006/relationships/hyperlink" Target="https://remot.energy" TargetMode="External"/><Relationship Id="rId79" Type="http://schemas.openxmlformats.org/officeDocument/2006/relationships/hyperlink" Target="http://www.ivc-online.com/Company-Card?Id=07fa2b5f-f699-ef11-b817-9319f1798f89" TargetMode="External"/><Relationship Id="rId78" Type="http://schemas.openxmlformats.org/officeDocument/2006/relationships/hyperlink" Target="https://mappo.world" TargetMode="External"/><Relationship Id="rId71" Type="http://schemas.openxmlformats.org/officeDocument/2006/relationships/hyperlink" Target="http://www.ivc-online.com/Company-Card?Id=a7bc3a22-76a3-ec11-b80e-00505695cd29" TargetMode="External"/><Relationship Id="rId70" Type="http://schemas.openxmlformats.org/officeDocument/2006/relationships/hyperlink" Target="https://blitzmotors.com" TargetMode="External"/><Relationship Id="rId62" Type="http://schemas.openxmlformats.org/officeDocument/2006/relationships/hyperlink" Target="https://driveu.auto" TargetMode="External"/><Relationship Id="rId61" Type="http://schemas.openxmlformats.org/officeDocument/2006/relationships/hyperlink" Target="http://www.ivc-online.com/Company-Card?Id=f7ffed42-7664-ea11-810a-0050569a1018" TargetMode="External"/><Relationship Id="rId64" Type="http://schemas.openxmlformats.org/officeDocument/2006/relationships/hyperlink" Target="https://www.irpsystems.com" TargetMode="External"/><Relationship Id="rId63" Type="http://schemas.openxmlformats.org/officeDocument/2006/relationships/hyperlink" Target="http://www.ivc-online.com/Company-Card?Id=f0f0c5ff-87d1-e611-80cd-00155d0b832b" TargetMode="External"/><Relationship Id="rId66" Type="http://schemas.openxmlformats.org/officeDocument/2006/relationships/hyperlink" Target="https://www.whilx.tech" TargetMode="External"/><Relationship Id="rId65" Type="http://schemas.openxmlformats.org/officeDocument/2006/relationships/hyperlink" Target="http://www.ivc-online.com/Company-Card?Id=3de2e46a-614a-ef11-b817-00505695cd29" TargetMode="External"/><Relationship Id="rId68" Type="http://schemas.openxmlformats.org/officeDocument/2006/relationships/hyperlink" Target="https://www.airwayz.co" TargetMode="External"/><Relationship Id="rId67" Type="http://schemas.openxmlformats.org/officeDocument/2006/relationships/hyperlink" Target="http://www.ivc-online.com/Company-Card?Id=06552fb5-13e5-e911-8106-0050569a1018" TargetMode="External"/><Relationship Id="rId729" Type="http://schemas.openxmlformats.org/officeDocument/2006/relationships/hyperlink" Target="http://www.ivc-online.com/Company-Card?Id=bb98620c-e0ad-e311-b941-80c16e7d3630" TargetMode="External"/><Relationship Id="rId728" Type="http://schemas.openxmlformats.org/officeDocument/2006/relationships/hyperlink" Target="http://www.vayavision.com" TargetMode="External"/><Relationship Id="rId60" Type="http://schemas.openxmlformats.org/officeDocument/2006/relationships/hyperlink" Target="http://www.miadynamics.com" TargetMode="External"/><Relationship Id="rId723" Type="http://schemas.openxmlformats.org/officeDocument/2006/relationships/hyperlink" Target="http://www.ivc-online.com/Company-Card?Id=42b53339-46f7-e611-80cf-00155d0b832c" TargetMode="External"/><Relationship Id="rId722" Type="http://schemas.openxmlformats.org/officeDocument/2006/relationships/hyperlink" Target="https://cybellum.com" TargetMode="External"/><Relationship Id="rId721" Type="http://schemas.openxmlformats.org/officeDocument/2006/relationships/hyperlink" Target="http://www.ivc-online.com/Company-Card?Id=e7019b32-6b88-e511-bd22-80c16e7d3630" TargetMode="External"/><Relationship Id="rId720" Type="http://schemas.openxmlformats.org/officeDocument/2006/relationships/hyperlink" Target="http://www.miadynamics.com" TargetMode="External"/><Relationship Id="rId727" Type="http://schemas.openxmlformats.org/officeDocument/2006/relationships/hyperlink" Target="http://www.ivc-online.com/Company-Card?Id=d9cffa1b-b5d0-e511-bd22-80c16e7d3630" TargetMode="External"/><Relationship Id="rId726" Type="http://schemas.openxmlformats.org/officeDocument/2006/relationships/hyperlink" Target="https://gett.com/il" TargetMode="External"/><Relationship Id="rId725" Type="http://schemas.openxmlformats.org/officeDocument/2006/relationships/hyperlink" Target="http://www.ivc-online.com/Company-Card?Id=23aaa5ba-1f7a-e111-ac59-00155d32a403" TargetMode="External"/><Relationship Id="rId724" Type="http://schemas.openxmlformats.org/officeDocument/2006/relationships/hyperlink" Target="https://www.tomorrow.io" TargetMode="External"/><Relationship Id="rId69" Type="http://schemas.openxmlformats.org/officeDocument/2006/relationships/hyperlink" Target="http://www.ivc-online.com/Company-Card?Id=8197c8ab-ecb5-e411-b677-80c16e7d3630" TargetMode="External"/><Relationship Id="rId51" Type="http://schemas.openxmlformats.org/officeDocument/2006/relationships/hyperlink" Target="http://www.ivc-online.com/Company-Card?Id=84db988f-af84-e611-9113-80c16e7d3630" TargetMode="External"/><Relationship Id="rId50" Type="http://schemas.openxmlformats.org/officeDocument/2006/relationships/hyperlink" Target="https://www.makaluoptics.com" TargetMode="External"/><Relationship Id="rId53" Type="http://schemas.openxmlformats.org/officeDocument/2006/relationships/hyperlink" Target="http://www.ivc-online.com/Company-Card?Id=95f55ad6-07ae-e511-bd22-80c16e7d3630" TargetMode="External"/><Relationship Id="rId52" Type="http://schemas.openxmlformats.org/officeDocument/2006/relationships/hyperlink" Target="https://www.uveye.com" TargetMode="External"/><Relationship Id="rId55" Type="http://schemas.openxmlformats.org/officeDocument/2006/relationships/hyperlink" Target="http://www.ivc-online.com/Company-Card?Id=8c47cc15-412c-ed11-b80e-00505695cd29" TargetMode="External"/><Relationship Id="rId54" Type="http://schemas.openxmlformats.org/officeDocument/2006/relationships/hyperlink" Target="https://www.aquariusengines.com" TargetMode="External"/><Relationship Id="rId57" Type="http://schemas.openxmlformats.org/officeDocument/2006/relationships/hyperlink" Target="http://www.ivc-online.com/Company-Card?Id=eca8fce6-d8be-e711-80d7-00155d0b832c" TargetMode="External"/><Relationship Id="rId56" Type="http://schemas.openxmlformats.org/officeDocument/2006/relationships/hyperlink" Target="https://www.solidt-tech.com" TargetMode="External"/><Relationship Id="rId719" Type="http://schemas.openxmlformats.org/officeDocument/2006/relationships/hyperlink" Target="http://www.ivc-online.com/Company-Card?Id=3a0c164b-f941-ec11-b80d-00505695cd29" TargetMode="External"/><Relationship Id="rId718" Type="http://schemas.openxmlformats.org/officeDocument/2006/relationships/hyperlink" Target="https://fuseautotech.com" TargetMode="External"/><Relationship Id="rId717" Type="http://schemas.openxmlformats.org/officeDocument/2006/relationships/hyperlink" Target="http://www.ivc-online.com/Company-Card?Id=6379e43a-5c5a-eb11-810c-0050569a1018" TargetMode="External"/><Relationship Id="rId712" Type="http://schemas.openxmlformats.org/officeDocument/2006/relationships/hyperlink" Target="https://www.ravin.ai" TargetMode="External"/><Relationship Id="rId711" Type="http://schemas.openxmlformats.org/officeDocument/2006/relationships/hyperlink" Target="http://www.ivc-online.com/Company-Card?Id=5a8c7a3d-d87b-e911-80ff-0050569a1018" TargetMode="External"/><Relationship Id="rId710" Type="http://schemas.openxmlformats.org/officeDocument/2006/relationships/hyperlink" Target="https://bambidynamic.com" TargetMode="External"/><Relationship Id="rId716" Type="http://schemas.openxmlformats.org/officeDocument/2006/relationships/hyperlink" Target="https://www.3dbattery.co.il" TargetMode="External"/><Relationship Id="rId715" Type="http://schemas.openxmlformats.org/officeDocument/2006/relationships/hyperlink" Target="http://www.ivc-online.com/Company-Card?Id=87d8384f-dde2-e611-80cd-00155d0b832b" TargetMode="External"/><Relationship Id="rId714" Type="http://schemas.openxmlformats.org/officeDocument/2006/relationships/hyperlink" Target="https://www.feathercloud.net" TargetMode="External"/><Relationship Id="rId713" Type="http://schemas.openxmlformats.org/officeDocument/2006/relationships/hyperlink" Target="http://www.ivc-online.com/Company-Card?Id=106ef709-a61d-eb11-810b-0050569a1018" TargetMode="External"/><Relationship Id="rId59" Type="http://schemas.openxmlformats.org/officeDocument/2006/relationships/hyperlink" Target="http://www.ivc-online.com/Company-Card?Id=3a0c164b-f941-ec11-b80d-00505695cd29" TargetMode="External"/><Relationship Id="rId58" Type="http://schemas.openxmlformats.org/officeDocument/2006/relationships/hyperlink" Target="https://www.kitov.ai" TargetMode="External"/><Relationship Id="rId590" Type="http://schemas.openxmlformats.org/officeDocument/2006/relationships/hyperlink" Target="https://www.fullpath.com" TargetMode="External"/><Relationship Id="rId107" Type="http://schemas.openxmlformats.org/officeDocument/2006/relationships/hyperlink" Target="http://www.ivc-online.com/Company-Card?Id=773d3112-1d59-e411-b8a5-80c16e7d3630" TargetMode="External"/><Relationship Id="rId349" Type="http://schemas.openxmlformats.org/officeDocument/2006/relationships/hyperlink" Target="http://www.ivc-online.com/Company-Card?Id=864c501c-6fdc-ea11-810a-0050569a1018" TargetMode="External"/><Relationship Id="rId106" Type="http://schemas.openxmlformats.org/officeDocument/2006/relationships/hyperlink" Target="https://hqtravel.com" TargetMode="External"/><Relationship Id="rId348" Type="http://schemas.openxmlformats.org/officeDocument/2006/relationships/hyperlink" Target="https://autobrains.ai" TargetMode="External"/><Relationship Id="rId105" Type="http://schemas.openxmlformats.org/officeDocument/2006/relationships/hyperlink" Target="http://www.ivc-online.com/Company-Card?Id=83b625d0-00e9-e911-8106-0050569a1018" TargetMode="External"/><Relationship Id="rId347" Type="http://schemas.openxmlformats.org/officeDocument/2006/relationships/hyperlink" Target="http://www.ivc-online.com/Company-Card?Id=e16a1880-cbae-e911-8106-0050569a1018" TargetMode="External"/><Relationship Id="rId589" Type="http://schemas.openxmlformats.org/officeDocument/2006/relationships/hyperlink" Target="http://www.ivc-online.com/Company-Card?Id=63562791-d9de-e111-a748-00155d32a408" TargetMode="External"/><Relationship Id="rId104" Type="http://schemas.openxmlformats.org/officeDocument/2006/relationships/hyperlink" Target="https://www.addionics.com" TargetMode="External"/><Relationship Id="rId346" Type="http://schemas.openxmlformats.org/officeDocument/2006/relationships/hyperlink" Target="https://www.zoozpower.com" TargetMode="External"/><Relationship Id="rId588" Type="http://schemas.openxmlformats.org/officeDocument/2006/relationships/hyperlink" Target="https://www.optibus.com" TargetMode="External"/><Relationship Id="rId109" Type="http://schemas.openxmlformats.org/officeDocument/2006/relationships/hyperlink" Target="http://www.ivc-online.com/Company-Card?Id=89f32118-4dec-ef11-b818-00505695cd29" TargetMode="External"/><Relationship Id="rId108" Type="http://schemas.openxmlformats.org/officeDocument/2006/relationships/hyperlink" Target="https://www.rodradar.com" TargetMode="External"/><Relationship Id="rId341" Type="http://schemas.openxmlformats.org/officeDocument/2006/relationships/hyperlink" Target="http://www.ivc-online.com/Company-Card?Id=0b77ed66-b5bb-e111-b9b4-00155d32a408" TargetMode="External"/><Relationship Id="rId583" Type="http://schemas.openxmlformats.org/officeDocument/2006/relationships/hyperlink" Target="http://www.ivc-online.com/Company-Card?Id=cc4b1417-31d4-e311-b941-80c16e7d3630" TargetMode="External"/><Relationship Id="rId340" Type="http://schemas.openxmlformats.org/officeDocument/2006/relationships/hyperlink" Target="https://www.tanku.com" TargetMode="External"/><Relationship Id="rId582" Type="http://schemas.openxmlformats.org/officeDocument/2006/relationships/hyperlink" Target="https://www.trucknet.io" TargetMode="External"/><Relationship Id="rId581" Type="http://schemas.openxmlformats.org/officeDocument/2006/relationships/hyperlink" Target="http://www.ivc-online.com/Company-Card?Id=9164008b-1a11-e611-bd22-80c16e7d3630" TargetMode="External"/><Relationship Id="rId580" Type="http://schemas.openxmlformats.org/officeDocument/2006/relationships/hyperlink" Target="https://www.ravin.ai" TargetMode="External"/><Relationship Id="rId103" Type="http://schemas.openxmlformats.org/officeDocument/2006/relationships/hyperlink" Target="http://www.ivc-online.com/Company-Card?Id=c209c27c-fa63-e811-80e4-00155d0b832c" TargetMode="External"/><Relationship Id="rId345" Type="http://schemas.openxmlformats.org/officeDocument/2006/relationships/hyperlink" Target="http://www.ivc-online.com/Company-Card?Id=44f868cb-b160-e211-be6c-00155d32a408" TargetMode="External"/><Relationship Id="rId587" Type="http://schemas.openxmlformats.org/officeDocument/2006/relationships/hyperlink" Target="http://www.ivc-online.com/Company-Card?Id=4919d8d4-3507-e411-b941-80c16e7d3630" TargetMode="External"/><Relationship Id="rId102" Type="http://schemas.openxmlformats.org/officeDocument/2006/relationships/hyperlink" Target="https://www.autofleet.io" TargetMode="External"/><Relationship Id="rId344" Type="http://schemas.openxmlformats.org/officeDocument/2006/relationships/hyperlink" Target="https://www.safemode.co" TargetMode="External"/><Relationship Id="rId586" Type="http://schemas.openxmlformats.org/officeDocument/2006/relationships/hyperlink" Target="https://www.ravin.ai" TargetMode="External"/><Relationship Id="rId101" Type="http://schemas.openxmlformats.org/officeDocument/2006/relationships/hyperlink" Target="http://www.ivc-online.com/Company-Card?Id=c6172d59-8c0a-e811-80e1-00155d0b8329" TargetMode="External"/><Relationship Id="rId343" Type="http://schemas.openxmlformats.org/officeDocument/2006/relationships/hyperlink" Target="http://www.ivc-online.com/Company-Card?Id=682f3dbf-4524-e711-80d2-00155d0b832b" TargetMode="External"/><Relationship Id="rId585" Type="http://schemas.openxmlformats.org/officeDocument/2006/relationships/hyperlink" Target="http://www.ivc-online.com/Company-Card?Id=5a8c7a3d-d87b-e911-80ff-0050569a1018" TargetMode="External"/><Relationship Id="rId100" Type="http://schemas.openxmlformats.org/officeDocument/2006/relationships/hyperlink" Target="https://www.plataine.com" TargetMode="External"/><Relationship Id="rId342" Type="http://schemas.openxmlformats.org/officeDocument/2006/relationships/hyperlink" Target="https://www.store-dot.com" TargetMode="External"/><Relationship Id="rId584" Type="http://schemas.openxmlformats.org/officeDocument/2006/relationships/hyperlink" Target="https://driivz.com" TargetMode="External"/><Relationship Id="rId338" Type="http://schemas.openxmlformats.org/officeDocument/2006/relationships/hyperlink" Target="https://www.brain.space" TargetMode="External"/><Relationship Id="rId337" Type="http://schemas.openxmlformats.org/officeDocument/2006/relationships/hyperlink" Target="http://www.ivc-online.com/Company-Card?Id=a7bc3a22-76a3-ec11-b80e-00505695cd29" TargetMode="External"/><Relationship Id="rId579" Type="http://schemas.openxmlformats.org/officeDocument/2006/relationships/hyperlink" Target="http://www.ivc-online.com/Company-Card?Id=5a8c7a3d-d87b-e911-80ff-0050569a1018" TargetMode="External"/><Relationship Id="rId336" Type="http://schemas.openxmlformats.org/officeDocument/2006/relationships/hyperlink" Target="https://railvision.io" TargetMode="External"/><Relationship Id="rId578" Type="http://schemas.openxmlformats.org/officeDocument/2006/relationships/hyperlink" Target="https://www.zoozpower.com" TargetMode="External"/><Relationship Id="rId335" Type="http://schemas.openxmlformats.org/officeDocument/2006/relationships/hyperlink" Target="http://www.ivc-online.com/Company-Card?Id=916d2426-645d-e611-893a-80c16e7d3630" TargetMode="External"/><Relationship Id="rId577" Type="http://schemas.openxmlformats.org/officeDocument/2006/relationships/hyperlink" Target="http://www.ivc-online.com/Company-Card?Id=44f868cb-b160-e211-be6c-00155d32a408" TargetMode="External"/><Relationship Id="rId339" Type="http://schemas.openxmlformats.org/officeDocument/2006/relationships/hyperlink" Target="http://www.ivc-online.com/Company-Card?Id=ccc4faa1-8ee6-e411-b68f-080027005cc8" TargetMode="External"/><Relationship Id="rId330" Type="http://schemas.openxmlformats.org/officeDocument/2006/relationships/hyperlink" Target="https://www.citytransformer.com" TargetMode="External"/><Relationship Id="rId572" Type="http://schemas.openxmlformats.org/officeDocument/2006/relationships/hyperlink" Target="https://www.elbitsystems.com/land" TargetMode="External"/><Relationship Id="rId571" Type="http://schemas.openxmlformats.org/officeDocument/2006/relationships/hyperlink" Target="http://www.ivc-online.com/Company-Card?Id=1096093e-207a-e111-ac59-00155d32a403" TargetMode="External"/><Relationship Id="rId570" Type="http://schemas.openxmlformats.org/officeDocument/2006/relationships/hyperlink" Target="https://www.artsys360.com" TargetMode="External"/><Relationship Id="rId334" Type="http://schemas.openxmlformats.org/officeDocument/2006/relationships/hyperlink" Target="https://hqtravel.com" TargetMode="External"/><Relationship Id="rId576" Type="http://schemas.openxmlformats.org/officeDocument/2006/relationships/hyperlink" Target="https://www.tomorrow.io" TargetMode="External"/><Relationship Id="rId333" Type="http://schemas.openxmlformats.org/officeDocument/2006/relationships/hyperlink" Target="http://www.ivc-online.com/Company-Card?Id=83b625d0-00e9-e911-8106-0050569a1018" TargetMode="External"/><Relationship Id="rId575" Type="http://schemas.openxmlformats.org/officeDocument/2006/relationships/hyperlink" Target="http://www.ivc-online.com/Company-Card?Id=42b53339-46f7-e611-80cf-00155d0b832c" TargetMode="External"/><Relationship Id="rId332" Type="http://schemas.openxmlformats.org/officeDocument/2006/relationships/hyperlink" Target="https://www.optibus.com" TargetMode="External"/><Relationship Id="rId574" Type="http://schemas.openxmlformats.org/officeDocument/2006/relationships/hyperlink" Target="https://revoltzev.com" TargetMode="External"/><Relationship Id="rId331" Type="http://schemas.openxmlformats.org/officeDocument/2006/relationships/hyperlink" Target="http://www.ivc-online.com/Company-Card?Id=4919d8d4-3507-e411-b941-80c16e7d3630" TargetMode="External"/><Relationship Id="rId573" Type="http://schemas.openxmlformats.org/officeDocument/2006/relationships/hyperlink" Target="http://www.ivc-online.com/Company-Card?Id=c9de9ffa-2ebd-eb11-b80b-00505695cd29" TargetMode="External"/><Relationship Id="rId370" Type="http://schemas.openxmlformats.org/officeDocument/2006/relationships/hyperlink" Target="https://www.store-dot.com" TargetMode="External"/><Relationship Id="rId129" Type="http://schemas.openxmlformats.org/officeDocument/2006/relationships/hyperlink" Target="http://www.ivc-online.com/Company-Card?Id=fdd11e2c-207a-e111-ac59-00155d32a403" TargetMode="External"/><Relationship Id="rId128" Type="http://schemas.openxmlformats.org/officeDocument/2006/relationships/hyperlink" Target="https://www.zoozpower.com" TargetMode="External"/><Relationship Id="rId127" Type="http://schemas.openxmlformats.org/officeDocument/2006/relationships/hyperlink" Target="http://www.ivc-online.com/Company-Card?Id=44f868cb-b160-e211-be6c-00155d32a408" TargetMode="External"/><Relationship Id="rId369" Type="http://schemas.openxmlformats.org/officeDocument/2006/relationships/hyperlink" Target="http://www.ivc-online.com/Company-Card?Id=0b77ed66-b5bb-e111-b9b4-00155d32a408" TargetMode="External"/><Relationship Id="rId126" Type="http://schemas.openxmlformats.org/officeDocument/2006/relationships/hyperlink" Target="https://carrar.net" TargetMode="External"/><Relationship Id="rId368" Type="http://schemas.openxmlformats.org/officeDocument/2006/relationships/hyperlink" Target="https://www.binah.ai" TargetMode="External"/><Relationship Id="rId121" Type="http://schemas.openxmlformats.org/officeDocument/2006/relationships/hyperlink" Target="http://www.ivc-online.com/Company-Card?Id=f7d67fd8-1f7a-e111-ac59-00155d32a403" TargetMode="External"/><Relationship Id="rId363" Type="http://schemas.openxmlformats.org/officeDocument/2006/relationships/hyperlink" Target="http://www.ivc-online.com/Company-Card?Id=eeef68a6-105f-eb11-810c-0050569a1018" TargetMode="External"/><Relationship Id="rId120" Type="http://schemas.openxmlformats.org/officeDocument/2006/relationships/hyperlink" Target="https://www.tupaia-pos.com" TargetMode="External"/><Relationship Id="rId362" Type="http://schemas.openxmlformats.org/officeDocument/2006/relationships/hyperlink" Target="https://enervibe.co" TargetMode="External"/><Relationship Id="rId361" Type="http://schemas.openxmlformats.org/officeDocument/2006/relationships/hyperlink" Target="http://www.ivc-online.com/Company-Card?Id=b6e74a1b-3d55-e911-80fe-0050569a1018" TargetMode="External"/><Relationship Id="rId360" Type="http://schemas.openxmlformats.org/officeDocument/2006/relationships/hyperlink" Target="https://www.aquariusengines.com" TargetMode="External"/><Relationship Id="rId125" Type="http://schemas.openxmlformats.org/officeDocument/2006/relationships/hyperlink" Target="http://www.ivc-online.com/Company-Card?Id=4a8f0271-253d-ea11-8107-0050569a1018" TargetMode="External"/><Relationship Id="rId367" Type="http://schemas.openxmlformats.org/officeDocument/2006/relationships/hyperlink" Target="http://www.ivc-online.com/Company-Card?Id=aa8f8c3f-5736-e711-80d5-00155d0b8329" TargetMode="External"/><Relationship Id="rId124" Type="http://schemas.openxmlformats.org/officeDocument/2006/relationships/hyperlink" Target="https://upstream.auto" TargetMode="External"/><Relationship Id="rId366" Type="http://schemas.openxmlformats.org/officeDocument/2006/relationships/hyperlink" Target="https://phantom.auto" TargetMode="External"/><Relationship Id="rId123" Type="http://schemas.openxmlformats.org/officeDocument/2006/relationships/hyperlink" Target="http://www.ivc-online.com/Company-Card?Id=b3cb8fbb-e533-e711-80d5-00155d0b8329" TargetMode="External"/><Relationship Id="rId365" Type="http://schemas.openxmlformats.org/officeDocument/2006/relationships/hyperlink" Target="http://www.ivc-online.com/Company-Card?Id=9707c7aa-07d5-e711-80dd-00155d0b832c" TargetMode="External"/><Relationship Id="rId122" Type="http://schemas.openxmlformats.org/officeDocument/2006/relationships/hyperlink" Target="https://cipia.com" TargetMode="External"/><Relationship Id="rId364" Type="http://schemas.openxmlformats.org/officeDocument/2006/relationships/hyperlink" Target="https://www.carteav.com" TargetMode="External"/><Relationship Id="rId95" Type="http://schemas.openxmlformats.org/officeDocument/2006/relationships/hyperlink" Target="http://www.ivc-online.com/Company-Card?Id=1045e4cc-1c92-ec11-b80e-00505695cd29" TargetMode="External"/><Relationship Id="rId94" Type="http://schemas.openxmlformats.org/officeDocument/2006/relationships/hyperlink" Target="https://ree.auto" TargetMode="External"/><Relationship Id="rId97" Type="http://schemas.openxmlformats.org/officeDocument/2006/relationships/hyperlink" Target="http://www.ivc-online.com/Company-Card?Id=bb98620c-e0ad-e311-b941-80c16e7d3630" TargetMode="External"/><Relationship Id="rId96" Type="http://schemas.openxmlformats.org/officeDocument/2006/relationships/hyperlink" Target="https://capow.energy" TargetMode="External"/><Relationship Id="rId99" Type="http://schemas.openxmlformats.org/officeDocument/2006/relationships/hyperlink" Target="http://www.ivc-online.com/Company-Card?Id=57cb77de-1f7a-e111-ac59-00155d32a403" TargetMode="External"/><Relationship Id="rId98" Type="http://schemas.openxmlformats.org/officeDocument/2006/relationships/hyperlink" Target="http://www.electreon.com" TargetMode="External"/><Relationship Id="rId91" Type="http://schemas.openxmlformats.org/officeDocument/2006/relationships/hyperlink" Target="http://www.ivc-online.com/Company-Card?Id=857d0111-0425-e711-80d2-00155d0b832b" TargetMode="External"/><Relationship Id="rId90" Type="http://schemas.openxmlformats.org/officeDocument/2006/relationships/hyperlink" Target="https://www.makaluoptics.com" TargetMode="External"/><Relationship Id="rId93" Type="http://schemas.openxmlformats.org/officeDocument/2006/relationships/hyperlink" Target="http://www.ivc-online.com/Company-Card?Id=85d01e2c-207a-e111-ac59-00155d32a403" TargetMode="External"/><Relationship Id="rId92" Type="http://schemas.openxmlformats.org/officeDocument/2006/relationships/hyperlink" Target="https://www.notraffic.tech" TargetMode="External"/><Relationship Id="rId118" Type="http://schemas.openxmlformats.org/officeDocument/2006/relationships/hyperlink" Target="https://akita.cloud" TargetMode="External"/><Relationship Id="rId117" Type="http://schemas.openxmlformats.org/officeDocument/2006/relationships/hyperlink" Target="http://www.ivc-online.com/Company-Card?Id=7f39087a-c86a-e711-80d7-00155d0b832c" TargetMode="External"/><Relationship Id="rId359" Type="http://schemas.openxmlformats.org/officeDocument/2006/relationships/hyperlink" Target="http://www.ivc-online.com/Company-Card?Id=95f55ad6-07ae-e511-bd22-80c16e7d3630" TargetMode="External"/><Relationship Id="rId116" Type="http://schemas.openxmlformats.org/officeDocument/2006/relationships/hyperlink" Target="https://www.gauzy.com" TargetMode="External"/><Relationship Id="rId358" Type="http://schemas.openxmlformats.org/officeDocument/2006/relationships/hyperlink" Target="https://www.gauzy.com" TargetMode="External"/><Relationship Id="rId115" Type="http://schemas.openxmlformats.org/officeDocument/2006/relationships/hyperlink" Target="http://www.ivc-online.com/Company-Card?Id=0bfa1d98-b7f9-e211-b3be-00237de91982" TargetMode="External"/><Relationship Id="rId357" Type="http://schemas.openxmlformats.org/officeDocument/2006/relationships/hyperlink" Target="http://www.ivc-online.com/Company-Card?Id=0bfa1d98-b7f9-e211-b3be-00237de91982" TargetMode="External"/><Relationship Id="rId599" Type="http://schemas.openxmlformats.org/officeDocument/2006/relationships/hyperlink" Target="http://www.ivc-online.com/Company-Card?Id=a60f7e5b-384c-e311-9814-80c16e7d3632" TargetMode="External"/><Relationship Id="rId119" Type="http://schemas.openxmlformats.org/officeDocument/2006/relationships/hyperlink" Target="http://www.ivc-online.com/Company-Card?Id=91a5808f-78da-eb11-b80b-00505695cd29" TargetMode="External"/><Relationship Id="rId110" Type="http://schemas.openxmlformats.org/officeDocument/2006/relationships/hyperlink" Target="https://simplex.so" TargetMode="External"/><Relationship Id="rId352" Type="http://schemas.openxmlformats.org/officeDocument/2006/relationships/hyperlink" Target="https://www.visionary.ai" TargetMode="External"/><Relationship Id="rId594" Type="http://schemas.openxmlformats.org/officeDocument/2006/relationships/hyperlink" Target="https://www.mov.ai" TargetMode="External"/><Relationship Id="rId351" Type="http://schemas.openxmlformats.org/officeDocument/2006/relationships/hyperlink" Target="http://www.ivc-online.com/Company-Card?Id=8eb4f0e0-3ca3-eb11-b80b-00505695cd29" TargetMode="External"/><Relationship Id="rId593" Type="http://schemas.openxmlformats.org/officeDocument/2006/relationships/hyperlink" Target="http://www.ivc-online.com/Company-Card?Id=0125c677-539a-e811-80f7-0050569a1018" TargetMode="External"/><Relationship Id="rId350" Type="http://schemas.openxmlformats.org/officeDocument/2006/relationships/hyperlink" Target="https://korra.ai" TargetMode="External"/><Relationship Id="rId592" Type="http://schemas.openxmlformats.org/officeDocument/2006/relationships/hyperlink" Target="http://www.guardian-optech.com" TargetMode="External"/><Relationship Id="rId591" Type="http://schemas.openxmlformats.org/officeDocument/2006/relationships/hyperlink" Target="http://www.ivc-online.com/Company-Card?Id=c4249fe6-70d8-e411-b680-080027005cc8" TargetMode="External"/><Relationship Id="rId114" Type="http://schemas.openxmlformats.org/officeDocument/2006/relationships/hyperlink" Target="https://www.motoro-security.com" TargetMode="External"/><Relationship Id="rId356" Type="http://schemas.openxmlformats.org/officeDocument/2006/relationships/hyperlink" Target="https://www.valerann.com" TargetMode="External"/><Relationship Id="rId598" Type="http://schemas.openxmlformats.org/officeDocument/2006/relationships/hyperlink" Target="https://www.compulab.com" TargetMode="External"/><Relationship Id="rId113" Type="http://schemas.openxmlformats.org/officeDocument/2006/relationships/hyperlink" Target="http://www.ivc-online.com/Company-Card?Id=d2483da8-732c-ef11-b815-00505695cd29" TargetMode="External"/><Relationship Id="rId355" Type="http://schemas.openxmlformats.org/officeDocument/2006/relationships/hyperlink" Target="http://www.ivc-online.com/Company-Card?Id=7647379c-16bd-e611-80ca-00155d0b832c" TargetMode="External"/><Relationship Id="rId597" Type="http://schemas.openxmlformats.org/officeDocument/2006/relationships/hyperlink" Target="http://www.ivc-online.com/Company-Card?Id=d91e341a-207a-e111-ac59-00155d32a403" TargetMode="External"/><Relationship Id="rId112" Type="http://schemas.openxmlformats.org/officeDocument/2006/relationships/hyperlink" Target="https://www.aquariusengines.com" TargetMode="External"/><Relationship Id="rId354" Type="http://schemas.openxmlformats.org/officeDocument/2006/relationships/hyperlink" Target="http://sparkion.io" TargetMode="External"/><Relationship Id="rId596" Type="http://schemas.openxmlformats.org/officeDocument/2006/relationships/hyperlink" Target="https://ottopia.tech" TargetMode="External"/><Relationship Id="rId111" Type="http://schemas.openxmlformats.org/officeDocument/2006/relationships/hyperlink" Target="http://www.ivc-online.com/Company-Card?Id=95f55ad6-07ae-e511-bd22-80c16e7d3630" TargetMode="External"/><Relationship Id="rId353" Type="http://schemas.openxmlformats.org/officeDocument/2006/relationships/hyperlink" Target="http://www.ivc-online.com/Company-Card?Id=9dc15774-1203-ec11-b80c-00505695cd29" TargetMode="External"/><Relationship Id="rId595" Type="http://schemas.openxmlformats.org/officeDocument/2006/relationships/hyperlink" Target="http://www.ivc-online.com/Company-Card?Id=9f938ee2-3aeb-e811-80f9-0050569a1018" TargetMode="External"/><Relationship Id="rId305" Type="http://schemas.openxmlformats.org/officeDocument/2006/relationships/hyperlink" Target="https://www.ivc-online.com/Company-Card?Id=143dd871-e863-e811-80e4-00155d0b832c" TargetMode="External"/><Relationship Id="rId547" Type="http://schemas.openxmlformats.org/officeDocument/2006/relationships/hyperlink" Target="http://www.ivc-online.com/Company-Card?Id=4548d7e9-e809-ea11-8107-0050569a1018" TargetMode="External"/><Relationship Id="rId789" Type="http://schemas.openxmlformats.org/officeDocument/2006/relationships/hyperlink" Target="http://www.ivc-online.com/Company-Card?Id=98e12f2f-b945-eb11-810c-0050569a1018" TargetMode="External"/><Relationship Id="rId304" Type="http://schemas.openxmlformats.org/officeDocument/2006/relationships/hyperlink" Target="https://www.hoopo.tech" TargetMode="External"/><Relationship Id="rId546" Type="http://schemas.openxmlformats.org/officeDocument/2006/relationships/hyperlink" Target="https://spinframe.com" TargetMode="External"/><Relationship Id="rId788" Type="http://schemas.openxmlformats.org/officeDocument/2006/relationships/hyperlink" Target="https://www.makaluoptics.com" TargetMode="External"/><Relationship Id="rId303" Type="http://schemas.openxmlformats.org/officeDocument/2006/relationships/hyperlink" Target="http://www.ivc-online.com/Company-Card?Id=a6cbb9c2-9a8b-e511-bd22-80c16e7d3630" TargetMode="External"/><Relationship Id="rId545" Type="http://schemas.openxmlformats.org/officeDocument/2006/relationships/hyperlink" Target="http://www.ivc-online.com/Company-Card?Id=49ca53f0-5935-eb11-810b-0050569a1018" TargetMode="External"/><Relationship Id="rId787" Type="http://schemas.openxmlformats.org/officeDocument/2006/relationships/hyperlink" Target="http://www.ivc-online.com/Company-Card?Id=d7b85d81-4356-ea11-810a-0050569a1018" TargetMode="External"/><Relationship Id="rId302" Type="http://schemas.openxmlformats.org/officeDocument/2006/relationships/hyperlink" Target="https://spinframe.com" TargetMode="External"/><Relationship Id="rId544" Type="http://schemas.openxmlformats.org/officeDocument/2006/relationships/hyperlink" Target="https://ottopia.tech" TargetMode="External"/><Relationship Id="rId786" Type="http://schemas.openxmlformats.org/officeDocument/2006/relationships/hyperlink" Target="https://hailo.ai" TargetMode="External"/><Relationship Id="rId309" Type="http://schemas.openxmlformats.org/officeDocument/2006/relationships/hyperlink" Target="http://www.ivc-online.com/Company-Card?Id=de808dcc-1f7a-e111-ac59-00155d32a403" TargetMode="External"/><Relationship Id="rId308" Type="http://schemas.openxmlformats.org/officeDocument/2006/relationships/hyperlink" Target="https://www.safefields-tech.com" TargetMode="External"/><Relationship Id="rId307" Type="http://schemas.openxmlformats.org/officeDocument/2006/relationships/hyperlink" Target="http://www.ivc-online.com/Company-Card?Id=8e0f7e3b-f045-ec11-b80d-00505695cd29" TargetMode="External"/><Relationship Id="rId549" Type="http://schemas.openxmlformats.org/officeDocument/2006/relationships/hyperlink" Target="http://www.ivc-online.com/Company-Card?Id=f0f0c5ff-87d1-e611-80cd-00155d0b832b" TargetMode="External"/><Relationship Id="rId306" Type="http://schemas.openxmlformats.org/officeDocument/2006/relationships/hyperlink" Target="https://lendbuzz.com" TargetMode="External"/><Relationship Id="rId548" Type="http://schemas.openxmlformats.org/officeDocument/2006/relationships/hyperlink" Target="https://corractions.com" TargetMode="External"/><Relationship Id="rId781" Type="http://schemas.openxmlformats.org/officeDocument/2006/relationships/hyperlink" Target="http://www.ivc-online.com/Company-Card?Id=4d9e147c-3fa2-e911-8100-0050569a1018" TargetMode="External"/><Relationship Id="rId780" Type="http://schemas.openxmlformats.org/officeDocument/2006/relationships/hyperlink" Target="https://www.anagog.com" TargetMode="External"/><Relationship Id="rId301" Type="http://schemas.openxmlformats.org/officeDocument/2006/relationships/hyperlink" Target="http://www.ivc-online.com/Company-Card?Id=49ca53f0-5935-eb11-810b-0050569a1018" TargetMode="External"/><Relationship Id="rId543" Type="http://schemas.openxmlformats.org/officeDocument/2006/relationships/hyperlink" Target="http://www.ivc-online.com/Company-Card?Id=9f938ee2-3aeb-e811-80f9-0050569a1018" TargetMode="External"/><Relationship Id="rId785" Type="http://schemas.openxmlformats.org/officeDocument/2006/relationships/hyperlink" Target="http://www.ivc-online.com/Company-Card?Id=5be6b0bd-59b9-e711-80d7-00155d0b832c" TargetMode="External"/><Relationship Id="rId300" Type="http://schemas.openxmlformats.org/officeDocument/2006/relationships/hyperlink" Target="https://www.economotor.co" TargetMode="External"/><Relationship Id="rId542" Type="http://schemas.openxmlformats.org/officeDocument/2006/relationships/hyperlink" Target="https://www.click-ins.com" TargetMode="External"/><Relationship Id="rId784" Type="http://schemas.openxmlformats.org/officeDocument/2006/relationships/hyperlink" Target="https://www.parking-polly.com" TargetMode="External"/><Relationship Id="rId541" Type="http://schemas.openxmlformats.org/officeDocument/2006/relationships/hyperlink" Target="http://www.ivc-online.com/Company-Card?Id=0d2dc124-f085-e511-bd22-80c16e7d3630" TargetMode="External"/><Relationship Id="rId783" Type="http://schemas.openxmlformats.org/officeDocument/2006/relationships/hyperlink" Target="http://www.ivc-online.com/Company-Card?Id=ba81f39a-95ea-e111-a13f-00155d32a408" TargetMode="External"/><Relationship Id="rId540" Type="http://schemas.openxmlformats.org/officeDocument/2006/relationships/hyperlink" Target="https://www.galooli.com" TargetMode="External"/><Relationship Id="rId782" Type="http://schemas.openxmlformats.org/officeDocument/2006/relationships/hyperlink" Target="https://vootto.com" TargetMode="External"/><Relationship Id="rId536" Type="http://schemas.openxmlformats.org/officeDocument/2006/relationships/hyperlink" Target="https://www.uveye.com" TargetMode="External"/><Relationship Id="rId778" Type="http://schemas.openxmlformats.org/officeDocument/2006/relationships/hyperlink" Target="https://driveu.auto" TargetMode="External"/><Relationship Id="rId535" Type="http://schemas.openxmlformats.org/officeDocument/2006/relationships/hyperlink" Target="http://www.ivc-online.com/Company-Card?Id=84db988f-af84-e611-9113-80c16e7d3630" TargetMode="External"/><Relationship Id="rId777" Type="http://schemas.openxmlformats.org/officeDocument/2006/relationships/hyperlink" Target="http://www.ivc-online.com/Company-Card?Id=f7ffed42-7664-ea11-810a-0050569a1018" TargetMode="External"/><Relationship Id="rId534" Type="http://schemas.openxmlformats.org/officeDocument/2006/relationships/hyperlink" Target="https://upstream.auto" TargetMode="External"/><Relationship Id="rId776" Type="http://schemas.openxmlformats.org/officeDocument/2006/relationships/hyperlink" Target="https://autobrains.ai" TargetMode="External"/><Relationship Id="rId533" Type="http://schemas.openxmlformats.org/officeDocument/2006/relationships/hyperlink" Target="http://www.ivc-online.com/Company-Card?Id=b3cb8fbb-e533-e711-80d5-00155d0b8329" TargetMode="External"/><Relationship Id="rId775" Type="http://schemas.openxmlformats.org/officeDocument/2006/relationships/hyperlink" Target="http://www.ivc-online.com/Company-Card?Id=e16a1880-cbae-e911-8106-0050569a1018" TargetMode="External"/><Relationship Id="rId539" Type="http://schemas.openxmlformats.org/officeDocument/2006/relationships/hyperlink" Target="http://www.ivc-online.com/Company-Card?Id=69c96fe4-1f7a-e111-ac59-00155d32a403" TargetMode="External"/><Relationship Id="rId538" Type="http://schemas.openxmlformats.org/officeDocument/2006/relationships/hyperlink" Target="http://spectralics.com" TargetMode="External"/><Relationship Id="rId537" Type="http://schemas.openxmlformats.org/officeDocument/2006/relationships/hyperlink" Target="http://www.ivc-online.com/Company-Card?Id=75a8cd85-74ed-e811-80f9-0050569a1018" TargetMode="External"/><Relationship Id="rId779" Type="http://schemas.openxmlformats.org/officeDocument/2006/relationships/hyperlink" Target="http://www.ivc-online.com/Company-Card?Id=5ad740c9-b884-e211-b93c-00155d32a40a" TargetMode="External"/><Relationship Id="rId770" Type="http://schemas.openxmlformats.org/officeDocument/2006/relationships/hyperlink" Target="https://www.gauzy.com" TargetMode="External"/><Relationship Id="rId532" Type="http://schemas.openxmlformats.org/officeDocument/2006/relationships/hyperlink" Target="http://sunbit.com" TargetMode="External"/><Relationship Id="rId774" Type="http://schemas.openxmlformats.org/officeDocument/2006/relationships/hyperlink" Target="https://www.addionics.com" TargetMode="External"/><Relationship Id="rId531" Type="http://schemas.openxmlformats.org/officeDocument/2006/relationships/hyperlink" Target="http://www.ivc-online.com/Company-Card?Id=153eb0af-0839-e611-bd22-80c16e7d3630" TargetMode="External"/><Relationship Id="rId773" Type="http://schemas.openxmlformats.org/officeDocument/2006/relationships/hyperlink" Target="http://www.ivc-online.com/Company-Card?Id=c209c27c-fa63-e811-80e4-00155d0b832c" TargetMode="External"/><Relationship Id="rId530" Type="http://schemas.openxmlformats.org/officeDocument/2006/relationships/hyperlink" Target="https://www.telit.com" TargetMode="External"/><Relationship Id="rId772" Type="http://schemas.openxmlformats.org/officeDocument/2006/relationships/hyperlink" Target="https://www.ezraider.com" TargetMode="External"/><Relationship Id="rId771" Type="http://schemas.openxmlformats.org/officeDocument/2006/relationships/hyperlink" Target="http://www.ivc-online.com/Company-Card?Id=0938c1e1-f94d-e811-80e4-00155d0b832c" TargetMode="External"/><Relationship Id="rId327" Type="http://schemas.openxmlformats.org/officeDocument/2006/relationships/hyperlink" Target="http://www.ivc-online.com/Company-Card?Id=0b77ed66-b5bb-e111-b9b4-00155d32a408" TargetMode="External"/><Relationship Id="rId569" Type="http://schemas.openxmlformats.org/officeDocument/2006/relationships/hyperlink" Target="http://www.ivc-online.com/Company-Card?Id=d5318376-632a-e311-8237-00237de91982" TargetMode="External"/><Relationship Id="rId326" Type="http://schemas.openxmlformats.org/officeDocument/2006/relationships/hyperlink" Target="https://www.moodify.ai" TargetMode="External"/><Relationship Id="rId568" Type="http://schemas.openxmlformats.org/officeDocument/2006/relationships/hyperlink" Target="https://www.ad-knight.com" TargetMode="External"/><Relationship Id="rId325" Type="http://schemas.openxmlformats.org/officeDocument/2006/relationships/hyperlink" Target="http://www.ivc-online.com/Company-Card?Id=8d46ef44-90e4-e711-80df-00155d0b832c" TargetMode="External"/><Relationship Id="rId567" Type="http://schemas.openxmlformats.org/officeDocument/2006/relationships/hyperlink" Target="http://www.ivc-online.com/Company-Card?Id=3293f11b-2d1a-e911-80fd-0050569a1018" TargetMode="External"/><Relationship Id="rId324" Type="http://schemas.openxmlformats.org/officeDocument/2006/relationships/hyperlink" Target="https://vayyar.com" TargetMode="External"/><Relationship Id="rId566" Type="http://schemas.openxmlformats.org/officeDocument/2006/relationships/hyperlink" Target="https://www.clinch.co" TargetMode="External"/><Relationship Id="rId329" Type="http://schemas.openxmlformats.org/officeDocument/2006/relationships/hyperlink" Target="http://www.ivc-online.com/Company-Card?Id=a60f7e5b-384c-e311-9814-80c16e7d3632" TargetMode="External"/><Relationship Id="rId328" Type="http://schemas.openxmlformats.org/officeDocument/2006/relationships/hyperlink" Target="https://www.store-dot.com" TargetMode="External"/><Relationship Id="rId561" Type="http://schemas.openxmlformats.org/officeDocument/2006/relationships/hyperlink" Target="http://www.ivc-online.com/Company-Card?Id=07e69f12-f22b-e611-bd22-80c16e7d3630" TargetMode="External"/><Relationship Id="rId560" Type="http://schemas.openxmlformats.org/officeDocument/2006/relationships/hyperlink" Target="http://www.innoviz.tech" TargetMode="External"/><Relationship Id="rId323" Type="http://schemas.openxmlformats.org/officeDocument/2006/relationships/hyperlink" Target="http://www.ivc-online.com/Company-Card?Id=24512f59-f9da-e111-a748-00155d32a408" TargetMode="External"/><Relationship Id="rId565" Type="http://schemas.openxmlformats.org/officeDocument/2006/relationships/hyperlink" Target="http://www.ivc-online.com/Company-Card?Id=0eb7dd2b-25a3-e111-ad2f-00155d32a403" TargetMode="External"/><Relationship Id="rId322" Type="http://schemas.openxmlformats.org/officeDocument/2006/relationships/hyperlink" Target="https://www.humains.com" TargetMode="External"/><Relationship Id="rId564" Type="http://schemas.openxmlformats.org/officeDocument/2006/relationships/hyperlink" Target="https://www.gorilla.link" TargetMode="External"/><Relationship Id="rId321" Type="http://schemas.openxmlformats.org/officeDocument/2006/relationships/hyperlink" Target="http://www.ivc-online.com/Company-Card?Id=6dd01e2c-207a-e111-ac59-00155d32a403" TargetMode="External"/><Relationship Id="rId563" Type="http://schemas.openxmlformats.org/officeDocument/2006/relationships/hyperlink" Target="http://www.ivc-online.com/Company-Card?Id=e7b45722-51bf-ea11-810a-0050569a1018" TargetMode="External"/><Relationship Id="rId320" Type="http://schemas.openxmlformats.org/officeDocument/2006/relationships/hyperlink" Target="https://www.uveye.com" TargetMode="External"/><Relationship Id="rId562" Type="http://schemas.openxmlformats.org/officeDocument/2006/relationships/hyperlink" Target="http://www.innoviz.tech" TargetMode="External"/><Relationship Id="rId316" Type="http://schemas.openxmlformats.org/officeDocument/2006/relationships/hyperlink" Target="https://www.anagog.com" TargetMode="External"/><Relationship Id="rId558" Type="http://schemas.openxmlformats.org/officeDocument/2006/relationships/hyperlink" Target="https://www.cardosystems.com" TargetMode="External"/><Relationship Id="rId315" Type="http://schemas.openxmlformats.org/officeDocument/2006/relationships/hyperlink" Target="http://www.ivc-online.com/Company-Card?Id=5ad740c9-b884-e211-b93c-00155d32a40a" TargetMode="External"/><Relationship Id="rId557" Type="http://schemas.openxmlformats.org/officeDocument/2006/relationships/hyperlink" Target="http://www.ivc-online.com/Company-Card?Id=7f9b410e-207a-e111-ac59-00155d32a403" TargetMode="External"/><Relationship Id="rId799" Type="http://schemas.openxmlformats.org/officeDocument/2006/relationships/hyperlink" Target="http://www.ivc-online.com/Company-Card?Id=2f3e34a0-172d-e411-a2af-80c16e7d3630" TargetMode="External"/><Relationship Id="rId314" Type="http://schemas.openxmlformats.org/officeDocument/2006/relationships/hyperlink" Target="https://www.optibus.com" TargetMode="External"/><Relationship Id="rId556" Type="http://schemas.openxmlformats.org/officeDocument/2006/relationships/hyperlink" Target="https://www.gnrgy.com" TargetMode="External"/><Relationship Id="rId798" Type="http://schemas.openxmlformats.org/officeDocument/2006/relationships/hyperlink" Target="http://www.intuitionrobotics.com" TargetMode="External"/><Relationship Id="rId313" Type="http://schemas.openxmlformats.org/officeDocument/2006/relationships/hyperlink" Target="http://www.ivc-online.com/Company-Card?Id=4919d8d4-3507-e411-b941-80c16e7d3630" TargetMode="External"/><Relationship Id="rId555" Type="http://schemas.openxmlformats.org/officeDocument/2006/relationships/hyperlink" Target="http://www.ivc-online.com/Company-Card?Id=e3e91632-207a-e111-ac59-00155d32a403" TargetMode="External"/><Relationship Id="rId797" Type="http://schemas.openxmlformats.org/officeDocument/2006/relationships/hyperlink" Target="http://www.ivc-online.com/Company-Card?Id=2784a87e-b715-e611-bd22-80c16e7d3630" TargetMode="External"/><Relationship Id="rId319" Type="http://schemas.openxmlformats.org/officeDocument/2006/relationships/hyperlink" Target="http://www.ivc-online.com/Company-Card?Id=84db988f-af84-e611-9113-80c16e7d3630" TargetMode="External"/><Relationship Id="rId318" Type="http://schemas.openxmlformats.org/officeDocument/2006/relationships/hyperlink" Target="https://www.c2a-sec.com" TargetMode="External"/><Relationship Id="rId317" Type="http://schemas.openxmlformats.org/officeDocument/2006/relationships/hyperlink" Target="http://www.ivc-online.com/Company-Card?Id=2e68e7f1-f62f-e711-80d3-00155d0b832b" TargetMode="External"/><Relationship Id="rId559" Type="http://schemas.openxmlformats.org/officeDocument/2006/relationships/hyperlink" Target="http://www.ivc-online.com/Company-Card?Id=07e69f12-f22b-e611-bd22-80c16e7d3630" TargetMode="External"/><Relationship Id="rId550" Type="http://schemas.openxmlformats.org/officeDocument/2006/relationships/hyperlink" Target="https://www.irpsystems.com" TargetMode="External"/><Relationship Id="rId792" Type="http://schemas.openxmlformats.org/officeDocument/2006/relationships/hyperlink" Target="https://www.gettacar.com" TargetMode="External"/><Relationship Id="rId791" Type="http://schemas.openxmlformats.org/officeDocument/2006/relationships/hyperlink" Target="http://www.ivc-online.com/Company-Card?Id=f3fab76f-056f-ec11-b80d-00505695cd29" TargetMode="External"/><Relationship Id="rId790" Type="http://schemas.openxmlformats.org/officeDocument/2006/relationships/hyperlink" Target="https://goryde.com" TargetMode="External"/><Relationship Id="rId312" Type="http://schemas.openxmlformats.org/officeDocument/2006/relationships/hyperlink" Target="https://www.ception.ai" TargetMode="External"/><Relationship Id="rId554" Type="http://schemas.openxmlformats.org/officeDocument/2006/relationships/hyperlink" Target="https://www.apollo-power.com" TargetMode="External"/><Relationship Id="rId796" Type="http://schemas.openxmlformats.org/officeDocument/2006/relationships/hyperlink" Target="https://driivz.com" TargetMode="External"/><Relationship Id="rId311" Type="http://schemas.openxmlformats.org/officeDocument/2006/relationships/hyperlink" Target="http://www.ivc-online.com/Company-Card?Id=574e8462-2b3b-e911-80fd-0050569a1018" TargetMode="External"/><Relationship Id="rId553" Type="http://schemas.openxmlformats.org/officeDocument/2006/relationships/hyperlink" Target="http://www.ivc-online.com/Company-Card?Id=2f3e34a0-172d-e411-a2af-80c16e7d3630" TargetMode="External"/><Relationship Id="rId795" Type="http://schemas.openxmlformats.org/officeDocument/2006/relationships/hyperlink" Target="http://www.ivc-online.com/Company-Card?Id=cc4b1417-31d4-e311-b941-80c16e7d3630" TargetMode="External"/><Relationship Id="rId310" Type="http://schemas.openxmlformats.org/officeDocument/2006/relationships/hyperlink" Target="https://evr-motors.com" TargetMode="External"/><Relationship Id="rId552" Type="http://schemas.openxmlformats.org/officeDocument/2006/relationships/hyperlink" Target="https://www.notraffic.tech" TargetMode="External"/><Relationship Id="rId794" Type="http://schemas.openxmlformats.org/officeDocument/2006/relationships/hyperlink" Target="https://www.saver.one" TargetMode="External"/><Relationship Id="rId551" Type="http://schemas.openxmlformats.org/officeDocument/2006/relationships/hyperlink" Target="http://www.ivc-online.com/Company-Card?Id=857d0111-0425-e711-80d2-00155d0b832b" TargetMode="External"/><Relationship Id="rId793" Type="http://schemas.openxmlformats.org/officeDocument/2006/relationships/hyperlink" Target="http://www.ivc-online.com/Company-Card?Id=52dfb9b2-b159-e411-b8a5-80c16e7d3630" TargetMode="External"/><Relationship Id="rId297" Type="http://schemas.openxmlformats.org/officeDocument/2006/relationships/hyperlink" Target="http://www.ivc-online.com/Company-Card?Id=18cae051-b629-ed11-b80e-00505695cd29" TargetMode="External"/><Relationship Id="rId296" Type="http://schemas.openxmlformats.org/officeDocument/2006/relationships/hyperlink" Target="https://ovo.auto" TargetMode="External"/><Relationship Id="rId295" Type="http://schemas.openxmlformats.org/officeDocument/2006/relationships/hyperlink" Target="http://www.ivc-online.com/Company-Card?Id=eafb232d-0d81-e911-80ff-0050569a1018" TargetMode="External"/><Relationship Id="rId294" Type="http://schemas.openxmlformats.org/officeDocument/2006/relationships/hyperlink" Target="https://www.bringoz.com" TargetMode="External"/><Relationship Id="rId299" Type="http://schemas.openxmlformats.org/officeDocument/2006/relationships/hyperlink" Target="http://www.ivc-online.com/Company-Card?Id=23ee496f-eaad-ed11-b811-00505695cd29" TargetMode="External"/><Relationship Id="rId298" Type="http://schemas.openxmlformats.org/officeDocument/2006/relationships/hyperlink" Target="https://fairmatic.com" TargetMode="External"/><Relationship Id="rId271" Type="http://schemas.openxmlformats.org/officeDocument/2006/relationships/hyperlink" Target="http://www.ivc-online.com/Company-Card?Id=0d2dc124-f085-e511-bd22-80c16e7d3630" TargetMode="External"/><Relationship Id="rId270" Type="http://schemas.openxmlformats.org/officeDocument/2006/relationships/hyperlink" Target="https://www.airwayz.co" TargetMode="External"/><Relationship Id="rId269" Type="http://schemas.openxmlformats.org/officeDocument/2006/relationships/hyperlink" Target="http://www.ivc-online.com/Company-Card?Id=06552fb5-13e5-e911-8106-0050569a1018" TargetMode="External"/><Relationship Id="rId264" Type="http://schemas.openxmlformats.org/officeDocument/2006/relationships/hyperlink" Target="https://capow.energy" TargetMode="External"/><Relationship Id="rId263" Type="http://schemas.openxmlformats.org/officeDocument/2006/relationships/hyperlink" Target="http://www.ivc-online.com/Company-Card?Id=1045e4cc-1c92-ec11-b80e-00505695cd29" TargetMode="External"/><Relationship Id="rId262" Type="http://schemas.openxmlformats.org/officeDocument/2006/relationships/hyperlink" Target="https://powermat.com" TargetMode="External"/><Relationship Id="rId261" Type="http://schemas.openxmlformats.org/officeDocument/2006/relationships/hyperlink" Target="http://www.ivc-online.com/Company-Card?Id=70c967ea-1f7a-e111-ac59-00155d32a403" TargetMode="External"/><Relationship Id="rId268" Type="http://schemas.openxmlformats.org/officeDocument/2006/relationships/hyperlink" Target="https://www.fullpath.com" TargetMode="External"/><Relationship Id="rId267" Type="http://schemas.openxmlformats.org/officeDocument/2006/relationships/hyperlink" Target="http://www.ivc-online.com/Company-Card?Id=63562791-d9de-e111-a748-00155d32a408" TargetMode="External"/><Relationship Id="rId266" Type="http://schemas.openxmlformats.org/officeDocument/2006/relationships/hyperlink" Target="https://www.mov.ai" TargetMode="External"/><Relationship Id="rId265" Type="http://schemas.openxmlformats.org/officeDocument/2006/relationships/hyperlink" Target="http://www.ivc-online.com/Company-Card?Id=0125c677-539a-e811-80f7-0050569a1018" TargetMode="External"/><Relationship Id="rId260" Type="http://schemas.openxmlformats.org/officeDocument/2006/relationships/hyperlink" Target="https://www.cognata.com" TargetMode="External"/><Relationship Id="rId259" Type="http://schemas.openxmlformats.org/officeDocument/2006/relationships/hyperlink" Target="http://www.ivc-online.com/Company-Card?Id=4ecad951-04e2-e611-80cd-00155d0b832b" TargetMode="External"/><Relationship Id="rId258" Type="http://schemas.openxmlformats.org/officeDocument/2006/relationships/hyperlink" Target="https://www.saver.one" TargetMode="External"/><Relationship Id="rId253" Type="http://schemas.openxmlformats.org/officeDocument/2006/relationships/hyperlink" Target="http://www.ivc-online.com/Company-Card?Id=40a3e6d5-3fdf-e711-80df-00155d0b832c" TargetMode="External"/><Relationship Id="rId495" Type="http://schemas.openxmlformats.org/officeDocument/2006/relationships/hyperlink" Target="http://www.ivc-online.com/Company-Card?Id=85d01e2c-207a-e111-ac59-00155d32a403" TargetMode="External"/><Relationship Id="rId252" Type="http://schemas.openxmlformats.org/officeDocument/2006/relationships/hyperlink" Target="https://www.opsys-tech.com" TargetMode="External"/><Relationship Id="rId494" Type="http://schemas.openxmlformats.org/officeDocument/2006/relationships/hyperlink" Target="https://ree.auto" TargetMode="External"/><Relationship Id="rId251" Type="http://schemas.openxmlformats.org/officeDocument/2006/relationships/hyperlink" Target="http://www.ivc-online.com/Company-Card?Id=9bc61dd2-652d-e711-80d2-00155d0b832b" TargetMode="External"/><Relationship Id="rId493" Type="http://schemas.openxmlformats.org/officeDocument/2006/relationships/hyperlink" Target="http://www.ivc-online.com/Company-Card?Id=85d01e2c-207a-e111-ac59-00155d32a403" TargetMode="External"/><Relationship Id="rId250" Type="http://schemas.openxmlformats.org/officeDocument/2006/relationships/hyperlink" Target="https://www.actasysinc.com" TargetMode="External"/><Relationship Id="rId492" Type="http://schemas.openxmlformats.org/officeDocument/2006/relationships/hyperlink" Target="https://www.rodo.com" TargetMode="External"/><Relationship Id="rId257" Type="http://schemas.openxmlformats.org/officeDocument/2006/relationships/hyperlink" Target="http://www.ivc-online.com/Company-Card?Id=52dfb9b2-b159-e411-b8a5-80c16e7d3630" TargetMode="External"/><Relationship Id="rId499" Type="http://schemas.openxmlformats.org/officeDocument/2006/relationships/hyperlink" Target="http://www.ivc-online.com/Company-Card?Id=1e439a56-ef90-e511-bd22-80c16e7d3630" TargetMode="External"/><Relationship Id="rId256" Type="http://schemas.openxmlformats.org/officeDocument/2006/relationships/hyperlink" Target="https://tactilemobility.com" TargetMode="External"/><Relationship Id="rId498" Type="http://schemas.openxmlformats.org/officeDocument/2006/relationships/hyperlink" Target="https://i4drive.com" TargetMode="External"/><Relationship Id="rId255" Type="http://schemas.openxmlformats.org/officeDocument/2006/relationships/hyperlink" Target="http://www.ivc-online.com/Company-Card?Id=59818dcc-1f7a-e111-ac59-00155d32a403" TargetMode="External"/><Relationship Id="rId497" Type="http://schemas.openxmlformats.org/officeDocument/2006/relationships/hyperlink" Target="http://www.ivc-online.com/Company-Card?Id=be77f490-6d62-e311-9814-80c16e7d3632" TargetMode="External"/><Relationship Id="rId254" Type="http://schemas.openxmlformats.org/officeDocument/2006/relationships/hyperlink" Target="https://www.joinsensa.com" TargetMode="External"/><Relationship Id="rId496" Type="http://schemas.openxmlformats.org/officeDocument/2006/relationships/hyperlink" Target="https://ree.auto" TargetMode="External"/><Relationship Id="rId293" Type="http://schemas.openxmlformats.org/officeDocument/2006/relationships/hyperlink" Target="http://www.ivc-online.com/Company-Card?Id=26509cc8-9cdb-e511-bd22-80c16e7d3630" TargetMode="External"/><Relationship Id="rId292" Type="http://schemas.openxmlformats.org/officeDocument/2006/relationships/hyperlink" Target="https://caaresys.com" TargetMode="External"/><Relationship Id="rId291" Type="http://schemas.openxmlformats.org/officeDocument/2006/relationships/hyperlink" Target="http://www.ivc-online.com/Company-Card?Id=cce05377-83f3-e611-80cf-00155d0b832c" TargetMode="External"/><Relationship Id="rId290" Type="http://schemas.openxmlformats.org/officeDocument/2006/relationships/hyperlink" Target="https://www.apollo-power.com" TargetMode="External"/><Relationship Id="rId286" Type="http://schemas.openxmlformats.org/officeDocument/2006/relationships/hyperlink" Target="https://censnano.com" TargetMode="External"/><Relationship Id="rId285" Type="http://schemas.openxmlformats.org/officeDocument/2006/relationships/hyperlink" Target="http://www.ivc-online.com/Company-Card?Id=8bf0f799-a3a2-e311-b941-80c16e7d3630" TargetMode="External"/><Relationship Id="rId284" Type="http://schemas.openxmlformats.org/officeDocument/2006/relationships/hyperlink" Target="https://www.roadsense.tech" TargetMode="External"/><Relationship Id="rId283" Type="http://schemas.openxmlformats.org/officeDocument/2006/relationships/hyperlink" Target="http://www.ivc-online.com/Company-Card?Id=9e60795e-affb-e811-80fa-0050569a1018" TargetMode="External"/><Relationship Id="rId289" Type="http://schemas.openxmlformats.org/officeDocument/2006/relationships/hyperlink" Target="http://www.ivc-online.com/Company-Card?Id=2f3e34a0-172d-e411-a2af-80c16e7d3630" TargetMode="External"/><Relationship Id="rId288" Type="http://schemas.openxmlformats.org/officeDocument/2006/relationships/hyperlink" Target="https://www.visionary.ai" TargetMode="External"/><Relationship Id="rId287" Type="http://schemas.openxmlformats.org/officeDocument/2006/relationships/hyperlink" Target="http://www.ivc-online.com/Company-Card?Id=8eb4f0e0-3ca3-eb11-b80b-00505695cd29" TargetMode="External"/><Relationship Id="rId282" Type="http://schemas.openxmlformats.org/officeDocument/2006/relationships/hyperlink" Target="https://revoltzev.com" TargetMode="External"/><Relationship Id="rId281" Type="http://schemas.openxmlformats.org/officeDocument/2006/relationships/hyperlink" Target="http://www.ivc-online.com/Company-Card?Id=c9de9ffa-2ebd-eb11-b80b-00505695cd29" TargetMode="External"/><Relationship Id="rId280" Type="http://schemas.openxmlformats.org/officeDocument/2006/relationships/hyperlink" Target="https://cipia.com" TargetMode="External"/><Relationship Id="rId275" Type="http://schemas.openxmlformats.org/officeDocument/2006/relationships/hyperlink" Target="http://www.ivc-online.com/Company-Card?Id=70c967ea-1f7a-e111-ac59-00155d32a403" TargetMode="External"/><Relationship Id="rId274" Type="http://schemas.openxmlformats.org/officeDocument/2006/relationships/hyperlink" Target="http://www.mobileye.com" TargetMode="External"/><Relationship Id="rId273" Type="http://schemas.openxmlformats.org/officeDocument/2006/relationships/hyperlink" Target="http://www.ivc-online.com/Company-Card?Id=e4d957f6-1f7a-e111-ac59-00155d32a403" TargetMode="External"/><Relationship Id="rId272" Type="http://schemas.openxmlformats.org/officeDocument/2006/relationships/hyperlink" Target="https://www.click-ins.com" TargetMode="External"/><Relationship Id="rId279" Type="http://schemas.openxmlformats.org/officeDocument/2006/relationships/hyperlink" Target="http://www.ivc-online.com/Company-Card?Id=f7d67fd8-1f7a-e111-ac59-00155d32a403" TargetMode="External"/><Relationship Id="rId278" Type="http://schemas.openxmlformats.org/officeDocument/2006/relationships/hyperlink" Target="https://tervizio.com" TargetMode="External"/><Relationship Id="rId277" Type="http://schemas.openxmlformats.org/officeDocument/2006/relationships/hyperlink" Target="http://www.ivc-online.com/Company-Card?Id=0e6b3d1c-3cc2-ed11-b811-00505695cd29" TargetMode="External"/><Relationship Id="rId276" Type="http://schemas.openxmlformats.org/officeDocument/2006/relationships/hyperlink" Target="https://powermat.com" TargetMode="External"/><Relationship Id="rId629" Type="http://schemas.openxmlformats.org/officeDocument/2006/relationships/hyperlink" Target="http://www.ivc-online.com/Company-Card?Id=80bf1009-ce9c-e911-80ff-0050569a1018" TargetMode="External"/><Relationship Id="rId624" Type="http://schemas.openxmlformats.org/officeDocument/2006/relationships/hyperlink" Target="https://korra.ai" TargetMode="External"/><Relationship Id="rId623" Type="http://schemas.openxmlformats.org/officeDocument/2006/relationships/hyperlink" Target="http://www.ivc-online.com/Company-Card?Id=864c501c-6fdc-ea11-810a-0050569a1018" TargetMode="External"/><Relationship Id="rId622" Type="http://schemas.openxmlformats.org/officeDocument/2006/relationships/hyperlink" Target="https://gett.com/il" TargetMode="External"/><Relationship Id="rId621" Type="http://schemas.openxmlformats.org/officeDocument/2006/relationships/hyperlink" Target="http://www.ivc-online.com/Company-Card?Id=23aaa5ba-1f7a-e111-ac59-00155d32a403" TargetMode="External"/><Relationship Id="rId628" Type="http://schemas.openxmlformats.org/officeDocument/2006/relationships/hyperlink" Target="https://www.lidwave.com" TargetMode="External"/><Relationship Id="rId627" Type="http://schemas.openxmlformats.org/officeDocument/2006/relationships/hyperlink" Target="http://www.ivc-online.com/Company-Card?Id=9a990c9c-1a94-ea11-810a-0050569a1018" TargetMode="External"/><Relationship Id="rId626" Type="http://schemas.openxmlformats.org/officeDocument/2006/relationships/hyperlink" Target="https://tactilemobility.com" TargetMode="External"/><Relationship Id="rId625" Type="http://schemas.openxmlformats.org/officeDocument/2006/relationships/hyperlink" Target="http://www.ivc-online.com/Company-Card?Id=59818dcc-1f7a-e111-ac59-00155d32a403" TargetMode="External"/><Relationship Id="rId620" Type="http://schemas.openxmlformats.org/officeDocument/2006/relationships/hyperlink" Target="https://www.v-hola.com" TargetMode="External"/><Relationship Id="rId619" Type="http://schemas.openxmlformats.org/officeDocument/2006/relationships/hyperlink" Target="http://www.ivc-online.com/Company-Card?Id=15a700e7-cd6f-e911-80fe-0050569a1018" TargetMode="External"/><Relationship Id="rId618" Type="http://schemas.openxmlformats.org/officeDocument/2006/relationships/hyperlink" Target="https://www.uveye.com" TargetMode="External"/><Relationship Id="rId613" Type="http://schemas.openxmlformats.org/officeDocument/2006/relationships/hyperlink" Target="http://www.ivc-online.com/Company-Card?Id=767f85d2-1f7a-e111-ac59-00155d32a403" TargetMode="External"/><Relationship Id="rId612" Type="http://schemas.openxmlformats.org/officeDocument/2006/relationships/hyperlink" Target="https://www.chargingrobotics.com" TargetMode="External"/><Relationship Id="rId611" Type="http://schemas.openxmlformats.org/officeDocument/2006/relationships/hyperlink" Target="http://www.ivc-online.com/Company-Card?Id=e06a4c03-40d7-ec11-b80e-00505695cd29" TargetMode="External"/><Relationship Id="rId610" Type="http://schemas.openxmlformats.org/officeDocument/2006/relationships/hyperlink" Target="https://www.kitov.ai" TargetMode="External"/><Relationship Id="rId617" Type="http://schemas.openxmlformats.org/officeDocument/2006/relationships/hyperlink" Target="http://www.ivc-online.com/Company-Card?Id=84db988f-af84-e611-9113-80c16e7d3630" TargetMode="External"/><Relationship Id="rId616" Type="http://schemas.openxmlformats.org/officeDocument/2006/relationships/hyperlink" Target="http://www.arberobotics.com" TargetMode="External"/><Relationship Id="rId615" Type="http://schemas.openxmlformats.org/officeDocument/2006/relationships/hyperlink" Target="http://www.ivc-online.com/Company-Card?Id=8caddc92-8d37-e611-bd22-80c16e7d3630" TargetMode="External"/><Relationship Id="rId614" Type="http://schemas.openxmlformats.org/officeDocument/2006/relationships/hyperlink" Target="https://www.redlertechnologies.com" TargetMode="External"/><Relationship Id="rId409" Type="http://schemas.openxmlformats.org/officeDocument/2006/relationships/hyperlink" Target="http://www.ivc-online.com/Company-Card?Id=51ca3cfb-f078-e611-9113-80c16e7d3630" TargetMode="External"/><Relationship Id="rId404" Type="http://schemas.openxmlformats.org/officeDocument/2006/relationships/hyperlink" Target="https://www.getnexar.com" TargetMode="External"/><Relationship Id="rId646" Type="http://schemas.openxmlformats.org/officeDocument/2006/relationships/hyperlink" Target="https://www.signals-analytics.com" TargetMode="External"/><Relationship Id="rId403" Type="http://schemas.openxmlformats.org/officeDocument/2006/relationships/hyperlink" Target="http://www.ivc-online.com/Company-Card?Id=3879a066-0681-e411-b8a6-80c16e7d3630" TargetMode="External"/><Relationship Id="rId645" Type="http://schemas.openxmlformats.org/officeDocument/2006/relationships/hyperlink" Target="http://www.ivc-online.com/Company-Card?Id=90fcd400-9cb5-e211-b59d-00155d32a40a" TargetMode="External"/><Relationship Id="rId402" Type="http://schemas.openxmlformats.org/officeDocument/2006/relationships/hyperlink" Target="http://spectralics.com" TargetMode="External"/><Relationship Id="rId644" Type="http://schemas.openxmlformats.org/officeDocument/2006/relationships/hyperlink" Target="https://tibaparking.com" TargetMode="External"/><Relationship Id="rId401" Type="http://schemas.openxmlformats.org/officeDocument/2006/relationships/hyperlink" Target="http://www.ivc-online.com/Company-Card?Id=75a8cd85-74ed-e811-80f9-0050569a1018" TargetMode="External"/><Relationship Id="rId643" Type="http://schemas.openxmlformats.org/officeDocument/2006/relationships/hyperlink" Target="http://www.ivc-online.com/Company-Card?Id=416885ea-0c44-e511-bd22-80c16e7d3630" TargetMode="External"/><Relationship Id="rId408" Type="http://schemas.openxmlformats.org/officeDocument/2006/relationships/hyperlink" Target="http://evco.pro" TargetMode="External"/><Relationship Id="rId407" Type="http://schemas.openxmlformats.org/officeDocument/2006/relationships/hyperlink" Target="http://www.ivc-online.com/Company-Card?Id=8ec5d789-d69e-e811-80f7-0050569a1018" TargetMode="External"/><Relationship Id="rId649" Type="http://schemas.openxmlformats.org/officeDocument/2006/relationships/hyperlink" Target="http://www.ivc-online.com/Company-Card?Id=eeef68a6-105f-eb11-810c-0050569a1018" TargetMode="External"/><Relationship Id="rId406" Type="http://schemas.openxmlformats.org/officeDocument/2006/relationships/hyperlink" Target="https://www.actasysinc.com" TargetMode="External"/><Relationship Id="rId648" Type="http://schemas.openxmlformats.org/officeDocument/2006/relationships/hyperlink" Target="https://phinergy.com" TargetMode="External"/><Relationship Id="rId405" Type="http://schemas.openxmlformats.org/officeDocument/2006/relationships/hyperlink" Target="http://www.ivc-online.com/Company-Card?Id=78b35f9b-e94d-e811-80e4-00155d0b832c" TargetMode="External"/><Relationship Id="rId647" Type="http://schemas.openxmlformats.org/officeDocument/2006/relationships/hyperlink" Target="http://www.ivc-online.com/Company-Card?Id=6f022e3c-eac5-e111-b9b4-00155d32a408" TargetMode="External"/><Relationship Id="rId400" Type="http://schemas.openxmlformats.org/officeDocument/2006/relationships/hyperlink" Target="https://cipia.com" TargetMode="External"/><Relationship Id="rId642" Type="http://schemas.openxmlformats.org/officeDocument/2006/relationships/hyperlink" Target="http://www.etherwaves.com" TargetMode="External"/><Relationship Id="rId641" Type="http://schemas.openxmlformats.org/officeDocument/2006/relationships/hyperlink" Target="http://www.ivc-online.com/Company-Card?Id=29aa3914-207a-e111-ac59-00155d32a403" TargetMode="External"/><Relationship Id="rId640" Type="http://schemas.openxmlformats.org/officeDocument/2006/relationships/hyperlink" Target="https://axilion.com" TargetMode="External"/><Relationship Id="rId635" Type="http://schemas.openxmlformats.org/officeDocument/2006/relationships/hyperlink" Target="http://www.ivc-online.com/Company-Card?Id=a6b25626-9012-e911-80fa-0050569a1018" TargetMode="External"/><Relationship Id="rId634" Type="http://schemas.openxmlformats.org/officeDocument/2006/relationships/hyperlink" Target="https://www.algolion.com" TargetMode="External"/><Relationship Id="rId633" Type="http://schemas.openxmlformats.org/officeDocument/2006/relationships/hyperlink" Target="http://www.ivc-online.com/Company-Card?Id=6f05aa56-8a7f-e411-b8a6-80c16e7d3630" TargetMode="External"/><Relationship Id="rId632" Type="http://schemas.openxmlformats.org/officeDocument/2006/relationships/hyperlink" Target="https://www.airwayz.co" TargetMode="External"/><Relationship Id="rId639" Type="http://schemas.openxmlformats.org/officeDocument/2006/relationships/hyperlink" Target="http://www.ivc-online.com/Company-Card?Id=1923f4c4-293a-e311-8237-00237de91982" TargetMode="External"/><Relationship Id="rId638" Type="http://schemas.openxmlformats.org/officeDocument/2006/relationships/hyperlink" Target="https://vootto.com" TargetMode="External"/><Relationship Id="rId637" Type="http://schemas.openxmlformats.org/officeDocument/2006/relationships/hyperlink" Target="http://www.ivc-online.com/Company-Card?Id=4d9e147c-3fa2-e911-8100-0050569a1018" TargetMode="External"/><Relationship Id="rId636" Type="http://schemas.openxmlformats.org/officeDocument/2006/relationships/hyperlink" Target="https://voyage81.com" TargetMode="External"/><Relationship Id="rId631" Type="http://schemas.openxmlformats.org/officeDocument/2006/relationships/hyperlink" Target="http://www.ivc-online.com/Company-Card?Id=06552fb5-13e5-e911-8106-0050569a1018" TargetMode="External"/><Relationship Id="rId630" Type="http://schemas.openxmlformats.org/officeDocument/2006/relationships/hyperlink" Target="https://www.siyatamobile.com" TargetMode="External"/><Relationship Id="rId829" Type="http://schemas.openxmlformats.org/officeDocument/2006/relationships/drawing" Target="../drawings/drawing5.xml"/><Relationship Id="rId828" Type="http://schemas.openxmlformats.org/officeDocument/2006/relationships/hyperlink" Target="https://www.wisense.tech" TargetMode="External"/><Relationship Id="rId827" Type="http://schemas.openxmlformats.org/officeDocument/2006/relationships/hyperlink" Target="http://www.ivc-online.com/Company-Card?Id=3b3f3700-1058-ec11-b80d-00505695cd29" TargetMode="External"/><Relationship Id="rId822" Type="http://schemas.openxmlformats.org/officeDocument/2006/relationships/hyperlink" Target="https://www.bringoz.com" TargetMode="External"/><Relationship Id="rId821" Type="http://schemas.openxmlformats.org/officeDocument/2006/relationships/hyperlink" Target="http://www.ivc-online.com/Company-Card?Id=26509cc8-9cdb-e511-bd22-80c16e7d3630" TargetMode="External"/><Relationship Id="rId820" Type="http://schemas.openxmlformats.org/officeDocument/2006/relationships/hyperlink" Target="https://www.saver.one" TargetMode="External"/><Relationship Id="rId826" Type="http://schemas.openxmlformats.org/officeDocument/2006/relationships/hyperlink" Target="https://lendbuzz.com" TargetMode="External"/><Relationship Id="rId825" Type="http://schemas.openxmlformats.org/officeDocument/2006/relationships/hyperlink" Target="https://www.ivc-online.com/Company-Card?Id=143dd871-e863-e811-80e4-00155d0b832c" TargetMode="External"/><Relationship Id="rId824" Type="http://schemas.openxmlformats.org/officeDocument/2006/relationships/hyperlink" Target="https://www.clairlabs.com" TargetMode="External"/><Relationship Id="rId823" Type="http://schemas.openxmlformats.org/officeDocument/2006/relationships/hyperlink" Target="http://www.ivc-online.com/Company-Card?Id=07d7c2f4-24ea-e711-80df-00155d0b832c" TargetMode="External"/><Relationship Id="rId819" Type="http://schemas.openxmlformats.org/officeDocument/2006/relationships/hyperlink" Target="http://www.ivc-online.com/Company-Card?Id=52dfb9b2-b159-e411-b8a5-80c16e7d3630" TargetMode="External"/><Relationship Id="rId818" Type="http://schemas.openxmlformats.org/officeDocument/2006/relationships/hyperlink" Target="https://www.opsys-tech.com" TargetMode="External"/><Relationship Id="rId817" Type="http://schemas.openxmlformats.org/officeDocument/2006/relationships/hyperlink" Target="http://www.ivc-online.com/Company-Card?Id=9bc61dd2-652d-e711-80d2-00155d0b832b" TargetMode="External"/><Relationship Id="rId816" Type="http://schemas.openxmlformats.org/officeDocument/2006/relationships/hyperlink" Target="http://www.saferide.io" TargetMode="External"/><Relationship Id="rId811" Type="http://schemas.openxmlformats.org/officeDocument/2006/relationships/hyperlink" Target="http://www.ivc-online.com/Company-Card?Id=0d2dc124-f085-e511-bd22-80c16e7d3630" TargetMode="External"/><Relationship Id="rId810" Type="http://schemas.openxmlformats.org/officeDocument/2006/relationships/hyperlink" Target="https://tibaparking.com" TargetMode="External"/><Relationship Id="rId815" Type="http://schemas.openxmlformats.org/officeDocument/2006/relationships/hyperlink" Target="http://www.ivc-online.com/Company-Card?Id=9f696f31-caf1-e611-80cf-00155d0b832c" TargetMode="External"/><Relationship Id="rId814" Type="http://schemas.openxmlformats.org/officeDocument/2006/relationships/hyperlink" Target="https://phinergy.com" TargetMode="External"/><Relationship Id="rId813" Type="http://schemas.openxmlformats.org/officeDocument/2006/relationships/hyperlink" Target="http://www.ivc-online.com/Company-Card?Id=6f022e3c-eac5-e111-b9b4-00155d32a408" TargetMode="External"/><Relationship Id="rId812" Type="http://schemas.openxmlformats.org/officeDocument/2006/relationships/hyperlink" Target="https://www.click-ins.com" TargetMode="External"/><Relationship Id="rId609" Type="http://schemas.openxmlformats.org/officeDocument/2006/relationships/hyperlink" Target="http://www.ivc-online.com/Company-Card?Id=eca8fce6-d8be-e711-80d7-00155d0b832c" TargetMode="External"/><Relationship Id="rId608" Type="http://schemas.openxmlformats.org/officeDocument/2006/relationships/hyperlink" Target="https://hqtravel.com" TargetMode="External"/><Relationship Id="rId607" Type="http://schemas.openxmlformats.org/officeDocument/2006/relationships/hyperlink" Target="http://www.ivc-online.com/Company-Card?Id=83b625d0-00e9-e911-8106-0050569a1018" TargetMode="External"/><Relationship Id="rId602" Type="http://schemas.openxmlformats.org/officeDocument/2006/relationships/hyperlink" Target="https://www.visionary.ai" TargetMode="External"/><Relationship Id="rId601" Type="http://schemas.openxmlformats.org/officeDocument/2006/relationships/hyperlink" Target="http://www.ivc-online.com/Company-Card?Id=8eb4f0e0-3ca3-eb11-b80b-00505695cd29" TargetMode="External"/><Relationship Id="rId600" Type="http://schemas.openxmlformats.org/officeDocument/2006/relationships/hyperlink" Target="https://www.citytransformer.com" TargetMode="External"/><Relationship Id="rId606" Type="http://schemas.openxmlformats.org/officeDocument/2006/relationships/hyperlink" Target="https://phinergy.com" TargetMode="External"/><Relationship Id="rId605" Type="http://schemas.openxmlformats.org/officeDocument/2006/relationships/hyperlink" Target="http://www.ivc-online.com/Company-Card?Id=6f022e3c-eac5-e111-b9b4-00155d32a408" TargetMode="External"/><Relationship Id="rId604" Type="http://schemas.openxmlformats.org/officeDocument/2006/relationships/hyperlink" Target="https://radsee.com" TargetMode="External"/><Relationship Id="rId603" Type="http://schemas.openxmlformats.org/officeDocument/2006/relationships/hyperlink" Target="http://www.ivc-online.com/Company-Card?Id=7a498d5d-1765-e611-893a-80c16e7d3630" TargetMode="External"/><Relationship Id="rId831" Type="http://schemas.openxmlformats.org/officeDocument/2006/relationships/table" Target="../tables/table1.xml"/><Relationship Id="rId228" Type="http://schemas.openxmlformats.org/officeDocument/2006/relationships/hyperlink" Target="https://www.kardome.com" TargetMode="External"/><Relationship Id="rId227" Type="http://schemas.openxmlformats.org/officeDocument/2006/relationships/hyperlink" Target="http://www.ivc-online.com/Company-Card?Id=3ccc523c-0898-e911-80ff-0050569a1018" TargetMode="External"/><Relationship Id="rId469" Type="http://schemas.openxmlformats.org/officeDocument/2006/relationships/hyperlink" Target="http://www.ivc-online.com/Company-Card?Id=e8db0bd0-3953-ec11-b80d-00505695cd29" TargetMode="External"/><Relationship Id="rId226" Type="http://schemas.openxmlformats.org/officeDocument/2006/relationships/hyperlink" Target="https://www.connvas.com" TargetMode="External"/><Relationship Id="rId468" Type="http://schemas.openxmlformats.org/officeDocument/2006/relationships/hyperlink" Target="https://otonomo.io" TargetMode="External"/><Relationship Id="rId225" Type="http://schemas.openxmlformats.org/officeDocument/2006/relationships/hyperlink" Target="http://www.ivc-online.com/Company-Card?Id=e572c915-a4a5-eb11-b80b-00505695cd29" TargetMode="External"/><Relationship Id="rId467" Type="http://schemas.openxmlformats.org/officeDocument/2006/relationships/hyperlink" Target="http://www.ivc-online.com/Company-Card?Id=faf36605-cf98-e511-bd22-80c16e7d3630" TargetMode="External"/><Relationship Id="rId229" Type="http://schemas.openxmlformats.org/officeDocument/2006/relationships/hyperlink" Target="http://www.ivc-online.com/Company-Card?Id=eca8fce6-d8be-e711-80d7-00155d0b832c" TargetMode="External"/><Relationship Id="rId220" Type="http://schemas.openxmlformats.org/officeDocument/2006/relationships/hyperlink" Target="https://phantom.auto" TargetMode="External"/><Relationship Id="rId462" Type="http://schemas.openxmlformats.org/officeDocument/2006/relationships/hyperlink" Target="https://www.visic-tech.com" TargetMode="External"/><Relationship Id="rId461" Type="http://schemas.openxmlformats.org/officeDocument/2006/relationships/hyperlink" Target="http://www.ivc-online.com/Company-Card?Id=54aaa5ba-1f7a-e111-ac59-00155d32a403" TargetMode="External"/><Relationship Id="rId460" Type="http://schemas.openxmlformats.org/officeDocument/2006/relationships/hyperlink" Target="https://www.foretellix.com" TargetMode="External"/><Relationship Id="rId224" Type="http://schemas.openxmlformats.org/officeDocument/2006/relationships/hyperlink" Target="https://fairmatic.com" TargetMode="External"/><Relationship Id="rId466" Type="http://schemas.openxmlformats.org/officeDocument/2006/relationships/hyperlink" Target="https://otonomo.io" TargetMode="External"/><Relationship Id="rId223" Type="http://schemas.openxmlformats.org/officeDocument/2006/relationships/hyperlink" Target="http://www.ivc-online.com/Company-Card?Id=18cae051-b629-ed11-b80e-00505695cd29" TargetMode="External"/><Relationship Id="rId465" Type="http://schemas.openxmlformats.org/officeDocument/2006/relationships/hyperlink" Target="http://www.ivc-online.com/Company-Card?Id=faf36605-cf98-e511-bd22-80c16e7d3630" TargetMode="External"/><Relationship Id="rId222" Type="http://schemas.openxmlformats.org/officeDocument/2006/relationships/hyperlink" Target="https://corractions.com" TargetMode="External"/><Relationship Id="rId464" Type="http://schemas.openxmlformats.org/officeDocument/2006/relationships/hyperlink" Target="https://upstream.auto" TargetMode="External"/><Relationship Id="rId221" Type="http://schemas.openxmlformats.org/officeDocument/2006/relationships/hyperlink" Target="http://www.ivc-online.com/Company-Card?Id=4548d7e9-e809-ea11-8107-0050569a1018" TargetMode="External"/><Relationship Id="rId463" Type="http://schemas.openxmlformats.org/officeDocument/2006/relationships/hyperlink" Target="http://www.ivc-online.com/Company-Card?Id=b3cb8fbb-e533-e711-80d5-00155d0b8329" TargetMode="External"/><Relationship Id="rId217" Type="http://schemas.openxmlformats.org/officeDocument/2006/relationships/hyperlink" Target="http://www.ivc-online.com/Company-Card?Id=3b3f3700-1058-ec11-b80d-00505695cd29" TargetMode="External"/><Relationship Id="rId459" Type="http://schemas.openxmlformats.org/officeDocument/2006/relationships/hyperlink" Target="http://www.ivc-online.com/Company-Card?Id=5c00ecf8-1933-e811-80e4-00155d0b832c" TargetMode="External"/><Relationship Id="rId216" Type="http://schemas.openxmlformats.org/officeDocument/2006/relationships/hyperlink" Target="https://www.adasky.com" TargetMode="External"/><Relationship Id="rId458" Type="http://schemas.openxmlformats.org/officeDocument/2006/relationships/hyperlink" Target="http://www.arberobotics.com" TargetMode="External"/><Relationship Id="rId215" Type="http://schemas.openxmlformats.org/officeDocument/2006/relationships/hyperlink" Target="http://www.ivc-online.com/Company-Card?Id=ea6dfa06-862c-e611-bd22-80c16e7d3630" TargetMode="External"/><Relationship Id="rId457" Type="http://schemas.openxmlformats.org/officeDocument/2006/relationships/hyperlink" Target="http://www.ivc-online.com/Company-Card?Id=8caddc92-8d37-e611-bd22-80c16e7d3630" TargetMode="External"/><Relationship Id="rId699" Type="http://schemas.openxmlformats.org/officeDocument/2006/relationships/hyperlink" Target="http://www.ivc-online.com/Company-Card?Id=74925b3a-00f9-e211-ba51-00237de91982" TargetMode="External"/><Relationship Id="rId214" Type="http://schemas.openxmlformats.org/officeDocument/2006/relationships/hyperlink" Target="https://www.foretellix.com" TargetMode="External"/><Relationship Id="rId456" Type="http://schemas.openxmlformats.org/officeDocument/2006/relationships/hyperlink" Target="https://www.plataine.com" TargetMode="External"/><Relationship Id="rId698" Type="http://schemas.openxmlformats.org/officeDocument/2006/relationships/hyperlink" Target="https://www.humains.com" TargetMode="External"/><Relationship Id="rId219" Type="http://schemas.openxmlformats.org/officeDocument/2006/relationships/hyperlink" Target="http://www.ivc-online.com/Company-Card?Id=9707c7aa-07d5-e711-80dd-00155d0b832c" TargetMode="External"/><Relationship Id="rId218" Type="http://schemas.openxmlformats.org/officeDocument/2006/relationships/hyperlink" Target="https://www.wisense.tech" TargetMode="External"/><Relationship Id="rId451" Type="http://schemas.openxmlformats.org/officeDocument/2006/relationships/hyperlink" Target="http://www.ivc-online.com/Company-Card?Id=579c410e-207a-e111-ac59-00155d32a403" TargetMode="External"/><Relationship Id="rId693" Type="http://schemas.openxmlformats.org/officeDocument/2006/relationships/hyperlink" Target="http://www.ivc-online.com/Company-Card?Id=483b4bfc-e054-e711-80d7-00155d0b832c" TargetMode="External"/><Relationship Id="rId450" Type="http://schemas.openxmlformats.org/officeDocument/2006/relationships/hyperlink" Target="https://www.riderdome.com" TargetMode="External"/><Relationship Id="rId692" Type="http://schemas.openxmlformats.org/officeDocument/2006/relationships/hyperlink" Target="https://www.silentium.com" TargetMode="External"/><Relationship Id="rId691" Type="http://schemas.openxmlformats.org/officeDocument/2006/relationships/hyperlink" Target="http://www.ivc-online.com/Company-Card?Id=04ce5ff0-1f7a-e111-ac59-00155d32a403" TargetMode="External"/><Relationship Id="rId690" Type="http://schemas.openxmlformats.org/officeDocument/2006/relationships/hyperlink" Target="https://ottopia.tech" TargetMode="External"/><Relationship Id="rId213" Type="http://schemas.openxmlformats.org/officeDocument/2006/relationships/hyperlink" Target="http://www.ivc-online.com/Company-Card?Id=5c00ecf8-1933-e811-80e4-00155d0b832c" TargetMode="External"/><Relationship Id="rId455" Type="http://schemas.openxmlformats.org/officeDocument/2006/relationships/hyperlink" Target="http://www.ivc-online.com/Company-Card?Id=57cb77de-1f7a-e111-ac59-00155d32a403" TargetMode="External"/><Relationship Id="rId697" Type="http://schemas.openxmlformats.org/officeDocument/2006/relationships/hyperlink" Target="http://www.ivc-online.com/Company-Card?Id=6dd01e2c-207a-e111-ac59-00155d32a403" TargetMode="External"/><Relationship Id="rId212" Type="http://schemas.openxmlformats.org/officeDocument/2006/relationships/hyperlink" Target="https://www.uveye.com" TargetMode="External"/><Relationship Id="rId454" Type="http://schemas.openxmlformats.org/officeDocument/2006/relationships/hyperlink" Target="https://www.moodify.ai" TargetMode="External"/><Relationship Id="rId696" Type="http://schemas.openxmlformats.org/officeDocument/2006/relationships/hyperlink" Target="https://www.solaredge.com" TargetMode="External"/><Relationship Id="rId211" Type="http://schemas.openxmlformats.org/officeDocument/2006/relationships/hyperlink" Target="http://www.ivc-online.com/Company-Card?Id=84db988f-af84-e611-9113-80c16e7d3630" TargetMode="External"/><Relationship Id="rId453" Type="http://schemas.openxmlformats.org/officeDocument/2006/relationships/hyperlink" Target="http://www.ivc-online.com/Company-Card?Id=8d46ef44-90e4-e711-80df-00155d0b832c" TargetMode="External"/><Relationship Id="rId695" Type="http://schemas.openxmlformats.org/officeDocument/2006/relationships/hyperlink" Target="http://www.ivc-online.com/Company-Card?Id=e5aa3914-207a-e111-ac59-00155d32a403" TargetMode="External"/><Relationship Id="rId210" Type="http://schemas.openxmlformats.org/officeDocument/2006/relationships/hyperlink" Target="https://railvision.io" TargetMode="External"/><Relationship Id="rId452" Type="http://schemas.openxmlformats.org/officeDocument/2006/relationships/hyperlink" Target="http://www.agentvi.com" TargetMode="External"/><Relationship Id="rId694" Type="http://schemas.openxmlformats.org/officeDocument/2006/relationships/hyperlink" Target="https://www.fleetonomy.io" TargetMode="External"/><Relationship Id="rId491" Type="http://schemas.openxmlformats.org/officeDocument/2006/relationships/hyperlink" Target="http://www.ivc-online.com/Company-Card?Id=89f48d07-7d1c-e811-80e4-00155d0b832c" TargetMode="External"/><Relationship Id="rId490" Type="http://schemas.openxmlformats.org/officeDocument/2006/relationships/hyperlink" Target="https://jungo.com" TargetMode="External"/><Relationship Id="rId249" Type="http://schemas.openxmlformats.org/officeDocument/2006/relationships/hyperlink" Target="http://www.ivc-online.com/Company-Card?Id=78b35f9b-e94d-e811-80e4-00155d0b832c" TargetMode="External"/><Relationship Id="rId248" Type="http://schemas.openxmlformats.org/officeDocument/2006/relationships/hyperlink" Target="https://www.brain.space" TargetMode="External"/><Relationship Id="rId247" Type="http://schemas.openxmlformats.org/officeDocument/2006/relationships/hyperlink" Target="http://www.ivc-online.com/Company-Card?Id=a7bc3a22-76a3-ec11-b80e-00505695cd29" TargetMode="External"/><Relationship Id="rId489" Type="http://schemas.openxmlformats.org/officeDocument/2006/relationships/hyperlink" Target="http://www.ivc-online.com/Company-Card?Id=0968f4ba-c273-e311-9814-80c16e7d3632" TargetMode="External"/><Relationship Id="rId242" Type="http://schemas.openxmlformats.org/officeDocument/2006/relationships/hyperlink" Target="https://mappo.world" TargetMode="External"/><Relationship Id="rId484" Type="http://schemas.openxmlformats.org/officeDocument/2006/relationships/hyperlink" Target="https://hydrox.earth" TargetMode="External"/><Relationship Id="rId241" Type="http://schemas.openxmlformats.org/officeDocument/2006/relationships/hyperlink" Target="http://www.ivc-online.com/Company-Card?Id=23773635-9383-e511-bd22-80c16e7d3630" TargetMode="External"/><Relationship Id="rId483" Type="http://schemas.openxmlformats.org/officeDocument/2006/relationships/hyperlink" Target="http://www.ivc-online.com/Company-Card?Id=9c64e72c-ba86-e511-bd22-80c16e7d3630" TargetMode="External"/><Relationship Id="rId240" Type="http://schemas.openxmlformats.org/officeDocument/2006/relationships/hyperlink" Target="https://www.binah.ai" TargetMode="External"/><Relationship Id="rId482" Type="http://schemas.openxmlformats.org/officeDocument/2006/relationships/hyperlink" Target="https://cervello.security" TargetMode="External"/><Relationship Id="rId481" Type="http://schemas.openxmlformats.org/officeDocument/2006/relationships/hyperlink" Target="http://www.ivc-online.com/Company-Card?Id=d790171a-1b63-e811-80e4-00155d0b832c" TargetMode="External"/><Relationship Id="rId246" Type="http://schemas.openxmlformats.org/officeDocument/2006/relationships/hyperlink" Target="https://ottopia.tech" TargetMode="External"/><Relationship Id="rId488" Type="http://schemas.openxmlformats.org/officeDocument/2006/relationships/hyperlink" Target="https://greenroad.com" TargetMode="External"/><Relationship Id="rId245" Type="http://schemas.openxmlformats.org/officeDocument/2006/relationships/hyperlink" Target="http://www.ivc-online.com/Company-Card?Id=9f938ee2-3aeb-e811-80f9-0050569a1018" TargetMode="External"/><Relationship Id="rId487" Type="http://schemas.openxmlformats.org/officeDocument/2006/relationships/hyperlink" Target="http://www.ivc-online.com/Company-Card?Id=a59b410e-207a-e111-ac59-00155d32a403" TargetMode="External"/><Relationship Id="rId244" Type="http://schemas.openxmlformats.org/officeDocument/2006/relationships/hyperlink" Target="http://www.electreon.com" TargetMode="External"/><Relationship Id="rId486" Type="http://schemas.openxmlformats.org/officeDocument/2006/relationships/hyperlink" Target="https://www.wisense.tech" TargetMode="External"/><Relationship Id="rId243" Type="http://schemas.openxmlformats.org/officeDocument/2006/relationships/hyperlink" Target="http://www.ivc-online.com/Company-Card?Id=bb98620c-e0ad-e311-b941-80c16e7d3630" TargetMode="External"/><Relationship Id="rId485" Type="http://schemas.openxmlformats.org/officeDocument/2006/relationships/hyperlink" Target="http://www.ivc-online.com/Company-Card?Id=3b3f3700-1058-ec11-b80d-00505695cd29" TargetMode="External"/><Relationship Id="rId480" Type="http://schemas.openxmlformats.org/officeDocument/2006/relationships/hyperlink" Target="https://www.trucknet.io" TargetMode="External"/><Relationship Id="rId239" Type="http://schemas.openxmlformats.org/officeDocument/2006/relationships/hyperlink" Target="http://www.ivc-online.com/Company-Card?Id=aa8f8c3f-5736-e711-80d5-00155d0b8329" TargetMode="External"/><Relationship Id="rId238" Type="http://schemas.openxmlformats.org/officeDocument/2006/relationships/hyperlink" Target="https://otonomo.io" TargetMode="External"/><Relationship Id="rId237" Type="http://schemas.openxmlformats.org/officeDocument/2006/relationships/hyperlink" Target="http://www.ivc-online.com/Company-Card?Id=faf36605-cf98-e511-bd22-80c16e7d3630" TargetMode="External"/><Relationship Id="rId479" Type="http://schemas.openxmlformats.org/officeDocument/2006/relationships/hyperlink" Target="http://www.ivc-online.com/Company-Card?Id=9164008b-1a11-e611-bd22-80c16e7d3630" TargetMode="External"/><Relationship Id="rId236" Type="http://schemas.openxmlformats.org/officeDocument/2006/relationships/hyperlink" Target="https://continualexperience.com" TargetMode="External"/><Relationship Id="rId478" Type="http://schemas.openxmlformats.org/officeDocument/2006/relationships/hyperlink" Target="https://waycaretech.com" TargetMode="External"/><Relationship Id="rId231" Type="http://schemas.openxmlformats.org/officeDocument/2006/relationships/hyperlink" Target="http://www.ivc-online.com/Company-Card?Id=83b625d0-00e9-e911-8106-0050569a1018" TargetMode="External"/><Relationship Id="rId473" Type="http://schemas.openxmlformats.org/officeDocument/2006/relationships/hyperlink" Target="http://www.ivc-online.com/Company-Card?Id=a6b25626-9012-e911-80fa-0050569a1018" TargetMode="External"/><Relationship Id="rId230" Type="http://schemas.openxmlformats.org/officeDocument/2006/relationships/hyperlink" Target="https://www.kitov.ai" TargetMode="External"/><Relationship Id="rId472" Type="http://schemas.openxmlformats.org/officeDocument/2006/relationships/hyperlink" Target="https://fuseautotech.com" TargetMode="External"/><Relationship Id="rId471" Type="http://schemas.openxmlformats.org/officeDocument/2006/relationships/hyperlink" Target="http://www.ivc-online.com/Company-Card?Id=6379e43a-5c5a-eb11-810c-0050569a1018" TargetMode="External"/><Relationship Id="rId470" Type="http://schemas.openxmlformats.org/officeDocument/2006/relationships/hyperlink" Target="https://balcar.co.il" TargetMode="External"/><Relationship Id="rId235" Type="http://schemas.openxmlformats.org/officeDocument/2006/relationships/hyperlink" Target="http://www.ivc-online.com/Company-Card?Id=2a693001-86e9-e211-b3b5-00155d32a40a" TargetMode="External"/><Relationship Id="rId477" Type="http://schemas.openxmlformats.org/officeDocument/2006/relationships/hyperlink" Target="http://www.ivc-online.com/Company-Card?Id=9e3e974e-e8f3-e511-bd22-80c16e7d3630" TargetMode="External"/><Relationship Id="rId234" Type="http://schemas.openxmlformats.org/officeDocument/2006/relationships/hyperlink" Target="https://www.ototo.tech" TargetMode="External"/><Relationship Id="rId476" Type="http://schemas.openxmlformats.org/officeDocument/2006/relationships/hyperlink" Target="https://www.brain.space" TargetMode="External"/><Relationship Id="rId233" Type="http://schemas.openxmlformats.org/officeDocument/2006/relationships/hyperlink" Target="http://www.ivc-online.com/Company-Card?Id=c78aa751-e7e1-ed11-b811-00505695cd29" TargetMode="External"/><Relationship Id="rId475" Type="http://schemas.openxmlformats.org/officeDocument/2006/relationships/hyperlink" Target="http://www.ivc-online.com/Company-Card?Id=a7bc3a22-76a3-ec11-b80e-00505695cd29" TargetMode="External"/><Relationship Id="rId232" Type="http://schemas.openxmlformats.org/officeDocument/2006/relationships/hyperlink" Target="https://hqtravel.com" TargetMode="External"/><Relationship Id="rId474" Type="http://schemas.openxmlformats.org/officeDocument/2006/relationships/hyperlink" Target="https://voyage81.com" TargetMode="External"/><Relationship Id="rId426" Type="http://schemas.openxmlformats.org/officeDocument/2006/relationships/hyperlink" Target="https://www.dymsense.com" TargetMode="External"/><Relationship Id="rId668" Type="http://schemas.openxmlformats.org/officeDocument/2006/relationships/hyperlink" Target="https://www.click-ins.com" TargetMode="External"/><Relationship Id="rId425" Type="http://schemas.openxmlformats.org/officeDocument/2006/relationships/hyperlink" Target="http://www.ivc-online.com/Company-Card?Id=bf4dfc1f-7f52-ec11-b80d-00505695cd29" TargetMode="External"/><Relationship Id="rId667" Type="http://schemas.openxmlformats.org/officeDocument/2006/relationships/hyperlink" Target="http://www.ivc-online.com/Company-Card?Id=0d2dc124-f085-e511-bd22-80c16e7d3630" TargetMode="External"/><Relationship Id="rId424" Type="http://schemas.openxmlformats.org/officeDocument/2006/relationships/hyperlink" Target="https://www.autofleet.io" TargetMode="External"/><Relationship Id="rId666" Type="http://schemas.openxmlformats.org/officeDocument/2006/relationships/hyperlink" Target="https://www.saver.one" TargetMode="External"/><Relationship Id="rId423" Type="http://schemas.openxmlformats.org/officeDocument/2006/relationships/hyperlink" Target="http://www.ivc-online.com/Company-Card?Id=c6172d59-8c0a-e811-80e1-00155d0b8329" TargetMode="External"/><Relationship Id="rId665" Type="http://schemas.openxmlformats.org/officeDocument/2006/relationships/hyperlink" Target="http://www.ivc-online.com/Company-Card?Id=52dfb9b2-b159-e411-b8a5-80c16e7d3630" TargetMode="External"/><Relationship Id="rId429" Type="http://schemas.openxmlformats.org/officeDocument/2006/relationships/hyperlink" Target="http://www.ivc-online.com/Company-Card?Id=773d3112-1d59-e411-b8a5-80c16e7d3630" TargetMode="External"/><Relationship Id="rId428" Type="http://schemas.openxmlformats.org/officeDocument/2006/relationships/hyperlink" Target="https://tactilemobility.com" TargetMode="External"/><Relationship Id="rId427" Type="http://schemas.openxmlformats.org/officeDocument/2006/relationships/hyperlink" Target="http://www.ivc-online.com/Company-Card?Id=59818dcc-1f7a-e111-ac59-00155d32a403" TargetMode="External"/><Relationship Id="rId669" Type="http://schemas.openxmlformats.org/officeDocument/2006/relationships/hyperlink" Target="http://www.ivc-online.com/Company-Card?Id=2abf8f7b-a6fc-ea11-810b-0050569a1018" TargetMode="External"/><Relationship Id="rId660" Type="http://schemas.openxmlformats.org/officeDocument/2006/relationships/hyperlink" Target="https://www.aquariusengines.com" TargetMode="External"/><Relationship Id="rId422" Type="http://schemas.openxmlformats.org/officeDocument/2006/relationships/hyperlink" Target="https://driveu.auto" TargetMode="External"/><Relationship Id="rId664" Type="http://schemas.openxmlformats.org/officeDocument/2006/relationships/hyperlink" Target="https://ride.vision" TargetMode="External"/><Relationship Id="rId421" Type="http://schemas.openxmlformats.org/officeDocument/2006/relationships/hyperlink" Target="http://www.ivc-online.com/Company-Card?Id=f7ffed42-7664-ea11-810a-0050569a1018" TargetMode="External"/><Relationship Id="rId663" Type="http://schemas.openxmlformats.org/officeDocument/2006/relationships/hyperlink" Target="http://www.ivc-online.com/Company-Card?Id=7616789a-0e4e-e811-80e4-00155d0b832c" TargetMode="External"/><Relationship Id="rId420" Type="http://schemas.openxmlformats.org/officeDocument/2006/relationships/hyperlink" Target="https://www.otorize.com" TargetMode="External"/><Relationship Id="rId662" Type="http://schemas.openxmlformats.org/officeDocument/2006/relationships/hyperlink" Target="https://www.mobilityinsight.net" TargetMode="External"/><Relationship Id="rId661" Type="http://schemas.openxmlformats.org/officeDocument/2006/relationships/hyperlink" Target="http://www.ivc-online.com/Company-Card?Id=d33afcc3-143f-e311-af9c-00237de91982" TargetMode="External"/><Relationship Id="rId415" Type="http://schemas.openxmlformats.org/officeDocument/2006/relationships/hyperlink" Target="http://www.ivc-online.com/Company-Card?Id=8caddc92-8d37-e611-bd22-80c16e7d3630" TargetMode="External"/><Relationship Id="rId657" Type="http://schemas.openxmlformats.org/officeDocument/2006/relationships/hyperlink" Target="http://www.ivc-online.com/Company-Card?Id=95f55ad6-07ae-e511-bd22-80c16e7d3630" TargetMode="External"/><Relationship Id="rId414" Type="http://schemas.openxmlformats.org/officeDocument/2006/relationships/hyperlink" Target="https://trieye.tech" TargetMode="External"/><Relationship Id="rId656" Type="http://schemas.openxmlformats.org/officeDocument/2006/relationships/hyperlink" Target="https://assembrix.com" TargetMode="External"/><Relationship Id="rId413" Type="http://schemas.openxmlformats.org/officeDocument/2006/relationships/hyperlink" Target="http://www.ivc-online.com/Company-Card?Id=cf187d1d-063e-e711-80d5-00155d0b8329" TargetMode="External"/><Relationship Id="rId655" Type="http://schemas.openxmlformats.org/officeDocument/2006/relationships/hyperlink" Target="http://www.ivc-online.com/Company-Card?Id=772e4c3b-3eb8-e511-bd22-80c16e7d3630" TargetMode="External"/><Relationship Id="rId412" Type="http://schemas.openxmlformats.org/officeDocument/2006/relationships/hyperlink" Target="https://www.almatechnologies.com" TargetMode="External"/><Relationship Id="rId654" Type="http://schemas.openxmlformats.org/officeDocument/2006/relationships/hyperlink" Target="https://www.actasysinc.com" TargetMode="External"/><Relationship Id="rId419" Type="http://schemas.openxmlformats.org/officeDocument/2006/relationships/hyperlink" Target="http://www.ivc-online.com/Company-Card?Id=794a1f71-d6c2-e611-80ca-00155d0b832c" TargetMode="External"/><Relationship Id="rId418" Type="http://schemas.openxmlformats.org/officeDocument/2006/relationships/hyperlink" Target="https://autobrains.ai" TargetMode="External"/><Relationship Id="rId417" Type="http://schemas.openxmlformats.org/officeDocument/2006/relationships/hyperlink" Target="http://www.ivc-online.com/Company-Card?Id=e16a1880-cbae-e911-8106-0050569a1018" TargetMode="External"/><Relationship Id="rId659" Type="http://schemas.openxmlformats.org/officeDocument/2006/relationships/hyperlink" Target="http://www.ivc-online.com/Company-Card?Id=95f55ad6-07ae-e511-bd22-80c16e7d3630" TargetMode="External"/><Relationship Id="rId416" Type="http://schemas.openxmlformats.org/officeDocument/2006/relationships/hyperlink" Target="http://www.arberobotics.com" TargetMode="External"/><Relationship Id="rId658" Type="http://schemas.openxmlformats.org/officeDocument/2006/relationships/hyperlink" Target="https://www.aquariusengines.com" TargetMode="External"/><Relationship Id="rId411" Type="http://schemas.openxmlformats.org/officeDocument/2006/relationships/hyperlink" Target="http://www.ivc-online.com/Company-Card?Id=d5e342ac-3aea-ec11-b80e-00505695cd29" TargetMode="External"/><Relationship Id="rId653" Type="http://schemas.openxmlformats.org/officeDocument/2006/relationships/hyperlink" Target="http://www.ivc-online.com/Company-Card?Id=78b35f9b-e94d-e811-80e4-00155d0b832c" TargetMode="External"/><Relationship Id="rId410" Type="http://schemas.openxmlformats.org/officeDocument/2006/relationships/hyperlink" Target="https://makemydayapp.com" TargetMode="External"/><Relationship Id="rId652" Type="http://schemas.openxmlformats.org/officeDocument/2006/relationships/hyperlink" Target="https://roadmetric.com" TargetMode="External"/><Relationship Id="rId651" Type="http://schemas.openxmlformats.org/officeDocument/2006/relationships/hyperlink" Target="http://www.ivc-online.com/Company-Card?Id=eed41d4d-952e-e311-8237-00237de91982" TargetMode="External"/><Relationship Id="rId650" Type="http://schemas.openxmlformats.org/officeDocument/2006/relationships/hyperlink" Target="https://www.carteav.com" TargetMode="External"/><Relationship Id="rId206" Type="http://schemas.openxmlformats.org/officeDocument/2006/relationships/hyperlink" Target="https://spinframe.com" TargetMode="External"/><Relationship Id="rId448" Type="http://schemas.openxmlformats.org/officeDocument/2006/relationships/hyperlink" Target="https://cybellum.com" TargetMode="External"/><Relationship Id="rId205" Type="http://schemas.openxmlformats.org/officeDocument/2006/relationships/hyperlink" Target="http://www.ivc-online.com/Company-Card?Id=49ca53f0-5935-eb11-810b-0050569a1018" TargetMode="External"/><Relationship Id="rId447" Type="http://schemas.openxmlformats.org/officeDocument/2006/relationships/hyperlink" Target="http://www.ivc-online.com/Company-Card?Id=e7019b32-6b88-e511-bd22-80c16e7d3630" TargetMode="External"/><Relationship Id="rId689" Type="http://schemas.openxmlformats.org/officeDocument/2006/relationships/hyperlink" Target="http://www.ivc-online.com/Company-Card?Id=9f938ee2-3aeb-e811-80f9-0050569a1018" TargetMode="External"/><Relationship Id="rId204" Type="http://schemas.openxmlformats.org/officeDocument/2006/relationships/hyperlink" Target="https://trieye.tech" TargetMode="External"/><Relationship Id="rId446" Type="http://schemas.openxmlformats.org/officeDocument/2006/relationships/hyperlink" Target="https://www.valens.com" TargetMode="External"/><Relationship Id="rId688" Type="http://schemas.openxmlformats.org/officeDocument/2006/relationships/hyperlink" Target="https://www.imvision.ai" TargetMode="External"/><Relationship Id="rId203" Type="http://schemas.openxmlformats.org/officeDocument/2006/relationships/hyperlink" Target="http://www.ivc-online.com/Company-Card?Id=cf187d1d-063e-e711-80d5-00155d0b8329" TargetMode="External"/><Relationship Id="rId445" Type="http://schemas.openxmlformats.org/officeDocument/2006/relationships/hyperlink" Target="http://www.ivc-online.com/Company-Card?Id=df4852fc-1f7a-e111-ac59-00155d32a403" TargetMode="External"/><Relationship Id="rId687" Type="http://schemas.openxmlformats.org/officeDocument/2006/relationships/hyperlink" Target="http://www.ivc-online.com/Company-Card?Id=fc2ea3dc-07b8-e311-b941-80c16e7d3630" TargetMode="External"/><Relationship Id="rId209" Type="http://schemas.openxmlformats.org/officeDocument/2006/relationships/hyperlink" Target="http://www.ivc-online.com/Company-Card?Id=916d2426-645d-e611-893a-80c16e7d3630" TargetMode="External"/><Relationship Id="rId208" Type="http://schemas.openxmlformats.org/officeDocument/2006/relationships/hyperlink" Target="https://www.ravin.ai" TargetMode="External"/><Relationship Id="rId207" Type="http://schemas.openxmlformats.org/officeDocument/2006/relationships/hyperlink" Target="http://www.ivc-online.com/Company-Card?Id=5a8c7a3d-d87b-e911-80ff-0050569a1018" TargetMode="External"/><Relationship Id="rId449" Type="http://schemas.openxmlformats.org/officeDocument/2006/relationships/hyperlink" Target="http://www.ivc-online.com/Company-Card?Id=04dcaaf1-60ae-eb11-b80b-00505695cd29" TargetMode="External"/><Relationship Id="rId440" Type="http://schemas.openxmlformats.org/officeDocument/2006/relationships/hyperlink" Target="https://www.store-dot.com" TargetMode="External"/><Relationship Id="rId682" Type="http://schemas.openxmlformats.org/officeDocument/2006/relationships/hyperlink" Target="https://www.visic-tech.com" TargetMode="External"/><Relationship Id="rId681" Type="http://schemas.openxmlformats.org/officeDocument/2006/relationships/hyperlink" Target="http://www.ivc-online.com/Company-Card?Id=54aaa5ba-1f7a-e111-ac59-00155d32a403" TargetMode="External"/><Relationship Id="rId680" Type="http://schemas.openxmlformats.org/officeDocument/2006/relationships/hyperlink" Target="https://acktar.com" TargetMode="External"/><Relationship Id="rId202" Type="http://schemas.openxmlformats.org/officeDocument/2006/relationships/hyperlink" Target="https://www.tomorrow.io" TargetMode="External"/><Relationship Id="rId444" Type="http://schemas.openxmlformats.org/officeDocument/2006/relationships/hyperlink" Target="https://www.valens.com" TargetMode="External"/><Relationship Id="rId686" Type="http://schemas.openxmlformats.org/officeDocument/2006/relationships/hyperlink" Target="https://www.mov.ai" TargetMode="External"/><Relationship Id="rId201" Type="http://schemas.openxmlformats.org/officeDocument/2006/relationships/hyperlink" Target="http://www.ivc-online.com/Company-Card?Id=42b53339-46f7-e611-80cf-00155d0b832c" TargetMode="External"/><Relationship Id="rId443" Type="http://schemas.openxmlformats.org/officeDocument/2006/relationships/hyperlink" Target="http://www.ivc-online.com/Company-Card?Id=df4852fc-1f7a-e111-ac59-00155d32a403" TargetMode="External"/><Relationship Id="rId685" Type="http://schemas.openxmlformats.org/officeDocument/2006/relationships/hyperlink" Target="http://www.ivc-online.com/Company-Card?Id=0125c677-539a-e811-80f7-0050569a1018" TargetMode="External"/><Relationship Id="rId200" Type="http://schemas.openxmlformats.org/officeDocument/2006/relationships/hyperlink" Target="https://www.cognata.com" TargetMode="External"/><Relationship Id="rId442" Type="http://schemas.openxmlformats.org/officeDocument/2006/relationships/hyperlink" Target="https://www.citytransformer.com" TargetMode="External"/><Relationship Id="rId684" Type="http://schemas.openxmlformats.org/officeDocument/2006/relationships/hyperlink" Target="https://railvision.io" TargetMode="External"/><Relationship Id="rId441" Type="http://schemas.openxmlformats.org/officeDocument/2006/relationships/hyperlink" Target="http://www.ivc-online.com/Company-Card?Id=a60f7e5b-384c-e311-9814-80c16e7d3632" TargetMode="External"/><Relationship Id="rId683" Type="http://schemas.openxmlformats.org/officeDocument/2006/relationships/hyperlink" Target="http://www.ivc-online.com/Company-Card?Id=916d2426-645d-e611-893a-80c16e7d3630" TargetMode="External"/><Relationship Id="rId437" Type="http://schemas.openxmlformats.org/officeDocument/2006/relationships/hyperlink" Target="http://www.ivc-online.com/Company-Card?Id=fc2ea3dc-07b8-e311-b941-80c16e7d3630" TargetMode="External"/><Relationship Id="rId679" Type="http://schemas.openxmlformats.org/officeDocument/2006/relationships/hyperlink" Target="http://www.ivc-online.com/Company-Card?Id=6caa3914-207a-e111-ac59-00155d32a403" TargetMode="External"/><Relationship Id="rId436" Type="http://schemas.openxmlformats.org/officeDocument/2006/relationships/hyperlink" Target="http://www.arberobotics.com" TargetMode="External"/><Relationship Id="rId678" Type="http://schemas.openxmlformats.org/officeDocument/2006/relationships/hyperlink" Target="https://www.adasky.com" TargetMode="External"/><Relationship Id="rId435" Type="http://schemas.openxmlformats.org/officeDocument/2006/relationships/hyperlink" Target="http://www.ivc-online.com/Company-Card?Id=8caddc92-8d37-e611-bd22-80c16e7d3630" TargetMode="External"/><Relationship Id="rId677" Type="http://schemas.openxmlformats.org/officeDocument/2006/relationships/hyperlink" Target="http://www.ivc-online.com/Company-Card?Id=ea6dfa06-862c-e611-bd22-80c16e7d3630" TargetMode="External"/><Relationship Id="rId434" Type="http://schemas.openxmlformats.org/officeDocument/2006/relationships/hyperlink" Target="http://www.arberobotics.com" TargetMode="External"/><Relationship Id="rId676" Type="http://schemas.openxmlformats.org/officeDocument/2006/relationships/hyperlink" Target="http://safe-on.com" TargetMode="External"/><Relationship Id="rId439" Type="http://schemas.openxmlformats.org/officeDocument/2006/relationships/hyperlink" Target="http://www.ivc-online.com/Company-Card?Id=0b77ed66-b5bb-e111-b9b4-00155d32a408" TargetMode="External"/><Relationship Id="rId438" Type="http://schemas.openxmlformats.org/officeDocument/2006/relationships/hyperlink" Target="https://www.imvision.ai" TargetMode="External"/><Relationship Id="rId671" Type="http://schemas.openxmlformats.org/officeDocument/2006/relationships/hyperlink" Target="http://www.ivc-online.com/Company-Card?Id=794a1f71-d6c2-e611-80ca-00155d0b832c" TargetMode="External"/><Relationship Id="rId670" Type="http://schemas.openxmlformats.org/officeDocument/2006/relationships/hyperlink" Target="https://www.si-lib.com" TargetMode="External"/><Relationship Id="rId433" Type="http://schemas.openxmlformats.org/officeDocument/2006/relationships/hyperlink" Target="http://www.ivc-online.com/Company-Card?Id=8caddc92-8d37-e611-bd22-80c16e7d3630" TargetMode="External"/><Relationship Id="rId675" Type="http://schemas.openxmlformats.org/officeDocument/2006/relationships/hyperlink" Target="http://www.ivc-online.com/Company-Card?Id=0bfac731-56ca-ea11-810a-0050569a1018" TargetMode="External"/><Relationship Id="rId432" Type="http://schemas.openxmlformats.org/officeDocument/2006/relationships/hyperlink" Target="https://spinframe.com" TargetMode="External"/><Relationship Id="rId674" Type="http://schemas.openxmlformats.org/officeDocument/2006/relationships/hyperlink" Target="https://www.roadsense.tech" TargetMode="External"/><Relationship Id="rId431" Type="http://schemas.openxmlformats.org/officeDocument/2006/relationships/hyperlink" Target="http://www.ivc-online.com/Company-Card?Id=49ca53f0-5935-eb11-810b-0050569a1018" TargetMode="External"/><Relationship Id="rId673" Type="http://schemas.openxmlformats.org/officeDocument/2006/relationships/hyperlink" Target="http://www.ivc-online.com/Company-Card?Id=9e60795e-affb-e811-80fa-0050569a1018" TargetMode="External"/><Relationship Id="rId430" Type="http://schemas.openxmlformats.org/officeDocument/2006/relationships/hyperlink" Target="https://www.rodradar.com" TargetMode="External"/><Relationship Id="rId672" Type="http://schemas.openxmlformats.org/officeDocument/2006/relationships/hyperlink" Target="https://www.otorize.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c r="A2" s="3" t="s">
        <v>29</v>
      </c>
      <c r="B2" s="3" t="s">
        <v>30</v>
      </c>
      <c r="C2" s="3" t="s">
        <v>31</v>
      </c>
      <c r="D2" s="3">
        <v>2006.0</v>
      </c>
      <c r="E2" s="3">
        <v>10.0</v>
      </c>
      <c r="F2" s="3" t="s">
        <v>32</v>
      </c>
      <c r="G2" s="3">
        <v>5.14681782E8</v>
      </c>
      <c r="H2" s="3" t="s">
        <v>33</v>
      </c>
      <c r="I2" s="3" t="s">
        <v>34</v>
      </c>
      <c r="J2" s="3" t="s">
        <v>35</v>
      </c>
      <c r="K2" s="3" t="s">
        <v>36</v>
      </c>
      <c r="L2" s="4"/>
      <c r="M2" s="5" t="s">
        <v>37</v>
      </c>
      <c r="N2" s="3" t="s">
        <v>38</v>
      </c>
      <c r="O2" s="3" t="s">
        <v>39</v>
      </c>
      <c r="P2" s="3" t="s">
        <v>40</v>
      </c>
      <c r="Q2" s="3">
        <v>3688312.0</v>
      </c>
      <c r="R2" s="3" t="s">
        <v>40</v>
      </c>
      <c r="S2" s="3" t="s">
        <v>40</v>
      </c>
      <c r="T2" s="3" t="s">
        <v>41</v>
      </c>
      <c r="U2" s="3" t="s">
        <v>42</v>
      </c>
      <c r="V2" s="3" t="s">
        <v>43</v>
      </c>
      <c r="W2" s="3" t="s">
        <v>42</v>
      </c>
      <c r="X2" s="3" t="s">
        <v>44</v>
      </c>
      <c r="Y2" s="3" t="s">
        <v>45</v>
      </c>
      <c r="Z2" s="3" t="s">
        <v>46</v>
      </c>
      <c r="AA2" s="3" t="s">
        <v>47</v>
      </c>
      <c r="AB2" s="3" t="s">
        <v>32</v>
      </c>
      <c r="AC2" s="3">
        <v>3.5</v>
      </c>
      <c r="AD2" s="3" t="s">
        <v>48</v>
      </c>
    </row>
    <row r="3">
      <c r="A3" s="3" t="s">
        <v>49</v>
      </c>
      <c r="B3" s="3" t="s">
        <v>50</v>
      </c>
      <c r="C3" s="3" t="s">
        <v>51</v>
      </c>
      <c r="D3" s="3">
        <v>2009.0</v>
      </c>
      <c r="E3" s="3">
        <v>10.0</v>
      </c>
      <c r="F3" s="3" t="s">
        <v>32</v>
      </c>
      <c r="G3" s="3">
        <v>5.14676618E8</v>
      </c>
      <c r="H3" s="3" t="s">
        <v>52</v>
      </c>
      <c r="I3" s="3" t="s">
        <v>53</v>
      </c>
      <c r="J3" s="3" t="s">
        <v>54</v>
      </c>
      <c r="K3" s="3" t="s">
        <v>55</v>
      </c>
      <c r="L3" s="4"/>
      <c r="M3" s="5" t="s">
        <v>56</v>
      </c>
      <c r="N3" s="3" t="s">
        <v>57</v>
      </c>
      <c r="O3" s="3" t="s">
        <v>58</v>
      </c>
      <c r="P3" s="3" t="s">
        <v>40</v>
      </c>
      <c r="Q3" s="3">
        <v>2130.0</v>
      </c>
      <c r="R3" s="3" t="s">
        <v>59</v>
      </c>
      <c r="S3" s="3" t="s">
        <v>40</v>
      </c>
      <c r="T3" s="3" t="s">
        <v>60</v>
      </c>
      <c r="U3" s="3" t="s">
        <v>61</v>
      </c>
      <c r="V3" s="3" t="s">
        <v>62</v>
      </c>
      <c r="W3" s="3" t="s">
        <v>63</v>
      </c>
      <c r="X3" s="3" t="s">
        <v>64</v>
      </c>
      <c r="Y3" s="3" t="s">
        <v>65</v>
      </c>
      <c r="Z3" s="3" t="s">
        <v>66</v>
      </c>
      <c r="AA3" s="3" t="s">
        <v>32</v>
      </c>
      <c r="AB3" s="3" t="s">
        <v>32</v>
      </c>
      <c r="AC3" s="3" t="s">
        <v>40</v>
      </c>
      <c r="AD3" s="3" t="s">
        <v>48</v>
      </c>
    </row>
    <row r="4">
      <c r="A4" s="6" t="s">
        <v>67</v>
      </c>
      <c r="B4" s="6" t="s">
        <v>68</v>
      </c>
      <c r="C4" s="6" t="s">
        <v>51</v>
      </c>
      <c r="D4" s="6">
        <v>2015.0</v>
      </c>
      <c r="E4" s="6">
        <v>10.0</v>
      </c>
      <c r="F4" s="6" t="s">
        <v>32</v>
      </c>
      <c r="G4" s="6">
        <v>5.15041739E8</v>
      </c>
      <c r="H4" s="6" t="s">
        <v>69</v>
      </c>
      <c r="I4" s="6" t="s">
        <v>70</v>
      </c>
      <c r="J4" s="6" t="s">
        <v>71</v>
      </c>
      <c r="K4" s="6" t="s">
        <v>72</v>
      </c>
      <c r="L4" s="4"/>
      <c r="M4" s="7" t="s">
        <v>73</v>
      </c>
      <c r="N4" s="6" t="s">
        <v>74</v>
      </c>
      <c r="O4" s="6" t="s">
        <v>75</v>
      </c>
      <c r="P4" s="6" t="s">
        <v>40</v>
      </c>
      <c r="Q4" s="6">
        <v>6963005.0</v>
      </c>
      <c r="R4" s="6" t="s">
        <v>40</v>
      </c>
      <c r="S4" s="6" t="s">
        <v>40</v>
      </c>
      <c r="T4" s="6" t="s">
        <v>41</v>
      </c>
      <c r="U4" s="6" t="s">
        <v>76</v>
      </c>
      <c r="V4" s="6" t="s">
        <v>77</v>
      </c>
      <c r="W4" s="6" t="s">
        <v>76</v>
      </c>
      <c r="X4" s="6" t="s">
        <v>78</v>
      </c>
      <c r="Y4" s="6" t="s">
        <v>79</v>
      </c>
      <c r="Z4" s="6" t="s">
        <v>66</v>
      </c>
      <c r="AA4" s="6" t="s">
        <v>47</v>
      </c>
      <c r="AB4" s="6" t="s">
        <v>32</v>
      </c>
      <c r="AC4" s="6">
        <v>1.5</v>
      </c>
      <c r="AD4" s="6" t="s">
        <v>80</v>
      </c>
    </row>
    <row r="5">
      <c r="A5" s="3" t="s">
        <v>81</v>
      </c>
      <c r="B5" s="3" t="s">
        <v>82</v>
      </c>
      <c r="C5" s="3" t="s">
        <v>51</v>
      </c>
      <c r="D5" s="3">
        <v>1995.0</v>
      </c>
      <c r="E5" s="3">
        <v>10.0</v>
      </c>
      <c r="F5" s="3" t="s">
        <v>32</v>
      </c>
      <c r="G5" s="3" t="s">
        <v>40</v>
      </c>
      <c r="H5" s="3" t="s">
        <v>83</v>
      </c>
      <c r="I5" s="3" t="s">
        <v>84</v>
      </c>
      <c r="J5" s="3" t="s">
        <v>54</v>
      </c>
      <c r="K5" s="3" t="s">
        <v>85</v>
      </c>
      <c r="L5" s="4"/>
      <c r="M5" s="5" t="s">
        <v>86</v>
      </c>
      <c r="N5" s="3" t="s">
        <v>40</v>
      </c>
      <c r="O5" s="3" t="s">
        <v>87</v>
      </c>
      <c r="P5" s="3">
        <v>8088.0</v>
      </c>
      <c r="Q5" s="3">
        <v>4060000.0</v>
      </c>
      <c r="R5" s="3" t="s">
        <v>40</v>
      </c>
      <c r="S5" s="3" t="s">
        <v>40</v>
      </c>
      <c r="T5" s="3" t="s">
        <v>41</v>
      </c>
      <c r="U5" s="3" t="s">
        <v>88</v>
      </c>
      <c r="V5" s="3" t="s">
        <v>89</v>
      </c>
      <c r="W5" s="3" t="s">
        <v>88</v>
      </c>
      <c r="X5" s="3" t="s">
        <v>90</v>
      </c>
      <c r="Y5" s="3" t="s">
        <v>91</v>
      </c>
      <c r="Z5" s="3" t="s">
        <v>66</v>
      </c>
      <c r="AA5" s="3" t="s">
        <v>32</v>
      </c>
      <c r="AB5" s="3" t="s">
        <v>32</v>
      </c>
      <c r="AC5" s="3" t="s">
        <v>40</v>
      </c>
      <c r="AD5" s="3" t="s">
        <v>80</v>
      </c>
    </row>
    <row r="6">
      <c r="A6" s="3" t="s">
        <v>92</v>
      </c>
      <c r="B6" s="3" t="s">
        <v>68</v>
      </c>
      <c r="C6" s="3" t="s">
        <v>51</v>
      </c>
      <c r="D6" s="3">
        <v>2013.0</v>
      </c>
      <c r="E6" s="3">
        <v>10.0</v>
      </c>
      <c r="F6" s="3" t="s">
        <v>32</v>
      </c>
      <c r="G6" s="3">
        <v>5.14969104E8</v>
      </c>
      <c r="H6" s="3" t="s">
        <v>93</v>
      </c>
      <c r="I6" s="3" t="s">
        <v>94</v>
      </c>
      <c r="J6" s="3" t="s">
        <v>35</v>
      </c>
      <c r="K6" s="3" t="s">
        <v>95</v>
      </c>
      <c r="L6" s="4"/>
      <c r="M6" s="5" t="s">
        <v>96</v>
      </c>
      <c r="N6" s="3" t="s">
        <v>97</v>
      </c>
      <c r="O6" s="3" t="s">
        <v>98</v>
      </c>
      <c r="P6" s="3">
        <v>50520.0</v>
      </c>
      <c r="Q6" s="3">
        <v>1607629.0</v>
      </c>
      <c r="R6" s="3" t="s">
        <v>40</v>
      </c>
      <c r="S6" s="3" t="s">
        <v>40</v>
      </c>
      <c r="T6" s="3" t="s">
        <v>41</v>
      </c>
      <c r="U6" s="3" t="s">
        <v>99</v>
      </c>
      <c r="V6" s="3" t="s">
        <v>100</v>
      </c>
      <c r="W6" s="3" t="s">
        <v>101</v>
      </c>
      <c r="X6" s="3" t="s">
        <v>102</v>
      </c>
      <c r="Y6" s="3" t="s">
        <v>103</v>
      </c>
      <c r="Z6" s="3" t="s">
        <v>104</v>
      </c>
      <c r="AA6" s="3" t="s">
        <v>47</v>
      </c>
      <c r="AB6" s="3" t="s">
        <v>32</v>
      </c>
      <c r="AC6" s="3">
        <v>5.0</v>
      </c>
      <c r="AD6" s="3" t="s">
        <v>80</v>
      </c>
    </row>
    <row r="7">
      <c r="A7" s="3" t="s">
        <v>105</v>
      </c>
      <c r="B7" s="3" t="s">
        <v>68</v>
      </c>
      <c r="C7" s="3" t="s">
        <v>51</v>
      </c>
      <c r="D7" s="3">
        <v>2011.0</v>
      </c>
      <c r="E7" s="3">
        <v>10.0</v>
      </c>
      <c r="F7" s="3" t="s">
        <v>32</v>
      </c>
      <c r="G7" s="3">
        <v>5.16411816E8</v>
      </c>
      <c r="H7" s="3" t="s">
        <v>106</v>
      </c>
      <c r="I7" s="3" t="s">
        <v>107</v>
      </c>
      <c r="J7" s="3" t="s">
        <v>35</v>
      </c>
      <c r="K7" s="3" t="s">
        <v>108</v>
      </c>
      <c r="L7" s="4"/>
      <c r="M7" s="5" t="s">
        <v>109</v>
      </c>
      <c r="N7" s="3" t="s">
        <v>110</v>
      </c>
      <c r="O7" s="3" t="s">
        <v>111</v>
      </c>
      <c r="P7" s="3" t="s">
        <v>40</v>
      </c>
      <c r="Q7" s="3">
        <v>60654.0</v>
      </c>
      <c r="R7" s="3" t="s">
        <v>112</v>
      </c>
      <c r="S7" s="3" t="s">
        <v>40</v>
      </c>
      <c r="T7" s="3" t="s">
        <v>60</v>
      </c>
      <c r="U7" s="3" t="s">
        <v>113</v>
      </c>
      <c r="V7" s="3" t="s">
        <v>40</v>
      </c>
      <c r="W7" s="3" t="s">
        <v>113</v>
      </c>
      <c r="X7" s="3" t="s">
        <v>114</v>
      </c>
      <c r="Y7" s="3" t="s">
        <v>115</v>
      </c>
      <c r="Z7" s="3" t="s">
        <v>116</v>
      </c>
      <c r="AA7" s="3" t="s">
        <v>47</v>
      </c>
      <c r="AB7" s="3" t="s">
        <v>47</v>
      </c>
      <c r="AC7" s="3" t="s">
        <v>40</v>
      </c>
      <c r="AD7" s="3" t="s">
        <v>117</v>
      </c>
    </row>
    <row r="8">
      <c r="A8" s="8" t="s">
        <v>118</v>
      </c>
      <c r="B8" s="8" t="s">
        <v>50</v>
      </c>
      <c r="C8" s="8" t="s">
        <v>119</v>
      </c>
      <c r="D8" s="8">
        <v>2009.0</v>
      </c>
      <c r="E8" s="8">
        <v>10.0</v>
      </c>
      <c r="F8" s="8" t="s">
        <v>47</v>
      </c>
      <c r="G8" s="8">
        <v>5.20038548E8</v>
      </c>
      <c r="H8" s="8" t="s">
        <v>120</v>
      </c>
      <c r="I8" s="8" t="s">
        <v>121</v>
      </c>
      <c r="J8" s="8" t="s">
        <v>122</v>
      </c>
      <c r="K8" s="8" t="s">
        <v>123</v>
      </c>
      <c r="L8" s="4"/>
      <c r="M8" s="9" t="s">
        <v>124</v>
      </c>
      <c r="N8" s="8" t="s">
        <v>125</v>
      </c>
      <c r="O8" s="8" t="s">
        <v>75</v>
      </c>
      <c r="P8" s="8" t="s">
        <v>40</v>
      </c>
      <c r="Q8" s="8">
        <v>6107439.0</v>
      </c>
      <c r="R8" s="8" t="s">
        <v>40</v>
      </c>
      <c r="S8" s="8" t="s">
        <v>40</v>
      </c>
      <c r="T8" s="8" t="s">
        <v>41</v>
      </c>
      <c r="U8" s="8" t="s">
        <v>126</v>
      </c>
      <c r="V8" s="8" t="s">
        <v>127</v>
      </c>
      <c r="W8" s="8" t="s">
        <v>126</v>
      </c>
      <c r="X8" s="8" t="s">
        <v>128</v>
      </c>
      <c r="Y8" s="8" t="s">
        <v>129</v>
      </c>
      <c r="Z8" s="8" t="s">
        <v>130</v>
      </c>
      <c r="AA8" s="8" t="s">
        <v>47</v>
      </c>
      <c r="AB8" s="8" t="s">
        <v>32</v>
      </c>
      <c r="AC8" s="8">
        <v>25.0</v>
      </c>
      <c r="AD8" s="8" t="s">
        <v>80</v>
      </c>
    </row>
    <row r="9">
      <c r="A9" s="3" t="s">
        <v>131</v>
      </c>
      <c r="B9" s="3" t="s">
        <v>82</v>
      </c>
      <c r="C9" s="3" t="s">
        <v>51</v>
      </c>
      <c r="D9" s="3">
        <v>2017.0</v>
      </c>
      <c r="E9" s="3">
        <v>10.0</v>
      </c>
      <c r="F9" s="3" t="s">
        <v>32</v>
      </c>
      <c r="G9" s="3">
        <v>5.15640894E8</v>
      </c>
      <c r="H9" s="3" t="s">
        <v>132</v>
      </c>
      <c r="I9" s="3" t="s">
        <v>133</v>
      </c>
      <c r="J9" s="3" t="s">
        <v>35</v>
      </c>
      <c r="K9" s="3" t="s">
        <v>134</v>
      </c>
      <c r="L9" s="4"/>
      <c r="M9" s="5" t="s">
        <v>135</v>
      </c>
      <c r="N9" s="3" t="s">
        <v>136</v>
      </c>
      <c r="O9" s="3" t="s">
        <v>137</v>
      </c>
      <c r="P9" s="3" t="s">
        <v>40</v>
      </c>
      <c r="Q9" s="3">
        <v>4464312.0</v>
      </c>
      <c r="R9" s="3" t="s">
        <v>40</v>
      </c>
      <c r="S9" s="3" t="s">
        <v>40</v>
      </c>
      <c r="T9" s="3" t="s">
        <v>41</v>
      </c>
      <c r="U9" s="3" t="s">
        <v>40</v>
      </c>
      <c r="V9" s="3" t="s">
        <v>138</v>
      </c>
      <c r="W9" s="3" t="s">
        <v>40</v>
      </c>
      <c r="X9" s="3" t="s">
        <v>139</v>
      </c>
      <c r="Y9" s="3" t="s">
        <v>140</v>
      </c>
      <c r="Z9" s="3" t="s">
        <v>66</v>
      </c>
      <c r="AA9" s="3" t="s">
        <v>47</v>
      </c>
      <c r="AB9" s="3" t="s">
        <v>32</v>
      </c>
      <c r="AC9" s="3">
        <v>5.5</v>
      </c>
      <c r="AD9" s="3" t="s">
        <v>80</v>
      </c>
    </row>
    <row r="10">
      <c r="A10" s="3" t="s">
        <v>141</v>
      </c>
      <c r="B10" s="3" t="s">
        <v>50</v>
      </c>
      <c r="C10" s="3" t="s">
        <v>119</v>
      </c>
      <c r="D10" s="3">
        <v>2011.0</v>
      </c>
      <c r="E10" s="3">
        <v>10.0</v>
      </c>
      <c r="F10" s="3" t="s">
        <v>32</v>
      </c>
      <c r="G10" s="3">
        <v>5.14658277E8</v>
      </c>
      <c r="H10" s="3" t="s">
        <v>142</v>
      </c>
      <c r="I10" s="3" t="s">
        <v>143</v>
      </c>
      <c r="J10" s="3" t="s">
        <v>35</v>
      </c>
      <c r="K10" s="3" t="s">
        <v>144</v>
      </c>
      <c r="L10" s="4"/>
      <c r="M10" s="5" t="s">
        <v>145</v>
      </c>
      <c r="N10" s="3" t="s">
        <v>146</v>
      </c>
      <c r="O10" s="3" t="s">
        <v>147</v>
      </c>
      <c r="P10" s="3" t="s">
        <v>40</v>
      </c>
      <c r="Q10" s="3">
        <v>9354212.0</v>
      </c>
      <c r="R10" s="3" t="s">
        <v>40</v>
      </c>
      <c r="S10" s="3" t="s">
        <v>40</v>
      </c>
      <c r="T10" s="3" t="s">
        <v>41</v>
      </c>
      <c r="U10" s="3" t="s">
        <v>148</v>
      </c>
      <c r="V10" s="3" t="s">
        <v>149</v>
      </c>
      <c r="W10" s="3" t="s">
        <v>148</v>
      </c>
      <c r="X10" s="3" t="s">
        <v>150</v>
      </c>
      <c r="Y10" s="3" t="s">
        <v>151</v>
      </c>
      <c r="Z10" s="3" t="s">
        <v>152</v>
      </c>
      <c r="AA10" s="3" t="s">
        <v>47</v>
      </c>
      <c r="AB10" s="3" t="s">
        <v>32</v>
      </c>
      <c r="AC10" s="3">
        <v>2.8</v>
      </c>
      <c r="AD10" s="3" t="s">
        <v>80</v>
      </c>
    </row>
    <row r="11">
      <c r="A11" s="3" t="s">
        <v>153</v>
      </c>
      <c r="B11" s="3" t="s">
        <v>154</v>
      </c>
      <c r="C11" s="3" t="s">
        <v>119</v>
      </c>
      <c r="D11" s="3">
        <v>1986.0</v>
      </c>
      <c r="E11" s="3">
        <v>10.0</v>
      </c>
      <c r="F11" s="3" t="s">
        <v>32</v>
      </c>
      <c r="G11" s="3">
        <v>5.60009516E8</v>
      </c>
      <c r="H11" s="3" t="s">
        <v>155</v>
      </c>
      <c r="I11" s="3" t="s">
        <v>156</v>
      </c>
      <c r="J11" s="3" t="s">
        <v>157</v>
      </c>
      <c r="K11" s="3" t="s">
        <v>158</v>
      </c>
      <c r="L11" s="4"/>
      <c r="M11" s="5" t="s">
        <v>159</v>
      </c>
      <c r="N11" s="3" t="s">
        <v>160</v>
      </c>
      <c r="O11" s="3" t="s">
        <v>147</v>
      </c>
      <c r="P11" s="3">
        <v>34556.0</v>
      </c>
      <c r="Q11" s="3">
        <v>9546205.0</v>
      </c>
      <c r="R11" s="3" t="s">
        <v>40</v>
      </c>
      <c r="S11" s="3" t="s">
        <v>40</v>
      </c>
      <c r="T11" s="3" t="s">
        <v>41</v>
      </c>
      <c r="U11" s="3" t="s">
        <v>161</v>
      </c>
      <c r="V11" s="3" t="s">
        <v>162</v>
      </c>
      <c r="W11" s="3" t="s">
        <v>161</v>
      </c>
      <c r="X11" s="3" t="s">
        <v>163</v>
      </c>
      <c r="Y11" s="3" t="s">
        <v>164</v>
      </c>
      <c r="Z11" s="3" t="s">
        <v>66</v>
      </c>
      <c r="AA11" s="3" t="s">
        <v>32</v>
      </c>
      <c r="AB11" s="3" t="s">
        <v>32</v>
      </c>
      <c r="AC11" s="3" t="s">
        <v>40</v>
      </c>
      <c r="AD11" s="3" t="s">
        <v>80</v>
      </c>
    </row>
    <row r="12">
      <c r="A12" s="6" t="s">
        <v>165</v>
      </c>
      <c r="B12" s="6" t="s">
        <v>30</v>
      </c>
      <c r="C12" s="6" t="s">
        <v>51</v>
      </c>
      <c r="D12" s="6">
        <v>1998.0</v>
      </c>
      <c r="E12" s="6">
        <v>10.0</v>
      </c>
      <c r="F12" s="6" t="s">
        <v>32</v>
      </c>
      <c r="G12" s="6">
        <v>5.12515586E8</v>
      </c>
      <c r="H12" s="6" t="s">
        <v>166</v>
      </c>
      <c r="I12" s="6" t="s">
        <v>167</v>
      </c>
      <c r="J12" s="6" t="s">
        <v>71</v>
      </c>
      <c r="K12" s="6" t="s">
        <v>168</v>
      </c>
      <c r="L12" s="4"/>
      <c r="M12" s="7" t="s">
        <v>169</v>
      </c>
      <c r="N12" s="6" t="s">
        <v>170</v>
      </c>
      <c r="O12" s="6" t="s">
        <v>171</v>
      </c>
      <c r="P12" s="6" t="s">
        <v>40</v>
      </c>
      <c r="Q12" s="6" t="s">
        <v>40</v>
      </c>
      <c r="R12" s="6" t="s">
        <v>40</v>
      </c>
      <c r="S12" s="6" t="s">
        <v>40</v>
      </c>
      <c r="T12" s="6" t="s">
        <v>41</v>
      </c>
      <c r="U12" s="6" t="s">
        <v>172</v>
      </c>
      <c r="V12" s="6" t="s">
        <v>173</v>
      </c>
      <c r="W12" s="6" t="s">
        <v>174</v>
      </c>
      <c r="X12" s="6" t="s">
        <v>175</v>
      </c>
      <c r="Y12" s="6" t="s">
        <v>176</v>
      </c>
      <c r="Z12" s="6" t="s">
        <v>66</v>
      </c>
      <c r="AA12" s="6" t="s">
        <v>47</v>
      </c>
      <c r="AB12" s="6" t="s">
        <v>32</v>
      </c>
      <c r="AC12" s="6">
        <v>0.9</v>
      </c>
      <c r="AD12" s="6" t="s">
        <v>80</v>
      </c>
    </row>
    <row r="13">
      <c r="A13" s="10" t="s">
        <v>177</v>
      </c>
      <c r="B13" s="10" t="s">
        <v>82</v>
      </c>
      <c r="C13" s="10" t="s">
        <v>31</v>
      </c>
      <c r="D13" s="10">
        <v>2019.0</v>
      </c>
      <c r="E13" s="10">
        <v>10.0</v>
      </c>
      <c r="F13" s="10" t="s">
        <v>32</v>
      </c>
      <c r="G13" s="10">
        <v>5.16082096E8</v>
      </c>
      <c r="H13" s="10" t="s">
        <v>178</v>
      </c>
      <c r="I13" s="10" t="s">
        <v>179</v>
      </c>
      <c r="J13" s="10" t="s">
        <v>54</v>
      </c>
      <c r="K13" s="10" t="s">
        <v>180</v>
      </c>
      <c r="L13" s="4"/>
      <c r="M13" s="11" t="s">
        <v>181</v>
      </c>
      <c r="N13" s="10" t="s">
        <v>182</v>
      </c>
      <c r="O13" s="10" t="s">
        <v>183</v>
      </c>
      <c r="P13" s="10">
        <v>355.0</v>
      </c>
      <c r="Q13" s="10">
        <v>7608802.0</v>
      </c>
      <c r="R13" s="10" t="s">
        <v>40</v>
      </c>
      <c r="S13" s="10" t="s">
        <v>40</v>
      </c>
      <c r="T13" s="10" t="s">
        <v>41</v>
      </c>
      <c r="U13" s="10" t="s">
        <v>184</v>
      </c>
      <c r="V13" s="10" t="s">
        <v>185</v>
      </c>
      <c r="W13" s="10" t="s">
        <v>186</v>
      </c>
      <c r="X13" s="10" t="s">
        <v>187</v>
      </c>
      <c r="Y13" s="10" t="s">
        <v>188</v>
      </c>
      <c r="Z13" s="10" t="s">
        <v>189</v>
      </c>
      <c r="AA13" s="10" t="s">
        <v>47</v>
      </c>
      <c r="AB13" s="10" t="s">
        <v>47</v>
      </c>
      <c r="AC13" s="10" t="s">
        <v>40</v>
      </c>
      <c r="AD13" s="10" t="s">
        <v>80</v>
      </c>
    </row>
    <row r="14">
      <c r="A14" s="3" t="s">
        <v>190</v>
      </c>
      <c r="B14" s="3" t="s">
        <v>82</v>
      </c>
      <c r="C14" s="3" t="s">
        <v>31</v>
      </c>
      <c r="D14" s="3">
        <v>2011.0</v>
      </c>
      <c r="E14" s="3">
        <v>10.0</v>
      </c>
      <c r="F14" s="3" t="s">
        <v>32</v>
      </c>
      <c r="G14" s="3">
        <v>5.14527761E8</v>
      </c>
      <c r="H14" s="3" t="s">
        <v>191</v>
      </c>
      <c r="I14" s="3" t="s">
        <v>192</v>
      </c>
      <c r="J14" s="3" t="s">
        <v>54</v>
      </c>
      <c r="K14" s="3" t="s">
        <v>193</v>
      </c>
      <c r="L14" s="4"/>
      <c r="M14" s="5" t="s">
        <v>194</v>
      </c>
      <c r="N14" s="3" t="s">
        <v>195</v>
      </c>
      <c r="O14" s="3" t="s">
        <v>196</v>
      </c>
      <c r="P14" s="3" t="s">
        <v>40</v>
      </c>
      <c r="Q14" s="3">
        <v>24952.0</v>
      </c>
      <c r="R14" s="3" t="s">
        <v>40</v>
      </c>
      <c r="S14" s="3" t="s">
        <v>40</v>
      </c>
      <c r="T14" s="3" t="s">
        <v>41</v>
      </c>
      <c r="U14" s="3" t="s">
        <v>40</v>
      </c>
      <c r="V14" s="3" t="s">
        <v>197</v>
      </c>
      <c r="W14" s="3" t="s">
        <v>198</v>
      </c>
      <c r="X14" s="3" t="s">
        <v>199</v>
      </c>
      <c r="Y14" s="3" t="s">
        <v>200</v>
      </c>
      <c r="Z14" s="3" t="s">
        <v>201</v>
      </c>
      <c r="AA14" s="3" t="s">
        <v>32</v>
      </c>
      <c r="AB14" s="3" t="s">
        <v>32</v>
      </c>
      <c r="AC14" s="3" t="s">
        <v>40</v>
      </c>
      <c r="AD14" s="3" t="s">
        <v>48</v>
      </c>
    </row>
    <row r="15">
      <c r="A15" s="12" t="s">
        <v>202</v>
      </c>
      <c r="B15" s="12" t="s">
        <v>203</v>
      </c>
      <c r="C15" s="12" t="s">
        <v>31</v>
      </c>
      <c r="D15" s="12">
        <v>2001.0</v>
      </c>
      <c r="E15" s="12">
        <v>10.0</v>
      </c>
      <c r="F15" s="12" t="s">
        <v>32</v>
      </c>
      <c r="G15" s="12">
        <v>5.14134964E8</v>
      </c>
      <c r="H15" s="12" t="s">
        <v>204</v>
      </c>
      <c r="I15" s="12" t="s">
        <v>205</v>
      </c>
      <c r="J15" s="12" t="s">
        <v>35</v>
      </c>
      <c r="K15" s="12" t="s">
        <v>206</v>
      </c>
      <c r="L15" s="13"/>
      <c r="M15" s="14" t="s">
        <v>207</v>
      </c>
      <c r="N15" s="12" t="s">
        <v>208</v>
      </c>
      <c r="O15" s="12" t="s">
        <v>209</v>
      </c>
      <c r="P15" s="12" t="s">
        <v>40</v>
      </c>
      <c r="Q15" s="12" t="s">
        <v>210</v>
      </c>
      <c r="R15" s="12" t="s">
        <v>40</v>
      </c>
      <c r="S15" s="12" t="s">
        <v>40</v>
      </c>
      <c r="T15" s="12" t="s">
        <v>211</v>
      </c>
      <c r="U15" s="12" t="s">
        <v>212</v>
      </c>
      <c r="V15" s="12" t="s">
        <v>213</v>
      </c>
      <c r="W15" s="12" t="s">
        <v>212</v>
      </c>
      <c r="X15" s="12" t="s">
        <v>214</v>
      </c>
      <c r="Y15" s="12" t="s">
        <v>215</v>
      </c>
      <c r="Z15" s="12" t="s">
        <v>66</v>
      </c>
      <c r="AA15" s="12" t="s">
        <v>47</v>
      </c>
      <c r="AB15" s="12" t="s">
        <v>32</v>
      </c>
      <c r="AC15" s="12" t="s">
        <v>40</v>
      </c>
      <c r="AD15" s="12" t="s">
        <v>216</v>
      </c>
    </row>
    <row r="16">
      <c r="A16" s="3" t="s">
        <v>217</v>
      </c>
      <c r="B16" s="3" t="s">
        <v>154</v>
      </c>
      <c r="C16" s="3" t="s">
        <v>51</v>
      </c>
      <c r="D16" s="3">
        <v>2000.0</v>
      </c>
      <c r="E16" s="3">
        <v>10.0</v>
      </c>
      <c r="F16" s="3" t="s">
        <v>32</v>
      </c>
      <c r="G16" s="3">
        <v>5.12840448E8</v>
      </c>
      <c r="H16" s="3" t="s">
        <v>218</v>
      </c>
      <c r="I16" s="3" t="s">
        <v>219</v>
      </c>
      <c r="J16" s="3" t="s">
        <v>35</v>
      </c>
      <c r="K16" s="3" t="s">
        <v>220</v>
      </c>
      <c r="L16" s="4"/>
      <c r="M16" s="5" t="s">
        <v>221</v>
      </c>
      <c r="N16" s="3" t="s">
        <v>222</v>
      </c>
      <c r="O16" s="3" t="s">
        <v>223</v>
      </c>
      <c r="P16" s="3" t="s">
        <v>40</v>
      </c>
      <c r="Q16" s="3">
        <v>5020002.0</v>
      </c>
      <c r="R16" s="3" t="s">
        <v>40</v>
      </c>
      <c r="S16" s="3" t="s">
        <v>40</v>
      </c>
      <c r="T16" s="3" t="s">
        <v>41</v>
      </c>
      <c r="U16" s="3" t="s">
        <v>224</v>
      </c>
      <c r="V16" s="3" t="s">
        <v>225</v>
      </c>
      <c r="W16" s="3" t="s">
        <v>224</v>
      </c>
      <c r="X16" s="3" t="s">
        <v>226</v>
      </c>
      <c r="Y16" s="3" t="s">
        <v>227</v>
      </c>
      <c r="Z16" s="3" t="s">
        <v>228</v>
      </c>
      <c r="AA16" s="3" t="s">
        <v>32</v>
      </c>
      <c r="AB16" s="3" t="s">
        <v>32</v>
      </c>
      <c r="AC16" s="3" t="s">
        <v>40</v>
      </c>
      <c r="AD16" s="3" t="s">
        <v>80</v>
      </c>
    </row>
    <row r="17">
      <c r="A17" s="3" t="s">
        <v>229</v>
      </c>
      <c r="B17" s="3" t="s">
        <v>203</v>
      </c>
      <c r="C17" s="3" t="s">
        <v>51</v>
      </c>
      <c r="D17" s="3">
        <v>2003.0</v>
      </c>
      <c r="E17" s="3">
        <v>10.0</v>
      </c>
      <c r="F17" s="3" t="s">
        <v>32</v>
      </c>
      <c r="G17" s="3">
        <v>5.70053926E8</v>
      </c>
      <c r="H17" s="3" t="s">
        <v>230</v>
      </c>
      <c r="I17" s="3" t="s">
        <v>231</v>
      </c>
      <c r="J17" s="3" t="s">
        <v>54</v>
      </c>
      <c r="K17" s="3" t="s">
        <v>232</v>
      </c>
      <c r="L17" s="4"/>
      <c r="M17" s="5" t="s">
        <v>233</v>
      </c>
      <c r="N17" s="3" t="s">
        <v>40</v>
      </c>
      <c r="O17" s="3" t="s">
        <v>234</v>
      </c>
      <c r="P17" s="3" t="s">
        <v>40</v>
      </c>
      <c r="Q17" s="3">
        <v>1896000.0</v>
      </c>
      <c r="R17" s="3" t="s">
        <v>40</v>
      </c>
      <c r="S17" s="3" t="s">
        <v>40</v>
      </c>
      <c r="T17" s="3" t="s">
        <v>41</v>
      </c>
      <c r="U17" s="3" t="s">
        <v>235</v>
      </c>
      <c r="V17" s="3" t="s">
        <v>236</v>
      </c>
      <c r="W17" s="3" t="s">
        <v>235</v>
      </c>
      <c r="X17" s="3" t="s">
        <v>237</v>
      </c>
      <c r="Y17" s="3" t="s">
        <v>238</v>
      </c>
      <c r="Z17" s="3" t="s">
        <v>239</v>
      </c>
      <c r="AA17" s="3" t="s">
        <v>47</v>
      </c>
      <c r="AB17" s="3" t="s">
        <v>32</v>
      </c>
      <c r="AC17" s="3" t="s">
        <v>40</v>
      </c>
      <c r="AD17" s="3" t="s">
        <v>80</v>
      </c>
    </row>
    <row r="18">
      <c r="A18" s="3" t="s">
        <v>240</v>
      </c>
      <c r="B18" s="3" t="s">
        <v>30</v>
      </c>
      <c r="C18" s="3" t="s">
        <v>51</v>
      </c>
      <c r="D18" s="3">
        <v>1996.0</v>
      </c>
      <c r="E18" s="3">
        <v>10.0</v>
      </c>
      <c r="F18" s="3" t="s">
        <v>32</v>
      </c>
      <c r="G18" s="3">
        <v>5.11962813E8</v>
      </c>
      <c r="H18" s="3" t="s">
        <v>241</v>
      </c>
      <c r="I18" s="3" t="s">
        <v>242</v>
      </c>
      <c r="J18" s="3" t="s">
        <v>54</v>
      </c>
      <c r="K18" s="3" t="s">
        <v>243</v>
      </c>
      <c r="L18" s="4"/>
      <c r="M18" s="5" t="s">
        <v>244</v>
      </c>
      <c r="N18" s="3" t="s">
        <v>245</v>
      </c>
      <c r="O18" s="3" t="s">
        <v>246</v>
      </c>
      <c r="P18" s="3" t="s">
        <v>40</v>
      </c>
      <c r="Q18" s="3">
        <v>7129355.0</v>
      </c>
      <c r="R18" s="3" t="s">
        <v>40</v>
      </c>
      <c r="S18" s="3" t="s">
        <v>40</v>
      </c>
      <c r="T18" s="3" t="s">
        <v>41</v>
      </c>
      <c r="U18" s="3" t="s">
        <v>247</v>
      </c>
      <c r="V18" s="3" t="s">
        <v>248</v>
      </c>
      <c r="W18" s="3" t="s">
        <v>247</v>
      </c>
      <c r="X18" s="3" t="s">
        <v>249</v>
      </c>
      <c r="Y18" s="3" t="s">
        <v>250</v>
      </c>
      <c r="Z18" s="3" t="s">
        <v>66</v>
      </c>
      <c r="AA18" s="3" t="s">
        <v>47</v>
      </c>
      <c r="AB18" s="3" t="s">
        <v>32</v>
      </c>
      <c r="AC18" s="3" t="s">
        <v>40</v>
      </c>
      <c r="AD18" s="3" t="s">
        <v>80</v>
      </c>
    </row>
    <row r="19">
      <c r="A19" s="3" t="s">
        <v>251</v>
      </c>
      <c r="B19" s="3" t="s">
        <v>30</v>
      </c>
      <c r="C19" s="3" t="s">
        <v>51</v>
      </c>
      <c r="D19" s="3">
        <v>2005.0</v>
      </c>
      <c r="E19" s="3">
        <v>10.0</v>
      </c>
      <c r="F19" s="3" t="s">
        <v>32</v>
      </c>
      <c r="G19" s="3" t="s">
        <v>40</v>
      </c>
      <c r="H19" s="3" t="s">
        <v>252</v>
      </c>
      <c r="I19" s="3" t="s">
        <v>253</v>
      </c>
      <c r="J19" s="3" t="s">
        <v>35</v>
      </c>
      <c r="K19" s="4"/>
      <c r="L19" s="4"/>
      <c r="M19" s="5" t="s">
        <v>254</v>
      </c>
      <c r="N19" s="3" t="s">
        <v>255</v>
      </c>
      <c r="O19" s="3" t="s">
        <v>256</v>
      </c>
      <c r="P19" s="3" t="s">
        <v>40</v>
      </c>
      <c r="Q19" s="3" t="s">
        <v>257</v>
      </c>
      <c r="R19" s="3" t="s">
        <v>40</v>
      </c>
      <c r="S19" s="3" t="s">
        <v>40</v>
      </c>
      <c r="T19" s="3" t="s">
        <v>258</v>
      </c>
      <c r="U19" s="3" t="s">
        <v>259</v>
      </c>
      <c r="V19" s="3" t="s">
        <v>260</v>
      </c>
      <c r="W19" s="3" t="s">
        <v>259</v>
      </c>
      <c r="X19" s="3" t="s">
        <v>90</v>
      </c>
      <c r="Y19" s="3" t="s">
        <v>261</v>
      </c>
      <c r="Z19" s="3" t="s">
        <v>201</v>
      </c>
      <c r="AA19" s="3" t="s">
        <v>47</v>
      </c>
      <c r="AB19" s="3" t="s">
        <v>47</v>
      </c>
      <c r="AC19" s="3">
        <v>17.0</v>
      </c>
      <c r="AD19" s="3" t="s">
        <v>80</v>
      </c>
    </row>
    <row r="20">
      <c r="A20" s="3" t="s">
        <v>262</v>
      </c>
      <c r="B20" s="3" t="s">
        <v>50</v>
      </c>
      <c r="C20" s="3" t="s">
        <v>31</v>
      </c>
      <c r="D20" s="3">
        <v>2018.0</v>
      </c>
      <c r="E20" s="3">
        <v>10.0</v>
      </c>
      <c r="F20" s="3" t="s">
        <v>32</v>
      </c>
      <c r="G20" s="3">
        <v>5.1580331E8</v>
      </c>
      <c r="H20" s="3" t="s">
        <v>263</v>
      </c>
      <c r="I20" s="3" t="s">
        <v>264</v>
      </c>
      <c r="J20" s="3" t="s">
        <v>265</v>
      </c>
      <c r="K20" s="4"/>
      <c r="L20" s="4"/>
      <c r="M20" s="5" t="s">
        <v>266</v>
      </c>
      <c r="N20" s="3" t="s">
        <v>267</v>
      </c>
      <c r="O20" s="3" t="s">
        <v>268</v>
      </c>
      <c r="P20" s="3" t="s">
        <v>40</v>
      </c>
      <c r="Q20" s="3">
        <v>4059100.0</v>
      </c>
      <c r="R20" s="3" t="s">
        <v>40</v>
      </c>
      <c r="S20" s="3" t="s">
        <v>40</v>
      </c>
      <c r="T20" s="3" t="s">
        <v>41</v>
      </c>
      <c r="U20" s="3" t="s">
        <v>269</v>
      </c>
      <c r="V20" s="3" t="s">
        <v>270</v>
      </c>
      <c r="W20" s="3" t="s">
        <v>269</v>
      </c>
      <c r="X20" s="3" t="s">
        <v>271</v>
      </c>
      <c r="Y20" s="3" t="s">
        <v>272</v>
      </c>
      <c r="Z20" s="3" t="s">
        <v>66</v>
      </c>
      <c r="AA20" s="3" t="s">
        <v>47</v>
      </c>
      <c r="AB20" s="3" t="s">
        <v>47</v>
      </c>
      <c r="AC20" s="3">
        <v>2.0</v>
      </c>
      <c r="AD20" s="3" t="s">
        <v>117</v>
      </c>
    </row>
    <row r="21">
      <c r="A21" s="3" t="s">
        <v>273</v>
      </c>
      <c r="B21" s="3" t="s">
        <v>203</v>
      </c>
      <c r="C21" s="3" t="s">
        <v>51</v>
      </c>
      <c r="D21" s="3">
        <v>2023.0</v>
      </c>
      <c r="E21" s="3">
        <v>10.0</v>
      </c>
      <c r="F21" s="3" t="s">
        <v>32</v>
      </c>
      <c r="G21" s="3">
        <v>5.16826856E8</v>
      </c>
      <c r="H21" s="3" t="s">
        <v>274</v>
      </c>
      <c r="I21" s="3" t="s">
        <v>275</v>
      </c>
      <c r="J21" s="3" t="s">
        <v>35</v>
      </c>
      <c r="K21" s="4"/>
      <c r="L21" s="4"/>
      <c r="M21" s="5" t="s">
        <v>276</v>
      </c>
      <c r="N21" s="3" t="s">
        <v>277</v>
      </c>
      <c r="O21" s="3" t="s">
        <v>278</v>
      </c>
      <c r="P21" s="3" t="s">
        <v>40</v>
      </c>
      <c r="Q21" s="3">
        <v>7565844.0</v>
      </c>
      <c r="R21" s="3" t="s">
        <v>40</v>
      </c>
      <c r="S21" s="3" t="s">
        <v>40</v>
      </c>
      <c r="T21" s="3" t="s">
        <v>41</v>
      </c>
      <c r="U21" s="3" t="s">
        <v>279</v>
      </c>
      <c r="V21" s="3" t="s">
        <v>280</v>
      </c>
      <c r="W21" s="3" t="s">
        <v>279</v>
      </c>
      <c r="X21" s="3" t="s">
        <v>281</v>
      </c>
      <c r="Y21" s="3" t="s">
        <v>282</v>
      </c>
      <c r="Z21" s="3" t="s">
        <v>201</v>
      </c>
      <c r="AA21" s="3" t="s">
        <v>47</v>
      </c>
      <c r="AB21" s="3" t="s">
        <v>32</v>
      </c>
      <c r="AC21" s="3">
        <v>8.7</v>
      </c>
      <c r="AD21" s="3" t="s">
        <v>80</v>
      </c>
    </row>
    <row r="22">
      <c r="A22" s="12" t="s">
        <v>283</v>
      </c>
      <c r="B22" s="12" t="s">
        <v>82</v>
      </c>
      <c r="C22" s="12" t="s">
        <v>31</v>
      </c>
      <c r="D22" s="12">
        <v>2021.0</v>
      </c>
      <c r="E22" s="12">
        <v>10.0</v>
      </c>
      <c r="F22" s="12" t="s">
        <v>32</v>
      </c>
      <c r="G22" s="12" t="s">
        <v>40</v>
      </c>
      <c r="H22" s="12" t="s">
        <v>284</v>
      </c>
      <c r="I22" s="12" t="s">
        <v>285</v>
      </c>
      <c r="J22" s="12" t="s">
        <v>35</v>
      </c>
      <c r="K22" s="13"/>
      <c r="L22" s="13"/>
      <c r="M22" s="14" t="s">
        <v>286</v>
      </c>
      <c r="N22" s="12" t="s">
        <v>40</v>
      </c>
      <c r="O22" s="12" t="s">
        <v>287</v>
      </c>
      <c r="P22" s="12" t="s">
        <v>40</v>
      </c>
      <c r="Q22" s="12" t="s">
        <v>40</v>
      </c>
      <c r="R22" s="12" t="s">
        <v>40</v>
      </c>
      <c r="S22" s="12" t="s">
        <v>40</v>
      </c>
      <c r="T22" s="12" t="s">
        <v>211</v>
      </c>
      <c r="U22" s="12" t="s">
        <v>288</v>
      </c>
      <c r="V22" s="12" t="s">
        <v>40</v>
      </c>
      <c r="W22" s="12" t="s">
        <v>288</v>
      </c>
      <c r="X22" s="12" t="s">
        <v>289</v>
      </c>
      <c r="Y22" s="12" t="s">
        <v>290</v>
      </c>
      <c r="Z22" s="12" t="s">
        <v>291</v>
      </c>
      <c r="AA22" s="12" t="s">
        <v>47</v>
      </c>
      <c r="AB22" s="12" t="s">
        <v>47</v>
      </c>
      <c r="AC22" s="12" t="s">
        <v>40</v>
      </c>
      <c r="AD22" s="12" t="s">
        <v>80</v>
      </c>
    </row>
    <row r="23">
      <c r="A23" s="6" t="s">
        <v>292</v>
      </c>
      <c r="B23" s="6" t="s">
        <v>50</v>
      </c>
      <c r="C23" s="6" t="s">
        <v>119</v>
      </c>
      <c r="D23" s="6">
        <v>2002.0</v>
      </c>
      <c r="E23" s="6">
        <v>100.0</v>
      </c>
      <c r="F23" s="6" t="s">
        <v>32</v>
      </c>
      <c r="G23" s="6">
        <v>5.13129312E8</v>
      </c>
      <c r="H23" s="6" t="s">
        <v>293</v>
      </c>
      <c r="I23" s="6" t="s">
        <v>294</v>
      </c>
      <c r="J23" s="6" t="s">
        <v>54</v>
      </c>
      <c r="K23" s="6" t="s">
        <v>295</v>
      </c>
      <c r="L23" s="4"/>
      <c r="M23" s="7" t="s">
        <v>296</v>
      </c>
      <c r="N23" s="6" t="s">
        <v>297</v>
      </c>
      <c r="O23" s="6" t="s">
        <v>298</v>
      </c>
      <c r="P23" s="6" t="s">
        <v>40</v>
      </c>
      <c r="Q23" s="6">
        <v>4250455.0</v>
      </c>
      <c r="R23" s="6" t="s">
        <v>40</v>
      </c>
      <c r="S23" s="6" t="s">
        <v>40</v>
      </c>
      <c r="T23" s="6" t="s">
        <v>41</v>
      </c>
      <c r="U23" s="6" t="s">
        <v>299</v>
      </c>
      <c r="V23" s="6" t="s">
        <v>300</v>
      </c>
      <c r="W23" s="6" t="s">
        <v>301</v>
      </c>
      <c r="X23" s="6" t="s">
        <v>302</v>
      </c>
      <c r="Y23" s="6" t="s">
        <v>303</v>
      </c>
      <c r="Z23" s="6" t="s">
        <v>304</v>
      </c>
      <c r="AA23" s="6" t="s">
        <v>47</v>
      </c>
      <c r="AB23" s="6" t="s">
        <v>32</v>
      </c>
      <c r="AC23" s="6">
        <v>1.5</v>
      </c>
      <c r="AD23" s="6" t="s">
        <v>80</v>
      </c>
    </row>
    <row r="24">
      <c r="A24" s="8" t="s">
        <v>305</v>
      </c>
      <c r="B24" s="8" t="s">
        <v>30</v>
      </c>
      <c r="C24" s="8" t="s">
        <v>119</v>
      </c>
      <c r="D24" s="8">
        <v>2014.0</v>
      </c>
      <c r="E24" s="8">
        <v>100.0</v>
      </c>
      <c r="F24" s="8" t="s">
        <v>47</v>
      </c>
      <c r="G24" s="8">
        <v>5.20043928E8</v>
      </c>
      <c r="H24" s="8" t="s">
        <v>306</v>
      </c>
      <c r="I24" s="8" t="s">
        <v>307</v>
      </c>
      <c r="J24" s="8" t="s">
        <v>35</v>
      </c>
      <c r="K24" s="8" t="s">
        <v>308</v>
      </c>
      <c r="L24" s="4"/>
      <c r="M24" s="9" t="s">
        <v>309</v>
      </c>
      <c r="N24" s="8" t="s">
        <v>310</v>
      </c>
      <c r="O24" s="8" t="s">
        <v>311</v>
      </c>
      <c r="P24" s="8" t="s">
        <v>40</v>
      </c>
      <c r="Q24" s="8">
        <v>2066722.0</v>
      </c>
      <c r="R24" s="8" t="s">
        <v>40</v>
      </c>
      <c r="S24" s="8" t="s">
        <v>40</v>
      </c>
      <c r="T24" s="8" t="s">
        <v>41</v>
      </c>
      <c r="U24" s="8" t="s">
        <v>312</v>
      </c>
      <c r="V24" s="8" t="s">
        <v>313</v>
      </c>
      <c r="W24" s="8" t="s">
        <v>312</v>
      </c>
      <c r="X24" s="8" t="s">
        <v>314</v>
      </c>
      <c r="Y24" s="8" t="s">
        <v>315</v>
      </c>
      <c r="Z24" s="8" t="s">
        <v>316</v>
      </c>
      <c r="AA24" s="8" t="s">
        <v>47</v>
      </c>
      <c r="AB24" s="8" t="s">
        <v>47</v>
      </c>
      <c r="AC24" s="8">
        <v>45.1</v>
      </c>
      <c r="AD24" s="8" t="s">
        <v>80</v>
      </c>
    </row>
    <row r="25">
      <c r="A25" s="3" t="s">
        <v>317</v>
      </c>
      <c r="B25" s="3" t="s">
        <v>154</v>
      </c>
      <c r="C25" s="3" t="s">
        <v>119</v>
      </c>
      <c r="D25" s="3">
        <v>2016.0</v>
      </c>
      <c r="E25" s="3">
        <v>100.0</v>
      </c>
      <c r="F25" s="3" t="s">
        <v>32</v>
      </c>
      <c r="G25" s="3">
        <v>5.15386001E8</v>
      </c>
      <c r="H25" s="3" t="s">
        <v>318</v>
      </c>
      <c r="I25" s="3" t="s">
        <v>319</v>
      </c>
      <c r="J25" s="3" t="s">
        <v>35</v>
      </c>
      <c r="K25" s="3" t="s">
        <v>320</v>
      </c>
      <c r="L25" s="4"/>
      <c r="M25" s="5" t="s">
        <v>321</v>
      </c>
      <c r="N25" s="3" t="s">
        <v>322</v>
      </c>
      <c r="O25" s="3" t="s">
        <v>323</v>
      </c>
      <c r="P25" s="3" t="s">
        <v>40</v>
      </c>
      <c r="Q25" s="3">
        <v>5885849.0</v>
      </c>
      <c r="R25" s="3" t="s">
        <v>40</v>
      </c>
      <c r="S25" s="3" t="s">
        <v>40</v>
      </c>
      <c r="T25" s="3" t="s">
        <v>41</v>
      </c>
      <c r="U25" s="3" t="s">
        <v>324</v>
      </c>
      <c r="V25" s="3" t="s">
        <v>325</v>
      </c>
      <c r="W25" s="3" t="s">
        <v>324</v>
      </c>
      <c r="X25" s="3" t="s">
        <v>326</v>
      </c>
      <c r="Y25" s="3" t="s">
        <v>327</v>
      </c>
      <c r="Z25" s="3" t="s">
        <v>66</v>
      </c>
      <c r="AA25" s="3" t="s">
        <v>47</v>
      </c>
      <c r="AB25" s="3" t="s">
        <v>47</v>
      </c>
      <c r="AC25" s="3">
        <v>75.0</v>
      </c>
      <c r="AD25" s="3" t="s">
        <v>80</v>
      </c>
    </row>
    <row r="26">
      <c r="A26" s="3" t="s">
        <v>328</v>
      </c>
      <c r="B26" s="3" t="s">
        <v>50</v>
      </c>
      <c r="C26" s="3" t="s">
        <v>119</v>
      </c>
      <c r="D26" s="3">
        <v>2019.0</v>
      </c>
      <c r="E26" s="3">
        <v>100.0</v>
      </c>
      <c r="F26" s="3" t="s">
        <v>32</v>
      </c>
      <c r="G26" s="3">
        <v>5.15975217E8</v>
      </c>
      <c r="H26" s="3" t="s">
        <v>329</v>
      </c>
      <c r="I26" s="3" t="s">
        <v>330</v>
      </c>
      <c r="J26" s="3" t="s">
        <v>35</v>
      </c>
      <c r="K26" s="3" t="s">
        <v>331</v>
      </c>
      <c r="L26" s="4"/>
      <c r="M26" s="5" t="s">
        <v>332</v>
      </c>
      <c r="N26" s="3" t="s">
        <v>333</v>
      </c>
      <c r="O26" s="3" t="s">
        <v>75</v>
      </c>
      <c r="P26" s="3" t="s">
        <v>40</v>
      </c>
      <c r="Q26" s="3">
        <v>6744320.0</v>
      </c>
      <c r="R26" s="3" t="s">
        <v>40</v>
      </c>
      <c r="S26" s="3" t="s">
        <v>40</v>
      </c>
      <c r="T26" s="3" t="s">
        <v>41</v>
      </c>
      <c r="U26" s="3" t="s">
        <v>334</v>
      </c>
      <c r="V26" s="3" t="s">
        <v>335</v>
      </c>
      <c r="W26" s="3" t="s">
        <v>334</v>
      </c>
      <c r="X26" s="3" t="s">
        <v>336</v>
      </c>
      <c r="Y26" s="3" t="s">
        <v>337</v>
      </c>
      <c r="Z26" s="3" t="s">
        <v>291</v>
      </c>
      <c r="AA26" s="3" t="s">
        <v>47</v>
      </c>
      <c r="AB26" s="3" t="s">
        <v>47</v>
      </c>
      <c r="AC26" s="3">
        <v>19.0</v>
      </c>
      <c r="AD26" s="3" t="s">
        <v>80</v>
      </c>
    </row>
    <row r="27">
      <c r="A27" s="3" t="s">
        <v>338</v>
      </c>
      <c r="B27" s="3" t="s">
        <v>50</v>
      </c>
      <c r="C27" s="3" t="s">
        <v>119</v>
      </c>
      <c r="D27" s="3">
        <v>2004.0</v>
      </c>
      <c r="E27" s="3">
        <v>1000.0</v>
      </c>
      <c r="F27" s="3" t="s">
        <v>32</v>
      </c>
      <c r="G27" s="3" t="s">
        <v>40</v>
      </c>
      <c r="H27" s="3" t="s">
        <v>339</v>
      </c>
      <c r="I27" s="3" t="s">
        <v>340</v>
      </c>
      <c r="J27" s="3" t="s">
        <v>71</v>
      </c>
      <c r="K27" s="4"/>
      <c r="L27" s="4"/>
      <c r="M27" s="5" t="s">
        <v>341</v>
      </c>
      <c r="N27" s="3" t="s">
        <v>342</v>
      </c>
      <c r="O27" s="3" t="s">
        <v>343</v>
      </c>
      <c r="P27" s="3" t="s">
        <v>40</v>
      </c>
      <c r="Q27" s="3">
        <v>1037.0</v>
      </c>
      <c r="R27" s="3" t="s">
        <v>40</v>
      </c>
      <c r="S27" s="3" t="s">
        <v>40</v>
      </c>
      <c r="T27" s="3" t="s">
        <v>344</v>
      </c>
      <c r="U27" s="3" t="s">
        <v>345</v>
      </c>
      <c r="V27" s="3" t="s">
        <v>346</v>
      </c>
      <c r="W27" s="3" t="s">
        <v>347</v>
      </c>
      <c r="X27" s="3" t="s">
        <v>348</v>
      </c>
      <c r="Y27" s="3" t="s">
        <v>349</v>
      </c>
      <c r="Z27" s="3" t="s">
        <v>46</v>
      </c>
      <c r="AA27" s="3" t="s">
        <v>32</v>
      </c>
      <c r="AB27" s="3" t="s">
        <v>32</v>
      </c>
      <c r="AC27" s="3" t="s">
        <v>40</v>
      </c>
      <c r="AD27" s="3" t="s">
        <v>48</v>
      </c>
    </row>
    <row r="28">
      <c r="A28" s="8" t="s">
        <v>350</v>
      </c>
      <c r="B28" s="8" t="s">
        <v>351</v>
      </c>
      <c r="C28" s="8" t="s">
        <v>119</v>
      </c>
      <c r="D28" s="8">
        <v>1992.0</v>
      </c>
      <c r="E28" s="8">
        <v>103.0</v>
      </c>
      <c r="F28" s="8" t="s">
        <v>47</v>
      </c>
      <c r="G28" s="8">
        <v>5.11683351E8</v>
      </c>
      <c r="H28" s="8" t="s">
        <v>352</v>
      </c>
      <c r="I28" s="8" t="s">
        <v>353</v>
      </c>
      <c r="J28" s="8" t="s">
        <v>54</v>
      </c>
      <c r="K28" s="15"/>
      <c r="L28" s="4"/>
      <c r="M28" s="9" t="s">
        <v>354</v>
      </c>
      <c r="N28" s="8" t="s">
        <v>355</v>
      </c>
      <c r="O28" s="8" t="s">
        <v>356</v>
      </c>
      <c r="P28" s="8">
        <v>687.0</v>
      </c>
      <c r="Q28" s="8">
        <v>2069208.0</v>
      </c>
      <c r="R28" s="8" t="s">
        <v>40</v>
      </c>
      <c r="S28" s="8" t="s">
        <v>40</v>
      </c>
      <c r="T28" s="8" t="s">
        <v>41</v>
      </c>
      <c r="U28" s="8" t="s">
        <v>357</v>
      </c>
      <c r="V28" s="8" t="s">
        <v>358</v>
      </c>
      <c r="W28" s="8" t="s">
        <v>357</v>
      </c>
      <c r="X28" s="8" t="s">
        <v>359</v>
      </c>
      <c r="Y28" s="8" t="s">
        <v>360</v>
      </c>
      <c r="Z28" s="8" t="s">
        <v>361</v>
      </c>
      <c r="AA28" s="8" t="s">
        <v>47</v>
      </c>
      <c r="AB28" s="8" t="s">
        <v>32</v>
      </c>
      <c r="AC28" s="8">
        <v>12.5</v>
      </c>
      <c r="AD28" s="8" t="s">
        <v>80</v>
      </c>
    </row>
    <row r="29">
      <c r="A29" s="3" t="s">
        <v>362</v>
      </c>
      <c r="B29" s="3" t="s">
        <v>50</v>
      </c>
      <c r="C29" s="3" t="s">
        <v>119</v>
      </c>
      <c r="D29" s="3">
        <v>2019.0</v>
      </c>
      <c r="E29" s="3">
        <v>104.0</v>
      </c>
      <c r="F29" s="3" t="s">
        <v>32</v>
      </c>
      <c r="G29" s="3">
        <v>5.15928109E8</v>
      </c>
      <c r="H29" s="3" t="s">
        <v>363</v>
      </c>
      <c r="I29" s="3" t="s">
        <v>364</v>
      </c>
      <c r="J29" s="3" t="s">
        <v>35</v>
      </c>
      <c r="K29" s="3" t="s">
        <v>365</v>
      </c>
      <c r="L29" s="4"/>
      <c r="M29" s="5" t="s">
        <v>366</v>
      </c>
      <c r="N29" s="3" t="s">
        <v>367</v>
      </c>
      <c r="O29" s="3" t="s">
        <v>75</v>
      </c>
      <c r="P29" s="3" t="s">
        <v>40</v>
      </c>
      <c r="Q29" s="3">
        <v>6713701.0</v>
      </c>
      <c r="R29" s="3" t="s">
        <v>40</v>
      </c>
      <c r="S29" s="3" t="s">
        <v>40</v>
      </c>
      <c r="T29" s="3" t="s">
        <v>41</v>
      </c>
      <c r="U29" s="3" t="s">
        <v>368</v>
      </c>
      <c r="V29" s="3" t="s">
        <v>369</v>
      </c>
      <c r="W29" s="3" t="s">
        <v>368</v>
      </c>
      <c r="X29" s="3" t="s">
        <v>370</v>
      </c>
      <c r="Y29" s="3" t="s">
        <v>371</v>
      </c>
      <c r="Z29" s="3" t="s">
        <v>291</v>
      </c>
      <c r="AA29" s="3" t="s">
        <v>47</v>
      </c>
      <c r="AB29" s="3" t="s">
        <v>47</v>
      </c>
      <c r="AC29" s="3">
        <v>140.0</v>
      </c>
      <c r="AD29" s="3" t="s">
        <v>80</v>
      </c>
    </row>
    <row r="30">
      <c r="A30" s="3" t="s">
        <v>372</v>
      </c>
      <c r="B30" s="3" t="s">
        <v>351</v>
      </c>
      <c r="C30" s="3" t="s">
        <v>119</v>
      </c>
      <c r="D30" s="3">
        <v>2017.0</v>
      </c>
      <c r="E30" s="3">
        <v>105.0</v>
      </c>
      <c r="F30" s="3" t="s">
        <v>32</v>
      </c>
      <c r="G30" s="3">
        <v>5.15721744E8</v>
      </c>
      <c r="H30" s="3" t="s">
        <v>373</v>
      </c>
      <c r="I30" s="3" t="s">
        <v>374</v>
      </c>
      <c r="J30" s="3" t="s">
        <v>35</v>
      </c>
      <c r="K30" s="4"/>
      <c r="L30" s="4"/>
      <c r="M30" s="5" t="s">
        <v>375</v>
      </c>
      <c r="N30" s="3" t="s">
        <v>376</v>
      </c>
      <c r="O30" s="3" t="s">
        <v>75</v>
      </c>
      <c r="P30" s="3" t="s">
        <v>40</v>
      </c>
      <c r="Q30" s="3">
        <v>6789124.0</v>
      </c>
      <c r="R30" s="3" t="s">
        <v>40</v>
      </c>
      <c r="S30" s="3" t="s">
        <v>40</v>
      </c>
      <c r="T30" s="3" t="s">
        <v>41</v>
      </c>
      <c r="U30" s="3" t="s">
        <v>377</v>
      </c>
      <c r="V30" s="3" t="s">
        <v>40</v>
      </c>
      <c r="W30" s="3" t="s">
        <v>377</v>
      </c>
      <c r="X30" s="3" t="s">
        <v>378</v>
      </c>
      <c r="Y30" s="3" t="s">
        <v>379</v>
      </c>
      <c r="Z30" s="3" t="s">
        <v>380</v>
      </c>
      <c r="AA30" s="3" t="s">
        <v>47</v>
      </c>
      <c r="AB30" s="3" t="s">
        <v>47</v>
      </c>
      <c r="AC30" s="3">
        <v>101.0</v>
      </c>
      <c r="AD30" s="3" t="s">
        <v>80</v>
      </c>
    </row>
    <row r="31">
      <c r="A31" s="3" t="s">
        <v>381</v>
      </c>
      <c r="B31" s="3" t="s">
        <v>30</v>
      </c>
      <c r="C31" s="3" t="s">
        <v>51</v>
      </c>
      <c r="D31" s="3">
        <v>2016.0</v>
      </c>
      <c r="E31" s="3">
        <v>11.0</v>
      </c>
      <c r="F31" s="3" t="s">
        <v>32</v>
      </c>
      <c r="G31" s="3">
        <v>5.15859809E8</v>
      </c>
      <c r="H31" s="3" t="s">
        <v>382</v>
      </c>
      <c r="I31" s="3" t="s">
        <v>383</v>
      </c>
      <c r="J31" s="3" t="s">
        <v>71</v>
      </c>
      <c r="K31" s="3" t="s">
        <v>384</v>
      </c>
      <c r="L31" s="4"/>
      <c r="M31" s="5" t="s">
        <v>385</v>
      </c>
      <c r="N31" s="3" t="s">
        <v>386</v>
      </c>
      <c r="O31" s="3" t="s">
        <v>387</v>
      </c>
      <c r="P31" s="3" t="s">
        <v>40</v>
      </c>
      <c r="Q31" s="3">
        <v>7019900.0</v>
      </c>
      <c r="R31" s="3" t="s">
        <v>40</v>
      </c>
      <c r="S31" s="3" t="s">
        <v>40</v>
      </c>
      <c r="T31" s="3" t="s">
        <v>41</v>
      </c>
      <c r="U31" s="3" t="s">
        <v>388</v>
      </c>
      <c r="V31" s="3" t="s">
        <v>40</v>
      </c>
      <c r="W31" s="3" t="s">
        <v>388</v>
      </c>
      <c r="X31" s="3" t="s">
        <v>389</v>
      </c>
      <c r="Y31" s="3" t="s">
        <v>390</v>
      </c>
      <c r="Z31" s="3" t="s">
        <v>391</v>
      </c>
      <c r="AA31" s="3" t="s">
        <v>47</v>
      </c>
      <c r="AB31" s="3" t="s">
        <v>47</v>
      </c>
      <c r="AC31" s="3">
        <v>4.15</v>
      </c>
      <c r="AD31" s="3" t="s">
        <v>80</v>
      </c>
    </row>
    <row r="32">
      <c r="A32" s="3" t="s">
        <v>392</v>
      </c>
      <c r="B32" s="3" t="s">
        <v>82</v>
      </c>
      <c r="C32" s="3" t="s">
        <v>119</v>
      </c>
      <c r="D32" s="3">
        <v>2005.0</v>
      </c>
      <c r="E32" s="3">
        <v>118.0</v>
      </c>
      <c r="F32" s="3" t="s">
        <v>32</v>
      </c>
      <c r="G32" s="3">
        <v>5.13655233E8</v>
      </c>
      <c r="H32" s="3" t="s">
        <v>393</v>
      </c>
      <c r="I32" s="3" t="s">
        <v>394</v>
      </c>
      <c r="J32" s="3" t="s">
        <v>71</v>
      </c>
      <c r="K32" s="3" t="s">
        <v>395</v>
      </c>
      <c r="L32" s="4"/>
      <c r="M32" s="5" t="s">
        <v>396</v>
      </c>
      <c r="N32" s="3" t="s">
        <v>397</v>
      </c>
      <c r="O32" s="3" t="s">
        <v>183</v>
      </c>
      <c r="P32" s="3" t="s">
        <v>40</v>
      </c>
      <c r="Q32" s="3">
        <v>7670104.0</v>
      </c>
      <c r="R32" s="3" t="s">
        <v>40</v>
      </c>
      <c r="S32" s="3" t="s">
        <v>40</v>
      </c>
      <c r="T32" s="3" t="s">
        <v>41</v>
      </c>
      <c r="U32" s="3" t="s">
        <v>398</v>
      </c>
      <c r="V32" s="3" t="s">
        <v>399</v>
      </c>
      <c r="W32" s="3" t="s">
        <v>398</v>
      </c>
      <c r="X32" s="3" t="s">
        <v>400</v>
      </c>
      <c r="Y32" s="3" t="s">
        <v>401</v>
      </c>
      <c r="Z32" s="3" t="s">
        <v>402</v>
      </c>
      <c r="AA32" s="3" t="s">
        <v>47</v>
      </c>
      <c r="AB32" s="3" t="s">
        <v>47</v>
      </c>
      <c r="AC32" s="3">
        <v>118.5</v>
      </c>
      <c r="AD32" s="3" t="s">
        <v>80</v>
      </c>
    </row>
    <row r="33">
      <c r="A33" s="8" t="s">
        <v>403</v>
      </c>
      <c r="B33" s="8" t="s">
        <v>82</v>
      </c>
      <c r="C33" s="8" t="s">
        <v>51</v>
      </c>
      <c r="D33" s="8">
        <v>2020.0</v>
      </c>
      <c r="E33" s="8">
        <v>12.0</v>
      </c>
      <c r="F33" s="8" t="s">
        <v>47</v>
      </c>
      <c r="G33" s="8">
        <v>5.16243284E8</v>
      </c>
      <c r="H33" s="8" t="s">
        <v>404</v>
      </c>
      <c r="I33" s="8" t="s">
        <v>405</v>
      </c>
      <c r="J33" s="8" t="s">
        <v>54</v>
      </c>
      <c r="K33" s="8" t="s">
        <v>406</v>
      </c>
      <c r="L33" s="4"/>
      <c r="M33" s="9" t="s">
        <v>407</v>
      </c>
      <c r="N33" s="8" t="s">
        <v>408</v>
      </c>
      <c r="O33" s="8" t="s">
        <v>75</v>
      </c>
      <c r="P33" s="8" t="s">
        <v>40</v>
      </c>
      <c r="Q33" s="8">
        <v>6789921.0</v>
      </c>
      <c r="R33" s="8" t="s">
        <v>40</v>
      </c>
      <c r="S33" s="8" t="s">
        <v>40</v>
      </c>
      <c r="T33" s="8" t="s">
        <v>41</v>
      </c>
      <c r="U33" s="8" t="s">
        <v>409</v>
      </c>
      <c r="V33" s="8" t="s">
        <v>40</v>
      </c>
      <c r="W33" s="8" t="s">
        <v>409</v>
      </c>
      <c r="X33" s="8" t="s">
        <v>410</v>
      </c>
      <c r="Y33" s="8" t="s">
        <v>411</v>
      </c>
      <c r="Z33" s="8" t="s">
        <v>412</v>
      </c>
      <c r="AA33" s="8" t="s">
        <v>47</v>
      </c>
      <c r="AB33" s="8" t="s">
        <v>32</v>
      </c>
      <c r="AC33" s="8">
        <v>2.53</v>
      </c>
      <c r="AD33" s="8" t="s">
        <v>80</v>
      </c>
    </row>
    <row r="34">
      <c r="A34" s="3" t="s">
        <v>413</v>
      </c>
      <c r="B34" s="3" t="s">
        <v>68</v>
      </c>
      <c r="C34" s="3" t="s">
        <v>51</v>
      </c>
      <c r="D34" s="3">
        <v>2017.0</v>
      </c>
      <c r="E34" s="3">
        <v>12.0</v>
      </c>
      <c r="F34" s="3" t="s">
        <v>32</v>
      </c>
      <c r="G34" s="3">
        <v>5.15651545E8</v>
      </c>
      <c r="H34" s="3" t="s">
        <v>414</v>
      </c>
      <c r="I34" s="3" t="s">
        <v>415</v>
      </c>
      <c r="J34" s="3" t="s">
        <v>35</v>
      </c>
      <c r="K34" s="3" t="s">
        <v>416</v>
      </c>
      <c r="L34" s="4"/>
      <c r="M34" s="5" t="s">
        <v>417</v>
      </c>
      <c r="N34" s="3" t="s">
        <v>418</v>
      </c>
      <c r="O34" s="3" t="s">
        <v>75</v>
      </c>
      <c r="P34" s="3" t="s">
        <v>40</v>
      </c>
      <c r="Q34" s="3">
        <v>6944038.0</v>
      </c>
      <c r="R34" s="3" t="s">
        <v>40</v>
      </c>
      <c r="S34" s="3" t="s">
        <v>40</v>
      </c>
      <c r="T34" s="3" t="s">
        <v>41</v>
      </c>
      <c r="U34" s="3" t="s">
        <v>419</v>
      </c>
      <c r="V34" s="3" t="s">
        <v>420</v>
      </c>
      <c r="W34" s="3" t="s">
        <v>419</v>
      </c>
      <c r="X34" s="3" t="s">
        <v>421</v>
      </c>
      <c r="Y34" s="3" t="s">
        <v>422</v>
      </c>
      <c r="Z34" s="3" t="s">
        <v>423</v>
      </c>
      <c r="AA34" s="3" t="s">
        <v>47</v>
      </c>
      <c r="AB34" s="3" t="s">
        <v>47</v>
      </c>
      <c r="AC34" s="3">
        <v>4.33</v>
      </c>
      <c r="AD34" s="3" t="s">
        <v>80</v>
      </c>
    </row>
    <row r="35">
      <c r="A35" s="3" t="s">
        <v>424</v>
      </c>
      <c r="B35" s="3" t="s">
        <v>82</v>
      </c>
      <c r="C35" s="3" t="s">
        <v>51</v>
      </c>
      <c r="D35" s="3">
        <v>2006.0</v>
      </c>
      <c r="E35" s="3">
        <v>12.0</v>
      </c>
      <c r="F35" s="3" t="s">
        <v>32</v>
      </c>
      <c r="G35" s="3">
        <v>5.14341858E8</v>
      </c>
      <c r="H35" s="3" t="s">
        <v>425</v>
      </c>
      <c r="I35" s="3" t="s">
        <v>426</v>
      </c>
      <c r="J35" s="3" t="s">
        <v>35</v>
      </c>
      <c r="K35" s="3" t="s">
        <v>427</v>
      </c>
      <c r="L35" s="4"/>
      <c r="M35" s="5" t="s">
        <v>428</v>
      </c>
      <c r="N35" s="3" t="s">
        <v>429</v>
      </c>
      <c r="O35" s="3" t="s">
        <v>183</v>
      </c>
      <c r="P35" s="3" t="s">
        <v>40</v>
      </c>
      <c r="Q35" s="3">
        <v>7631426.0</v>
      </c>
      <c r="R35" s="3" t="s">
        <v>40</v>
      </c>
      <c r="S35" s="3" t="s">
        <v>40</v>
      </c>
      <c r="T35" s="3" t="s">
        <v>41</v>
      </c>
      <c r="U35" s="3" t="s">
        <v>430</v>
      </c>
      <c r="V35" s="3" t="s">
        <v>431</v>
      </c>
      <c r="W35" s="3" t="s">
        <v>430</v>
      </c>
      <c r="X35" s="3" t="s">
        <v>432</v>
      </c>
      <c r="Y35" s="3" t="s">
        <v>433</v>
      </c>
      <c r="Z35" s="3" t="s">
        <v>201</v>
      </c>
      <c r="AA35" s="3" t="s">
        <v>47</v>
      </c>
      <c r="AB35" s="3" t="s">
        <v>32</v>
      </c>
      <c r="AC35" s="3">
        <v>3.014</v>
      </c>
      <c r="AD35" s="3" t="s">
        <v>48</v>
      </c>
    </row>
    <row r="36">
      <c r="A36" s="3" t="s">
        <v>434</v>
      </c>
      <c r="B36" s="3" t="s">
        <v>435</v>
      </c>
      <c r="C36" s="3" t="s">
        <v>51</v>
      </c>
      <c r="D36" s="3">
        <v>2013.0</v>
      </c>
      <c r="E36" s="3">
        <v>12.0</v>
      </c>
      <c r="F36" s="3" t="s">
        <v>32</v>
      </c>
      <c r="G36" s="3">
        <v>5.15223949E8</v>
      </c>
      <c r="H36" s="3" t="s">
        <v>436</v>
      </c>
      <c r="I36" s="3" t="s">
        <v>437</v>
      </c>
      <c r="J36" s="3" t="s">
        <v>71</v>
      </c>
      <c r="K36" s="3" t="s">
        <v>438</v>
      </c>
      <c r="L36" s="4"/>
      <c r="M36" s="5" t="s">
        <v>439</v>
      </c>
      <c r="N36" s="3" t="s">
        <v>440</v>
      </c>
      <c r="O36" s="3" t="s">
        <v>75</v>
      </c>
      <c r="P36" s="3" t="s">
        <v>40</v>
      </c>
      <c r="Q36" s="3">
        <v>6971048.0</v>
      </c>
      <c r="R36" s="3" t="s">
        <v>40</v>
      </c>
      <c r="S36" s="3" t="s">
        <v>40</v>
      </c>
      <c r="T36" s="3" t="s">
        <v>41</v>
      </c>
      <c r="U36" s="3" t="s">
        <v>441</v>
      </c>
      <c r="V36" s="3" t="s">
        <v>442</v>
      </c>
      <c r="W36" s="3" t="s">
        <v>441</v>
      </c>
      <c r="X36" s="3" t="s">
        <v>443</v>
      </c>
      <c r="Y36" s="3" t="s">
        <v>444</v>
      </c>
      <c r="Z36" s="3" t="s">
        <v>445</v>
      </c>
      <c r="AA36" s="3" t="s">
        <v>47</v>
      </c>
      <c r="AB36" s="3" t="s">
        <v>47</v>
      </c>
      <c r="AC36" s="3">
        <v>27.0</v>
      </c>
      <c r="AD36" s="3" t="s">
        <v>80</v>
      </c>
    </row>
    <row r="37">
      <c r="A37" s="3" t="s">
        <v>446</v>
      </c>
      <c r="B37" s="3" t="s">
        <v>82</v>
      </c>
      <c r="C37" s="3" t="s">
        <v>51</v>
      </c>
      <c r="D37" s="3">
        <v>2025.0</v>
      </c>
      <c r="E37" s="3">
        <v>12.0</v>
      </c>
      <c r="F37" s="3" t="s">
        <v>32</v>
      </c>
      <c r="G37" s="3" t="s">
        <v>40</v>
      </c>
      <c r="H37" s="3" t="s">
        <v>447</v>
      </c>
      <c r="I37" s="3" t="s">
        <v>448</v>
      </c>
      <c r="J37" s="3" t="s">
        <v>71</v>
      </c>
      <c r="K37" s="3" t="s">
        <v>449</v>
      </c>
      <c r="L37" s="4"/>
      <c r="M37" s="5" t="s">
        <v>450</v>
      </c>
      <c r="N37" s="3" t="s">
        <v>451</v>
      </c>
      <c r="O37" s="3" t="s">
        <v>452</v>
      </c>
      <c r="P37" s="3" t="s">
        <v>40</v>
      </c>
      <c r="Q37" s="3">
        <v>7178127.0</v>
      </c>
      <c r="R37" s="3" t="s">
        <v>40</v>
      </c>
      <c r="S37" s="3" t="s">
        <v>40</v>
      </c>
      <c r="T37" s="3" t="s">
        <v>41</v>
      </c>
      <c r="U37" s="3" t="s">
        <v>453</v>
      </c>
      <c r="V37" s="3" t="s">
        <v>454</v>
      </c>
      <c r="W37" s="3" t="s">
        <v>40</v>
      </c>
      <c r="X37" s="3" t="s">
        <v>455</v>
      </c>
      <c r="Y37" s="3" t="s">
        <v>456</v>
      </c>
      <c r="Z37" s="3" t="s">
        <v>457</v>
      </c>
      <c r="AA37" s="3" t="s">
        <v>32</v>
      </c>
      <c r="AB37" s="3" t="s">
        <v>32</v>
      </c>
      <c r="AC37" s="3" t="s">
        <v>40</v>
      </c>
      <c r="AD37" s="3" t="s">
        <v>80</v>
      </c>
    </row>
    <row r="38">
      <c r="A38" s="3" t="s">
        <v>458</v>
      </c>
      <c r="B38" s="3" t="s">
        <v>82</v>
      </c>
      <c r="C38" s="3" t="s">
        <v>51</v>
      </c>
      <c r="D38" s="3">
        <v>2011.0</v>
      </c>
      <c r="E38" s="3">
        <v>12.0</v>
      </c>
      <c r="F38" s="3" t="s">
        <v>32</v>
      </c>
      <c r="G38" s="3">
        <v>5.13336479E8</v>
      </c>
      <c r="H38" s="3" t="s">
        <v>459</v>
      </c>
      <c r="I38" s="3" t="s">
        <v>460</v>
      </c>
      <c r="J38" s="3" t="s">
        <v>35</v>
      </c>
      <c r="K38" s="3" t="s">
        <v>461</v>
      </c>
      <c r="L38" s="4"/>
      <c r="M38" s="5" t="s">
        <v>462</v>
      </c>
      <c r="N38" s="3" t="s">
        <v>463</v>
      </c>
      <c r="O38" s="3" t="s">
        <v>464</v>
      </c>
      <c r="P38" s="3" t="s">
        <v>40</v>
      </c>
      <c r="Q38" s="3">
        <v>12489.0</v>
      </c>
      <c r="R38" s="3" t="s">
        <v>40</v>
      </c>
      <c r="S38" s="3" t="s">
        <v>40</v>
      </c>
      <c r="T38" s="3" t="s">
        <v>465</v>
      </c>
      <c r="U38" s="3" t="s">
        <v>466</v>
      </c>
      <c r="V38" s="3" t="s">
        <v>467</v>
      </c>
      <c r="W38" s="3" t="s">
        <v>466</v>
      </c>
      <c r="X38" s="3" t="s">
        <v>468</v>
      </c>
      <c r="Y38" s="3" t="s">
        <v>469</v>
      </c>
      <c r="Z38" s="3" t="s">
        <v>470</v>
      </c>
      <c r="AA38" s="3" t="s">
        <v>32</v>
      </c>
      <c r="AB38" s="3" t="s">
        <v>32</v>
      </c>
      <c r="AC38" s="3" t="s">
        <v>40</v>
      </c>
      <c r="AD38" s="3" t="s">
        <v>80</v>
      </c>
    </row>
    <row r="39">
      <c r="A39" s="6" t="s">
        <v>471</v>
      </c>
      <c r="B39" s="6" t="s">
        <v>82</v>
      </c>
      <c r="C39" s="6" t="s">
        <v>51</v>
      </c>
      <c r="D39" s="6">
        <v>2018.0</v>
      </c>
      <c r="E39" s="6">
        <v>12.0</v>
      </c>
      <c r="F39" s="6" t="s">
        <v>32</v>
      </c>
      <c r="G39" s="6">
        <v>5.15739688E8</v>
      </c>
      <c r="H39" s="6" t="s">
        <v>472</v>
      </c>
      <c r="I39" s="6" t="s">
        <v>473</v>
      </c>
      <c r="J39" s="6" t="s">
        <v>35</v>
      </c>
      <c r="K39" s="16"/>
      <c r="L39" s="4"/>
      <c r="M39" s="7" t="s">
        <v>474</v>
      </c>
      <c r="N39" s="6" t="s">
        <v>475</v>
      </c>
      <c r="O39" s="6" t="s">
        <v>75</v>
      </c>
      <c r="P39" s="6" t="s">
        <v>40</v>
      </c>
      <c r="Q39" s="6">
        <v>6684923.0</v>
      </c>
      <c r="R39" s="6" t="s">
        <v>40</v>
      </c>
      <c r="S39" s="6" t="s">
        <v>40</v>
      </c>
      <c r="T39" s="6" t="s">
        <v>41</v>
      </c>
      <c r="U39" s="6" t="s">
        <v>476</v>
      </c>
      <c r="V39" s="6" t="s">
        <v>477</v>
      </c>
      <c r="W39" s="6" t="s">
        <v>476</v>
      </c>
      <c r="X39" s="6" t="s">
        <v>478</v>
      </c>
      <c r="Y39" s="6" t="s">
        <v>479</v>
      </c>
      <c r="Z39" s="6" t="s">
        <v>66</v>
      </c>
      <c r="AA39" s="6" t="s">
        <v>47</v>
      </c>
      <c r="AB39" s="6" t="s">
        <v>32</v>
      </c>
      <c r="AC39" s="6">
        <v>1.07</v>
      </c>
      <c r="AD39" s="6" t="s">
        <v>80</v>
      </c>
    </row>
    <row r="40">
      <c r="A40" s="3" t="s">
        <v>480</v>
      </c>
      <c r="B40" s="3" t="s">
        <v>50</v>
      </c>
      <c r="C40" s="3" t="s">
        <v>51</v>
      </c>
      <c r="D40" s="3">
        <v>2016.0</v>
      </c>
      <c r="E40" s="3">
        <v>12.0</v>
      </c>
      <c r="F40" s="3" t="s">
        <v>32</v>
      </c>
      <c r="G40" s="3">
        <v>5.15565729E8</v>
      </c>
      <c r="H40" s="3" t="s">
        <v>481</v>
      </c>
      <c r="I40" s="3" t="s">
        <v>482</v>
      </c>
      <c r="J40" s="3" t="s">
        <v>35</v>
      </c>
      <c r="K40" s="4"/>
      <c r="L40" s="4"/>
      <c r="M40" s="5" t="s">
        <v>483</v>
      </c>
      <c r="N40" s="3" t="s">
        <v>484</v>
      </c>
      <c r="O40" s="3" t="s">
        <v>485</v>
      </c>
      <c r="P40" s="3" t="s">
        <v>40</v>
      </c>
      <c r="Q40" s="3">
        <v>3508504.0</v>
      </c>
      <c r="R40" s="3" t="s">
        <v>40</v>
      </c>
      <c r="S40" s="3" t="s">
        <v>40</v>
      </c>
      <c r="T40" s="3" t="s">
        <v>41</v>
      </c>
      <c r="U40" s="3" t="s">
        <v>486</v>
      </c>
      <c r="V40" s="3" t="s">
        <v>487</v>
      </c>
      <c r="W40" s="3" t="s">
        <v>486</v>
      </c>
      <c r="X40" s="3" t="s">
        <v>488</v>
      </c>
      <c r="Y40" s="3" t="s">
        <v>489</v>
      </c>
      <c r="Z40" s="3" t="s">
        <v>490</v>
      </c>
      <c r="AA40" s="3" t="s">
        <v>47</v>
      </c>
      <c r="AB40" s="3" t="s">
        <v>47</v>
      </c>
      <c r="AC40" s="3">
        <v>10.35</v>
      </c>
      <c r="AD40" s="3" t="s">
        <v>80</v>
      </c>
    </row>
    <row r="41">
      <c r="A41" s="3" t="s">
        <v>491</v>
      </c>
      <c r="B41" s="3" t="s">
        <v>50</v>
      </c>
      <c r="C41" s="3" t="s">
        <v>51</v>
      </c>
      <c r="D41" s="3">
        <v>2013.0</v>
      </c>
      <c r="E41" s="3">
        <v>120.0</v>
      </c>
      <c r="F41" s="3" t="s">
        <v>32</v>
      </c>
      <c r="G41" s="3">
        <v>5.15173938E8</v>
      </c>
      <c r="H41" s="3" t="s">
        <v>492</v>
      </c>
      <c r="I41" s="3" t="s">
        <v>493</v>
      </c>
      <c r="J41" s="3" t="s">
        <v>71</v>
      </c>
      <c r="K41" s="4"/>
      <c r="L41" s="4"/>
      <c r="M41" s="5" t="s">
        <v>494</v>
      </c>
      <c r="N41" s="3" t="s">
        <v>495</v>
      </c>
      <c r="O41" s="3" t="s">
        <v>485</v>
      </c>
      <c r="P41" s="3" t="s">
        <v>40</v>
      </c>
      <c r="Q41" s="3">
        <v>3303327.0</v>
      </c>
      <c r="R41" s="3" t="s">
        <v>40</v>
      </c>
      <c r="S41" s="3" t="s">
        <v>40</v>
      </c>
      <c r="T41" s="3" t="s">
        <v>41</v>
      </c>
      <c r="U41" s="3" t="s">
        <v>496</v>
      </c>
      <c r="V41" s="3" t="s">
        <v>497</v>
      </c>
      <c r="W41" s="3" t="s">
        <v>498</v>
      </c>
      <c r="X41" s="3" t="s">
        <v>499</v>
      </c>
      <c r="Y41" s="3" t="s">
        <v>500</v>
      </c>
      <c r="Z41" s="3" t="s">
        <v>501</v>
      </c>
      <c r="AA41" s="3" t="s">
        <v>47</v>
      </c>
      <c r="AB41" s="3" t="s">
        <v>47</v>
      </c>
      <c r="AC41" s="3">
        <v>7.52</v>
      </c>
      <c r="AD41" s="3" t="s">
        <v>80</v>
      </c>
    </row>
    <row r="42">
      <c r="A42" s="3" t="s">
        <v>502</v>
      </c>
      <c r="B42" s="3" t="s">
        <v>68</v>
      </c>
      <c r="C42" s="3" t="s">
        <v>119</v>
      </c>
      <c r="D42" s="3">
        <v>2017.0</v>
      </c>
      <c r="E42" s="3">
        <v>120.0</v>
      </c>
      <c r="F42" s="3" t="s">
        <v>32</v>
      </c>
      <c r="G42" s="3">
        <v>5.16667144E8</v>
      </c>
      <c r="H42" s="3" t="s">
        <v>503</v>
      </c>
      <c r="I42" s="3" t="s">
        <v>504</v>
      </c>
      <c r="J42" s="3" t="s">
        <v>54</v>
      </c>
      <c r="K42" s="4"/>
      <c r="L42" s="4"/>
      <c r="M42" s="5" t="s">
        <v>505</v>
      </c>
      <c r="N42" s="3" t="s">
        <v>40</v>
      </c>
      <c r="O42" s="3" t="s">
        <v>506</v>
      </c>
      <c r="P42" s="3" t="s">
        <v>40</v>
      </c>
      <c r="Q42" s="3" t="s">
        <v>40</v>
      </c>
      <c r="R42" s="3" t="s">
        <v>507</v>
      </c>
      <c r="S42" s="3" t="s">
        <v>40</v>
      </c>
      <c r="T42" s="3" t="s">
        <v>60</v>
      </c>
      <c r="U42" s="3" t="s">
        <v>508</v>
      </c>
      <c r="V42" s="3" t="s">
        <v>40</v>
      </c>
      <c r="W42" s="3" t="s">
        <v>508</v>
      </c>
      <c r="X42" s="3" t="s">
        <v>509</v>
      </c>
      <c r="Y42" s="3" t="s">
        <v>510</v>
      </c>
      <c r="Z42" s="3" t="s">
        <v>511</v>
      </c>
      <c r="AA42" s="3" t="s">
        <v>47</v>
      </c>
      <c r="AB42" s="3" t="s">
        <v>47</v>
      </c>
      <c r="AC42" s="3">
        <v>88.0</v>
      </c>
      <c r="AD42" s="3" t="s">
        <v>80</v>
      </c>
    </row>
    <row r="43">
      <c r="A43" s="6" t="s">
        <v>512</v>
      </c>
      <c r="B43" s="6" t="s">
        <v>82</v>
      </c>
      <c r="C43" s="6" t="s">
        <v>51</v>
      </c>
      <c r="D43" s="6">
        <v>2011.0</v>
      </c>
      <c r="E43" s="6">
        <v>13.0</v>
      </c>
      <c r="F43" s="6" t="s">
        <v>32</v>
      </c>
      <c r="G43" s="6">
        <v>5.14589472E8</v>
      </c>
      <c r="H43" s="6" t="s">
        <v>513</v>
      </c>
      <c r="I43" s="6" t="s">
        <v>514</v>
      </c>
      <c r="J43" s="6" t="s">
        <v>515</v>
      </c>
      <c r="K43" s="6" t="s">
        <v>516</v>
      </c>
      <c r="L43" s="4"/>
      <c r="M43" s="7" t="s">
        <v>517</v>
      </c>
      <c r="N43" s="6" t="s">
        <v>518</v>
      </c>
      <c r="O43" s="6" t="s">
        <v>75</v>
      </c>
      <c r="P43" s="6" t="s">
        <v>40</v>
      </c>
      <c r="Q43" s="6">
        <v>6967135.0</v>
      </c>
      <c r="R43" s="6" t="s">
        <v>40</v>
      </c>
      <c r="S43" s="6" t="s">
        <v>40</v>
      </c>
      <c r="T43" s="6" t="s">
        <v>41</v>
      </c>
      <c r="U43" s="6" t="s">
        <v>519</v>
      </c>
      <c r="V43" s="6" t="s">
        <v>520</v>
      </c>
      <c r="W43" s="6" t="s">
        <v>519</v>
      </c>
      <c r="X43" s="6" t="s">
        <v>521</v>
      </c>
      <c r="Y43" s="6" t="s">
        <v>522</v>
      </c>
      <c r="Z43" s="6" t="s">
        <v>523</v>
      </c>
      <c r="AA43" s="6" t="s">
        <v>47</v>
      </c>
      <c r="AB43" s="6" t="s">
        <v>32</v>
      </c>
      <c r="AC43" s="6">
        <v>1.3</v>
      </c>
      <c r="AD43" s="6" t="s">
        <v>80</v>
      </c>
    </row>
    <row r="44">
      <c r="A44" s="3" t="s">
        <v>524</v>
      </c>
      <c r="B44" s="3" t="s">
        <v>203</v>
      </c>
      <c r="C44" s="3" t="s">
        <v>51</v>
      </c>
      <c r="D44" s="3">
        <v>2007.0</v>
      </c>
      <c r="E44" s="3">
        <v>13.0</v>
      </c>
      <c r="F44" s="3" t="s">
        <v>32</v>
      </c>
      <c r="G44" s="3">
        <v>5.14036342E8</v>
      </c>
      <c r="H44" s="3" t="s">
        <v>525</v>
      </c>
      <c r="I44" s="3" t="s">
        <v>526</v>
      </c>
      <c r="J44" s="3" t="s">
        <v>71</v>
      </c>
      <c r="K44" s="3" t="s">
        <v>527</v>
      </c>
      <c r="L44" s="4"/>
      <c r="M44" s="5" t="s">
        <v>528</v>
      </c>
      <c r="N44" s="3" t="s">
        <v>529</v>
      </c>
      <c r="O44" s="3" t="s">
        <v>530</v>
      </c>
      <c r="P44" s="3">
        <v>13175.0</v>
      </c>
      <c r="Q44" s="3">
        <v>8122502.0</v>
      </c>
      <c r="R44" s="3" t="s">
        <v>40</v>
      </c>
      <c r="S44" s="3" t="s">
        <v>40</v>
      </c>
      <c r="T44" s="3" t="s">
        <v>41</v>
      </c>
      <c r="U44" s="3" t="s">
        <v>40</v>
      </c>
      <c r="V44" s="3" t="s">
        <v>531</v>
      </c>
      <c r="W44" s="3" t="s">
        <v>532</v>
      </c>
      <c r="X44" s="3" t="s">
        <v>533</v>
      </c>
      <c r="Y44" s="3" t="s">
        <v>534</v>
      </c>
      <c r="Z44" s="3" t="s">
        <v>535</v>
      </c>
      <c r="AA44" s="3" t="s">
        <v>47</v>
      </c>
      <c r="AB44" s="3" t="s">
        <v>47</v>
      </c>
      <c r="AC44" s="3">
        <v>6.28</v>
      </c>
      <c r="AD44" s="3" t="s">
        <v>80</v>
      </c>
    </row>
    <row r="45">
      <c r="A45" s="3" t="s">
        <v>536</v>
      </c>
      <c r="B45" s="3" t="s">
        <v>82</v>
      </c>
      <c r="C45" s="3" t="s">
        <v>51</v>
      </c>
      <c r="D45" s="3">
        <v>2019.0</v>
      </c>
      <c r="E45" s="3">
        <v>13.0</v>
      </c>
      <c r="F45" s="3" t="s">
        <v>32</v>
      </c>
      <c r="G45" s="3">
        <v>5.15976603E8</v>
      </c>
      <c r="H45" s="3" t="s">
        <v>537</v>
      </c>
      <c r="I45" s="3" t="s">
        <v>538</v>
      </c>
      <c r="J45" s="3" t="s">
        <v>35</v>
      </c>
      <c r="K45" s="3" t="s">
        <v>539</v>
      </c>
      <c r="L45" s="4"/>
      <c r="M45" s="5" t="s">
        <v>540</v>
      </c>
      <c r="N45" s="3" t="s">
        <v>541</v>
      </c>
      <c r="O45" s="3" t="s">
        <v>485</v>
      </c>
      <c r="P45" s="3" t="s">
        <v>40</v>
      </c>
      <c r="Q45" s="3">
        <v>3190500.0</v>
      </c>
      <c r="R45" s="3" t="s">
        <v>40</v>
      </c>
      <c r="S45" s="3" t="s">
        <v>40</v>
      </c>
      <c r="T45" s="3" t="s">
        <v>41</v>
      </c>
      <c r="U45" s="3" t="s">
        <v>542</v>
      </c>
      <c r="V45" s="3" t="s">
        <v>40</v>
      </c>
      <c r="W45" s="3" t="s">
        <v>542</v>
      </c>
      <c r="X45" s="3" t="s">
        <v>543</v>
      </c>
      <c r="Y45" s="3" t="s">
        <v>544</v>
      </c>
      <c r="Z45" s="3" t="s">
        <v>545</v>
      </c>
      <c r="AA45" s="3" t="s">
        <v>47</v>
      </c>
      <c r="AB45" s="3" t="s">
        <v>32</v>
      </c>
      <c r="AC45" s="3">
        <v>5.0</v>
      </c>
      <c r="AD45" s="3" t="s">
        <v>80</v>
      </c>
    </row>
    <row r="46">
      <c r="A46" s="3" t="s">
        <v>546</v>
      </c>
      <c r="B46" s="3" t="s">
        <v>50</v>
      </c>
      <c r="C46" s="3" t="s">
        <v>51</v>
      </c>
      <c r="D46" s="3">
        <v>2018.0</v>
      </c>
      <c r="E46" s="3">
        <v>13.0</v>
      </c>
      <c r="F46" s="3" t="s">
        <v>32</v>
      </c>
      <c r="G46" s="3">
        <v>5.15817344E8</v>
      </c>
      <c r="H46" s="3" t="s">
        <v>547</v>
      </c>
      <c r="I46" s="3" t="s">
        <v>548</v>
      </c>
      <c r="J46" s="3" t="s">
        <v>35</v>
      </c>
      <c r="K46" s="3" t="s">
        <v>549</v>
      </c>
      <c r="L46" s="4"/>
      <c r="M46" s="5" t="s">
        <v>550</v>
      </c>
      <c r="N46" s="3" t="s">
        <v>551</v>
      </c>
      <c r="O46" s="3" t="s">
        <v>552</v>
      </c>
      <c r="P46" s="3" t="s">
        <v>40</v>
      </c>
      <c r="Q46" s="3">
        <v>4672561.0</v>
      </c>
      <c r="R46" s="3" t="s">
        <v>40</v>
      </c>
      <c r="S46" s="3" t="s">
        <v>40</v>
      </c>
      <c r="T46" s="3" t="s">
        <v>41</v>
      </c>
      <c r="U46" s="3" t="s">
        <v>553</v>
      </c>
      <c r="V46" s="3" t="s">
        <v>554</v>
      </c>
      <c r="W46" s="3" t="s">
        <v>553</v>
      </c>
      <c r="X46" s="3" t="s">
        <v>555</v>
      </c>
      <c r="Y46" s="3" t="s">
        <v>556</v>
      </c>
      <c r="Z46" s="3" t="s">
        <v>557</v>
      </c>
      <c r="AA46" s="3" t="s">
        <v>47</v>
      </c>
      <c r="AB46" s="3" t="s">
        <v>47</v>
      </c>
      <c r="AC46" s="3">
        <v>9.5</v>
      </c>
      <c r="AD46" s="3" t="s">
        <v>80</v>
      </c>
    </row>
    <row r="47">
      <c r="A47" s="6" t="s">
        <v>558</v>
      </c>
      <c r="B47" s="6" t="s">
        <v>82</v>
      </c>
      <c r="C47" s="6" t="s">
        <v>51</v>
      </c>
      <c r="D47" s="6">
        <v>1998.0</v>
      </c>
      <c r="E47" s="6">
        <v>13.0</v>
      </c>
      <c r="F47" s="6" t="s">
        <v>32</v>
      </c>
      <c r="G47" s="6">
        <v>5.12558669E8</v>
      </c>
      <c r="H47" s="6" t="s">
        <v>559</v>
      </c>
      <c r="I47" s="6" t="s">
        <v>560</v>
      </c>
      <c r="J47" s="6" t="s">
        <v>54</v>
      </c>
      <c r="K47" s="16"/>
      <c r="L47" s="4"/>
      <c r="M47" s="7" t="s">
        <v>561</v>
      </c>
      <c r="N47" s="6" t="s">
        <v>562</v>
      </c>
      <c r="O47" s="6" t="s">
        <v>298</v>
      </c>
      <c r="P47" s="6">
        <v>8745.0</v>
      </c>
      <c r="Q47" s="6">
        <v>42101.0</v>
      </c>
      <c r="R47" s="6" t="s">
        <v>40</v>
      </c>
      <c r="S47" s="6" t="s">
        <v>40</v>
      </c>
      <c r="T47" s="6" t="s">
        <v>41</v>
      </c>
      <c r="U47" s="6" t="s">
        <v>563</v>
      </c>
      <c r="V47" s="6" t="s">
        <v>564</v>
      </c>
      <c r="W47" s="6" t="s">
        <v>563</v>
      </c>
      <c r="X47" s="6" t="s">
        <v>565</v>
      </c>
      <c r="Y47" s="6" t="s">
        <v>566</v>
      </c>
      <c r="Z47" s="6" t="s">
        <v>567</v>
      </c>
      <c r="AA47" s="6" t="s">
        <v>47</v>
      </c>
      <c r="AB47" s="6" t="s">
        <v>32</v>
      </c>
      <c r="AC47" s="6">
        <v>0.3</v>
      </c>
      <c r="AD47" s="6" t="s">
        <v>80</v>
      </c>
    </row>
    <row r="48">
      <c r="A48" s="6" t="s">
        <v>568</v>
      </c>
      <c r="B48" s="6" t="s">
        <v>50</v>
      </c>
      <c r="C48" s="6" t="s">
        <v>31</v>
      </c>
      <c r="D48" s="6">
        <v>2017.0</v>
      </c>
      <c r="E48" s="6">
        <v>13.0</v>
      </c>
      <c r="F48" s="6" t="s">
        <v>32</v>
      </c>
      <c r="G48" s="6">
        <v>5.15312825E8</v>
      </c>
      <c r="H48" s="6" t="s">
        <v>569</v>
      </c>
      <c r="I48" s="6" t="s">
        <v>570</v>
      </c>
      <c r="J48" s="6" t="s">
        <v>71</v>
      </c>
      <c r="K48" s="16"/>
      <c r="L48" s="4"/>
      <c r="M48" s="7" t="s">
        <v>571</v>
      </c>
      <c r="N48" s="6" t="s">
        <v>572</v>
      </c>
      <c r="O48" s="6" t="s">
        <v>530</v>
      </c>
      <c r="P48" s="6" t="s">
        <v>40</v>
      </c>
      <c r="Q48" s="6">
        <v>8122214.0</v>
      </c>
      <c r="R48" s="6" t="s">
        <v>40</v>
      </c>
      <c r="S48" s="6" t="s">
        <v>40</v>
      </c>
      <c r="T48" s="6" t="s">
        <v>41</v>
      </c>
      <c r="U48" s="6" t="s">
        <v>573</v>
      </c>
      <c r="V48" s="6" t="s">
        <v>574</v>
      </c>
      <c r="W48" s="6" t="s">
        <v>573</v>
      </c>
      <c r="X48" s="6" t="s">
        <v>575</v>
      </c>
      <c r="Y48" s="6" t="s">
        <v>576</v>
      </c>
      <c r="Z48" s="6" t="s">
        <v>577</v>
      </c>
      <c r="AA48" s="6" t="s">
        <v>47</v>
      </c>
      <c r="AB48" s="6" t="s">
        <v>32</v>
      </c>
      <c r="AC48" s="6">
        <v>1.5</v>
      </c>
      <c r="AD48" s="6" t="s">
        <v>80</v>
      </c>
    </row>
    <row r="49">
      <c r="A49" s="3" t="s">
        <v>578</v>
      </c>
      <c r="B49" s="3" t="s">
        <v>154</v>
      </c>
      <c r="C49" s="3" t="s">
        <v>119</v>
      </c>
      <c r="D49" s="3">
        <v>1983.0</v>
      </c>
      <c r="E49" s="3">
        <v>1300.0</v>
      </c>
      <c r="F49" s="3" t="s">
        <v>32</v>
      </c>
      <c r="G49" s="3">
        <v>5.110077E8</v>
      </c>
      <c r="H49" s="3" t="s">
        <v>579</v>
      </c>
      <c r="I49" s="3" t="s">
        <v>40</v>
      </c>
      <c r="J49" s="3" t="s">
        <v>40</v>
      </c>
      <c r="K49" s="3" t="s">
        <v>40</v>
      </c>
      <c r="L49" s="4"/>
      <c r="M49" s="5" t="s">
        <v>580</v>
      </c>
      <c r="N49" s="3" t="s">
        <v>581</v>
      </c>
      <c r="O49" s="3" t="s">
        <v>582</v>
      </c>
      <c r="P49" s="3">
        <v>388.0</v>
      </c>
      <c r="Q49" s="3">
        <v>8714453.0</v>
      </c>
      <c r="R49" s="3" t="s">
        <v>40</v>
      </c>
      <c r="S49" s="3" t="s">
        <v>40</v>
      </c>
      <c r="T49" s="3" t="s">
        <v>41</v>
      </c>
      <c r="U49" s="3" t="s">
        <v>583</v>
      </c>
      <c r="V49" s="3" t="s">
        <v>584</v>
      </c>
      <c r="W49" s="3" t="s">
        <v>583</v>
      </c>
      <c r="X49" s="3" t="s">
        <v>585</v>
      </c>
      <c r="Y49" s="3" t="s">
        <v>586</v>
      </c>
      <c r="Z49" s="3" t="s">
        <v>412</v>
      </c>
      <c r="AA49" s="3" t="s">
        <v>32</v>
      </c>
      <c r="AB49" s="3" t="s">
        <v>32</v>
      </c>
      <c r="AC49" s="3" t="s">
        <v>40</v>
      </c>
      <c r="AD49" s="3" t="s">
        <v>40</v>
      </c>
    </row>
    <row r="50">
      <c r="A50" s="3" t="s">
        <v>587</v>
      </c>
      <c r="B50" s="3" t="s">
        <v>154</v>
      </c>
      <c r="C50" s="3" t="s">
        <v>119</v>
      </c>
      <c r="D50" s="3">
        <v>2015.0</v>
      </c>
      <c r="E50" s="3">
        <v>132.0</v>
      </c>
      <c r="F50" s="3" t="s">
        <v>32</v>
      </c>
      <c r="G50" s="3">
        <v>5.15181907E8</v>
      </c>
      <c r="H50" s="3" t="s">
        <v>588</v>
      </c>
      <c r="I50" s="3" t="s">
        <v>589</v>
      </c>
      <c r="J50" s="3" t="s">
        <v>71</v>
      </c>
      <c r="K50" s="3" t="s">
        <v>590</v>
      </c>
      <c r="L50" s="4"/>
      <c r="M50" s="5" t="s">
        <v>591</v>
      </c>
      <c r="N50" s="3" t="s">
        <v>592</v>
      </c>
      <c r="O50" s="3" t="s">
        <v>75</v>
      </c>
      <c r="P50" s="3" t="s">
        <v>40</v>
      </c>
      <c r="Q50" s="3">
        <v>6777016.0</v>
      </c>
      <c r="R50" s="3" t="s">
        <v>40</v>
      </c>
      <c r="S50" s="3" t="s">
        <v>40</v>
      </c>
      <c r="T50" s="3" t="s">
        <v>41</v>
      </c>
      <c r="U50" s="3" t="s">
        <v>593</v>
      </c>
      <c r="V50" s="3" t="s">
        <v>40</v>
      </c>
      <c r="W50" s="3" t="s">
        <v>593</v>
      </c>
      <c r="X50" s="3" t="s">
        <v>594</v>
      </c>
      <c r="Y50" s="3" t="s">
        <v>595</v>
      </c>
      <c r="Z50" s="3" t="s">
        <v>596</v>
      </c>
      <c r="AA50" s="3" t="s">
        <v>47</v>
      </c>
      <c r="AB50" s="3" t="s">
        <v>47</v>
      </c>
      <c r="AC50" s="3">
        <v>171.5</v>
      </c>
      <c r="AD50" s="3" t="s">
        <v>80</v>
      </c>
    </row>
    <row r="51">
      <c r="A51" s="17" t="s">
        <v>597</v>
      </c>
      <c r="B51" s="17" t="s">
        <v>30</v>
      </c>
      <c r="C51" s="17" t="s">
        <v>51</v>
      </c>
      <c r="D51" s="17">
        <v>2013.0</v>
      </c>
      <c r="E51" s="17">
        <v>134.0</v>
      </c>
      <c r="F51" s="17" t="s">
        <v>47</v>
      </c>
      <c r="G51" s="17">
        <v>5.20038126E8</v>
      </c>
      <c r="H51" s="17" t="s">
        <v>598</v>
      </c>
      <c r="I51" s="17" t="s">
        <v>599</v>
      </c>
      <c r="J51" s="17" t="s">
        <v>35</v>
      </c>
      <c r="K51" s="17" t="s">
        <v>600</v>
      </c>
      <c r="L51" s="4"/>
      <c r="M51" s="18" t="s">
        <v>601</v>
      </c>
      <c r="N51" s="17" t="s">
        <v>602</v>
      </c>
      <c r="O51" s="17" t="s">
        <v>603</v>
      </c>
      <c r="P51" s="17" t="s">
        <v>40</v>
      </c>
      <c r="Q51" s="17">
        <v>4029800.0</v>
      </c>
      <c r="R51" s="17" t="s">
        <v>40</v>
      </c>
      <c r="S51" s="17" t="s">
        <v>40</v>
      </c>
      <c r="T51" s="17" t="s">
        <v>41</v>
      </c>
      <c r="U51" s="17" t="s">
        <v>604</v>
      </c>
      <c r="V51" s="17" t="s">
        <v>605</v>
      </c>
      <c r="W51" s="17" t="s">
        <v>604</v>
      </c>
      <c r="X51" s="17" t="s">
        <v>606</v>
      </c>
      <c r="Y51" s="17" t="s">
        <v>607</v>
      </c>
      <c r="Z51" s="17" t="s">
        <v>608</v>
      </c>
      <c r="AA51" s="17" t="s">
        <v>47</v>
      </c>
      <c r="AB51" s="17" t="s">
        <v>32</v>
      </c>
      <c r="AC51" s="17">
        <v>106.35</v>
      </c>
      <c r="AD51" s="17" t="s">
        <v>80</v>
      </c>
    </row>
    <row r="52">
      <c r="A52" s="3" t="s">
        <v>609</v>
      </c>
      <c r="B52" s="3" t="s">
        <v>30</v>
      </c>
      <c r="C52" s="3" t="s">
        <v>51</v>
      </c>
      <c r="D52" s="3">
        <v>2008.0</v>
      </c>
      <c r="E52" s="3">
        <v>14.0</v>
      </c>
      <c r="F52" s="3" t="s">
        <v>32</v>
      </c>
      <c r="G52" s="3">
        <v>5.14120898E8</v>
      </c>
      <c r="H52" s="3" t="s">
        <v>610</v>
      </c>
      <c r="I52" s="3" t="s">
        <v>611</v>
      </c>
      <c r="J52" s="3" t="s">
        <v>612</v>
      </c>
      <c r="K52" s="3" t="s">
        <v>613</v>
      </c>
      <c r="L52" s="4"/>
      <c r="M52" s="5" t="s">
        <v>614</v>
      </c>
      <c r="N52" s="3" t="s">
        <v>615</v>
      </c>
      <c r="O52" s="3" t="s">
        <v>616</v>
      </c>
      <c r="P52" s="3" t="s">
        <v>40</v>
      </c>
      <c r="Q52" s="3">
        <v>5290002.0</v>
      </c>
      <c r="R52" s="3" t="s">
        <v>40</v>
      </c>
      <c r="S52" s="3" t="s">
        <v>40</v>
      </c>
      <c r="T52" s="3" t="s">
        <v>41</v>
      </c>
      <c r="U52" s="3" t="s">
        <v>617</v>
      </c>
      <c r="V52" s="3" t="s">
        <v>618</v>
      </c>
      <c r="W52" s="3" t="s">
        <v>617</v>
      </c>
      <c r="X52" s="3" t="s">
        <v>619</v>
      </c>
      <c r="Y52" s="3" t="s">
        <v>620</v>
      </c>
      <c r="Z52" s="3" t="s">
        <v>201</v>
      </c>
      <c r="AA52" s="3" t="s">
        <v>47</v>
      </c>
      <c r="AB52" s="3" t="s">
        <v>47</v>
      </c>
      <c r="AC52" s="3">
        <v>12.0</v>
      </c>
      <c r="AD52" s="3" t="s">
        <v>80</v>
      </c>
    </row>
    <row r="53">
      <c r="A53" s="3" t="s">
        <v>621</v>
      </c>
      <c r="B53" s="3" t="s">
        <v>50</v>
      </c>
      <c r="C53" s="3" t="s">
        <v>51</v>
      </c>
      <c r="D53" s="3">
        <v>2012.0</v>
      </c>
      <c r="E53" s="3">
        <v>140.0</v>
      </c>
      <c r="F53" s="3" t="s">
        <v>32</v>
      </c>
      <c r="G53" s="3">
        <v>5.14799881E8</v>
      </c>
      <c r="H53" s="3" t="s">
        <v>622</v>
      </c>
      <c r="I53" s="3" t="s">
        <v>623</v>
      </c>
      <c r="J53" s="3" t="s">
        <v>35</v>
      </c>
      <c r="K53" s="3" t="s">
        <v>624</v>
      </c>
      <c r="L53" s="4"/>
      <c r="M53" s="5" t="s">
        <v>625</v>
      </c>
      <c r="N53" s="3" t="s">
        <v>626</v>
      </c>
      <c r="O53" s="3" t="s">
        <v>506</v>
      </c>
      <c r="P53" s="3" t="s">
        <v>40</v>
      </c>
      <c r="Q53" s="3">
        <v>10001.0</v>
      </c>
      <c r="R53" s="3" t="s">
        <v>507</v>
      </c>
      <c r="S53" s="3" t="s">
        <v>40</v>
      </c>
      <c r="T53" s="3" t="s">
        <v>60</v>
      </c>
      <c r="U53" s="3" t="s">
        <v>627</v>
      </c>
      <c r="V53" s="3" t="s">
        <v>628</v>
      </c>
      <c r="W53" s="3" t="s">
        <v>627</v>
      </c>
      <c r="X53" s="3" t="s">
        <v>629</v>
      </c>
      <c r="Y53" s="3" t="s">
        <v>630</v>
      </c>
      <c r="Z53" s="3" t="s">
        <v>631</v>
      </c>
      <c r="AA53" s="3" t="s">
        <v>47</v>
      </c>
      <c r="AB53" s="3" t="s">
        <v>47</v>
      </c>
      <c r="AC53" s="3">
        <v>13.6</v>
      </c>
      <c r="AD53" s="3" t="s">
        <v>80</v>
      </c>
    </row>
    <row r="54">
      <c r="A54" s="3" t="s">
        <v>632</v>
      </c>
      <c r="B54" s="3" t="s">
        <v>351</v>
      </c>
      <c r="C54" s="3" t="s">
        <v>119</v>
      </c>
      <c r="D54" s="3">
        <v>2011.0</v>
      </c>
      <c r="E54" s="3">
        <v>140.0</v>
      </c>
      <c r="F54" s="3" t="s">
        <v>32</v>
      </c>
      <c r="G54" s="3">
        <v>5.14695915E8</v>
      </c>
      <c r="H54" s="3" t="s">
        <v>633</v>
      </c>
      <c r="I54" s="3" t="s">
        <v>634</v>
      </c>
      <c r="J54" s="3" t="s">
        <v>35</v>
      </c>
      <c r="K54" s="3" t="s">
        <v>635</v>
      </c>
      <c r="L54" s="4"/>
      <c r="M54" s="5" t="s">
        <v>636</v>
      </c>
      <c r="N54" s="3" t="s">
        <v>637</v>
      </c>
      <c r="O54" s="3" t="s">
        <v>638</v>
      </c>
      <c r="P54" s="3" t="s">
        <v>40</v>
      </c>
      <c r="Q54" s="3">
        <v>5623108.0</v>
      </c>
      <c r="R54" s="3" t="s">
        <v>40</v>
      </c>
      <c r="S54" s="3" t="s">
        <v>40</v>
      </c>
      <c r="T54" s="3" t="s">
        <v>41</v>
      </c>
      <c r="U54" s="3" t="s">
        <v>639</v>
      </c>
      <c r="V54" s="3" t="s">
        <v>40</v>
      </c>
      <c r="W54" s="3" t="s">
        <v>639</v>
      </c>
      <c r="X54" s="3" t="s">
        <v>640</v>
      </c>
      <c r="Y54" s="3" t="s">
        <v>641</v>
      </c>
      <c r="Z54" s="3" t="s">
        <v>642</v>
      </c>
      <c r="AA54" s="3" t="s">
        <v>47</v>
      </c>
      <c r="AB54" s="3" t="s">
        <v>47</v>
      </c>
      <c r="AC54" s="3">
        <v>296.0</v>
      </c>
      <c r="AD54" s="3" t="s">
        <v>80</v>
      </c>
    </row>
    <row r="55">
      <c r="A55" s="3" t="s">
        <v>643</v>
      </c>
      <c r="B55" s="3" t="s">
        <v>50</v>
      </c>
      <c r="C55" s="3" t="s">
        <v>119</v>
      </c>
      <c r="D55" s="3">
        <v>2018.0</v>
      </c>
      <c r="E55" s="3">
        <v>142.0</v>
      </c>
      <c r="F55" s="3" t="s">
        <v>32</v>
      </c>
      <c r="G55" s="3">
        <v>5.15918175E8</v>
      </c>
      <c r="H55" s="3" t="s">
        <v>644</v>
      </c>
      <c r="I55" s="3" t="s">
        <v>645</v>
      </c>
      <c r="J55" s="3" t="s">
        <v>35</v>
      </c>
      <c r="K55" s="3" t="s">
        <v>646</v>
      </c>
      <c r="L55" s="4"/>
      <c r="M55" s="5" t="s">
        <v>647</v>
      </c>
      <c r="N55" s="3" t="s">
        <v>648</v>
      </c>
      <c r="O55" s="3" t="s">
        <v>506</v>
      </c>
      <c r="P55" s="3" t="s">
        <v>40</v>
      </c>
      <c r="Q55" s="3">
        <v>10069.0</v>
      </c>
      <c r="R55" s="3" t="s">
        <v>507</v>
      </c>
      <c r="S55" s="3" t="s">
        <v>40</v>
      </c>
      <c r="T55" s="3" t="s">
        <v>60</v>
      </c>
      <c r="U55" s="3" t="s">
        <v>649</v>
      </c>
      <c r="V55" s="3" t="s">
        <v>40</v>
      </c>
      <c r="W55" s="3" t="s">
        <v>649</v>
      </c>
      <c r="X55" s="3" t="s">
        <v>650</v>
      </c>
      <c r="Y55" s="3" t="s">
        <v>651</v>
      </c>
      <c r="Z55" s="3" t="s">
        <v>652</v>
      </c>
      <c r="AA55" s="3" t="s">
        <v>47</v>
      </c>
      <c r="AB55" s="3" t="s">
        <v>47</v>
      </c>
      <c r="AC55" s="3">
        <v>16.5</v>
      </c>
      <c r="AD55" s="3" t="s">
        <v>80</v>
      </c>
    </row>
    <row r="56">
      <c r="A56" s="3" t="s">
        <v>653</v>
      </c>
      <c r="B56" s="3" t="s">
        <v>82</v>
      </c>
      <c r="C56" s="3" t="s">
        <v>31</v>
      </c>
      <c r="D56" s="3">
        <v>2017.0</v>
      </c>
      <c r="E56" s="3">
        <v>15.0</v>
      </c>
      <c r="F56" s="3" t="s">
        <v>32</v>
      </c>
      <c r="G56" s="3">
        <v>5.15663409E8</v>
      </c>
      <c r="H56" s="3" t="s">
        <v>654</v>
      </c>
      <c r="I56" s="3" t="s">
        <v>655</v>
      </c>
      <c r="J56" s="3" t="s">
        <v>35</v>
      </c>
      <c r="K56" s="3" t="s">
        <v>656</v>
      </c>
      <c r="L56" s="4"/>
      <c r="M56" s="5" t="s">
        <v>657</v>
      </c>
      <c r="N56" s="3" t="s">
        <v>658</v>
      </c>
      <c r="O56" s="3" t="s">
        <v>298</v>
      </c>
      <c r="P56" s="3" t="s">
        <v>40</v>
      </c>
      <c r="Q56" s="3">
        <v>4250574.0</v>
      </c>
      <c r="R56" s="3" t="s">
        <v>40</v>
      </c>
      <c r="S56" s="3" t="s">
        <v>40</v>
      </c>
      <c r="T56" s="3" t="s">
        <v>41</v>
      </c>
      <c r="U56" s="3" t="s">
        <v>659</v>
      </c>
      <c r="V56" s="3" t="s">
        <v>660</v>
      </c>
      <c r="W56" s="3" t="s">
        <v>659</v>
      </c>
      <c r="X56" s="3" t="s">
        <v>661</v>
      </c>
      <c r="Y56" s="3" t="s">
        <v>662</v>
      </c>
      <c r="Z56" s="3" t="s">
        <v>66</v>
      </c>
      <c r="AA56" s="3" t="s">
        <v>47</v>
      </c>
      <c r="AB56" s="3" t="s">
        <v>32</v>
      </c>
      <c r="AC56" s="3">
        <v>3.0</v>
      </c>
      <c r="AD56" s="3" t="s">
        <v>80</v>
      </c>
    </row>
    <row r="57">
      <c r="A57" s="8" t="s">
        <v>663</v>
      </c>
      <c r="B57" s="8" t="s">
        <v>82</v>
      </c>
      <c r="C57" s="8" t="s">
        <v>31</v>
      </c>
      <c r="D57" s="8">
        <v>2006.0</v>
      </c>
      <c r="E57" s="8">
        <v>15.0</v>
      </c>
      <c r="F57" s="8" t="s">
        <v>47</v>
      </c>
      <c r="G57" s="8">
        <v>5.13853606E8</v>
      </c>
      <c r="H57" s="8" t="s">
        <v>664</v>
      </c>
      <c r="I57" s="8" t="s">
        <v>665</v>
      </c>
      <c r="J57" s="8" t="s">
        <v>35</v>
      </c>
      <c r="K57" s="8" t="s">
        <v>666</v>
      </c>
      <c r="L57" s="4"/>
      <c r="M57" s="9" t="s">
        <v>667</v>
      </c>
      <c r="N57" s="8" t="s">
        <v>668</v>
      </c>
      <c r="O57" s="8" t="s">
        <v>669</v>
      </c>
      <c r="P57" s="8" t="s">
        <v>40</v>
      </c>
      <c r="Q57" s="8">
        <v>2000.0</v>
      </c>
      <c r="R57" s="8" t="s">
        <v>40</v>
      </c>
      <c r="S57" s="8" t="s">
        <v>40</v>
      </c>
      <c r="T57" s="8" t="s">
        <v>670</v>
      </c>
      <c r="U57" s="8" t="s">
        <v>671</v>
      </c>
      <c r="V57" s="8" t="s">
        <v>672</v>
      </c>
      <c r="W57" s="8" t="s">
        <v>673</v>
      </c>
      <c r="X57" s="8" t="s">
        <v>674</v>
      </c>
      <c r="Y57" s="8" t="s">
        <v>675</v>
      </c>
      <c r="Z57" s="8" t="s">
        <v>66</v>
      </c>
      <c r="AA57" s="8" t="s">
        <v>47</v>
      </c>
      <c r="AB57" s="8" t="s">
        <v>47</v>
      </c>
      <c r="AC57" s="8">
        <v>5.3</v>
      </c>
      <c r="AD57" s="8" t="s">
        <v>80</v>
      </c>
    </row>
    <row r="58">
      <c r="A58" s="3" t="s">
        <v>676</v>
      </c>
      <c r="B58" s="3" t="s">
        <v>68</v>
      </c>
      <c r="C58" s="3" t="s">
        <v>31</v>
      </c>
      <c r="D58" s="3">
        <v>2018.0</v>
      </c>
      <c r="E58" s="3">
        <v>15.0</v>
      </c>
      <c r="F58" s="3" t="s">
        <v>32</v>
      </c>
      <c r="G58" s="3">
        <v>5.16385531E8</v>
      </c>
      <c r="H58" s="3" t="s">
        <v>677</v>
      </c>
      <c r="I58" s="3" t="s">
        <v>678</v>
      </c>
      <c r="J58" s="3" t="s">
        <v>35</v>
      </c>
      <c r="K58" s="3" t="s">
        <v>679</v>
      </c>
      <c r="L58" s="4"/>
      <c r="M58" s="5" t="s">
        <v>680</v>
      </c>
      <c r="N58" s="3" t="s">
        <v>681</v>
      </c>
      <c r="O58" s="3" t="s">
        <v>278</v>
      </c>
      <c r="P58" s="3" t="s">
        <v>40</v>
      </c>
      <c r="Q58" s="3">
        <v>7570301.0</v>
      </c>
      <c r="R58" s="3" t="s">
        <v>40</v>
      </c>
      <c r="S58" s="3" t="s">
        <v>40</v>
      </c>
      <c r="T58" s="3" t="s">
        <v>41</v>
      </c>
      <c r="U58" s="3" t="s">
        <v>682</v>
      </c>
      <c r="V58" s="3" t="s">
        <v>40</v>
      </c>
      <c r="W58" s="3" t="s">
        <v>682</v>
      </c>
      <c r="X58" s="3" t="s">
        <v>683</v>
      </c>
      <c r="Y58" s="3" t="s">
        <v>684</v>
      </c>
      <c r="Z58" s="3" t="s">
        <v>685</v>
      </c>
      <c r="AA58" s="3" t="s">
        <v>47</v>
      </c>
      <c r="AB58" s="3" t="s">
        <v>47</v>
      </c>
      <c r="AC58" s="3" t="s">
        <v>40</v>
      </c>
      <c r="AD58" s="3" t="s">
        <v>216</v>
      </c>
    </row>
    <row r="59">
      <c r="A59" s="6" t="s">
        <v>686</v>
      </c>
      <c r="B59" s="6" t="s">
        <v>50</v>
      </c>
      <c r="C59" s="6" t="s">
        <v>51</v>
      </c>
      <c r="D59" s="6">
        <v>2016.0</v>
      </c>
      <c r="E59" s="6">
        <v>15.0</v>
      </c>
      <c r="F59" s="6" t="s">
        <v>32</v>
      </c>
      <c r="G59" s="6">
        <v>5.15575066E8</v>
      </c>
      <c r="H59" s="6" t="s">
        <v>687</v>
      </c>
      <c r="I59" s="6" t="s">
        <v>688</v>
      </c>
      <c r="J59" s="6" t="s">
        <v>35</v>
      </c>
      <c r="K59" s="6" t="s">
        <v>689</v>
      </c>
      <c r="L59" s="4"/>
      <c r="M59" s="7" t="s">
        <v>690</v>
      </c>
      <c r="N59" s="6" t="s">
        <v>691</v>
      </c>
      <c r="O59" s="6" t="s">
        <v>75</v>
      </c>
      <c r="P59" s="6" t="s">
        <v>40</v>
      </c>
      <c r="Q59" s="6">
        <v>6997800.0</v>
      </c>
      <c r="R59" s="6" t="s">
        <v>40</v>
      </c>
      <c r="S59" s="6" t="s">
        <v>40</v>
      </c>
      <c r="T59" s="6" t="s">
        <v>41</v>
      </c>
      <c r="U59" s="6" t="s">
        <v>692</v>
      </c>
      <c r="V59" s="6" t="s">
        <v>40</v>
      </c>
      <c r="W59" s="6" t="s">
        <v>692</v>
      </c>
      <c r="X59" s="6" t="s">
        <v>693</v>
      </c>
      <c r="Y59" s="6" t="s">
        <v>694</v>
      </c>
      <c r="Z59" s="6" t="s">
        <v>695</v>
      </c>
      <c r="AA59" s="6" t="s">
        <v>47</v>
      </c>
      <c r="AB59" s="6" t="s">
        <v>32</v>
      </c>
      <c r="AC59" s="6">
        <v>0.06</v>
      </c>
      <c r="AD59" s="6" t="s">
        <v>80</v>
      </c>
    </row>
    <row r="60">
      <c r="A60" s="3" t="s">
        <v>696</v>
      </c>
      <c r="B60" s="3" t="s">
        <v>154</v>
      </c>
      <c r="C60" s="3" t="s">
        <v>51</v>
      </c>
      <c r="D60" s="3">
        <v>2013.0</v>
      </c>
      <c r="E60" s="3">
        <v>15.0</v>
      </c>
      <c r="F60" s="3" t="s">
        <v>32</v>
      </c>
      <c r="G60" s="3">
        <v>5.14907617E8</v>
      </c>
      <c r="H60" s="3" t="s">
        <v>697</v>
      </c>
      <c r="I60" s="3" t="s">
        <v>698</v>
      </c>
      <c r="J60" s="3" t="s">
        <v>71</v>
      </c>
      <c r="K60" s="3" t="s">
        <v>699</v>
      </c>
      <c r="L60" s="4"/>
      <c r="M60" s="5" t="s">
        <v>700</v>
      </c>
      <c r="N60" s="3" t="s">
        <v>701</v>
      </c>
      <c r="O60" s="3" t="s">
        <v>323</v>
      </c>
      <c r="P60" s="3" t="s">
        <v>40</v>
      </c>
      <c r="Q60" s="3">
        <v>5885849.0</v>
      </c>
      <c r="R60" s="3" t="s">
        <v>40</v>
      </c>
      <c r="S60" s="3" t="s">
        <v>40</v>
      </c>
      <c r="T60" s="3" t="s">
        <v>41</v>
      </c>
      <c r="U60" s="3" t="s">
        <v>702</v>
      </c>
      <c r="V60" s="3" t="s">
        <v>703</v>
      </c>
      <c r="W60" s="3" t="s">
        <v>704</v>
      </c>
      <c r="X60" s="3" t="s">
        <v>705</v>
      </c>
      <c r="Y60" s="3" t="s">
        <v>706</v>
      </c>
      <c r="Z60" s="3" t="s">
        <v>707</v>
      </c>
      <c r="AA60" s="3" t="s">
        <v>47</v>
      </c>
      <c r="AB60" s="3" t="s">
        <v>32</v>
      </c>
      <c r="AC60" s="3">
        <v>4.0</v>
      </c>
      <c r="AD60" s="3" t="s">
        <v>80</v>
      </c>
    </row>
    <row r="61">
      <c r="A61" s="3" t="s">
        <v>708</v>
      </c>
      <c r="B61" s="3" t="s">
        <v>50</v>
      </c>
      <c r="C61" s="3" t="s">
        <v>51</v>
      </c>
      <c r="D61" s="3">
        <v>2011.0</v>
      </c>
      <c r="E61" s="3">
        <v>15.0</v>
      </c>
      <c r="F61" s="3" t="s">
        <v>32</v>
      </c>
      <c r="G61" s="3">
        <v>5.14699701E8</v>
      </c>
      <c r="H61" s="3" t="s">
        <v>709</v>
      </c>
      <c r="I61" s="3" t="s">
        <v>40</v>
      </c>
      <c r="J61" s="3" t="s">
        <v>40</v>
      </c>
      <c r="K61" s="3" t="s">
        <v>40</v>
      </c>
      <c r="L61" s="4"/>
      <c r="M61" s="5" t="s">
        <v>710</v>
      </c>
      <c r="N61" s="3" t="s">
        <v>711</v>
      </c>
      <c r="O61" s="3" t="s">
        <v>712</v>
      </c>
      <c r="P61" s="3" t="s">
        <v>40</v>
      </c>
      <c r="Q61" s="3">
        <v>2231100.0</v>
      </c>
      <c r="R61" s="3" t="s">
        <v>40</v>
      </c>
      <c r="S61" s="3" t="s">
        <v>40</v>
      </c>
      <c r="T61" s="3" t="s">
        <v>41</v>
      </c>
      <c r="U61" s="3" t="s">
        <v>713</v>
      </c>
      <c r="V61" s="3" t="s">
        <v>714</v>
      </c>
      <c r="W61" s="3" t="s">
        <v>713</v>
      </c>
      <c r="X61" s="3" t="s">
        <v>715</v>
      </c>
      <c r="Y61" s="3" t="s">
        <v>716</v>
      </c>
      <c r="Z61" s="3" t="s">
        <v>717</v>
      </c>
      <c r="AA61" s="3" t="s">
        <v>47</v>
      </c>
      <c r="AB61" s="3" t="s">
        <v>32</v>
      </c>
      <c r="AC61" s="3">
        <v>2.0</v>
      </c>
      <c r="AD61" s="3" t="s">
        <v>40</v>
      </c>
    </row>
    <row r="62">
      <c r="A62" s="3" t="s">
        <v>718</v>
      </c>
      <c r="B62" s="3" t="s">
        <v>82</v>
      </c>
      <c r="C62" s="3" t="s">
        <v>51</v>
      </c>
      <c r="D62" s="3">
        <v>2014.0</v>
      </c>
      <c r="E62" s="3">
        <v>15.0</v>
      </c>
      <c r="F62" s="3" t="s">
        <v>32</v>
      </c>
      <c r="G62" s="3">
        <v>5.15108058E8</v>
      </c>
      <c r="H62" s="3" t="s">
        <v>719</v>
      </c>
      <c r="I62" s="3" t="s">
        <v>40</v>
      </c>
      <c r="J62" s="3" t="s">
        <v>40</v>
      </c>
      <c r="K62" s="3" t="s">
        <v>40</v>
      </c>
      <c r="L62" s="4"/>
      <c r="M62" s="5" t="s">
        <v>720</v>
      </c>
      <c r="N62" s="3" t="s">
        <v>721</v>
      </c>
      <c r="O62" s="3" t="s">
        <v>722</v>
      </c>
      <c r="P62" s="3" t="s">
        <v>40</v>
      </c>
      <c r="Q62" s="3">
        <v>4951447.0</v>
      </c>
      <c r="R62" s="3" t="s">
        <v>40</v>
      </c>
      <c r="S62" s="3" t="s">
        <v>40</v>
      </c>
      <c r="T62" s="3" t="s">
        <v>41</v>
      </c>
      <c r="U62" s="3" t="s">
        <v>723</v>
      </c>
      <c r="V62" s="3" t="s">
        <v>724</v>
      </c>
      <c r="W62" s="3" t="s">
        <v>723</v>
      </c>
      <c r="X62" s="3" t="s">
        <v>725</v>
      </c>
      <c r="Y62" s="3" t="s">
        <v>726</v>
      </c>
      <c r="Z62" s="3" t="s">
        <v>727</v>
      </c>
      <c r="AA62" s="3" t="s">
        <v>47</v>
      </c>
      <c r="AB62" s="3" t="s">
        <v>47</v>
      </c>
      <c r="AC62" s="3">
        <v>21.4</v>
      </c>
      <c r="AD62" s="3" t="s">
        <v>40</v>
      </c>
    </row>
    <row r="63">
      <c r="A63" s="5" t="s">
        <v>728</v>
      </c>
      <c r="B63" s="3" t="s">
        <v>154</v>
      </c>
      <c r="C63" s="3" t="s">
        <v>51</v>
      </c>
      <c r="D63" s="3">
        <v>2015.0</v>
      </c>
      <c r="E63" s="3">
        <v>15.0</v>
      </c>
      <c r="F63" s="3" t="s">
        <v>32</v>
      </c>
      <c r="G63" s="3" t="s">
        <v>40</v>
      </c>
      <c r="H63" s="3" t="s">
        <v>729</v>
      </c>
      <c r="I63" s="3" t="s">
        <v>40</v>
      </c>
      <c r="J63" s="3" t="s">
        <v>40</v>
      </c>
      <c r="K63" s="3" t="s">
        <v>40</v>
      </c>
      <c r="L63" s="4"/>
      <c r="M63" s="5" t="s">
        <v>730</v>
      </c>
      <c r="N63" s="3" t="s">
        <v>731</v>
      </c>
      <c r="O63" s="3" t="s">
        <v>722</v>
      </c>
      <c r="P63" s="3" t="s">
        <v>40</v>
      </c>
      <c r="Q63" s="3">
        <v>4952801.0</v>
      </c>
      <c r="R63" s="3" t="s">
        <v>40</v>
      </c>
      <c r="S63" s="3" t="s">
        <v>40</v>
      </c>
      <c r="T63" s="3" t="s">
        <v>41</v>
      </c>
      <c r="U63" s="3" t="s">
        <v>732</v>
      </c>
      <c r="V63" s="3" t="s">
        <v>733</v>
      </c>
      <c r="W63" s="3" t="s">
        <v>732</v>
      </c>
      <c r="X63" s="3" t="s">
        <v>734</v>
      </c>
      <c r="Y63" s="3" t="s">
        <v>735</v>
      </c>
      <c r="Z63" s="3" t="s">
        <v>736</v>
      </c>
      <c r="AA63" s="3" t="s">
        <v>47</v>
      </c>
      <c r="AB63" s="3" t="s">
        <v>47</v>
      </c>
      <c r="AC63" s="3" t="s">
        <v>40</v>
      </c>
      <c r="AD63" s="3" t="s">
        <v>40</v>
      </c>
    </row>
    <row r="64">
      <c r="A64" s="8" t="s">
        <v>737</v>
      </c>
      <c r="B64" s="8" t="s">
        <v>82</v>
      </c>
      <c r="C64" s="8" t="s">
        <v>119</v>
      </c>
      <c r="D64" s="8">
        <v>1989.0</v>
      </c>
      <c r="E64" s="8">
        <v>150.0</v>
      </c>
      <c r="F64" s="8" t="s">
        <v>47</v>
      </c>
      <c r="G64" s="8">
        <v>5.20044199E8</v>
      </c>
      <c r="H64" s="8" t="s">
        <v>738</v>
      </c>
      <c r="I64" s="8" t="s">
        <v>739</v>
      </c>
      <c r="J64" s="8" t="s">
        <v>71</v>
      </c>
      <c r="K64" s="8" t="s">
        <v>740</v>
      </c>
      <c r="L64" s="4"/>
      <c r="M64" s="9" t="s">
        <v>741</v>
      </c>
      <c r="N64" s="8" t="s">
        <v>742</v>
      </c>
      <c r="O64" s="8" t="s">
        <v>387</v>
      </c>
      <c r="P64" s="8">
        <v>300.0</v>
      </c>
      <c r="Q64" s="8">
        <v>7019900.0</v>
      </c>
      <c r="R64" s="8" t="s">
        <v>40</v>
      </c>
      <c r="S64" s="8" t="s">
        <v>40</v>
      </c>
      <c r="T64" s="8" t="s">
        <v>41</v>
      </c>
      <c r="U64" s="8" t="s">
        <v>743</v>
      </c>
      <c r="V64" s="8" t="s">
        <v>744</v>
      </c>
      <c r="W64" s="8" t="s">
        <v>743</v>
      </c>
      <c r="X64" s="8" t="s">
        <v>745</v>
      </c>
      <c r="Y64" s="8" t="s">
        <v>746</v>
      </c>
      <c r="Z64" s="8" t="s">
        <v>747</v>
      </c>
      <c r="AA64" s="8" t="s">
        <v>47</v>
      </c>
      <c r="AB64" s="8" t="s">
        <v>32</v>
      </c>
      <c r="AC64" s="8">
        <v>15.5</v>
      </c>
      <c r="AD64" s="8" t="s">
        <v>80</v>
      </c>
    </row>
    <row r="65">
      <c r="A65" s="8" t="s">
        <v>748</v>
      </c>
      <c r="B65" s="8" t="s">
        <v>351</v>
      </c>
      <c r="C65" s="8" t="s">
        <v>51</v>
      </c>
      <c r="D65" s="8">
        <v>2015.0</v>
      </c>
      <c r="E65" s="8">
        <v>150.0</v>
      </c>
      <c r="F65" s="8" t="s">
        <v>47</v>
      </c>
      <c r="G65" s="8">
        <v>5.15333128E8</v>
      </c>
      <c r="H65" s="8" t="s">
        <v>749</v>
      </c>
      <c r="I65" s="8" t="s">
        <v>750</v>
      </c>
      <c r="J65" s="8" t="s">
        <v>35</v>
      </c>
      <c r="K65" s="8" t="s">
        <v>751</v>
      </c>
      <c r="L65" s="4"/>
      <c r="M65" s="9" t="s">
        <v>752</v>
      </c>
      <c r="N65" s="8" t="s">
        <v>753</v>
      </c>
      <c r="O65" s="8" t="s">
        <v>75</v>
      </c>
      <c r="P65" s="8" t="s">
        <v>40</v>
      </c>
      <c r="Q65" s="8">
        <v>6713321.0</v>
      </c>
      <c r="R65" s="8" t="s">
        <v>40</v>
      </c>
      <c r="S65" s="8" t="s">
        <v>40</v>
      </c>
      <c r="T65" s="8" t="s">
        <v>41</v>
      </c>
      <c r="U65" s="8" t="s">
        <v>754</v>
      </c>
      <c r="V65" s="8" t="s">
        <v>755</v>
      </c>
      <c r="W65" s="8" t="s">
        <v>754</v>
      </c>
      <c r="X65" s="8" t="s">
        <v>756</v>
      </c>
      <c r="Y65" s="8" t="s">
        <v>757</v>
      </c>
      <c r="Z65" s="8" t="s">
        <v>685</v>
      </c>
      <c r="AA65" s="8" t="s">
        <v>47</v>
      </c>
      <c r="AB65" s="8" t="s">
        <v>47</v>
      </c>
      <c r="AC65" s="8">
        <v>174.5</v>
      </c>
      <c r="AD65" s="8" t="s">
        <v>80</v>
      </c>
    </row>
    <row r="66">
      <c r="A66" s="5" t="s">
        <v>758</v>
      </c>
      <c r="B66" s="3" t="s">
        <v>50</v>
      </c>
      <c r="C66" s="3" t="s">
        <v>119</v>
      </c>
      <c r="D66" s="3">
        <v>2016.0</v>
      </c>
      <c r="E66" s="3">
        <v>150.0</v>
      </c>
      <c r="F66" s="3" t="s">
        <v>32</v>
      </c>
      <c r="G66" s="3">
        <v>5.15903235E8</v>
      </c>
      <c r="H66" s="3" t="s">
        <v>759</v>
      </c>
      <c r="I66" s="3" t="s">
        <v>760</v>
      </c>
      <c r="J66" s="3" t="s">
        <v>35</v>
      </c>
      <c r="K66" s="3" t="s">
        <v>761</v>
      </c>
      <c r="L66" s="4"/>
      <c r="M66" s="5" t="s">
        <v>762</v>
      </c>
      <c r="N66" s="3" t="s">
        <v>763</v>
      </c>
      <c r="O66" s="3" t="s">
        <v>58</v>
      </c>
      <c r="P66" s="3" t="s">
        <v>40</v>
      </c>
      <c r="Q66" s="3">
        <v>2210.0</v>
      </c>
      <c r="R66" s="3" t="s">
        <v>59</v>
      </c>
      <c r="S66" s="3" t="s">
        <v>40</v>
      </c>
      <c r="T66" s="3" t="s">
        <v>60</v>
      </c>
      <c r="U66" s="3" t="s">
        <v>764</v>
      </c>
      <c r="V66" s="3" t="s">
        <v>765</v>
      </c>
      <c r="W66" s="3" t="s">
        <v>764</v>
      </c>
      <c r="X66" s="3" t="s">
        <v>766</v>
      </c>
      <c r="Y66" s="3" t="s">
        <v>767</v>
      </c>
      <c r="Z66" s="3" t="s">
        <v>768</v>
      </c>
      <c r="AA66" s="3" t="s">
        <v>47</v>
      </c>
      <c r="AB66" s="3" t="s">
        <v>47</v>
      </c>
      <c r="AC66" s="3">
        <v>468.0</v>
      </c>
      <c r="AD66" s="3" t="s">
        <v>80</v>
      </c>
    </row>
    <row r="67">
      <c r="A67" s="3" t="s">
        <v>769</v>
      </c>
      <c r="B67" s="3" t="s">
        <v>50</v>
      </c>
      <c r="C67" s="3" t="s">
        <v>119</v>
      </c>
      <c r="D67" s="3">
        <v>2003.0</v>
      </c>
      <c r="E67" s="3">
        <v>150.0</v>
      </c>
      <c r="F67" s="3" t="s">
        <v>32</v>
      </c>
      <c r="G67" s="3">
        <v>5.13367797E8</v>
      </c>
      <c r="H67" s="3" t="s">
        <v>770</v>
      </c>
      <c r="I67" s="3" t="s">
        <v>771</v>
      </c>
      <c r="J67" s="3" t="s">
        <v>71</v>
      </c>
      <c r="K67" s="4"/>
      <c r="L67" s="4"/>
      <c r="M67" s="5" t="s">
        <v>772</v>
      </c>
      <c r="N67" s="3" t="s">
        <v>773</v>
      </c>
      <c r="O67" s="3" t="s">
        <v>552</v>
      </c>
      <c r="P67" s="3" t="s">
        <v>40</v>
      </c>
      <c r="Q67" s="3">
        <v>4672519.0</v>
      </c>
      <c r="R67" s="3" t="s">
        <v>40</v>
      </c>
      <c r="S67" s="3" t="s">
        <v>40</v>
      </c>
      <c r="T67" s="3" t="s">
        <v>41</v>
      </c>
      <c r="U67" s="3" t="s">
        <v>40</v>
      </c>
      <c r="V67" s="3" t="s">
        <v>40</v>
      </c>
      <c r="W67" s="3" t="s">
        <v>774</v>
      </c>
      <c r="X67" s="3" t="s">
        <v>775</v>
      </c>
      <c r="Y67" s="3" t="s">
        <v>776</v>
      </c>
      <c r="Z67" s="3" t="s">
        <v>777</v>
      </c>
      <c r="AA67" s="3" t="s">
        <v>47</v>
      </c>
      <c r="AB67" s="3" t="s">
        <v>32</v>
      </c>
      <c r="AC67" s="3">
        <v>19.1</v>
      </c>
      <c r="AD67" s="3" t="s">
        <v>216</v>
      </c>
    </row>
    <row r="68">
      <c r="A68" s="6" t="s">
        <v>778</v>
      </c>
      <c r="B68" s="6" t="s">
        <v>154</v>
      </c>
      <c r="C68" s="6" t="s">
        <v>119</v>
      </c>
      <c r="D68" s="6">
        <v>1966.0</v>
      </c>
      <c r="E68" s="6">
        <v>15000.0</v>
      </c>
      <c r="F68" s="6" t="s">
        <v>47</v>
      </c>
      <c r="G68" s="6">
        <v>5.20043027E8</v>
      </c>
      <c r="H68" s="6" t="s">
        <v>779</v>
      </c>
      <c r="I68" s="6" t="s">
        <v>780</v>
      </c>
      <c r="J68" s="6" t="s">
        <v>781</v>
      </c>
      <c r="K68" s="16"/>
      <c r="L68" s="4"/>
      <c r="M68" s="7" t="s">
        <v>580</v>
      </c>
      <c r="N68" s="6" t="s">
        <v>782</v>
      </c>
      <c r="O68" s="6" t="s">
        <v>485</v>
      </c>
      <c r="P68" s="6">
        <v>539.0</v>
      </c>
      <c r="Q68" s="6">
        <v>3100401.0</v>
      </c>
      <c r="R68" s="6" t="s">
        <v>40</v>
      </c>
      <c r="S68" s="6" t="s">
        <v>40</v>
      </c>
      <c r="T68" s="6" t="s">
        <v>41</v>
      </c>
      <c r="U68" s="6" t="s">
        <v>783</v>
      </c>
      <c r="V68" s="6" t="s">
        <v>784</v>
      </c>
      <c r="W68" s="6" t="s">
        <v>783</v>
      </c>
      <c r="X68" s="6" t="s">
        <v>785</v>
      </c>
      <c r="Y68" s="6" t="s">
        <v>786</v>
      </c>
      <c r="Z68" s="6" t="s">
        <v>787</v>
      </c>
      <c r="AA68" s="6" t="s">
        <v>47</v>
      </c>
      <c r="AB68" s="6" t="s">
        <v>32</v>
      </c>
      <c r="AC68" s="6">
        <v>210.9</v>
      </c>
      <c r="AD68" s="6" t="s">
        <v>80</v>
      </c>
    </row>
    <row r="69">
      <c r="A69" s="3" t="s">
        <v>788</v>
      </c>
      <c r="B69" s="3" t="s">
        <v>154</v>
      </c>
      <c r="C69" s="3" t="s">
        <v>119</v>
      </c>
      <c r="D69" s="3">
        <v>2017.0</v>
      </c>
      <c r="E69" s="3">
        <v>157.0</v>
      </c>
      <c r="F69" s="3" t="s">
        <v>32</v>
      </c>
      <c r="G69" s="3">
        <v>5.1571789E8</v>
      </c>
      <c r="H69" s="3" t="s">
        <v>789</v>
      </c>
      <c r="I69" s="3" t="s">
        <v>790</v>
      </c>
      <c r="J69" s="3" t="s">
        <v>35</v>
      </c>
      <c r="K69" s="4"/>
      <c r="L69" s="4"/>
      <c r="M69" s="5" t="s">
        <v>791</v>
      </c>
      <c r="N69" s="3" t="s">
        <v>792</v>
      </c>
      <c r="O69" s="3" t="s">
        <v>793</v>
      </c>
      <c r="P69" s="3" t="s">
        <v>40</v>
      </c>
      <c r="Q69" s="3">
        <v>66210.0</v>
      </c>
      <c r="R69" s="3" t="s">
        <v>794</v>
      </c>
      <c r="S69" s="3" t="s">
        <v>40</v>
      </c>
      <c r="T69" s="3" t="s">
        <v>60</v>
      </c>
      <c r="U69" s="3" t="s">
        <v>795</v>
      </c>
      <c r="V69" s="3" t="s">
        <v>40</v>
      </c>
      <c r="W69" s="3" t="s">
        <v>795</v>
      </c>
      <c r="X69" s="3" t="s">
        <v>796</v>
      </c>
      <c r="Y69" s="3" t="s">
        <v>797</v>
      </c>
      <c r="Z69" s="3" t="s">
        <v>798</v>
      </c>
      <c r="AA69" s="3" t="s">
        <v>47</v>
      </c>
      <c r="AB69" s="3" t="s">
        <v>47</v>
      </c>
      <c r="AC69" s="3">
        <v>70.5</v>
      </c>
      <c r="AD69" s="3" t="s">
        <v>80</v>
      </c>
    </row>
    <row r="70">
      <c r="A70" s="3" t="s">
        <v>799</v>
      </c>
      <c r="B70" s="3" t="s">
        <v>82</v>
      </c>
      <c r="C70" s="3" t="s">
        <v>51</v>
      </c>
      <c r="D70" s="3">
        <v>2013.0</v>
      </c>
      <c r="E70" s="3">
        <v>16.0</v>
      </c>
      <c r="F70" s="3" t="s">
        <v>32</v>
      </c>
      <c r="G70" s="3">
        <v>5.14948751E8</v>
      </c>
      <c r="H70" s="3" t="s">
        <v>800</v>
      </c>
      <c r="I70" s="3" t="s">
        <v>801</v>
      </c>
      <c r="J70" s="3" t="s">
        <v>35</v>
      </c>
      <c r="K70" s="4"/>
      <c r="L70" s="4"/>
      <c r="M70" s="5" t="s">
        <v>802</v>
      </c>
      <c r="N70" s="3" t="s">
        <v>803</v>
      </c>
      <c r="O70" s="3" t="s">
        <v>485</v>
      </c>
      <c r="P70" s="3">
        <v>25422.0</v>
      </c>
      <c r="Q70" s="3">
        <v>3125302.0</v>
      </c>
      <c r="R70" s="3" t="s">
        <v>40</v>
      </c>
      <c r="S70" s="3" t="s">
        <v>40</v>
      </c>
      <c r="T70" s="3" t="s">
        <v>41</v>
      </c>
      <c r="U70" s="3" t="s">
        <v>804</v>
      </c>
      <c r="V70" s="3" t="s">
        <v>805</v>
      </c>
      <c r="W70" s="3" t="s">
        <v>804</v>
      </c>
      <c r="X70" s="3" t="s">
        <v>806</v>
      </c>
      <c r="Y70" s="3" t="s">
        <v>807</v>
      </c>
      <c r="Z70" s="3" t="s">
        <v>808</v>
      </c>
      <c r="AA70" s="3" t="s">
        <v>47</v>
      </c>
      <c r="AB70" s="3" t="s">
        <v>47</v>
      </c>
      <c r="AC70" s="3">
        <v>10.0</v>
      </c>
      <c r="AD70" s="3" t="s">
        <v>80</v>
      </c>
    </row>
    <row r="71">
      <c r="A71" s="3" t="s">
        <v>809</v>
      </c>
      <c r="B71" s="3" t="s">
        <v>50</v>
      </c>
      <c r="C71" s="3" t="s">
        <v>119</v>
      </c>
      <c r="D71" s="3">
        <v>2017.0</v>
      </c>
      <c r="E71" s="3">
        <v>165.0</v>
      </c>
      <c r="F71" s="3" t="s">
        <v>32</v>
      </c>
      <c r="G71" s="3">
        <v>5.15630713E8</v>
      </c>
      <c r="H71" s="3" t="s">
        <v>810</v>
      </c>
      <c r="I71" s="3" t="s">
        <v>811</v>
      </c>
      <c r="J71" s="3" t="s">
        <v>35</v>
      </c>
      <c r="K71" s="3" t="s">
        <v>812</v>
      </c>
      <c r="L71" s="4"/>
      <c r="M71" s="5" t="s">
        <v>813</v>
      </c>
      <c r="N71" s="3" t="s">
        <v>814</v>
      </c>
      <c r="O71" s="3" t="s">
        <v>815</v>
      </c>
      <c r="P71" s="3" t="s">
        <v>40</v>
      </c>
      <c r="Q71" s="3">
        <v>48009.0</v>
      </c>
      <c r="R71" s="3" t="s">
        <v>816</v>
      </c>
      <c r="S71" s="3" t="s">
        <v>40</v>
      </c>
      <c r="T71" s="3" t="s">
        <v>60</v>
      </c>
      <c r="U71" s="3" t="s">
        <v>817</v>
      </c>
      <c r="V71" s="3" t="s">
        <v>818</v>
      </c>
      <c r="W71" s="3" t="s">
        <v>817</v>
      </c>
      <c r="X71" s="3" t="s">
        <v>819</v>
      </c>
      <c r="Y71" s="3" t="s">
        <v>820</v>
      </c>
      <c r="Z71" s="3" t="s">
        <v>821</v>
      </c>
      <c r="AA71" s="3" t="s">
        <v>47</v>
      </c>
      <c r="AB71" s="3" t="s">
        <v>47</v>
      </c>
      <c r="AC71" s="3">
        <v>107.0</v>
      </c>
      <c r="AD71" s="3" t="s">
        <v>80</v>
      </c>
    </row>
    <row r="72">
      <c r="A72" s="3" t="s">
        <v>822</v>
      </c>
      <c r="B72" s="3" t="s">
        <v>50</v>
      </c>
      <c r="C72" s="3" t="s">
        <v>119</v>
      </c>
      <c r="D72" s="3">
        <v>2000.0</v>
      </c>
      <c r="E72" s="3">
        <v>17.0</v>
      </c>
      <c r="F72" s="3" t="s">
        <v>32</v>
      </c>
      <c r="G72" s="3">
        <v>5.1289941E8</v>
      </c>
      <c r="H72" s="3" t="s">
        <v>823</v>
      </c>
      <c r="I72" s="3" t="s">
        <v>824</v>
      </c>
      <c r="J72" s="3" t="s">
        <v>35</v>
      </c>
      <c r="K72" s="3" t="s">
        <v>825</v>
      </c>
      <c r="L72" s="4"/>
      <c r="M72" s="5" t="s">
        <v>826</v>
      </c>
      <c r="N72" s="3" t="s">
        <v>827</v>
      </c>
      <c r="O72" s="3" t="s">
        <v>828</v>
      </c>
      <c r="P72" s="3">
        <v>558.0</v>
      </c>
      <c r="Q72" s="3">
        <v>4337307.0</v>
      </c>
      <c r="R72" s="3" t="s">
        <v>40</v>
      </c>
      <c r="S72" s="3" t="s">
        <v>40</v>
      </c>
      <c r="T72" s="3" t="s">
        <v>41</v>
      </c>
      <c r="U72" s="3" t="s">
        <v>829</v>
      </c>
      <c r="V72" s="3" t="s">
        <v>830</v>
      </c>
      <c r="W72" s="3" t="s">
        <v>829</v>
      </c>
      <c r="X72" s="3" t="s">
        <v>831</v>
      </c>
      <c r="Y72" s="3" t="s">
        <v>832</v>
      </c>
      <c r="Z72" s="3" t="s">
        <v>833</v>
      </c>
      <c r="AA72" s="3" t="s">
        <v>47</v>
      </c>
      <c r="AB72" s="3" t="s">
        <v>32</v>
      </c>
      <c r="AC72" s="3">
        <v>3.9</v>
      </c>
      <c r="AD72" s="3" t="s">
        <v>80</v>
      </c>
    </row>
    <row r="73">
      <c r="A73" s="3" t="s">
        <v>834</v>
      </c>
      <c r="B73" s="3" t="s">
        <v>351</v>
      </c>
      <c r="C73" s="3" t="s">
        <v>51</v>
      </c>
      <c r="D73" s="3">
        <v>2007.0</v>
      </c>
      <c r="E73" s="3">
        <v>17.0</v>
      </c>
      <c r="F73" s="3" t="s">
        <v>32</v>
      </c>
      <c r="G73" s="3">
        <v>5.13962316E8</v>
      </c>
      <c r="H73" s="3" t="s">
        <v>835</v>
      </c>
      <c r="I73" s="3" t="s">
        <v>836</v>
      </c>
      <c r="J73" s="3" t="s">
        <v>35</v>
      </c>
      <c r="K73" s="4"/>
      <c r="L73" s="4"/>
      <c r="M73" s="5" t="s">
        <v>837</v>
      </c>
      <c r="N73" s="3" t="s">
        <v>838</v>
      </c>
      <c r="O73" s="3" t="s">
        <v>356</v>
      </c>
      <c r="P73" s="3">
        <v>56.0</v>
      </c>
      <c r="Q73" s="3">
        <v>2069201.0</v>
      </c>
      <c r="R73" s="3" t="s">
        <v>40</v>
      </c>
      <c r="S73" s="3" t="s">
        <v>40</v>
      </c>
      <c r="T73" s="3" t="s">
        <v>41</v>
      </c>
      <c r="U73" s="3" t="s">
        <v>839</v>
      </c>
      <c r="V73" s="3" t="s">
        <v>840</v>
      </c>
      <c r="W73" s="3" t="s">
        <v>839</v>
      </c>
      <c r="X73" s="3" t="s">
        <v>841</v>
      </c>
      <c r="Y73" s="3" t="s">
        <v>842</v>
      </c>
      <c r="Z73" s="3" t="s">
        <v>843</v>
      </c>
      <c r="AA73" s="3" t="s">
        <v>47</v>
      </c>
      <c r="AB73" s="3" t="s">
        <v>32</v>
      </c>
      <c r="AC73" s="3">
        <v>4.75</v>
      </c>
      <c r="AD73" s="3" t="s">
        <v>80</v>
      </c>
    </row>
    <row r="74">
      <c r="A74" s="3" t="s">
        <v>844</v>
      </c>
      <c r="B74" s="3" t="s">
        <v>82</v>
      </c>
      <c r="C74" s="3" t="s">
        <v>51</v>
      </c>
      <c r="D74" s="3">
        <v>2020.0</v>
      </c>
      <c r="E74" s="3">
        <v>17.0</v>
      </c>
      <c r="F74" s="3" t="s">
        <v>32</v>
      </c>
      <c r="G74" s="3">
        <v>5.16256542E8</v>
      </c>
      <c r="H74" s="3" t="s">
        <v>845</v>
      </c>
      <c r="I74" s="3" t="s">
        <v>846</v>
      </c>
      <c r="J74" s="3" t="s">
        <v>35</v>
      </c>
      <c r="K74" s="4"/>
      <c r="L74" s="4"/>
      <c r="M74" s="5" t="s">
        <v>847</v>
      </c>
      <c r="N74" s="3" t="s">
        <v>848</v>
      </c>
      <c r="O74" s="3" t="s">
        <v>278</v>
      </c>
      <c r="P74" s="3" t="s">
        <v>40</v>
      </c>
      <c r="Q74" s="3">
        <v>7549317.0</v>
      </c>
      <c r="R74" s="3" t="s">
        <v>40</v>
      </c>
      <c r="S74" s="3" t="s">
        <v>40</v>
      </c>
      <c r="T74" s="3" t="s">
        <v>41</v>
      </c>
      <c r="U74" s="3" t="s">
        <v>849</v>
      </c>
      <c r="V74" s="3" t="s">
        <v>850</v>
      </c>
      <c r="W74" s="3" t="s">
        <v>849</v>
      </c>
      <c r="X74" s="3" t="s">
        <v>851</v>
      </c>
      <c r="Y74" s="3" t="s">
        <v>852</v>
      </c>
      <c r="Z74" s="3" t="s">
        <v>853</v>
      </c>
      <c r="AA74" s="3" t="s">
        <v>47</v>
      </c>
      <c r="AB74" s="3" t="s">
        <v>47</v>
      </c>
      <c r="AC74" s="3">
        <v>6.6</v>
      </c>
      <c r="AD74" s="3" t="s">
        <v>80</v>
      </c>
    </row>
    <row r="75">
      <c r="A75" s="3" t="s">
        <v>854</v>
      </c>
      <c r="B75" s="3" t="s">
        <v>30</v>
      </c>
      <c r="C75" s="3" t="s">
        <v>51</v>
      </c>
      <c r="D75" s="3">
        <v>2018.0</v>
      </c>
      <c r="E75" s="3">
        <v>17.0</v>
      </c>
      <c r="F75" s="3" t="s">
        <v>32</v>
      </c>
      <c r="G75" s="3">
        <v>5.15889855E8</v>
      </c>
      <c r="H75" s="3" t="s">
        <v>855</v>
      </c>
      <c r="I75" s="3" t="s">
        <v>856</v>
      </c>
      <c r="J75" s="3" t="s">
        <v>71</v>
      </c>
      <c r="K75" s="4"/>
      <c r="L75" s="4"/>
      <c r="M75" s="5" t="s">
        <v>857</v>
      </c>
      <c r="N75" s="3" t="s">
        <v>858</v>
      </c>
      <c r="O75" s="3" t="s">
        <v>75</v>
      </c>
      <c r="P75" s="3" t="s">
        <v>40</v>
      </c>
      <c r="Q75" s="3">
        <v>6971036.0</v>
      </c>
      <c r="R75" s="3" t="s">
        <v>40</v>
      </c>
      <c r="S75" s="3" t="s">
        <v>40</v>
      </c>
      <c r="T75" s="3" t="s">
        <v>41</v>
      </c>
      <c r="U75" s="3" t="s">
        <v>40</v>
      </c>
      <c r="V75" s="3" t="s">
        <v>859</v>
      </c>
      <c r="W75" s="3" t="s">
        <v>40</v>
      </c>
      <c r="X75" s="3" t="s">
        <v>860</v>
      </c>
      <c r="Y75" s="3" t="s">
        <v>290</v>
      </c>
      <c r="Z75" s="3" t="s">
        <v>66</v>
      </c>
      <c r="AA75" s="3" t="s">
        <v>32</v>
      </c>
      <c r="AB75" s="3" t="s">
        <v>32</v>
      </c>
      <c r="AC75" s="3" t="s">
        <v>40</v>
      </c>
      <c r="AD75" s="3" t="s">
        <v>80</v>
      </c>
    </row>
    <row r="76">
      <c r="A76" s="8" t="s">
        <v>861</v>
      </c>
      <c r="B76" s="8" t="s">
        <v>154</v>
      </c>
      <c r="C76" s="8" t="s">
        <v>119</v>
      </c>
      <c r="D76" s="8">
        <v>1995.0</v>
      </c>
      <c r="E76" s="8">
        <v>1718.0</v>
      </c>
      <c r="F76" s="8" t="s">
        <v>47</v>
      </c>
      <c r="G76" s="8">
        <v>5.20043811E8</v>
      </c>
      <c r="H76" s="8" t="s">
        <v>862</v>
      </c>
      <c r="I76" s="8" t="s">
        <v>863</v>
      </c>
      <c r="J76" s="8" t="s">
        <v>864</v>
      </c>
      <c r="K76" s="8" t="s">
        <v>865</v>
      </c>
      <c r="L76" s="4"/>
      <c r="M76" s="9" t="s">
        <v>866</v>
      </c>
      <c r="N76" s="8" t="s">
        <v>867</v>
      </c>
      <c r="O76" s="8" t="s">
        <v>868</v>
      </c>
      <c r="P76" s="8">
        <v>163.0</v>
      </c>
      <c r="Q76" s="8">
        <v>5800182.0</v>
      </c>
      <c r="R76" s="8" t="s">
        <v>40</v>
      </c>
      <c r="S76" s="8" t="s">
        <v>40</v>
      </c>
      <c r="T76" s="8" t="s">
        <v>41</v>
      </c>
      <c r="U76" s="8" t="s">
        <v>869</v>
      </c>
      <c r="V76" s="8" t="s">
        <v>870</v>
      </c>
      <c r="W76" s="8" t="s">
        <v>869</v>
      </c>
      <c r="X76" s="8" t="s">
        <v>871</v>
      </c>
      <c r="Y76" s="8" t="s">
        <v>872</v>
      </c>
      <c r="Z76" s="8" t="s">
        <v>873</v>
      </c>
      <c r="AA76" s="8" t="s">
        <v>47</v>
      </c>
      <c r="AB76" s="8" t="s">
        <v>32</v>
      </c>
      <c r="AC76" s="8">
        <v>15.0</v>
      </c>
      <c r="AD76" s="8" t="s">
        <v>80</v>
      </c>
    </row>
    <row r="77">
      <c r="A77" s="3" t="s">
        <v>874</v>
      </c>
      <c r="B77" s="3" t="s">
        <v>50</v>
      </c>
      <c r="C77" s="3" t="s">
        <v>119</v>
      </c>
      <c r="D77" s="3">
        <v>2004.0</v>
      </c>
      <c r="E77" s="3">
        <v>174.0</v>
      </c>
      <c r="F77" s="3" t="s">
        <v>32</v>
      </c>
      <c r="G77" s="3">
        <v>5.13524587E8</v>
      </c>
      <c r="H77" s="3" t="s">
        <v>875</v>
      </c>
      <c r="I77" s="3" t="s">
        <v>876</v>
      </c>
      <c r="J77" s="3" t="s">
        <v>71</v>
      </c>
      <c r="K77" s="3" t="s">
        <v>877</v>
      </c>
      <c r="L77" s="4"/>
      <c r="M77" s="5" t="s">
        <v>878</v>
      </c>
      <c r="N77" s="3" t="s">
        <v>879</v>
      </c>
      <c r="O77" s="3" t="s">
        <v>880</v>
      </c>
      <c r="P77" s="3" t="s">
        <v>40</v>
      </c>
      <c r="Q77" s="3">
        <v>78759.0</v>
      </c>
      <c r="R77" s="3" t="s">
        <v>881</v>
      </c>
      <c r="S77" s="3" t="s">
        <v>40</v>
      </c>
      <c r="T77" s="3" t="s">
        <v>60</v>
      </c>
      <c r="U77" s="3" t="s">
        <v>882</v>
      </c>
      <c r="V77" s="3" t="s">
        <v>883</v>
      </c>
      <c r="W77" s="3" t="s">
        <v>882</v>
      </c>
      <c r="X77" s="3" t="s">
        <v>884</v>
      </c>
      <c r="Y77" s="3" t="s">
        <v>885</v>
      </c>
      <c r="Z77" s="3" t="s">
        <v>886</v>
      </c>
      <c r="AA77" s="3" t="s">
        <v>47</v>
      </c>
      <c r="AB77" s="3" t="s">
        <v>47</v>
      </c>
      <c r="AC77" s="3">
        <v>93.5</v>
      </c>
      <c r="AD77" s="3" t="s">
        <v>80</v>
      </c>
    </row>
    <row r="78">
      <c r="A78" s="3" t="s">
        <v>887</v>
      </c>
      <c r="B78" s="3" t="s">
        <v>30</v>
      </c>
      <c r="C78" s="3" t="s">
        <v>31</v>
      </c>
      <c r="D78" s="3">
        <v>2017.0</v>
      </c>
      <c r="E78" s="3">
        <v>18.0</v>
      </c>
      <c r="F78" s="3" t="s">
        <v>32</v>
      </c>
      <c r="G78" s="3">
        <v>5.15439354E8</v>
      </c>
      <c r="H78" s="3" t="s">
        <v>888</v>
      </c>
      <c r="I78" s="3" t="s">
        <v>889</v>
      </c>
      <c r="J78" s="3" t="s">
        <v>71</v>
      </c>
      <c r="K78" s="3" t="s">
        <v>890</v>
      </c>
      <c r="L78" s="4"/>
      <c r="M78" s="5" t="s">
        <v>891</v>
      </c>
      <c r="N78" s="3" t="s">
        <v>892</v>
      </c>
      <c r="O78" s="3" t="s">
        <v>183</v>
      </c>
      <c r="P78" s="3" t="s">
        <v>40</v>
      </c>
      <c r="Q78" s="3">
        <v>7670401.0</v>
      </c>
      <c r="R78" s="3" t="s">
        <v>40</v>
      </c>
      <c r="S78" s="3" t="s">
        <v>40</v>
      </c>
      <c r="T78" s="3" t="s">
        <v>41</v>
      </c>
      <c r="U78" s="3" t="s">
        <v>893</v>
      </c>
      <c r="V78" s="3" t="s">
        <v>894</v>
      </c>
      <c r="W78" s="3" t="s">
        <v>893</v>
      </c>
      <c r="X78" s="3" t="s">
        <v>895</v>
      </c>
      <c r="Y78" s="3" t="s">
        <v>896</v>
      </c>
      <c r="Z78" s="3" t="s">
        <v>201</v>
      </c>
      <c r="AA78" s="3" t="s">
        <v>47</v>
      </c>
      <c r="AB78" s="3" t="s">
        <v>47</v>
      </c>
      <c r="AC78" s="3">
        <v>4.4</v>
      </c>
      <c r="AD78" s="3" t="s">
        <v>80</v>
      </c>
    </row>
    <row r="79">
      <c r="A79" s="3" t="s">
        <v>897</v>
      </c>
      <c r="B79" s="3" t="s">
        <v>82</v>
      </c>
      <c r="C79" s="3" t="s">
        <v>51</v>
      </c>
      <c r="D79" s="3">
        <v>2014.0</v>
      </c>
      <c r="E79" s="3">
        <v>18.0</v>
      </c>
      <c r="F79" s="3" t="s">
        <v>32</v>
      </c>
      <c r="G79" s="3">
        <v>5.15047363E8</v>
      </c>
      <c r="H79" s="3" t="s">
        <v>898</v>
      </c>
      <c r="I79" s="3" t="s">
        <v>899</v>
      </c>
      <c r="J79" s="3" t="s">
        <v>35</v>
      </c>
      <c r="K79" s="3" t="s">
        <v>900</v>
      </c>
      <c r="L79" s="4"/>
      <c r="M79" s="5" t="s">
        <v>901</v>
      </c>
      <c r="N79" s="3" t="s">
        <v>902</v>
      </c>
      <c r="O79" s="3" t="s">
        <v>75</v>
      </c>
      <c r="P79" s="3" t="s">
        <v>40</v>
      </c>
      <c r="Q79" s="3">
        <v>6944038.0</v>
      </c>
      <c r="R79" s="3" t="s">
        <v>40</v>
      </c>
      <c r="S79" s="3" t="s">
        <v>40</v>
      </c>
      <c r="T79" s="3" t="s">
        <v>41</v>
      </c>
      <c r="U79" s="3" t="s">
        <v>903</v>
      </c>
      <c r="V79" s="3" t="s">
        <v>904</v>
      </c>
      <c r="W79" s="3" t="s">
        <v>903</v>
      </c>
      <c r="X79" s="3" t="s">
        <v>905</v>
      </c>
      <c r="Y79" s="3" t="s">
        <v>906</v>
      </c>
      <c r="Z79" s="3" t="s">
        <v>66</v>
      </c>
      <c r="AA79" s="3" t="s">
        <v>47</v>
      </c>
      <c r="AB79" s="3" t="s">
        <v>32</v>
      </c>
      <c r="AC79" s="3">
        <v>20.355</v>
      </c>
      <c r="AD79" s="3" t="s">
        <v>48</v>
      </c>
    </row>
    <row r="80">
      <c r="A80" s="3" t="s">
        <v>907</v>
      </c>
      <c r="B80" s="3" t="s">
        <v>82</v>
      </c>
      <c r="C80" s="3" t="s">
        <v>31</v>
      </c>
      <c r="D80" s="3">
        <v>2023.0</v>
      </c>
      <c r="E80" s="3">
        <v>18.0</v>
      </c>
      <c r="F80" s="3" t="s">
        <v>32</v>
      </c>
      <c r="G80" s="3" t="s">
        <v>40</v>
      </c>
      <c r="H80" s="3" t="s">
        <v>908</v>
      </c>
      <c r="I80" s="3" t="s">
        <v>909</v>
      </c>
      <c r="J80" s="3" t="s">
        <v>910</v>
      </c>
      <c r="K80" s="3" t="s">
        <v>911</v>
      </c>
      <c r="L80" s="4"/>
      <c r="M80" s="5" t="s">
        <v>912</v>
      </c>
      <c r="N80" s="3" t="s">
        <v>913</v>
      </c>
      <c r="O80" s="3" t="s">
        <v>914</v>
      </c>
      <c r="P80" s="3" t="s">
        <v>40</v>
      </c>
      <c r="Q80" s="3">
        <v>85260.0</v>
      </c>
      <c r="R80" s="3" t="s">
        <v>915</v>
      </c>
      <c r="S80" s="3" t="s">
        <v>40</v>
      </c>
      <c r="T80" s="3" t="s">
        <v>60</v>
      </c>
      <c r="U80" s="3" t="s">
        <v>916</v>
      </c>
      <c r="V80" s="3" t="s">
        <v>40</v>
      </c>
      <c r="W80" s="3" t="s">
        <v>40</v>
      </c>
      <c r="X80" s="3" t="s">
        <v>917</v>
      </c>
      <c r="Y80" s="3" t="s">
        <v>918</v>
      </c>
      <c r="Z80" s="3" t="s">
        <v>66</v>
      </c>
      <c r="AA80" s="3" t="s">
        <v>47</v>
      </c>
      <c r="AB80" s="3" t="s">
        <v>47</v>
      </c>
      <c r="AC80" s="3">
        <v>8.0</v>
      </c>
      <c r="AD80" s="3" t="s">
        <v>80</v>
      </c>
    </row>
    <row r="81">
      <c r="A81" s="8" t="s">
        <v>919</v>
      </c>
      <c r="B81" s="8" t="s">
        <v>154</v>
      </c>
      <c r="C81" s="8" t="s">
        <v>119</v>
      </c>
      <c r="D81" s="8">
        <v>2010.0</v>
      </c>
      <c r="E81" s="8">
        <v>18.0</v>
      </c>
      <c r="F81" s="8" t="s">
        <v>47</v>
      </c>
      <c r="G81" s="8">
        <v>5.15275246E8</v>
      </c>
      <c r="H81" s="8" t="s">
        <v>920</v>
      </c>
      <c r="I81" s="8" t="s">
        <v>921</v>
      </c>
      <c r="J81" s="8" t="s">
        <v>54</v>
      </c>
      <c r="K81" s="8" t="s">
        <v>922</v>
      </c>
      <c r="L81" s="4"/>
      <c r="M81" s="9" t="s">
        <v>923</v>
      </c>
      <c r="N81" s="8" t="s">
        <v>924</v>
      </c>
      <c r="O81" s="8" t="s">
        <v>925</v>
      </c>
      <c r="P81" s="8" t="s">
        <v>40</v>
      </c>
      <c r="Q81" s="8" t="s">
        <v>926</v>
      </c>
      <c r="R81" s="8" t="s">
        <v>40</v>
      </c>
      <c r="S81" s="8" t="s">
        <v>927</v>
      </c>
      <c r="T81" s="8" t="s">
        <v>928</v>
      </c>
      <c r="U81" s="8" t="s">
        <v>929</v>
      </c>
      <c r="V81" s="8" t="s">
        <v>930</v>
      </c>
      <c r="W81" s="8" t="s">
        <v>931</v>
      </c>
      <c r="X81" s="8" t="s">
        <v>932</v>
      </c>
      <c r="Y81" s="8" t="s">
        <v>933</v>
      </c>
      <c r="Z81" s="8" t="s">
        <v>46</v>
      </c>
      <c r="AA81" s="8" t="s">
        <v>47</v>
      </c>
      <c r="AB81" s="8" t="s">
        <v>32</v>
      </c>
      <c r="AC81" s="8">
        <v>13.0</v>
      </c>
      <c r="AD81" s="8" t="s">
        <v>80</v>
      </c>
    </row>
    <row r="82">
      <c r="A82" s="3" t="s">
        <v>934</v>
      </c>
      <c r="B82" s="3" t="s">
        <v>351</v>
      </c>
      <c r="C82" s="3" t="s">
        <v>31</v>
      </c>
      <c r="D82" s="3">
        <v>2019.0</v>
      </c>
      <c r="E82" s="3">
        <v>18.0</v>
      </c>
      <c r="F82" s="3" t="s">
        <v>32</v>
      </c>
      <c r="G82" s="3">
        <v>5.16180213E8</v>
      </c>
      <c r="H82" s="3" t="s">
        <v>935</v>
      </c>
      <c r="I82" s="3" t="s">
        <v>936</v>
      </c>
      <c r="J82" s="3" t="s">
        <v>35</v>
      </c>
      <c r="K82" s="3" t="s">
        <v>937</v>
      </c>
      <c r="L82" s="4"/>
      <c r="M82" s="5" t="s">
        <v>938</v>
      </c>
      <c r="N82" s="3" t="s">
        <v>939</v>
      </c>
      <c r="O82" s="3" t="s">
        <v>147</v>
      </c>
      <c r="P82" s="3" t="s">
        <v>40</v>
      </c>
      <c r="Q82" s="3">
        <v>9777019.0</v>
      </c>
      <c r="R82" s="3" t="s">
        <v>40</v>
      </c>
      <c r="S82" s="3" t="s">
        <v>40</v>
      </c>
      <c r="T82" s="3" t="s">
        <v>41</v>
      </c>
      <c r="U82" s="3" t="s">
        <v>940</v>
      </c>
      <c r="V82" s="3" t="s">
        <v>40</v>
      </c>
      <c r="W82" s="3" t="s">
        <v>940</v>
      </c>
      <c r="X82" s="3" t="s">
        <v>941</v>
      </c>
      <c r="Y82" s="3" t="s">
        <v>942</v>
      </c>
      <c r="Z82" s="3" t="s">
        <v>943</v>
      </c>
      <c r="AA82" s="3" t="s">
        <v>47</v>
      </c>
      <c r="AB82" s="3" t="s">
        <v>47</v>
      </c>
      <c r="AC82" s="3">
        <v>10.0</v>
      </c>
      <c r="AD82" s="3" t="s">
        <v>48</v>
      </c>
    </row>
    <row r="83">
      <c r="A83" s="3" t="s">
        <v>944</v>
      </c>
      <c r="B83" s="3" t="s">
        <v>82</v>
      </c>
      <c r="C83" s="3" t="s">
        <v>119</v>
      </c>
      <c r="D83" s="3">
        <v>2004.0</v>
      </c>
      <c r="E83" s="3">
        <v>180.0</v>
      </c>
      <c r="F83" s="3" t="s">
        <v>32</v>
      </c>
      <c r="G83" s="3">
        <v>5.13363101E8</v>
      </c>
      <c r="H83" s="3" t="s">
        <v>945</v>
      </c>
      <c r="I83" s="3" t="s">
        <v>946</v>
      </c>
      <c r="J83" s="3" t="s">
        <v>71</v>
      </c>
      <c r="K83" s="4"/>
      <c r="L83" s="4"/>
      <c r="M83" s="5" t="s">
        <v>947</v>
      </c>
      <c r="N83" s="3" t="s">
        <v>948</v>
      </c>
      <c r="O83" s="3" t="s">
        <v>828</v>
      </c>
      <c r="P83" s="3" t="s">
        <v>40</v>
      </c>
      <c r="Q83" s="3">
        <v>4366250.0</v>
      </c>
      <c r="R83" s="3" t="s">
        <v>40</v>
      </c>
      <c r="S83" s="3" t="s">
        <v>40</v>
      </c>
      <c r="T83" s="3" t="s">
        <v>41</v>
      </c>
      <c r="U83" s="3" t="s">
        <v>949</v>
      </c>
      <c r="V83" s="3" t="s">
        <v>950</v>
      </c>
      <c r="W83" s="3" t="s">
        <v>949</v>
      </c>
      <c r="X83" s="3" t="s">
        <v>951</v>
      </c>
      <c r="Y83" s="3" t="s">
        <v>952</v>
      </c>
      <c r="Z83" s="3" t="s">
        <v>953</v>
      </c>
      <c r="AA83" s="3" t="s">
        <v>47</v>
      </c>
      <c r="AB83" s="3" t="s">
        <v>32</v>
      </c>
      <c r="AC83" s="3" t="s">
        <v>40</v>
      </c>
      <c r="AD83" s="3" t="s">
        <v>80</v>
      </c>
    </row>
    <row r="84">
      <c r="A84" s="3" t="s">
        <v>954</v>
      </c>
      <c r="B84" s="3" t="s">
        <v>50</v>
      </c>
      <c r="C84" s="3" t="s">
        <v>119</v>
      </c>
      <c r="D84" s="3">
        <v>2017.0</v>
      </c>
      <c r="E84" s="3">
        <v>187.0</v>
      </c>
      <c r="F84" s="3" t="s">
        <v>32</v>
      </c>
      <c r="G84" s="3">
        <v>5.14453794E8</v>
      </c>
      <c r="H84" s="3" t="s">
        <v>955</v>
      </c>
      <c r="I84" s="3" t="s">
        <v>956</v>
      </c>
      <c r="J84" s="3" t="s">
        <v>35</v>
      </c>
      <c r="K84" s="3" t="s">
        <v>957</v>
      </c>
      <c r="L84" s="4"/>
      <c r="M84" s="5" t="s">
        <v>958</v>
      </c>
      <c r="N84" s="3" t="s">
        <v>959</v>
      </c>
      <c r="O84" s="3" t="s">
        <v>616</v>
      </c>
      <c r="P84" s="3" t="s">
        <v>40</v>
      </c>
      <c r="Q84" s="3">
        <v>5268104.0</v>
      </c>
      <c r="R84" s="3" t="s">
        <v>40</v>
      </c>
      <c r="S84" s="3" t="s">
        <v>40</v>
      </c>
      <c r="T84" s="3" t="s">
        <v>41</v>
      </c>
      <c r="U84" s="3" t="s">
        <v>960</v>
      </c>
      <c r="V84" s="3" t="s">
        <v>961</v>
      </c>
      <c r="W84" s="3" t="s">
        <v>960</v>
      </c>
      <c r="X84" s="3" t="s">
        <v>962</v>
      </c>
      <c r="Y84" s="3" t="s">
        <v>963</v>
      </c>
      <c r="Z84" s="3" t="s">
        <v>964</v>
      </c>
      <c r="AA84" s="3" t="s">
        <v>47</v>
      </c>
      <c r="AB84" s="3" t="s">
        <v>47</v>
      </c>
      <c r="AC84" s="3">
        <v>134.0</v>
      </c>
      <c r="AD84" s="3" t="s">
        <v>80</v>
      </c>
    </row>
    <row r="85">
      <c r="A85" s="3" t="s">
        <v>965</v>
      </c>
      <c r="B85" s="3" t="s">
        <v>154</v>
      </c>
      <c r="C85" s="3" t="s">
        <v>119</v>
      </c>
      <c r="D85" s="3">
        <v>2000.0</v>
      </c>
      <c r="E85" s="3">
        <v>190.0</v>
      </c>
      <c r="F85" s="3" t="s">
        <v>32</v>
      </c>
      <c r="G85" s="3">
        <v>5.13472597E8</v>
      </c>
      <c r="H85" s="3" t="s">
        <v>966</v>
      </c>
      <c r="I85" s="3" t="s">
        <v>967</v>
      </c>
      <c r="J85" s="3" t="s">
        <v>968</v>
      </c>
      <c r="K85" s="3" t="s">
        <v>969</v>
      </c>
      <c r="L85" s="4"/>
      <c r="M85" s="5" t="s">
        <v>970</v>
      </c>
      <c r="N85" s="3" t="s">
        <v>971</v>
      </c>
      <c r="O85" s="3" t="s">
        <v>722</v>
      </c>
      <c r="P85" s="3">
        <v>3027.0</v>
      </c>
      <c r="Q85" s="3">
        <v>4970602.0</v>
      </c>
      <c r="R85" s="3" t="s">
        <v>40</v>
      </c>
      <c r="S85" s="3" t="s">
        <v>40</v>
      </c>
      <c r="T85" s="3" t="s">
        <v>41</v>
      </c>
      <c r="U85" s="3" t="s">
        <v>972</v>
      </c>
      <c r="V85" s="3" t="s">
        <v>973</v>
      </c>
      <c r="W85" s="3" t="s">
        <v>972</v>
      </c>
      <c r="X85" s="3" t="s">
        <v>974</v>
      </c>
      <c r="Y85" s="3" t="s">
        <v>975</v>
      </c>
      <c r="Z85" s="3" t="s">
        <v>976</v>
      </c>
      <c r="AA85" s="3" t="s">
        <v>47</v>
      </c>
      <c r="AB85" s="3" t="s">
        <v>47</v>
      </c>
      <c r="AC85" s="3">
        <v>36.0</v>
      </c>
      <c r="AD85" s="3" t="s">
        <v>80</v>
      </c>
    </row>
    <row r="86">
      <c r="A86" s="3" t="s">
        <v>977</v>
      </c>
      <c r="B86" s="3" t="s">
        <v>50</v>
      </c>
      <c r="C86" s="3" t="s">
        <v>119</v>
      </c>
      <c r="D86" s="3">
        <v>2016.0</v>
      </c>
      <c r="E86" s="3">
        <v>190.0</v>
      </c>
      <c r="F86" s="3" t="s">
        <v>32</v>
      </c>
      <c r="G86" s="3">
        <v>5.15486629E8</v>
      </c>
      <c r="H86" s="3" t="s">
        <v>978</v>
      </c>
      <c r="I86" s="3" t="s">
        <v>979</v>
      </c>
      <c r="J86" s="3" t="s">
        <v>35</v>
      </c>
      <c r="K86" s="3" t="s">
        <v>980</v>
      </c>
      <c r="L86" s="4"/>
      <c r="M86" s="5" t="s">
        <v>981</v>
      </c>
      <c r="N86" s="3" t="s">
        <v>982</v>
      </c>
      <c r="O86" s="3" t="s">
        <v>75</v>
      </c>
      <c r="P86" s="3" t="s">
        <v>40</v>
      </c>
      <c r="Q86" s="3">
        <v>6789155.0</v>
      </c>
      <c r="R86" s="3" t="s">
        <v>40</v>
      </c>
      <c r="S86" s="3" t="s">
        <v>40</v>
      </c>
      <c r="T86" s="3" t="s">
        <v>41</v>
      </c>
      <c r="U86" s="3" t="s">
        <v>983</v>
      </c>
      <c r="V86" s="3" t="s">
        <v>984</v>
      </c>
      <c r="W86" s="3" t="s">
        <v>983</v>
      </c>
      <c r="X86" s="3" t="s">
        <v>985</v>
      </c>
      <c r="Y86" s="3" t="s">
        <v>986</v>
      </c>
      <c r="Z86" s="3" t="s">
        <v>987</v>
      </c>
      <c r="AA86" s="3" t="s">
        <v>47</v>
      </c>
      <c r="AB86" s="3" t="s">
        <v>32</v>
      </c>
      <c r="AC86" s="3" t="s">
        <v>40</v>
      </c>
      <c r="AD86" s="3" t="s">
        <v>80</v>
      </c>
    </row>
    <row r="87">
      <c r="A87" s="8" t="s">
        <v>988</v>
      </c>
      <c r="B87" s="8" t="s">
        <v>82</v>
      </c>
      <c r="C87" s="8" t="s">
        <v>31</v>
      </c>
      <c r="D87" s="8">
        <v>2021.0</v>
      </c>
      <c r="E87" s="8">
        <v>2.0</v>
      </c>
      <c r="F87" s="8" t="s">
        <v>47</v>
      </c>
      <c r="G87" s="8">
        <v>5.16333671E8</v>
      </c>
      <c r="H87" s="8" t="s">
        <v>989</v>
      </c>
      <c r="I87" s="8" t="s">
        <v>990</v>
      </c>
      <c r="J87" s="8" t="s">
        <v>71</v>
      </c>
      <c r="K87" s="8" t="s">
        <v>991</v>
      </c>
      <c r="L87" s="4"/>
      <c r="M87" s="9" t="s">
        <v>992</v>
      </c>
      <c r="N87" s="8" t="s">
        <v>993</v>
      </c>
      <c r="O87" s="8" t="s">
        <v>994</v>
      </c>
      <c r="P87" s="8" t="s">
        <v>40</v>
      </c>
      <c r="Q87" s="8">
        <v>8496500.0</v>
      </c>
      <c r="R87" s="8" t="s">
        <v>40</v>
      </c>
      <c r="S87" s="8" t="s">
        <v>40</v>
      </c>
      <c r="T87" s="8" t="s">
        <v>41</v>
      </c>
      <c r="U87" s="8" t="s">
        <v>991</v>
      </c>
      <c r="V87" s="8" t="s">
        <v>995</v>
      </c>
      <c r="W87" s="8" t="s">
        <v>991</v>
      </c>
      <c r="X87" s="8" t="s">
        <v>996</v>
      </c>
      <c r="Y87" s="8" t="s">
        <v>997</v>
      </c>
      <c r="Z87" s="8" t="s">
        <v>998</v>
      </c>
      <c r="AA87" s="8" t="s">
        <v>47</v>
      </c>
      <c r="AB87" s="8" t="s">
        <v>32</v>
      </c>
      <c r="AC87" s="8" t="s">
        <v>40</v>
      </c>
      <c r="AD87" s="8" t="s">
        <v>80</v>
      </c>
    </row>
    <row r="88">
      <c r="A88" s="3" t="s">
        <v>999</v>
      </c>
      <c r="B88" s="3" t="s">
        <v>82</v>
      </c>
      <c r="C88" s="3" t="s">
        <v>31</v>
      </c>
      <c r="D88" s="3">
        <v>1999.0</v>
      </c>
      <c r="E88" s="3">
        <v>2.0</v>
      </c>
      <c r="F88" s="3" t="s">
        <v>32</v>
      </c>
      <c r="G88" s="3">
        <v>5.12880477E8</v>
      </c>
      <c r="H88" s="3" t="s">
        <v>1000</v>
      </c>
      <c r="I88" s="3" t="s">
        <v>1001</v>
      </c>
      <c r="J88" s="3" t="s">
        <v>35</v>
      </c>
      <c r="K88" s="3" t="s">
        <v>1002</v>
      </c>
      <c r="L88" s="4"/>
      <c r="M88" s="5" t="s">
        <v>1003</v>
      </c>
      <c r="N88" s="3" t="s">
        <v>1004</v>
      </c>
      <c r="O88" s="3" t="s">
        <v>722</v>
      </c>
      <c r="P88" s="3" t="s">
        <v>40</v>
      </c>
      <c r="Q88" s="3">
        <v>4955052.0</v>
      </c>
      <c r="R88" s="3" t="s">
        <v>40</v>
      </c>
      <c r="S88" s="3" t="s">
        <v>40</v>
      </c>
      <c r="T88" s="3" t="s">
        <v>41</v>
      </c>
      <c r="U88" s="3" t="s">
        <v>1002</v>
      </c>
      <c r="V88" s="3" t="s">
        <v>1005</v>
      </c>
      <c r="W88" s="3" t="s">
        <v>1002</v>
      </c>
      <c r="X88" s="3" t="s">
        <v>1006</v>
      </c>
      <c r="Y88" s="3" t="s">
        <v>1007</v>
      </c>
      <c r="Z88" s="3" t="s">
        <v>46</v>
      </c>
      <c r="AA88" s="3" t="s">
        <v>32</v>
      </c>
      <c r="AB88" s="3" t="s">
        <v>32</v>
      </c>
      <c r="AC88" s="3" t="s">
        <v>40</v>
      </c>
      <c r="AD88" s="3" t="s">
        <v>80</v>
      </c>
    </row>
    <row r="89">
      <c r="A89" s="3" t="s">
        <v>1008</v>
      </c>
      <c r="B89" s="3" t="s">
        <v>50</v>
      </c>
      <c r="C89" s="3" t="s">
        <v>51</v>
      </c>
      <c r="D89" s="3">
        <v>1989.0</v>
      </c>
      <c r="E89" s="3">
        <v>20.0</v>
      </c>
      <c r="F89" s="3" t="s">
        <v>32</v>
      </c>
      <c r="G89" s="3">
        <v>5.11359127E8</v>
      </c>
      <c r="H89" s="3" t="s">
        <v>1009</v>
      </c>
      <c r="I89" s="3" t="s">
        <v>1010</v>
      </c>
      <c r="J89" s="3" t="s">
        <v>35</v>
      </c>
      <c r="K89" s="3" t="s">
        <v>1011</v>
      </c>
      <c r="L89" s="4"/>
      <c r="M89" s="5" t="s">
        <v>1012</v>
      </c>
      <c r="N89" s="3" t="s">
        <v>1013</v>
      </c>
      <c r="O89" s="3" t="s">
        <v>278</v>
      </c>
      <c r="P89" s="3">
        <v>208.0</v>
      </c>
      <c r="Q89" s="3">
        <v>7565317.0</v>
      </c>
      <c r="R89" s="3" t="s">
        <v>40</v>
      </c>
      <c r="S89" s="3" t="s">
        <v>40</v>
      </c>
      <c r="T89" s="3" t="s">
        <v>41</v>
      </c>
      <c r="U89" s="3" t="s">
        <v>1014</v>
      </c>
      <c r="V89" s="3" t="s">
        <v>1015</v>
      </c>
      <c r="W89" s="3" t="s">
        <v>1014</v>
      </c>
      <c r="X89" s="3" t="s">
        <v>1016</v>
      </c>
      <c r="Y89" s="3" t="s">
        <v>1017</v>
      </c>
      <c r="Z89" s="3" t="s">
        <v>1018</v>
      </c>
      <c r="AA89" s="3" t="s">
        <v>47</v>
      </c>
      <c r="AB89" s="3" t="s">
        <v>32</v>
      </c>
      <c r="AC89" s="3" t="s">
        <v>40</v>
      </c>
      <c r="AD89" s="3" t="s">
        <v>80</v>
      </c>
    </row>
    <row r="90">
      <c r="A90" s="3" t="s">
        <v>1019</v>
      </c>
      <c r="B90" s="3" t="s">
        <v>82</v>
      </c>
      <c r="C90" s="3" t="s">
        <v>31</v>
      </c>
      <c r="D90" s="3">
        <v>2015.0</v>
      </c>
      <c r="E90" s="3">
        <v>20.0</v>
      </c>
      <c r="F90" s="3" t="s">
        <v>32</v>
      </c>
      <c r="G90" s="3">
        <v>5.16762176E8</v>
      </c>
      <c r="H90" s="3" t="s">
        <v>1020</v>
      </c>
      <c r="I90" s="3" t="s">
        <v>1021</v>
      </c>
      <c r="J90" s="3" t="s">
        <v>35</v>
      </c>
      <c r="K90" s="3" t="s">
        <v>1022</v>
      </c>
      <c r="L90" s="4"/>
      <c r="M90" s="5" t="s">
        <v>1023</v>
      </c>
      <c r="N90" s="3" t="s">
        <v>1024</v>
      </c>
      <c r="O90" s="3" t="s">
        <v>1025</v>
      </c>
      <c r="P90" s="3" t="s">
        <v>40</v>
      </c>
      <c r="Q90" s="3" t="s">
        <v>1026</v>
      </c>
      <c r="R90" s="3" t="s">
        <v>507</v>
      </c>
      <c r="S90" s="3" t="s">
        <v>40</v>
      </c>
      <c r="T90" s="3" t="s">
        <v>60</v>
      </c>
      <c r="U90" s="3" t="s">
        <v>1027</v>
      </c>
      <c r="V90" s="3" t="s">
        <v>1028</v>
      </c>
      <c r="W90" s="3" t="s">
        <v>1027</v>
      </c>
      <c r="X90" s="3" t="s">
        <v>1029</v>
      </c>
      <c r="Y90" s="3" t="s">
        <v>1030</v>
      </c>
      <c r="Z90" s="3" t="s">
        <v>66</v>
      </c>
      <c r="AA90" s="3" t="s">
        <v>47</v>
      </c>
      <c r="AB90" s="3" t="s">
        <v>47</v>
      </c>
      <c r="AC90" s="3">
        <v>8.0</v>
      </c>
      <c r="AD90" s="3" t="s">
        <v>48</v>
      </c>
    </row>
    <row r="91">
      <c r="A91" s="3" t="s">
        <v>1031</v>
      </c>
      <c r="B91" s="3" t="s">
        <v>351</v>
      </c>
      <c r="C91" s="3" t="s">
        <v>51</v>
      </c>
      <c r="D91" s="3">
        <v>2016.0</v>
      </c>
      <c r="E91" s="3">
        <v>20.0</v>
      </c>
      <c r="F91" s="3" t="s">
        <v>32</v>
      </c>
      <c r="G91" s="3">
        <v>5.15459014E8</v>
      </c>
      <c r="H91" s="3" t="s">
        <v>1032</v>
      </c>
      <c r="I91" s="3" t="s">
        <v>1033</v>
      </c>
      <c r="J91" s="3" t="s">
        <v>35</v>
      </c>
      <c r="K91" s="3" t="s">
        <v>1034</v>
      </c>
      <c r="L91" s="4"/>
      <c r="M91" s="5" t="s">
        <v>1035</v>
      </c>
      <c r="N91" s="3" t="s">
        <v>1036</v>
      </c>
      <c r="O91" s="3" t="s">
        <v>1037</v>
      </c>
      <c r="P91" s="3">
        <v>4114.0</v>
      </c>
      <c r="Q91" s="3">
        <v>7414002.0</v>
      </c>
      <c r="R91" s="3" t="s">
        <v>40</v>
      </c>
      <c r="S91" s="3" t="s">
        <v>40</v>
      </c>
      <c r="T91" s="3" t="s">
        <v>41</v>
      </c>
      <c r="U91" s="3" t="s">
        <v>1038</v>
      </c>
      <c r="V91" s="3" t="s">
        <v>1039</v>
      </c>
      <c r="W91" s="3" t="s">
        <v>1038</v>
      </c>
      <c r="X91" s="3" t="s">
        <v>1040</v>
      </c>
      <c r="Y91" s="3" t="s">
        <v>1041</v>
      </c>
      <c r="Z91" s="3" t="s">
        <v>1042</v>
      </c>
      <c r="AA91" s="3" t="s">
        <v>47</v>
      </c>
      <c r="AB91" s="3" t="s">
        <v>47</v>
      </c>
      <c r="AC91" s="3">
        <v>11.3</v>
      </c>
      <c r="AD91" s="3" t="s">
        <v>80</v>
      </c>
    </row>
    <row r="92">
      <c r="A92" s="3" t="s">
        <v>1043</v>
      </c>
      <c r="B92" s="3" t="s">
        <v>82</v>
      </c>
      <c r="C92" s="3" t="s">
        <v>51</v>
      </c>
      <c r="D92" s="3">
        <v>1993.0</v>
      </c>
      <c r="E92" s="3">
        <v>20.0</v>
      </c>
      <c r="F92" s="3" t="s">
        <v>32</v>
      </c>
      <c r="G92" s="3">
        <v>5.12441148E8</v>
      </c>
      <c r="H92" s="3" t="s">
        <v>1044</v>
      </c>
      <c r="I92" s="3" t="s">
        <v>1045</v>
      </c>
      <c r="J92" s="3" t="s">
        <v>1046</v>
      </c>
      <c r="K92" s="3" t="s">
        <v>1047</v>
      </c>
      <c r="L92" s="4"/>
      <c r="M92" s="5" t="s">
        <v>1048</v>
      </c>
      <c r="N92" s="3" t="s">
        <v>1049</v>
      </c>
      <c r="O92" s="3" t="s">
        <v>137</v>
      </c>
      <c r="P92" s="3" t="s">
        <v>40</v>
      </c>
      <c r="Q92" s="3">
        <v>4464313.0</v>
      </c>
      <c r="R92" s="3" t="s">
        <v>40</v>
      </c>
      <c r="S92" s="3" t="s">
        <v>40</v>
      </c>
      <c r="T92" s="3" t="s">
        <v>41</v>
      </c>
      <c r="U92" s="3" t="s">
        <v>1050</v>
      </c>
      <c r="V92" s="3" t="s">
        <v>1051</v>
      </c>
      <c r="W92" s="3" t="s">
        <v>1050</v>
      </c>
      <c r="X92" s="3" t="s">
        <v>1052</v>
      </c>
      <c r="Y92" s="3" t="s">
        <v>1053</v>
      </c>
      <c r="Z92" s="3" t="s">
        <v>535</v>
      </c>
      <c r="AA92" s="3" t="s">
        <v>32</v>
      </c>
      <c r="AB92" s="3" t="s">
        <v>32</v>
      </c>
      <c r="AC92" s="3" t="s">
        <v>40</v>
      </c>
      <c r="AD92" s="3" t="s">
        <v>80</v>
      </c>
    </row>
    <row r="93">
      <c r="A93" s="3" t="s">
        <v>1054</v>
      </c>
      <c r="B93" s="3" t="s">
        <v>68</v>
      </c>
      <c r="C93" s="3" t="s">
        <v>51</v>
      </c>
      <c r="D93" s="3">
        <v>2014.0</v>
      </c>
      <c r="E93" s="3">
        <v>20.0</v>
      </c>
      <c r="F93" s="3" t="s">
        <v>32</v>
      </c>
      <c r="G93" s="3">
        <v>5.15130359E8</v>
      </c>
      <c r="H93" s="3" t="s">
        <v>1055</v>
      </c>
      <c r="I93" s="3" t="s">
        <v>1056</v>
      </c>
      <c r="J93" s="3" t="s">
        <v>71</v>
      </c>
      <c r="K93" s="3" t="s">
        <v>1057</v>
      </c>
      <c r="L93" s="4"/>
      <c r="M93" s="5" t="s">
        <v>1058</v>
      </c>
      <c r="N93" s="3" t="s">
        <v>1059</v>
      </c>
      <c r="O93" s="3" t="s">
        <v>298</v>
      </c>
      <c r="P93" s="3" t="s">
        <v>40</v>
      </c>
      <c r="Q93" s="3">
        <v>4250604.0</v>
      </c>
      <c r="R93" s="3" t="s">
        <v>40</v>
      </c>
      <c r="S93" s="3" t="s">
        <v>40</v>
      </c>
      <c r="T93" s="3" t="s">
        <v>41</v>
      </c>
      <c r="U93" s="3" t="s">
        <v>1060</v>
      </c>
      <c r="V93" s="3" t="s">
        <v>1061</v>
      </c>
      <c r="W93" s="3" t="s">
        <v>1060</v>
      </c>
      <c r="X93" s="3" t="s">
        <v>1062</v>
      </c>
      <c r="Y93" s="3" t="s">
        <v>1063</v>
      </c>
      <c r="Z93" s="3" t="s">
        <v>1064</v>
      </c>
      <c r="AA93" s="3" t="s">
        <v>47</v>
      </c>
      <c r="AB93" s="3" t="s">
        <v>47</v>
      </c>
      <c r="AC93" s="3">
        <v>15.4</v>
      </c>
      <c r="AD93" s="3" t="s">
        <v>80</v>
      </c>
    </row>
    <row r="94">
      <c r="A94" s="8" t="s">
        <v>1065</v>
      </c>
      <c r="B94" s="8" t="s">
        <v>203</v>
      </c>
      <c r="C94" s="8" t="s">
        <v>119</v>
      </c>
      <c r="D94" s="8">
        <v>1999.0</v>
      </c>
      <c r="E94" s="8">
        <v>20.0</v>
      </c>
      <c r="F94" s="8" t="s">
        <v>47</v>
      </c>
      <c r="G94" s="8">
        <v>5.12778119E8</v>
      </c>
      <c r="H94" s="8" t="s">
        <v>1066</v>
      </c>
      <c r="I94" s="8" t="s">
        <v>1067</v>
      </c>
      <c r="J94" s="8" t="s">
        <v>71</v>
      </c>
      <c r="K94" s="8" t="s">
        <v>1068</v>
      </c>
      <c r="L94" s="4"/>
      <c r="M94" s="9" t="s">
        <v>1069</v>
      </c>
      <c r="N94" s="8" t="s">
        <v>1070</v>
      </c>
      <c r="O94" s="8" t="s">
        <v>1071</v>
      </c>
      <c r="P94" s="8" t="s">
        <v>40</v>
      </c>
      <c r="Q94" s="8">
        <v>44142.0</v>
      </c>
      <c r="R94" s="8" t="s">
        <v>1072</v>
      </c>
      <c r="S94" s="8" t="s">
        <v>40</v>
      </c>
      <c r="T94" s="8" t="s">
        <v>60</v>
      </c>
      <c r="U94" s="8" t="s">
        <v>1073</v>
      </c>
      <c r="V94" s="8" t="s">
        <v>1074</v>
      </c>
      <c r="W94" s="8" t="s">
        <v>1075</v>
      </c>
      <c r="X94" s="8" t="s">
        <v>1076</v>
      </c>
      <c r="Y94" s="8" t="s">
        <v>1077</v>
      </c>
      <c r="Z94" s="8" t="s">
        <v>66</v>
      </c>
      <c r="AA94" s="8" t="s">
        <v>47</v>
      </c>
      <c r="AB94" s="8" t="s">
        <v>32</v>
      </c>
      <c r="AC94" s="8">
        <v>2.9</v>
      </c>
      <c r="AD94" s="8" t="s">
        <v>48</v>
      </c>
    </row>
    <row r="95">
      <c r="A95" s="3" t="s">
        <v>1078</v>
      </c>
      <c r="B95" s="3" t="s">
        <v>30</v>
      </c>
      <c r="C95" s="3" t="s">
        <v>51</v>
      </c>
      <c r="D95" s="3">
        <v>1980.0</v>
      </c>
      <c r="E95" s="3">
        <v>20.0</v>
      </c>
      <c r="F95" s="3" t="s">
        <v>32</v>
      </c>
      <c r="G95" s="3">
        <v>5.11327876E8</v>
      </c>
      <c r="H95" s="3" t="s">
        <v>1079</v>
      </c>
      <c r="I95" s="3" t="s">
        <v>1080</v>
      </c>
      <c r="J95" s="3" t="s">
        <v>1081</v>
      </c>
      <c r="K95" s="3" t="s">
        <v>1082</v>
      </c>
      <c r="L95" s="4"/>
      <c r="M95" s="5" t="s">
        <v>1083</v>
      </c>
      <c r="N95" s="3" t="s">
        <v>1084</v>
      </c>
      <c r="O95" s="3" t="s">
        <v>1085</v>
      </c>
      <c r="P95" s="3" t="s">
        <v>40</v>
      </c>
      <c r="Q95" s="3">
        <v>90885.0</v>
      </c>
      <c r="R95" s="3" t="s">
        <v>40</v>
      </c>
      <c r="S95" s="3" t="s">
        <v>40</v>
      </c>
      <c r="T95" s="3" t="s">
        <v>41</v>
      </c>
      <c r="U95" s="3" t="s">
        <v>1082</v>
      </c>
      <c r="V95" s="3" t="s">
        <v>1086</v>
      </c>
      <c r="W95" s="3" t="s">
        <v>1082</v>
      </c>
      <c r="X95" s="3" t="s">
        <v>1087</v>
      </c>
      <c r="Y95" s="3" t="s">
        <v>1088</v>
      </c>
      <c r="Z95" s="3" t="s">
        <v>66</v>
      </c>
      <c r="AA95" s="3" t="s">
        <v>32</v>
      </c>
      <c r="AB95" s="3" t="s">
        <v>32</v>
      </c>
      <c r="AC95" s="3" t="s">
        <v>40</v>
      </c>
      <c r="AD95" s="3" t="s">
        <v>80</v>
      </c>
    </row>
    <row r="96">
      <c r="A96" s="6" t="s">
        <v>1089</v>
      </c>
      <c r="B96" s="6" t="s">
        <v>351</v>
      </c>
      <c r="C96" s="6" t="s">
        <v>51</v>
      </c>
      <c r="D96" s="6">
        <v>2004.0</v>
      </c>
      <c r="E96" s="6">
        <v>20.0</v>
      </c>
      <c r="F96" s="6" t="s">
        <v>32</v>
      </c>
      <c r="G96" s="6">
        <v>5.1351283E8</v>
      </c>
      <c r="H96" s="6" t="s">
        <v>1090</v>
      </c>
      <c r="I96" s="6" t="s">
        <v>1091</v>
      </c>
      <c r="J96" s="6" t="s">
        <v>35</v>
      </c>
      <c r="K96" s="6" t="s">
        <v>1092</v>
      </c>
      <c r="L96" s="4"/>
      <c r="M96" s="7" t="s">
        <v>1093</v>
      </c>
      <c r="N96" s="6" t="s">
        <v>1094</v>
      </c>
      <c r="O96" s="6" t="s">
        <v>298</v>
      </c>
      <c r="P96" s="6">
        <v>8249.0</v>
      </c>
      <c r="Q96" s="6">
        <v>4250537.0</v>
      </c>
      <c r="R96" s="6" t="s">
        <v>40</v>
      </c>
      <c r="S96" s="6" t="s">
        <v>40</v>
      </c>
      <c r="T96" s="6" t="s">
        <v>41</v>
      </c>
      <c r="U96" s="6" t="s">
        <v>1095</v>
      </c>
      <c r="V96" s="6" t="s">
        <v>1096</v>
      </c>
      <c r="W96" s="6" t="s">
        <v>1095</v>
      </c>
      <c r="X96" s="6" t="s">
        <v>1097</v>
      </c>
      <c r="Y96" s="6" t="s">
        <v>1098</v>
      </c>
      <c r="Z96" s="6" t="s">
        <v>1099</v>
      </c>
      <c r="AA96" s="6" t="s">
        <v>47</v>
      </c>
      <c r="AB96" s="6" t="s">
        <v>32</v>
      </c>
      <c r="AC96" s="6">
        <v>0.05</v>
      </c>
      <c r="AD96" s="6" t="s">
        <v>80</v>
      </c>
    </row>
    <row r="97">
      <c r="A97" s="3" t="s">
        <v>1100</v>
      </c>
      <c r="B97" s="3" t="s">
        <v>50</v>
      </c>
      <c r="C97" s="3" t="s">
        <v>51</v>
      </c>
      <c r="D97" s="3">
        <v>2021.0</v>
      </c>
      <c r="E97" s="3">
        <v>20.0</v>
      </c>
      <c r="F97" s="3" t="s">
        <v>32</v>
      </c>
      <c r="G97" s="3" t="s">
        <v>40</v>
      </c>
      <c r="H97" s="3" t="s">
        <v>1101</v>
      </c>
      <c r="I97" s="3" t="s">
        <v>1102</v>
      </c>
      <c r="J97" s="3" t="s">
        <v>35</v>
      </c>
      <c r="K97" s="3" t="s">
        <v>1103</v>
      </c>
      <c r="L97" s="4"/>
      <c r="M97" s="5" t="s">
        <v>1104</v>
      </c>
      <c r="N97" s="3" t="s">
        <v>1105</v>
      </c>
      <c r="O97" s="3" t="s">
        <v>1106</v>
      </c>
      <c r="P97" s="3" t="s">
        <v>40</v>
      </c>
      <c r="Q97" s="3">
        <v>139953.0</v>
      </c>
      <c r="R97" s="3" t="s">
        <v>40</v>
      </c>
      <c r="S97" s="3" t="s">
        <v>40</v>
      </c>
      <c r="T97" s="3" t="s">
        <v>1106</v>
      </c>
      <c r="U97" s="3" t="s">
        <v>1107</v>
      </c>
      <c r="V97" s="3" t="s">
        <v>1108</v>
      </c>
      <c r="W97" s="3" t="s">
        <v>1107</v>
      </c>
      <c r="X97" s="3" t="s">
        <v>1109</v>
      </c>
      <c r="Y97" s="3" t="s">
        <v>1110</v>
      </c>
      <c r="Z97" s="3" t="s">
        <v>291</v>
      </c>
      <c r="AA97" s="3" t="s">
        <v>47</v>
      </c>
      <c r="AB97" s="3" t="s">
        <v>32</v>
      </c>
      <c r="AC97" s="3">
        <v>3.3</v>
      </c>
      <c r="AD97" s="3" t="s">
        <v>80</v>
      </c>
    </row>
    <row r="98">
      <c r="A98" s="3" t="s">
        <v>1111</v>
      </c>
      <c r="B98" s="3" t="s">
        <v>154</v>
      </c>
      <c r="C98" s="3" t="s">
        <v>51</v>
      </c>
      <c r="D98" s="3">
        <v>2015.0</v>
      </c>
      <c r="E98" s="3">
        <v>20.0</v>
      </c>
      <c r="F98" s="3" t="s">
        <v>32</v>
      </c>
      <c r="G98" s="3">
        <v>5.12743618E8</v>
      </c>
      <c r="H98" s="3" t="s">
        <v>1112</v>
      </c>
      <c r="I98" s="3" t="s">
        <v>1113</v>
      </c>
      <c r="J98" s="3" t="s">
        <v>35</v>
      </c>
      <c r="K98" s="3" t="s">
        <v>1114</v>
      </c>
      <c r="L98" s="4"/>
      <c r="M98" s="5" t="s">
        <v>1115</v>
      </c>
      <c r="N98" s="3" t="s">
        <v>1116</v>
      </c>
      <c r="O98" s="3" t="s">
        <v>278</v>
      </c>
      <c r="P98" s="3" t="s">
        <v>40</v>
      </c>
      <c r="Q98" s="3">
        <v>7565502.0</v>
      </c>
      <c r="R98" s="3" t="s">
        <v>40</v>
      </c>
      <c r="S98" s="3" t="s">
        <v>40</v>
      </c>
      <c r="T98" s="3" t="s">
        <v>41</v>
      </c>
      <c r="U98" s="3" t="s">
        <v>1117</v>
      </c>
      <c r="V98" s="3" t="s">
        <v>1118</v>
      </c>
      <c r="W98" s="3" t="s">
        <v>1117</v>
      </c>
      <c r="X98" s="3" t="s">
        <v>1119</v>
      </c>
      <c r="Y98" s="3" t="s">
        <v>1120</v>
      </c>
      <c r="Z98" s="3" t="s">
        <v>1121</v>
      </c>
      <c r="AA98" s="3" t="s">
        <v>47</v>
      </c>
      <c r="AB98" s="3" t="s">
        <v>32</v>
      </c>
      <c r="AC98" s="3">
        <v>2.0</v>
      </c>
      <c r="AD98" s="3" t="s">
        <v>48</v>
      </c>
    </row>
    <row r="99">
      <c r="A99" s="3" t="s">
        <v>1122</v>
      </c>
      <c r="B99" s="3" t="s">
        <v>30</v>
      </c>
      <c r="C99" s="3" t="s">
        <v>51</v>
      </c>
      <c r="D99" s="3">
        <v>2017.0</v>
      </c>
      <c r="E99" s="3">
        <v>20.0</v>
      </c>
      <c r="F99" s="3" t="s">
        <v>32</v>
      </c>
      <c r="G99" s="3">
        <v>5.15648715E8</v>
      </c>
      <c r="H99" s="3" t="s">
        <v>1123</v>
      </c>
      <c r="I99" s="3" t="s">
        <v>1124</v>
      </c>
      <c r="J99" s="3" t="s">
        <v>35</v>
      </c>
      <c r="K99" s="4"/>
      <c r="L99" s="4"/>
      <c r="M99" s="5" t="s">
        <v>1125</v>
      </c>
      <c r="N99" s="3" t="s">
        <v>1126</v>
      </c>
      <c r="O99" s="3" t="s">
        <v>1127</v>
      </c>
      <c r="P99" s="3" t="s">
        <v>40</v>
      </c>
      <c r="Q99" s="3">
        <v>2012700.0</v>
      </c>
      <c r="R99" s="3" t="s">
        <v>40</v>
      </c>
      <c r="S99" s="3" t="s">
        <v>40</v>
      </c>
      <c r="T99" s="3" t="s">
        <v>41</v>
      </c>
      <c r="U99" s="3" t="s">
        <v>1128</v>
      </c>
      <c r="V99" s="3" t="s">
        <v>1129</v>
      </c>
      <c r="W99" s="3" t="s">
        <v>1128</v>
      </c>
      <c r="X99" s="3" t="s">
        <v>1130</v>
      </c>
      <c r="Y99" s="3" t="s">
        <v>1131</v>
      </c>
      <c r="Z99" s="3" t="s">
        <v>1132</v>
      </c>
      <c r="AA99" s="3" t="s">
        <v>47</v>
      </c>
      <c r="AB99" s="3" t="s">
        <v>32</v>
      </c>
      <c r="AC99" s="3">
        <v>15.85</v>
      </c>
      <c r="AD99" s="3" t="s">
        <v>80</v>
      </c>
    </row>
    <row r="100">
      <c r="A100" s="3" t="s">
        <v>1133</v>
      </c>
      <c r="B100" s="3" t="s">
        <v>68</v>
      </c>
      <c r="C100" s="3" t="s">
        <v>51</v>
      </c>
      <c r="D100" s="3">
        <v>2015.0</v>
      </c>
      <c r="E100" s="3">
        <v>20.0</v>
      </c>
      <c r="F100" s="3" t="s">
        <v>32</v>
      </c>
      <c r="G100" s="3" t="s">
        <v>40</v>
      </c>
      <c r="H100" s="3" t="s">
        <v>1134</v>
      </c>
      <c r="I100" s="3" t="s">
        <v>1135</v>
      </c>
      <c r="J100" s="3" t="s">
        <v>35</v>
      </c>
      <c r="K100" s="4"/>
      <c r="L100" s="4"/>
      <c r="M100" s="5" t="s">
        <v>1136</v>
      </c>
      <c r="N100" s="3" t="s">
        <v>1137</v>
      </c>
      <c r="O100" s="3" t="s">
        <v>1138</v>
      </c>
      <c r="P100" s="3" t="s">
        <v>40</v>
      </c>
      <c r="Q100" s="3" t="s">
        <v>1139</v>
      </c>
      <c r="R100" s="3" t="s">
        <v>40</v>
      </c>
      <c r="S100" s="3" t="s">
        <v>40</v>
      </c>
      <c r="T100" s="3" t="s">
        <v>1140</v>
      </c>
      <c r="U100" s="3" t="s">
        <v>1141</v>
      </c>
      <c r="V100" s="3" t="s">
        <v>1142</v>
      </c>
      <c r="W100" s="3" t="s">
        <v>1141</v>
      </c>
      <c r="X100" s="3" t="s">
        <v>1143</v>
      </c>
      <c r="Y100" s="3" t="s">
        <v>1144</v>
      </c>
      <c r="Z100" s="3" t="s">
        <v>1145</v>
      </c>
      <c r="AA100" s="3" t="s">
        <v>47</v>
      </c>
      <c r="AB100" s="3" t="s">
        <v>32</v>
      </c>
      <c r="AC100" s="3">
        <v>5.5</v>
      </c>
      <c r="AD100" s="3" t="s">
        <v>80</v>
      </c>
    </row>
    <row r="101">
      <c r="A101" s="3" t="s">
        <v>1146</v>
      </c>
      <c r="B101" s="3" t="s">
        <v>1147</v>
      </c>
      <c r="C101" s="3" t="s">
        <v>51</v>
      </c>
      <c r="D101" s="3">
        <v>1976.0</v>
      </c>
      <c r="E101" s="3">
        <v>20.0</v>
      </c>
      <c r="F101" s="3" t="s">
        <v>32</v>
      </c>
      <c r="G101" s="3">
        <v>5.11901621E8</v>
      </c>
      <c r="H101" s="3" t="s">
        <v>1148</v>
      </c>
      <c r="I101" s="3" t="s">
        <v>1149</v>
      </c>
      <c r="J101" s="3" t="s">
        <v>71</v>
      </c>
      <c r="K101" s="4"/>
      <c r="L101" s="4"/>
      <c r="M101" s="5" t="s">
        <v>1150</v>
      </c>
      <c r="N101" s="3" t="s">
        <v>1151</v>
      </c>
      <c r="O101" s="3" t="s">
        <v>1152</v>
      </c>
      <c r="P101" s="3" t="s">
        <v>40</v>
      </c>
      <c r="Q101" s="3">
        <v>8553000.0</v>
      </c>
      <c r="R101" s="3" t="s">
        <v>40</v>
      </c>
      <c r="S101" s="3" t="s">
        <v>40</v>
      </c>
      <c r="T101" s="3" t="s">
        <v>41</v>
      </c>
      <c r="U101" s="3" t="s">
        <v>1153</v>
      </c>
      <c r="V101" s="3" t="s">
        <v>1154</v>
      </c>
      <c r="W101" s="3" t="s">
        <v>1153</v>
      </c>
      <c r="X101" s="3" t="s">
        <v>1155</v>
      </c>
      <c r="Y101" s="3" t="s">
        <v>1156</v>
      </c>
      <c r="Z101" s="3" t="s">
        <v>66</v>
      </c>
      <c r="AA101" s="3" t="s">
        <v>32</v>
      </c>
      <c r="AB101" s="3" t="s">
        <v>32</v>
      </c>
      <c r="AC101" s="3" t="s">
        <v>40</v>
      </c>
      <c r="AD101" s="3" t="s">
        <v>80</v>
      </c>
    </row>
    <row r="102">
      <c r="A102" s="8" t="s">
        <v>1157</v>
      </c>
      <c r="B102" s="8" t="s">
        <v>82</v>
      </c>
      <c r="C102" s="8" t="s">
        <v>51</v>
      </c>
      <c r="D102" s="8">
        <v>2011.0</v>
      </c>
      <c r="E102" s="8">
        <v>200.0</v>
      </c>
      <c r="F102" s="8" t="s">
        <v>47</v>
      </c>
      <c r="G102" s="8">
        <v>5.14557339E8</v>
      </c>
      <c r="H102" s="8" t="s">
        <v>1158</v>
      </c>
      <c r="I102" s="8" t="s">
        <v>1159</v>
      </c>
      <c r="J102" s="8" t="s">
        <v>35</v>
      </c>
      <c r="K102" s="8" t="s">
        <v>1160</v>
      </c>
      <c r="L102" s="4"/>
      <c r="M102" s="9" t="s">
        <v>1161</v>
      </c>
      <c r="N102" s="8" t="s">
        <v>40</v>
      </c>
      <c r="O102" s="8" t="s">
        <v>1162</v>
      </c>
      <c r="P102" s="8" t="s">
        <v>40</v>
      </c>
      <c r="Q102" s="8">
        <v>4690500.0</v>
      </c>
      <c r="R102" s="8" t="s">
        <v>40</v>
      </c>
      <c r="S102" s="8" t="s">
        <v>40</v>
      </c>
      <c r="T102" s="8" t="s">
        <v>41</v>
      </c>
      <c r="U102" s="8" t="s">
        <v>1163</v>
      </c>
      <c r="V102" s="8" t="s">
        <v>1164</v>
      </c>
      <c r="W102" s="8" t="s">
        <v>1163</v>
      </c>
      <c r="X102" s="8" t="s">
        <v>1165</v>
      </c>
      <c r="Y102" s="8" t="s">
        <v>1166</v>
      </c>
      <c r="Z102" s="8" t="s">
        <v>201</v>
      </c>
      <c r="AA102" s="8" t="s">
        <v>47</v>
      </c>
      <c r="AB102" s="8" t="s">
        <v>47</v>
      </c>
      <c r="AC102" s="8">
        <v>505.21</v>
      </c>
      <c r="AD102" s="8" t="s">
        <v>80</v>
      </c>
    </row>
    <row r="103">
      <c r="A103" s="3" t="s">
        <v>1167</v>
      </c>
      <c r="B103" s="3" t="s">
        <v>30</v>
      </c>
      <c r="C103" s="3" t="s">
        <v>119</v>
      </c>
      <c r="D103" s="3">
        <v>1967.0</v>
      </c>
      <c r="E103" s="3">
        <v>200.0</v>
      </c>
      <c r="F103" s="3" t="s">
        <v>32</v>
      </c>
      <c r="G103" s="3">
        <v>5.50001374E8</v>
      </c>
      <c r="H103" s="3" t="s">
        <v>1168</v>
      </c>
      <c r="I103" s="3" t="s">
        <v>1169</v>
      </c>
      <c r="J103" s="3" t="s">
        <v>71</v>
      </c>
      <c r="K103" s="3" t="s">
        <v>1170</v>
      </c>
      <c r="L103" s="4"/>
      <c r="M103" s="5" t="s">
        <v>1171</v>
      </c>
      <c r="N103" s="3" t="s">
        <v>40</v>
      </c>
      <c r="O103" s="3" t="s">
        <v>1172</v>
      </c>
      <c r="P103" s="3" t="s">
        <v>40</v>
      </c>
      <c r="Q103" s="3">
        <v>1923700.0</v>
      </c>
      <c r="R103" s="3" t="s">
        <v>40</v>
      </c>
      <c r="S103" s="3" t="s">
        <v>40</v>
      </c>
      <c r="T103" s="3" t="s">
        <v>41</v>
      </c>
      <c r="U103" s="3" t="s">
        <v>1173</v>
      </c>
      <c r="V103" s="3" t="s">
        <v>1174</v>
      </c>
      <c r="W103" s="3" t="s">
        <v>1173</v>
      </c>
      <c r="X103" s="3" t="s">
        <v>1175</v>
      </c>
      <c r="Y103" s="3" t="s">
        <v>1176</v>
      </c>
      <c r="Z103" s="3" t="s">
        <v>1177</v>
      </c>
      <c r="AA103" s="3" t="s">
        <v>32</v>
      </c>
      <c r="AB103" s="3" t="s">
        <v>32</v>
      </c>
      <c r="AC103" s="3" t="s">
        <v>40</v>
      </c>
      <c r="AD103" s="3" t="s">
        <v>80</v>
      </c>
    </row>
    <row r="104">
      <c r="A104" s="3" t="s">
        <v>1178</v>
      </c>
      <c r="B104" s="3" t="s">
        <v>82</v>
      </c>
      <c r="C104" s="3" t="s">
        <v>119</v>
      </c>
      <c r="D104" s="3">
        <v>1979.0</v>
      </c>
      <c r="E104" s="3">
        <v>200.0</v>
      </c>
      <c r="F104" s="3" t="s">
        <v>32</v>
      </c>
      <c r="G104" s="3">
        <v>5.50004071E8</v>
      </c>
      <c r="H104" s="3" t="s">
        <v>1179</v>
      </c>
      <c r="I104" s="3" t="s">
        <v>1180</v>
      </c>
      <c r="J104" s="3" t="s">
        <v>157</v>
      </c>
      <c r="K104" s="4"/>
      <c r="L104" s="4"/>
      <c r="M104" s="5" t="s">
        <v>1181</v>
      </c>
      <c r="N104" s="3" t="s">
        <v>1182</v>
      </c>
      <c r="O104" s="3" t="s">
        <v>1183</v>
      </c>
      <c r="P104" s="3" t="s">
        <v>40</v>
      </c>
      <c r="Q104" s="3">
        <v>9087000.0</v>
      </c>
      <c r="R104" s="3" t="s">
        <v>40</v>
      </c>
      <c r="S104" s="3" t="s">
        <v>40</v>
      </c>
      <c r="T104" s="3" t="s">
        <v>41</v>
      </c>
      <c r="U104" s="3" t="s">
        <v>1184</v>
      </c>
      <c r="V104" s="3" t="s">
        <v>1185</v>
      </c>
      <c r="W104" s="3" t="s">
        <v>1184</v>
      </c>
      <c r="X104" s="3" t="s">
        <v>1186</v>
      </c>
      <c r="Y104" s="3" t="s">
        <v>1187</v>
      </c>
      <c r="Z104" s="3" t="s">
        <v>412</v>
      </c>
      <c r="AA104" s="3" t="s">
        <v>32</v>
      </c>
      <c r="AB104" s="3" t="s">
        <v>32</v>
      </c>
      <c r="AC104" s="3" t="s">
        <v>40</v>
      </c>
      <c r="AD104" s="3" t="s">
        <v>80</v>
      </c>
    </row>
    <row r="105">
      <c r="A105" s="3" t="s">
        <v>1188</v>
      </c>
      <c r="B105" s="3" t="s">
        <v>50</v>
      </c>
      <c r="C105" s="3" t="s">
        <v>51</v>
      </c>
      <c r="D105" s="3">
        <v>2015.0</v>
      </c>
      <c r="E105" s="3">
        <v>22.0</v>
      </c>
      <c r="F105" s="3" t="s">
        <v>32</v>
      </c>
      <c r="G105" s="3">
        <v>5.15275394E8</v>
      </c>
      <c r="H105" s="3" t="s">
        <v>1189</v>
      </c>
      <c r="I105" s="3" t="s">
        <v>1190</v>
      </c>
      <c r="J105" s="3" t="s">
        <v>35</v>
      </c>
      <c r="K105" s="3" t="s">
        <v>1191</v>
      </c>
      <c r="L105" s="4"/>
      <c r="M105" s="5" t="s">
        <v>1192</v>
      </c>
      <c r="N105" s="3" t="s">
        <v>1193</v>
      </c>
      <c r="O105" s="3" t="s">
        <v>75</v>
      </c>
      <c r="P105" s="3" t="s">
        <v>40</v>
      </c>
      <c r="Q105" s="3">
        <v>6578403.0</v>
      </c>
      <c r="R105" s="3" t="s">
        <v>40</v>
      </c>
      <c r="S105" s="3" t="s">
        <v>40</v>
      </c>
      <c r="T105" s="3" t="s">
        <v>41</v>
      </c>
      <c r="U105" s="3" t="s">
        <v>1194</v>
      </c>
      <c r="V105" s="3" t="s">
        <v>1195</v>
      </c>
      <c r="W105" s="3" t="s">
        <v>1194</v>
      </c>
      <c r="X105" s="3" t="s">
        <v>1196</v>
      </c>
      <c r="Y105" s="3" t="s">
        <v>1197</v>
      </c>
      <c r="Z105" s="3" t="s">
        <v>1198</v>
      </c>
      <c r="AA105" s="3" t="s">
        <v>47</v>
      </c>
      <c r="AB105" s="3" t="s">
        <v>47</v>
      </c>
      <c r="AC105" s="3">
        <v>25.5</v>
      </c>
      <c r="AD105" s="3" t="s">
        <v>80</v>
      </c>
    </row>
    <row r="106">
      <c r="A106" s="3" t="s">
        <v>1199</v>
      </c>
      <c r="B106" s="3" t="s">
        <v>50</v>
      </c>
      <c r="C106" s="3" t="s">
        <v>119</v>
      </c>
      <c r="D106" s="3">
        <v>1988.0</v>
      </c>
      <c r="E106" s="3">
        <v>22.0</v>
      </c>
      <c r="F106" s="3" t="s">
        <v>32</v>
      </c>
      <c r="G106" s="3">
        <v>5.11295131E8</v>
      </c>
      <c r="H106" s="3" t="s">
        <v>1200</v>
      </c>
      <c r="I106" s="3" t="s">
        <v>1201</v>
      </c>
      <c r="J106" s="3" t="s">
        <v>71</v>
      </c>
      <c r="K106" s="3" t="s">
        <v>1202</v>
      </c>
      <c r="L106" s="4"/>
      <c r="M106" s="5" t="s">
        <v>1203</v>
      </c>
      <c r="N106" s="3" t="s">
        <v>1204</v>
      </c>
      <c r="O106" s="3" t="s">
        <v>1205</v>
      </c>
      <c r="P106" s="3">
        <v>2035.0</v>
      </c>
      <c r="Q106" s="3">
        <v>3902634.0</v>
      </c>
      <c r="R106" s="3" t="s">
        <v>40</v>
      </c>
      <c r="S106" s="3" t="s">
        <v>40</v>
      </c>
      <c r="T106" s="3" t="s">
        <v>41</v>
      </c>
      <c r="U106" s="3" t="s">
        <v>1206</v>
      </c>
      <c r="V106" s="3" t="s">
        <v>1207</v>
      </c>
      <c r="W106" s="3" t="s">
        <v>1206</v>
      </c>
      <c r="X106" s="3" t="s">
        <v>1208</v>
      </c>
      <c r="Y106" s="3" t="s">
        <v>1209</v>
      </c>
      <c r="Z106" s="3" t="s">
        <v>652</v>
      </c>
      <c r="AA106" s="3" t="s">
        <v>32</v>
      </c>
      <c r="AB106" s="3" t="s">
        <v>32</v>
      </c>
      <c r="AC106" s="3" t="s">
        <v>40</v>
      </c>
      <c r="AD106" s="3" t="s">
        <v>80</v>
      </c>
    </row>
    <row r="107">
      <c r="A107" s="3" t="s">
        <v>1210</v>
      </c>
      <c r="B107" s="3" t="s">
        <v>50</v>
      </c>
      <c r="C107" s="3" t="s">
        <v>51</v>
      </c>
      <c r="D107" s="3">
        <v>2018.0</v>
      </c>
      <c r="E107" s="3">
        <v>22.0</v>
      </c>
      <c r="F107" s="3" t="s">
        <v>32</v>
      </c>
      <c r="G107" s="3">
        <v>5.1581477E8</v>
      </c>
      <c r="H107" s="3" t="s">
        <v>1211</v>
      </c>
      <c r="I107" s="3" t="s">
        <v>1212</v>
      </c>
      <c r="J107" s="3" t="s">
        <v>35</v>
      </c>
      <c r="K107" s="3" t="s">
        <v>1213</v>
      </c>
      <c r="L107" s="4"/>
      <c r="M107" s="5" t="s">
        <v>1214</v>
      </c>
      <c r="N107" s="3" t="s">
        <v>1215</v>
      </c>
      <c r="O107" s="3" t="s">
        <v>75</v>
      </c>
      <c r="P107" s="3" t="s">
        <v>40</v>
      </c>
      <c r="Q107" s="3">
        <v>6789124.0</v>
      </c>
      <c r="R107" s="3" t="s">
        <v>40</v>
      </c>
      <c r="S107" s="3" t="s">
        <v>40</v>
      </c>
      <c r="T107" s="3" t="s">
        <v>41</v>
      </c>
      <c r="U107" s="3" t="s">
        <v>1216</v>
      </c>
      <c r="V107" s="3" t="s">
        <v>40</v>
      </c>
      <c r="W107" s="3" t="s">
        <v>1216</v>
      </c>
      <c r="X107" s="3" t="s">
        <v>1217</v>
      </c>
      <c r="Y107" s="3" t="s">
        <v>1218</v>
      </c>
      <c r="Z107" s="3" t="s">
        <v>1219</v>
      </c>
      <c r="AA107" s="3" t="s">
        <v>47</v>
      </c>
      <c r="AB107" s="3" t="s">
        <v>47</v>
      </c>
      <c r="AC107" s="3">
        <v>19.5</v>
      </c>
      <c r="AD107" s="3" t="s">
        <v>80</v>
      </c>
    </row>
    <row r="108">
      <c r="A108" s="3" t="s">
        <v>1220</v>
      </c>
      <c r="B108" s="3" t="s">
        <v>203</v>
      </c>
      <c r="C108" s="3" t="s">
        <v>31</v>
      </c>
      <c r="D108" s="3">
        <v>2010.0</v>
      </c>
      <c r="E108" s="3">
        <v>22.0</v>
      </c>
      <c r="F108" s="3" t="s">
        <v>32</v>
      </c>
      <c r="G108" s="3">
        <v>5.1448799E8</v>
      </c>
      <c r="H108" s="3" t="s">
        <v>1221</v>
      </c>
      <c r="I108" s="3" t="s">
        <v>1222</v>
      </c>
      <c r="J108" s="3" t="s">
        <v>35</v>
      </c>
      <c r="K108" s="3" t="s">
        <v>1223</v>
      </c>
      <c r="L108" s="4"/>
      <c r="M108" s="5" t="s">
        <v>1224</v>
      </c>
      <c r="N108" s="3" t="s">
        <v>1225</v>
      </c>
      <c r="O108" s="3" t="s">
        <v>183</v>
      </c>
      <c r="P108" s="3">
        <v>12.0</v>
      </c>
      <c r="Q108" s="3">
        <v>7610001.0</v>
      </c>
      <c r="R108" s="3" t="s">
        <v>40</v>
      </c>
      <c r="S108" s="3" t="s">
        <v>40</v>
      </c>
      <c r="T108" s="3" t="s">
        <v>41</v>
      </c>
      <c r="U108" s="3" t="s">
        <v>1226</v>
      </c>
      <c r="V108" s="3" t="s">
        <v>1227</v>
      </c>
      <c r="W108" s="3" t="s">
        <v>1226</v>
      </c>
      <c r="X108" s="3" t="s">
        <v>1228</v>
      </c>
      <c r="Y108" s="3" t="s">
        <v>1229</v>
      </c>
      <c r="Z108" s="3" t="s">
        <v>1230</v>
      </c>
      <c r="AA108" s="3" t="s">
        <v>47</v>
      </c>
      <c r="AB108" s="3" t="s">
        <v>32</v>
      </c>
      <c r="AC108" s="3">
        <v>8.5</v>
      </c>
      <c r="AD108" s="3" t="s">
        <v>48</v>
      </c>
    </row>
    <row r="109">
      <c r="A109" s="3" t="s">
        <v>1231</v>
      </c>
      <c r="B109" s="3" t="s">
        <v>50</v>
      </c>
      <c r="C109" s="3" t="s">
        <v>51</v>
      </c>
      <c r="D109" s="3">
        <v>2015.0</v>
      </c>
      <c r="E109" s="3">
        <v>22.0</v>
      </c>
      <c r="F109" s="3" t="s">
        <v>32</v>
      </c>
      <c r="G109" s="3">
        <v>5.15196046E8</v>
      </c>
      <c r="H109" s="3" t="s">
        <v>1232</v>
      </c>
      <c r="I109" s="3" t="s">
        <v>1233</v>
      </c>
      <c r="J109" s="3" t="s">
        <v>35</v>
      </c>
      <c r="K109" s="4"/>
      <c r="L109" s="4"/>
      <c r="M109" s="5" t="s">
        <v>1234</v>
      </c>
      <c r="N109" s="3" t="s">
        <v>1235</v>
      </c>
      <c r="O109" s="3" t="s">
        <v>75</v>
      </c>
      <c r="P109" s="3" t="s">
        <v>40</v>
      </c>
      <c r="Q109" s="3">
        <v>6971070.0</v>
      </c>
      <c r="R109" s="3" t="s">
        <v>40</v>
      </c>
      <c r="S109" s="3" t="s">
        <v>40</v>
      </c>
      <c r="T109" s="3" t="s">
        <v>41</v>
      </c>
      <c r="U109" s="3" t="s">
        <v>1236</v>
      </c>
      <c r="V109" s="3" t="s">
        <v>1237</v>
      </c>
      <c r="W109" s="3" t="s">
        <v>1236</v>
      </c>
      <c r="X109" s="3" t="s">
        <v>1238</v>
      </c>
      <c r="Y109" s="3" t="s">
        <v>1239</v>
      </c>
      <c r="Z109" s="3" t="s">
        <v>1240</v>
      </c>
      <c r="AA109" s="3" t="s">
        <v>47</v>
      </c>
      <c r="AB109" s="3" t="s">
        <v>47</v>
      </c>
      <c r="AC109" s="3">
        <v>5.028</v>
      </c>
      <c r="AD109" s="3" t="s">
        <v>80</v>
      </c>
    </row>
    <row r="110">
      <c r="A110" s="17" t="s">
        <v>1241</v>
      </c>
      <c r="B110" s="17" t="s">
        <v>351</v>
      </c>
      <c r="C110" s="17" t="s">
        <v>119</v>
      </c>
      <c r="D110" s="17">
        <v>2006.0</v>
      </c>
      <c r="E110" s="17">
        <v>225.0</v>
      </c>
      <c r="F110" s="17" t="s">
        <v>47</v>
      </c>
      <c r="G110" s="17">
        <v>5.13887042E8</v>
      </c>
      <c r="H110" s="17" t="s">
        <v>1242</v>
      </c>
      <c r="I110" s="17" t="s">
        <v>1243</v>
      </c>
      <c r="J110" s="17" t="s">
        <v>71</v>
      </c>
      <c r="K110" s="17" t="s">
        <v>1244</v>
      </c>
      <c r="L110" s="4"/>
      <c r="M110" s="18" t="s">
        <v>1245</v>
      </c>
      <c r="N110" s="17" t="s">
        <v>1246</v>
      </c>
      <c r="O110" s="17" t="s">
        <v>1247</v>
      </c>
      <c r="P110" s="17">
        <v>7152.0</v>
      </c>
      <c r="Q110" s="17">
        <v>4501309.0</v>
      </c>
      <c r="R110" s="17" t="s">
        <v>40</v>
      </c>
      <c r="S110" s="17" t="s">
        <v>40</v>
      </c>
      <c r="T110" s="17" t="s">
        <v>41</v>
      </c>
      <c r="U110" s="17" t="s">
        <v>1248</v>
      </c>
      <c r="V110" s="17" t="s">
        <v>1249</v>
      </c>
      <c r="W110" s="17" t="s">
        <v>1250</v>
      </c>
      <c r="X110" s="17" t="s">
        <v>1251</v>
      </c>
      <c r="Y110" s="17" t="s">
        <v>1252</v>
      </c>
      <c r="Z110" s="17" t="s">
        <v>685</v>
      </c>
      <c r="AA110" s="17" t="s">
        <v>47</v>
      </c>
      <c r="AB110" s="17" t="s">
        <v>47</v>
      </c>
      <c r="AC110" s="17">
        <v>292.0</v>
      </c>
      <c r="AD110" s="17" t="s">
        <v>80</v>
      </c>
    </row>
    <row r="111">
      <c r="A111" s="3" t="s">
        <v>1253</v>
      </c>
      <c r="B111" s="3" t="s">
        <v>154</v>
      </c>
      <c r="C111" s="3" t="s">
        <v>119</v>
      </c>
      <c r="D111" s="3">
        <v>2009.0</v>
      </c>
      <c r="E111" s="3">
        <v>227.0</v>
      </c>
      <c r="F111" s="3" t="s">
        <v>32</v>
      </c>
      <c r="G111" s="3">
        <v>5.13661637E8</v>
      </c>
      <c r="H111" s="3" t="s">
        <v>1254</v>
      </c>
      <c r="I111" s="3" t="s">
        <v>1255</v>
      </c>
      <c r="J111" s="3" t="s">
        <v>35</v>
      </c>
      <c r="K111" s="3" t="s">
        <v>1256</v>
      </c>
      <c r="L111" s="4"/>
      <c r="M111" s="5" t="s">
        <v>1257</v>
      </c>
      <c r="N111" s="3" t="s">
        <v>1258</v>
      </c>
      <c r="O111" s="3" t="s">
        <v>75</v>
      </c>
      <c r="P111" s="3" t="s">
        <v>40</v>
      </c>
      <c r="Q111" s="3">
        <v>6713701.0</v>
      </c>
      <c r="R111" s="3" t="s">
        <v>40</v>
      </c>
      <c r="S111" s="3" t="s">
        <v>40</v>
      </c>
      <c r="T111" s="3" t="s">
        <v>41</v>
      </c>
      <c r="U111" s="3" t="s">
        <v>1259</v>
      </c>
      <c r="V111" s="3" t="s">
        <v>1260</v>
      </c>
      <c r="W111" s="3" t="s">
        <v>1259</v>
      </c>
      <c r="X111" s="3" t="s">
        <v>1261</v>
      </c>
      <c r="Y111" s="3" t="s">
        <v>1262</v>
      </c>
      <c r="Z111" s="3" t="s">
        <v>1263</v>
      </c>
      <c r="AA111" s="3" t="s">
        <v>47</v>
      </c>
      <c r="AB111" s="3" t="s">
        <v>47</v>
      </c>
      <c r="AC111" s="3">
        <v>18.8</v>
      </c>
      <c r="AD111" s="3" t="s">
        <v>80</v>
      </c>
    </row>
    <row r="112">
      <c r="A112" s="3" t="s">
        <v>1264</v>
      </c>
      <c r="B112" s="3" t="s">
        <v>50</v>
      </c>
      <c r="C112" s="3" t="s">
        <v>51</v>
      </c>
      <c r="D112" s="3">
        <v>2017.0</v>
      </c>
      <c r="E112" s="3">
        <v>23.0</v>
      </c>
      <c r="F112" s="3" t="s">
        <v>32</v>
      </c>
      <c r="G112" s="3">
        <v>5.15703536E8</v>
      </c>
      <c r="H112" s="3" t="s">
        <v>1265</v>
      </c>
      <c r="I112" s="3" t="s">
        <v>1266</v>
      </c>
      <c r="J112" s="3" t="s">
        <v>35</v>
      </c>
      <c r="K112" s="3" t="s">
        <v>1267</v>
      </c>
      <c r="L112" s="4"/>
      <c r="M112" s="5" t="s">
        <v>1268</v>
      </c>
      <c r="N112" s="3" t="s">
        <v>1269</v>
      </c>
      <c r="O112" s="3" t="s">
        <v>1270</v>
      </c>
      <c r="P112" s="3" t="s">
        <v>40</v>
      </c>
      <c r="Q112" s="3">
        <v>7316000.0</v>
      </c>
      <c r="R112" s="3" t="s">
        <v>40</v>
      </c>
      <c r="S112" s="3" t="s">
        <v>40</v>
      </c>
      <c r="T112" s="3" t="s">
        <v>41</v>
      </c>
      <c r="U112" s="3" t="s">
        <v>1271</v>
      </c>
      <c r="V112" s="3" t="s">
        <v>1272</v>
      </c>
      <c r="W112" s="3" t="s">
        <v>1271</v>
      </c>
      <c r="X112" s="3" t="s">
        <v>1273</v>
      </c>
      <c r="Y112" s="3" t="s">
        <v>1274</v>
      </c>
      <c r="Z112" s="3" t="s">
        <v>1275</v>
      </c>
      <c r="AA112" s="3" t="s">
        <v>47</v>
      </c>
      <c r="AB112" s="3" t="s">
        <v>47</v>
      </c>
      <c r="AC112" s="3">
        <v>11.12</v>
      </c>
      <c r="AD112" s="3" t="s">
        <v>48</v>
      </c>
    </row>
    <row r="113">
      <c r="A113" s="3" t="s">
        <v>1276</v>
      </c>
      <c r="B113" s="3" t="s">
        <v>50</v>
      </c>
      <c r="C113" s="3" t="s">
        <v>119</v>
      </c>
      <c r="D113" s="3">
        <v>2012.0</v>
      </c>
      <c r="E113" s="3">
        <v>230.0</v>
      </c>
      <c r="F113" s="3" t="s">
        <v>32</v>
      </c>
      <c r="G113" s="3">
        <v>5.14762673E8</v>
      </c>
      <c r="H113" s="3" t="s">
        <v>1277</v>
      </c>
      <c r="I113" s="3" t="s">
        <v>1278</v>
      </c>
      <c r="J113" s="3" t="s">
        <v>35</v>
      </c>
      <c r="K113" s="3" t="s">
        <v>1279</v>
      </c>
      <c r="L113" s="4"/>
      <c r="M113" s="5" t="s">
        <v>1280</v>
      </c>
      <c r="N113" s="3" t="s">
        <v>1281</v>
      </c>
      <c r="O113" s="3" t="s">
        <v>1282</v>
      </c>
      <c r="P113" s="3" t="s">
        <v>40</v>
      </c>
      <c r="Q113" s="3">
        <v>33130.0</v>
      </c>
      <c r="R113" s="3" t="s">
        <v>1283</v>
      </c>
      <c r="S113" s="3" t="s">
        <v>40</v>
      </c>
      <c r="T113" s="3" t="s">
        <v>60</v>
      </c>
      <c r="U113" s="3" t="s">
        <v>1284</v>
      </c>
      <c r="V113" s="3" t="s">
        <v>1285</v>
      </c>
      <c r="W113" s="3" t="s">
        <v>1286</v>
      </c>
      <c r="X113" s="3" t="s">
        <v>1287</v>
      </c>
      <c r="Y113" s="3" t="s">
        <v>1288</v>
      </c>
      <c r="Z113" s="3" t="s">
        <v>1289</v>
      </c>
      <c r="AA113" s="3" t="s">
        <v>47</v>
      </c>
      <c r="AB113" s="3" t="s">
        <v>47</v>
      </c>
      <c r="AC113" s="3">
        <v>59.865</v>
      </c>
      <c r="AD113" s="3" t="s">
        <v>80</v>
      </c>
    </row>
    <row r="114">
      <c r="A114" s="3" t="s">
        <v>1290</v>
      </c>
      <c r="B114" s="3" t="s">
        <v>50</v>
      </c>
      <c r="C114" s="3" t="s">
        <v>51</v>
      </c>
      <c r="D114" s="3">
        <v>2017.0</v>
      </c>
      <c r="E114" s="3">
        <v>24.0</v>
      </c>
      <c r="F114" s="3" t="s">
        <v>32</v>
      </c>
      <c r="G114" s="3">
        <v>5.15461481E8</v>
      </c>
      <c r="H114" s="3" t="s">
        <v>1291</v>
      </c>
      <c r="I114" s="3" t="s">
        <v>1292</v>
      </c>
      <c r="J114" s="3" t="s">
        <v>35</v>
      </c>
      <c r="K114" s="3" t="s">
        <v>1293</v>
      </c>
      <c r="L114" s="4"/>
      <c r="M114" s="5" t="s">
        <v>1294</v>
      </c>
      <c r="N114" s="3" t="s">
        <v>1295</v>
      </c>
      <c r="O114" s="3" t="s">
        <v>147</v>
      </c>
      <c r="P114" s="3">
        <v>39274.0</v>
      </c>
      <c r="Q114" s="3">
        <v>9025805.0</v>
      </c>
      <c r="R114" s="3" t="s">
        <v>40</v>
      </c>
      <c r="S114" s="3" t="s">
        <v>40</v>
      </c>
      <c r="T114" s="3" t="s">
        <v>41</v>
      </c>
      <c r="U114" s="3" t="s">
        <v>1296</v>
      </c>
      <c r="V114" s="3" t="s">
        <v>1297</v>
      </c>
      <c r="W114" s="3" t="s">
        <v>1296</v>
      </c>
      <c r="X114" s="3" t="s">
        <v>1298</v>
      </c>
      <c r="Y114" s="3" t="s">
        <v>1299</v>
      </c>
      <c r="Z114" s="3" t="s">
        <v>104</v>
      </c>
      <c r="AA114" s="3" t="s">
        <v>47</v>
      </c>
      <c r="AB114" s="3" t="s">
        <v>47</v>
      </c>
      <c r="AC114" s="3">
        <v>9.0</v>
      </c>
      <c r="AD114" s="3" t="s">
        <v>80</v>
      </c>
    </row>
    <row r="115">
      <c r="A115" s="3" t="s">
        <v>1300</v>
      </c>
      <c r="B115" s="3" t="s">
        <v>82</v>
      </c>
      <c r="C115" s="3" t="s">
        <v>51</v>
      </c>
      <c r="D115" s="3">
        <v>2000.0</v>
      </c>
      <c r="E115" s="3">
        <v>24.0</v>
      </c>
      <c r="F115" s="3" t="s">
        <v>32</v>
      </c>
      <c r="G115" s="3">
        <v>5.14258631E8</v>
      </c>
      <c r="H115" s="3" t="s">
        <v>1301</v>
      </c>
      <c r="I115" s="3" t="s">
        <v>1302</v>
      </c>
      <c r="J115" s="3" t="s">
        <v>35</v>
      </c>
      <c r="K115" s="3" t="s">
        <v>1303</v>
      </c>
      <c r="L115" s="4"/>
      <c r="M115" s="5" t="s">
        <v>1304</v>
      </c>
      <c r="N115" s="3" t="s">
        <v>1305</v>
      </c>
      <c r="O115" s="3" t="s">
        <v>452</v>
      </c>
      <c r="P115" s="3" t="s">
        <v>40</v>
      </c>
      <c r="Q115" s="3">
        <v>58856.0</v>
      </c>
      <c r="R115" s="3" t="s">
        <v>40</v>
      </c>
      <c r="S115" s="3" t="s">
        <v>40</v>
      </c>
      <c r="T115" s="3" t="s">
        <v>41</v>
      </c>
      <c r="U115" s="3" t="s">
        <v>1306</v>
      </c>
      <c r="V115" s="3" t="s">
        <v>1307</v>
      </c>
      <c r="W115" s="3" t="s">
        <v>1306</v>
      </c>
      <c r="X115" s="3" t="s">
        <v>1308</v>
      </c>
      <c r="Y115" s="3" t="s">
        <v>1309</v>
      </c>
      <c r="Z115" s="3" t="s">
        <v>412</v>
      </c>
      <c r="AA115" s="3" t="s">
        <v>32</v>
      </c>
      <c r="AB115" s="3" t="s">
        <v>32</v>
      </c>
      <c r="AC115" s="3" t="s">
        <v>40</v>
      </c>
      <c r="AD115" s="3" t="s">
        <v>80</v>
      </c>
    </row>
    <row r="116">
      <c r="A116" s="6" t="s">
        <v>1310</v>
      </c>
      <c r="B116" s="6" t="s">
        <v>82</v>
      </c>
      <c r="C116" s="6" t="s">
        <v>51</v>
      </c>
      <c r="D116" s="6">
        <v>2015.0</v>
      </c>
      <c r="E116" s="6">
        <v>24.0</v>
      </c>
      <c r="F116" s="6" t="s">
        <v>32</v>
      </c>
      <c r="G116" s="6">
        <v>5.15321966E8</v>
      </c>
      <c r="H116" s="6" t="s">
        <v>1311</v>
      </c>
      <c r="I116" s="6" t="s">
        <v>1312</v>
      </c>
      <c r="J116" s="6" t="s">
        <v>35</v>
      </c>
      <c r="K116" s="6" t="s">
        <v>1313</v>
      </c>
      <c r="L116" s="4"/>
      <c r="M116" s="7" t="s">
        <v>1314</v>
      </c>
      <c r="N116" s="6" t="s">
        <v>1315</v>
      </c>
      <c r="O116" s="6" t="s">
        <v>722</v>
      </c>
      <c r="P116" s="6" t="s">
        <v>40</v>
      </c>
      <c r="Q116" s="6">
        <v>4927989.0</v>
      </c>
      <c r="R116" s="6" t="s">
        <v>40</v>
      </c>
      <c r="S116" s="6" t="s">
        <v>40</v>
      </c>
      <c r="T116" s="6" t="s">
        <v>41</v>
      </c>
      <c r="U116" s="6" t="s">
        <v>1316</v>
      </c>
      <c r="V116" s="6" t="s">
        <v>1317</v>
      </c>
      <c r="W116" s="6" t="s">
        <v>1316</v>
      </c>
      <c r="X116" s="6" t="s">
        <v>1318</v>
      </c>
      <c r="Y116" s="6" t="s">
        <v>1319</v>
      </c>
      <c r="Z116" s="6" t="s">
        <v>1320</v>
      </c>
      <c r="AA116" s="6" t="s">
        <v>47</v>
      </c>
      <c r="AB116" s="6" t="s">
        <v>32</v>
      </c>
      <c r="AC116" s="6">
        <v>1.5</v>
      </c>
      <c r="AD116" s="6" t="s">
        <v>80</v>
      </c>
    </row>
    <row r="117">
      <c r="A117" s="3" t="s">
        <v>1321</v>
      </c>
      <c r="B117" s="3" t="s">
        <v>50</v>
      </c>
      <c r="C117" s="3" t="s">
        <v>51</v>
      </c>
      <c r="D117" s="3">
        <v>2017.0</v>
      </c>
      <c r="E117" s="3">
        <v>24.0</v>
      </c>
      <c r="F117" s="3" t="s">
        <v>32</v>
      </c>
      <c r="G117" s="3">
        <v>5.15615136E8</v>
      </c>
      <c r="H117" s="3" t="s">
        <v>1322</v>
      </c>
      <c r="I117" s="3" t="s">
        <v>1323</v>
      </c>
      <c r="J117" s="3" t="s">
        <v>35</v>
      </c>
      <c r="K117" s="4"/>
      <c r="L117" s="4"/>
      <c r="M117" s="5" t="s">
        <v>1324</v>
      </c>
      <c r="N117" s="3" t="s">
        <v>1325</v>
      </c>
      <c r="O117" s="3" t="s">
        <v>311</v>
      </c>
      <c r="P117" s="3" t="s">
        <v>40</v>
      </c>
      <c r="Q117" s="3">
        <v>2066720.0</v>
      </c>
      <c r="R117" s="3" t="s">
        <v>40</v>
      </c>
      <c r="S117" s="3" t="s">
        <v>40</v>
      </c>
      <c r="T117" s="3" t="s">
        <v>41</v>
      </c>
      <c r="U117" s="3" t="s">
        <v>1326</v>
      </c>
      <c r="V117" s="3" t="s">
        <v>1327</v>
      </c>
      <c r="W117" s="3" t="s">
        <v>1326</v>
      </c>
      <c r="X117" s="3" t="s">
        <v>1328</v>
      </c>
      <c r="Y117" s="3" t="s">
        <v>1329</v>
      </c>
      <c r="Z117" s="3" t="s">
        <v>1330</v>
      </c>
      <c r="AA117" s="3" t="s">
        <v>47</v>
      </c>
      <c r="AB117" s="3" t="s">
        <v>47</v>
      </c>
      <c r="AC117" s="3">
        <v>8.5</v>
      </c>
      <c r="AD117" s="3" t="s">
        <v>80</v>
      </c>
    </row>
    <row r="118">
      <c r="A118" s="3" t="s">
        <v>1331</v>
      </c>
      <c r="B118" s="3" t="s">
        <v>30</v>
      </c>
      <c r="C118" s="3" t="s">
        <v>31</v>
      </c>
      <c r="D118" s="3">
        <v>2019.0</v>
      </c>
      <c r="E118" s="3">
        <v>25.0</v>
      </c>
      <c r="F118" s="3" t="s">
        <v>32</v>
      </c>
      <c r="G118" s="3">
        <v>5.16024825E8</v>
      </c>
      <c r="H118" s="3" t="s">
        <v>1332</v>
      </c>
      <c r="I118" s="3" t="s">
        <v>1333</v>
      </c>
      <c r="J118" s="3" t="s">
        <v>71</v>
      </c>
      <c r="K118" s="3" t="s">
        <v>1334</v>
      </c>
      <c r="L118" s="4"/>
      <c r="M118" s="5" t="s">
        <v>1335</v>
      </c>
      <c r="N118" s="3" t="s">
        <v>1336</v>
      </c>
      <c r="O118" s="3" t="s">
        <v>582</v>
      </c>
      <c r="P118" s="3" t="s">
        <v>40</v>
      </c>
      <c r="Q118" s="3">
        <v>8710234.0</v>
      </c>
      <c r="R118" s="3" t="s">
        <v>40</v>
      </c>
      <c r="S118" s="3" t="s">
        <v>40</v>
      </c>
      <c r="T118" s="3" t="s">
        <v>41</v>
      </c>
      <c r="U118" s="3" t="s">
        <v>1337</v>
      </c>
      <c r="V118" s="3" t="s">
        <v>40</v>
      </c>
      <c r="W118" s="3" t="s">
        <v>1337</v>
      </c>
      <c r="X118" s="3" t="s">
        <v>1338</v>
      </c>
      <c r="Y118" s="3" t="s">
        <v>1339</v>
      </c>
      <c r="Z118" s="3" t="s">
        <v>66</v>
      </c>
      <c r="AA118" s="3" t="s">
        <v>47</v>
      </c>
      <c r="AB118" s="3" t="s">
        <v>47</v>
      </c>
      <c r="AC118" s="3">
        <v>8.4</v>
      </c>
      <c r="AD118" s="3" t="s">
        <v>80</v>
      </c>
    </row>
    <row r="119">
      <c r="A119" s="10" t="s">
        <v>1340</v>
      </c>
      <c r="B119" s="10" t="s">
        <v>82</v>
      </c>
      <c r="C119" s="10" t="s">
        <v>51</v>
      </c>
      <c r="D119" s="10">
        <v>2012.0</v>
      </c>
      <c r="E119" s="10">
        <v>25.0</v>
      </c>
      <c r="F119" s="10" t="s">
        <v>47</v>
      </c>
      <c r="G119" s="10">
        <v>5.14788702E8</v>
      </c>
      <c r="H119" s="10" t="s">
        <v>1341</v>
      </c>
      <c r="I119" s="10" t="s">
        <v>1342</v>
      </c>
      <c r="J119" s="10" t="s">
        <v>71</v>
      </c>
      <c r="K119" s="10" t="s">
        <v>1343</v>
      </c>
      <c r="L119" s="4"/>
      <c r="M119" s="11" t="s">
        <v>1344</v>
      </c>
      <c r="N119" s="10" t="s">
        <v>1345</v>
      </c>
      <c r="O119" s="10" t="s">
        <v>75</v>
      </c>
      <c r="P119" s="10" t="s">
        <v>40</v>
      </c>
      <c r="Q119" s="10">
        <v>6701912.0</v>
      </c>
      <c r="R119" s="10" t="s">
        <v>40</v>
      </c>
      <c r="S119" s="10" t="s">
        <v>40</v>
      </c>
      <c r="T119" s="10" t="s">
        <v>41</v>
      </c>
      <c r="U119" s="10" t="s">
        <v>1346</v>
      </c>
      <c r="V119" s="10" t="s">
        <v>1347</v>
      </c>
      <c r="W119" s="10" t="s">
        <v>1346</v>
      </c>
      <c r="X119" s="10" t="s">
        <v>1348</v>
      </c>
      <c r="Y119" s="10" t="s">
        <v>1349</v>
      </c>
      <c r="Z119" s="10" t="s">
        <v>523</v>
      </c>
      <c r="AA119" s="10" t="s">
        <v>47</v>
      </c>
      <c r="AB119" s="10" t="s">
        <v>32</v>
      </c>
      <c r="AC119" s="10">
        <v>10.4</v>
      </c>
      <c r="AD119" s="10" t="s">
        <v>80</v>
      </c>
    </row>
    <row r="120">
      <c r="A120" s="3" t="s">
        <v>1350</v>
      </c>
      <c r="B120" s="3" t="s">
        <v>154</v>
      </c>
      <c r="C120" s="3" t="s">
        <v>51</v>
      </c>
      <c r="D120" s="3">
        <v>2019.0</v>
      </c>
      <c r="E120" s="3">
        <v>25.0</v>
      </c>
      <c r="F120" s="3" t="s">
        <v>32</v>
      </c>
      <c r="G120" s="3">
        <v>5.15634277E8</v>
      </c>
      <c r="H120" s="3" t="s">
        <v>1351</v>
      </c>
      <c r="I120" s="3" t="s">
        <v>1352</v>
      </c>
      <c r="J120" s="3" t="s">
        <v>35</v>
      </c>
      <c r="K120" s="3" t="s">
        <v>1353</v>
      </c>
      <c r="L120" s="4"/>
      <c r="M120" s="5" t="s">
        <v>1354</v>
      </c>
      <c r="N120" s="3" t="s">
        <v>1355</v>
      </c>
      <c r="O120" s="3" t="s">
        <v>75</v>
      </c>
      <c r="P120" s="3" t="s">
        <v>40</v>
      </c>
      <c r="Q120" s="3">
        <v>6744252.0</v>
      </c>
      <c r="R120" s="3" t="s">
        <v>40</v>
      </c>
      <c r="S120" s="3" t="s">
        <v>40</v>
      </c>
      <c r="T120" s="3" t="s">
        <v>41</v>
      </c>
      <c r="U120" s="3" t="s">
        <v>1356</v>
      </c>
      <c r="V120" s="3" t="s">
        <v>1357</v>
      </c>
      <c r="W120" s="3" t="s">
        <v>1356</v>
      </c>
      <c r="X120" s="3" t="s">
        <v>1358</v>
      </c>
      <c r="Y120" s="3" t="s">
        <v>1359</v>
      </c>
      <c r="Z120" s="3" t="s">
        <v>1360</v>
      </c>
      <c r="AA120" s="3" t="s">
        <v>47</v>
      </c>
      <c r="AB120" s="3" t="s">
        <v>47</v>
      </c>
      <c r="AC120" s="3" t="s">
        <v>40</v>
      </c>
      <c r="AD120" s="3" t="s">
        <v>80</v>
      </c>
    </row>
    <row r="121">
      <c r="A121" s="3" t="s">
        <v>1361</v>
      </c>
      <c r="B121" s="3" t="s">
        <v>50</v>
      </c>
      <c r="C121" s="3" t="s">
        <v>51</v>
      </c>
      <c r="D121" s="3">
        <v>2019.0</v>
      </c>
      <c r="E121" s="3">
        <v>25.0</v>
      </c>
      <c r="F121" s="3" t="s">
        <v>32</v>
      </c>
      <c r="G121" s="3">
        <v>5.15999761E8</v>
      </c>
      <c r="H121" s="3" t="s">
        <v>1362</v>
      </c>
      <c r="I121" s="3" t="s">
        <v>1363</v>
      </c>
      <c r="J121" s="3" t="s">
        <v>71</v>
      </c>
      <c r="K121" s="3" t="s">
        <v>1364</v>
      </c>
      <c r="L121" s="4"/>
      <c r="M121" s="5" t="s">
        <v>1365</v>
      </c>
      <c r="N121" s="3" t="s">
        <v>1366</v>
      </c>
      <c r="O121" s="3" t="s">
        <v>147</v>
      </c>
      <c r="P121" s="3" t="s">
        <v>40</v>
      </c>
      <c r="Q121" s="3">
        <v>9354212.0</v>
      </c>
      <c r="R121" s="3" t="s">
        <v>40</v>
      </c>
      <c r="S121" s="3" t="s">
        <v>40</v>
      </c>
      <c r="T121" s="3" t="s">
        <v>41</v>
      </c>
      <c r="U121" s="3" t="s">
        <v>1367</v>
      </c>
      <c r="V121" s="3" t="s">
        <v>40</v>
      </c>
      <c r="W121" s="3" t="s">
        <v>1367</v>
      </c>
      <c r="X121" s="3" t="s">
        <v>1368</v>
      </c>
      <c r="Y121" s="3" t="s">
        <v>1369</v>
      </c>
      <c r="Z121" s="3" t="s">
        <v>1370</v>
      </c>
      <c r="AA121" s="3" t="s">
        <v>47</v>
      </c>
      <c r="AB121" s="3" t="s">
        <v>47</v>
      </c>
      <c r="AC121" s="3">
        <v>10.85</v>
      </c>
      <c r="AD121" s="3" t="s">
        <v>80</v>
      </c>
    </row>
    <row r="122">
      <c r="A122" s="5" t="s">
        <v>1371</v>
      </c>
      <c r="B122" s="3" t="s">
        <v>50</v>
      </c>
      <c r="C122" s="3" t="s">
        <v>51</v>
      </c>
      <c r="D122" s="3">
        <v>2020.0</v>
      </c>
      <c r="E122" s="3">
        <v>25.0</v>
      </c>
      <c r="F122" s="3" t="s">
        <v>32</v>
      </c>
      <c r="G122" s="3">
        <v>5.16288461E8</v>
      </c>
      <c r="H122" s="3" t="s">
        <v>1372</v>
      </c>
      <c r="I122" s="3" t="s">
        <v>1373</v>
      </c>
      <c r="J122" s="3" t="s">
        <v>35</v>
      </c>
      <c r="K122" s="3" t="s">
        <v>1374</v>
      </c>
      <c r="L122" s="4"/>
      <c r="M122" s="5" t="s">
        <v>1375</v>
      </c>
      <c r="N122" s="3" t="s">
        <v>1376</v>
      </c>
      <c r="O122" s="3" t="s">
        <v>147</v>
      </c>
      <c r="P122" s="3" t="s">
        <v>40</v>
      </c>
      <c r="Q122" s="3">
        <v>9438311.0</v>
      </c>
      <c r="R122" s="3" t="s">
        <v>40</v>
      </c>
      <c r="S122" s="3" t="s">
        <v>40</v>
      </c>
      <c r="T122" s="3" t="s">
        <v>41</v>
      </c>
      <c r="U122" s="3" t="s">
        <v>1377</v>
      </c>
      <c r="V122" s="3" t="s">
        <v>1378</v>
      </c>
      <c r="W122" s="3" t="s">
        <v>1377</v>
      </c>
      <c r="X122" s="3" t="s">
        <v>1379</v>
      </c>
      <c r="Y122" s="3" t="s">
        <v>1380</v>
      </c>
      <c r="Z122" s="3" t="s">
        <v>1381</v>
      </c>
      <c r="AA122" s="3" t="s">
        <v>47</v>
      </c>
      <c r="AB122" s="3" t="s">
        <v>47</v>
      </c>
      <c r="AC122" s="3">
        <v>10.0</v>
      </c>
      <c r="AD122" s="3" t="s">
        <v>80</v>
      </c>
    </row>
    <row r="123">
      <c r="A123" s="6" t="s">
        <v>1382</v>
      </c>
      <c r="B123" s="6" t="s">
        <v>351</v>
      </c>
      <c r="C123" s="6" t="s">
        <v>51</v>
      </c>
      <c r="D123" s="6">
        <v>1995.0</v>
      </c>
      <c r="E123" s="6">
        <v>25.0</v>
      </c>
      <c r="F123" s="6" t="s">
        <v>32</v>
      </c>
      <c r="G123" s="6">
        <v>5.12089129E8</v>
      </c>
      <c r="H123" s="6" t="s">
        <v>1383</v>
      </c>
      <c r="I123" s="6" t="s">
        <v>1384</v>
      </c>
      <c r="J123" s="6" t="s">
        <v>35</v>
      </c>
      <c r="K123" s="6" t="s">
        <v>1385</v>
      </c>
      <c r="L123" s="4"/>
      <c r="M123" s="7" t="s">
        <v>1386</v>
      </c>
      <c r="N123" s="6" t="s">
        <v>1387</v>
      </c>
      <c r="O123" s="6" t="s">
        <v>828</v>
      </c>
      <c r="P123" s="6">
        <v>2099.0</v>
      </c>
      <c r="Q123" s="6">
        <v>4365004.0</v>
      </c>
      <c r="R123" s="6" t="s">
        <v>40</v>
      </c>
      <c r="S123" s="6" t="s">
        <v>40</v>
      </c>
      <c r="T123" s="6" t="s">
        <v>41</v>
      </c>
      <c r="U123" s="6" t="s">
        <v>1388</v>
      </c>
      <c r="V123" s="6" t="s">
        <v>1389</v>
      </c>
      <c r="W123" s="6" t="s">
        <v>1388</v>
      </c>
      <c r="X123" s="6" t="s">
        <v>1390</v>
      </c>
      <c r="Y123" s="6" t="s">
        <v>1391</v>
      </c>
      <c r="Z123" s="6" t="s">
        <v>46</v>
      </c>
      <c r="AA123" s="6" t="s">
        <v>47</v>
      </c>
      <c r="AB123" s="6" t="s">
        <v>32</v>
      </c>
      <c r="AC123" s="6">
        <v>0.8</v>
      </c>
      <c r="AD123" s="6" t="s">
        <v>80</v>
      </c>
    </row>
    <row r="124">
      <c r="A124" s="6" t="s">
        <v>1392</v>
      </c>
      <c r="B124" s="6" t="s">
        <v>154</v>
      </c>
      <c r="C124" s="6" t="s">
        <v>51</v>
      </c>
      <c r="D124" s="6">
        <v>2001.0</v>
      </c>
      <c r="E124" s="6">
        <v>25.0</v>
      </c>
      <c r="F124" s="6" t="s">
        <v>32</v>
      </c>
      <c r="G124" s="6">
        <v>5.13163592E8</v>
      </c>
      <c r="H124" s="6" t="s">
        <v>1393</v>
      </c>
      <c r="I124" s="6" t="s">
        <v>1394</v>
      </c>
      <c r="J124" s="6" t="s">
        <v>35</v>
      </c>
      <c r="K124" s="16"/>
      <c r="L124" s="4"/>
      <c r="M124" s="7" t="s">
        <v>1395</v>
      </c>
      <c r="N124" s="6" t="s">
        <v>1396</v>
      </c>
      <c r="O124" s="6" t="s">
        <v>1397</v>
      </c>
      <c r="P124" s="6">
        <v>5112.0</v>
      </c>
      <c r="Q124" s="6">
        <v>8422133.0</v>
      </c>
      <c r="R124" s="6" t="s">
        <v>40</v>
      </c>
      <c r="S124" s="6" t="s">
        <v>40</v>
      </c>
      <c r="T124" s="6" t="s">
        <v>41</v>
      </c>
      <c r="U124" s="6" t="s">
        <v>1398</v>
      </c>
      <c r="V124" s="6" t="s">
        <v>1399</v>
      </c>
      <c r="W124" s="6" t="s">
        <v>1398</v>
      </c>
      <c r="X124" s="6" t="s">
        <v>1400</v>
      </c>
      <c r="Y124" s="6" t="s">
        <v>1401</v>
      </c>
      <c r="Z124" s="6" t="s">
        <v>66</v>
      </c>
      <c r="AA124" s="6" t="s">
        <v>47</v>
      </c>
      <c r="AB124" s="6" t="s">
        <v>32</v>
      </c>
      <c r="AC124" s="6">
        <v>0.5</v>
      </c>
      <c r="AD124" s="6" t="s">
        <v>80</v>
      </c>
    </row>
    <row r="125">
      <c r="A125" s="3" t="s">
        <v>1402</v>
      </c>
      <c r="B125" s="3" t="s">
        <v>50</v>
      </c>
      <c r="C125" s="3" t="s">
        <v>51</v>
      </c>
      <c r="D125" s="3">
        <v>2000.0</v>
      </c>
      <c r="E125" s="3">
        <v>25.0</v>
      </c>
      <c r="F125" s="3" t="s">
        <v>32</v>
      </c>
      <c r="G125" s="3">
        <v>5.12874355E8</v>
      </c>
      <c r="H125" s="3" t="s">
        <v>1403</v>
      </c>
      <c r="I125" s="3" t="s">
        <v>1404</v>
      </c>
      <c r="J125" s="3" t="s">
        <v>54</v>
      </c>
      <c r="K125" s="4"/>
      <c r="L125" s="4"/>
      <c r="M125" s="5" t="s">
        <v>1405</v>
      </c>
      <c r="N125" s="3" t="s">
        <v>1406</v>
      </c>
      <c r="O125" s="3" t="s">
        <v>1407</v>
      </c>
      <c r="P125" s="3" t="s">
        <v>40</v>
      </c>
      <c r="Q125" s="3">
        <v>6037597.0</v>
      </c>
      <c r="R125" s="3" t="s">
        <v>40</v>
      </c>
      <c r="S125" s="3" t="s">
        <v>40</v>
      </c>
      <c r="T125" s="3" t="s">
        <v>41</v>
      </c>
      <c r="U125" s="3" t="s">
        <v>1408</v>
      </c>
      <c r="V125" s="3" t="s">
        <v>1409</v>
      </c>
      <c r="W125" s="3" t="s">
        <v>1410</v>
      </c>
      <c r="X125" s="3" t="s">
        <v>1411</v>
      </c>
      <c r="Y125" s="3" t="s">
        <v>1412</v>
      </c>
      <c r="Z125" s="3" t="s">
        <v>412</v>
      </c>
      <c r="AA125" s="3" t="s">
        <v>47</v>
      </c>
      <c r="AB125" s="3" t="s">
        <v>32</v>
      </c>
      <c r="AC125" s="3" t="s">
        <v>40</v>
      </c>
      <c r="AD125" s="3" t="s">
        <v>48</v>
      </c>
    </row>
    <row r="126">
      <c r="A126" s="3" t="s">
        <v>1413</v>
      </c>
      <c r="B126" s="3" t="s">
        <v>68</v>
      </c>
      <c r="C126" s="3" t="s">
        <v>51</v>
      </c>
      <c r="D126" s="3">
        <v>2019.0</v>
      </c>
      <c r="E126" s="3">
        <v>27.0</v>
      </c>
      <c r="F126" s="3" t="s">
        <v>32</v>
      </c>
      <c r="G126" s="3">
        <v>5.16090842E8</v>
      </c>
      <c r="H126" s="3" t="s">
        <v>1414</v>
      </c>
      <c r="I126" s="3" t="s">
        <v>1415</v>
      </c>
      <c r="J126" s="3" t="s">
        <v>71</v>
      </c>
      <c r="K126" s="3" t="s">
        <v>1416</v>
      </c>
      <c r="L126" s="4"/>
      <c r="M126" s="5" t="s">
        <v>1417</v>
      </c>
      <c r="N126" s="3" t="s">
        <v>1418</v>
      </c>
      <c r="O126" s="3" t="s">
        <v>828</v>
      </c>
      <c r="P126" s="3" t="s">
        <v>40</v>
      </c>
      <c r="Q126" s="3">
        <v>4366504.0</v>
      </c>
      <c r="R126" s="3" t="s">
        <v>40</v>
      </c>
      <c r="S126" s="3" t="s">
        <v>40</v>
      </c>
      <c r="T126" s="3" t="s">
        <v>41</v>
      </c>
      <c r="U126" s="3" t="s">
        <v>1419</v>
      </c>
      <c r="V126" s="3" t="s">
        <v>1420</v>
      </c>
      <c r="W126" s="3" t="s">
        <v>1419</v>
      </c>
      <c r="X126" s="3" t="s">
        <v>1421</v>
      </c>
      <c r="Y126" s="3" t="s">
        <v>1422</v>
      </c>
      <c r="Z126" s="3" t="s">
        <v>1423</v>
      </c>
      <c r="AA126" s="3" t="s">
        <v>47</v>
      </c>
      <c r="AB126" s="3" t="s">
        <v>47</v>
      </c>
      <c r="AC126" s="3">
        <v>4.0</v>
      </c>
      <c r="AD126" s="3" t="s">
        <v>80</v>
      </c>
    </row>
    <row r="127">
      <c r="A127" s="3" t="s">
        <v>1424</v>
      </c>
      <c r="B127" s="3" t="s">
        <v>435</v>
      </c>
      <c r="C127" s="3" t="s">
        <v>51</v>
      </c>
      <c r="D127" s="3">
        <v>1987.0</v>
      </c>
      <c r="E127" s="3">
        <v>27.0</v>
      </c>
      <c r="F127" s="3" t="s">
        <v>32</v>
      </c>
      <c r="G127" s="3">
        <v>5.14960913E8</v>
      </c>
      <c r="H127" s="3" t="s">
        <v>1425</v>
      </c>
      <c r="I127" s="3" t="s">
        <v>1426</v>
      </c>
      <c r="J127" s="3" t="s">
        <v>54</v>
      </c>
      <c r="K127" s="3" t="s">
        <v>1427</v>
      </c>
      <c r="L127" s="4"/>
      <c r="M127" s="5" t="s">
        <v>1428</v>
      </c>
      <c r="N127" s="3" t="s">
        <v>1429</v>
      </c>
      <c r="O127" s="3" t="s">
        <v>1430</v>
      </c>
      <c r="P127" s="3" t="s">
        <v>40</v>
      </c>
      <c r="Q127" s="3">
        <v>95113.0</v>
      </c>
      <c r="R127" s="3" t="s">
        <v>1431</v>
      </c>
      <c r="S127" s="3" t="s">
        <v>40</v>
      </c>
      <c r="T127" s="3" t="s">
        <v>60</v>
      </c>
      <c r="U127" s="3" t="s">
        <v>1432</v>
      </c>
      <c r="V127" s="3" t="s">
        <v>1433</v>
      </c>
      <c r="W127" s="3" t="s">
        <v>1432</v>
      </c>
      <c r="X127" s="3" t="s">
        <v>1434</v>
      </c>
      <c r="Y127" s="3" t="s">
        <v>1435</v>
      </c>
      <c r="Z127" s="3" t="s">
        <v>1436</v>
      </c>
      <c r="AA127" s="3" t="s">
        <v>32</v>
      </c>
      <c r="AB127" s="3" t="s">
        <v>32</v>
      </c>
      <c r="AC127" s="3" t="s">
        <v>40</v>
      </c>
      <c r="AD127" s="3" t="s">
        <v>80</v>
      </c>
    </row>
    <row r="128">
      <c r="A128" s="3" t="s">
        <v>1437</v>
      </c>
      <c r="B128" s="3" t="s">
        <v>50</v>
      </c>
      <c r="C128" s="3" t="s">
        <v>51</v>
      </c>
      <c r="D128" s="3">
        <v>2016.0</v>
      </c>
      <c r="E128" s="3">
        <v>27.0</v>
      </c>
      <c r="F128" s="3" t="s">
        <v>32</v>
      </c>
      <c r="G128" s="3">
        <v>5.15391837E8</v>
      </c>
      <c r="H128" s="3" t="s">
        <v>1438</v>
      </c>
      <c r="I128" s="3" t="s">
        <v>1439</v>
      </c>
      <c r="J128" s="3" t="s">
        <v>35</v>
      </c>
      <c r="K128" s="4"/>
      <c r="L128" s="4"/>
      <c r="M128" s="5" t="s">
        <v>1440</v>
      </c>
      <c r="N128" s="3" t="s">
        <v>1441</v>
      </c>
      <c r="O128" s="3" t="s">
        <v>1442</v>
      </c>
      <c r="P128" s="3" t="s">
        <v>40</v>
      </c>
      <c r="Q128" s="3">
        <v>7210202.0</v>
      </c>
      <c r="R128" s="3" t="s">
        <v>40</v>
      </c>
      <c r="S128" s="3" t="s">
        <v>40</v>
      </c>
      <c r="T128" s="3" t="s">
        <v>41</v>
      </c>
      <c r="U128" s="3" t="s">
        <v>1443</v>
      </c>
      <c r="V128" s="3" t="s">
        <v>40</v>
      </c>
      <c r="W128" s="3" t="s">
        <v>1443</v>
      </c>
      <c r="X128" s="3" t="s">
        <v>90</v>
      </c>
      <c r="Y128" s="3" t="s">
        <v>1444</v>
      </c>
      <c r="Z128" s="3" t="s">
        <v>987</v>
      </c>
      <c r="AA128" s="3" t="s">
        <v>47</v>
      </c>
      <c r="AB128" s="3" t="s">
        <v>47</v>
      </c>
      <c r="AC128" s="3">
        <v>25.0</v>
      </c>
      <c r="AD128" s="3" t="s">
        <v>80</v>
      </c>
    </row>
    <row r="129">
      <c r="A129" s="3" t="s">
        <v>1445</v>
      </c>
      <c r="B129" s="3" t="s">
        <v>351</v>
      </c>
      <c r="C129" s="3" t="s">
        <v>119</v>
      </c>
      <c r="D129" s="3">
        <v>2015.0</v>
      </c>
      <c r="E129" s="3">
        <v>270.0</v>
      </c>
      <c r="F129" s="3" t="s">
        <v>32</v>
      </c>
      <c r="G129" s="3">
        <v>5.15604445E8</v>
      </c>
      <c r="H129" s="3" t="s">
        <v>1446</v>
      </c>
      <c r="I129" s="3" t="s">
        <v>1447</v>
      </c>
      <c r="J129" s="3" t="s">
        <v>35</v>
      </c>
      <c r="K129" s="4"/>
      <c r="L129" s="4"/>
      <c r="M129" s="5" t="s">
        <v>1448</v>
      </c>
      <c r="N129" s="3" t="s">
        <v>376</v>
      </c>
      <c r="O129" s="3" t="s">
        <v>75</v>
      </c>
      <c r="P129" s="3" t="s">
        <v>40</v>
      </c>
      <c r="Q129" s="3">
        <v>6789124.0</v>
      </c>
      <c r="R129" s="3" t="s">
        <v>40</v>
      </c>
      <c r="S129" s="3" t="s">
        <v>40</v>
      </c>
      <c r="T129" s="3" t="s">
        <v>41</v>
      </c>
      <c r="U129" s="3" t="s">
        <v>1449</v>
      </c>
      <c r="V129" s="3" t="s">
        <v>1450</v>
      </c>
      <c r="W129" s="3" t="s">
        <v>1449</v>
      </c>
      <c r="X129" s="3" t="s">
        <v>1451</v>
      </c>
      <c r="Y129" s="3" t="s">
        <v>1452</v>
      </c>
      <c r="Z129" s="3" t="s">
        <v>1453</v>
      </c>
      <c r="AA129" s="3" t="s">
        <v>47</v>
      </c>
      <c r="AB129" s="3" t="s">
        <v>47</v>
      </c>
      <c r="AC129" s="3">
        <v>340.5</v>
      </c>
      <c r="AD129" s="3" t="s">
        <v>80</v>
      </c>
    </row>
    <row r="130">
      <c r="A130" s="3" t="s">
        <v>1454</v>
      </c>
      <c r="B130" s="3" t="s">
        <v>82</v>
      </c>
      <c r="C130" s="3" t="s">
        <v>31</v>
      </c>
      <c r="D130" s="3">
        <v>2010.0</v>
      </c>
      <c r="E130" s="3">
        <v>29.0</v>
      </c>
      <c r="F130" s="3" t="s">
        <v>32</v>
      </c>
      <c r="G130" s="3">
        <v>5.14538131E8</v>
      </c>
      <c r="H130" s="3" t="s">
        <v>1455</v>
      </c>
      <c r="I130" s="3" t="s">
        <v>1456</v>
      </c>
      <c r="J130" s="3" t="s">
        <v>35</v>
      </c>
      <c r="K130" s="4"/>
      <c r="L130" s="4"/>
      <c r="M130" s="5" t="s">
        <v>1457</v>
      </c>
      <c r="N130" s="3" t="s">
        <v>1458</v>
      </c>
      <c r="O130" s="3" t="s">
        <v>485</v>
      </c>
      <c r="P130" s="3">
        <v>15126.0</v>
      </c>
      <c r="Q130" s="3">
        <v>3508502.0</v>
      </c>
      <c r="R130" s="3" t="s">
        <v>40</v>
      </c>
      <c r="S130" s="3" t="s">
        <v>40</v>
      </c>
      <c r="T130" s="3" t="s">
        <v>41</v>
      </c>
      <c r="U130" s="3" t="s">
        <v>1459</v>
      </c>
      <c r="V130" s="3" t="s">
        <v>1460</v>
      </c>
      <c r="W130" s="3" t="s">
        <v>1459</v>
      </c>
      <c r="X130" s="3" t="s">
        <v>1461</v>
      </c>
      <c r="Y130" s="3" t="s">
        <v>1462</v>
      </c>
      <c r="Z130" s="3" t="s">
        <v>1463</v>
      </c>
      <c r="AA130" s="3" t="s">
        <v>47</v>
      </c>
      <c r="AB130" s="3" t="s">
        <v>47</v>
      </c>
      <c r="AC130" s="3">
        <v>25.0</v>
      </c>
      <c r="AD130" s="3" t="s">
        <v>80</v>
      </c>
    </row>
    <row r="131">
      <c r="A131" s="3" t="s">
        <v>1464</v>
      </c>
      <c r="B131" s="3" t="s">
        <v>50</v>
      </c>
      <c r="C131" s="3" t="s">
        <v>119</v>
      </c>
      <c r="D131" s="3">
        <v>2007.0</v>
      </c>
      <c r="E131" s="3">
        <v>29.0</v>
      </c>
      <c r="F131" s="3" t="s">
        <v>32</v>
      </c>
      <c r="G131" s="3">
        <v>5.1397525E8</v>
      </c>
      <c r="H131" s="3" t="s">
        <v>1465</v>
      </c>
      <c r="I131" s="3" t="s">
        <v>1466</v>
      </c>
      <c r="J131" s="3" t="s">
        <v>35</v>
      </c>
      <c r="K131" s="4"/>
      <c r="L131" s="4"/>
      <c r="M131" s="5" t="s">
        <v>1467</v>
      </c>
      <c r="N131" s="3" t="s">
        <v>1468</v>
      </c>
      <c r="O131" s="3" t="s">
        <v>75</v>
      </c>
      <c r="P131" s="3" t="s">
        <v>40</v>
      </c>
      <c r="Q131" s="3">
        <v>6513443.0</v>
      </c>
      <c r="R131" s="3" t="s">
        <v>40</v>
      </c>
      <c r="S131" s="3" t="s">
        <v>40</v>
      </c>
      <c r="T131" s="3" t="s">
        <v>41</v>
      </c>
      <c r="U131" s="3" t="s">
        <v>40</v>
      </c>
      <c r="V131" s="3" t="s">
        <v>369</v>
      </c>
      <c r="W131" s="3" t="s">
        <v>1469</v>
      </c>
      <c r="X131" s="3" t="s">
        <v>1470</v>
      </c>
      <c r="Y131" s="3" t="s">
        <v>1471</v>
      </c>
      <c r="Z131" s="3" t="s">
        <v>1472</v>
      </c>
      <c r="AA131" s="3" t="s">
        <v>47</v>
      </c>
      <c r="AB131" s="3" t="s">
        <v>47</v>
      </c>
      <c r="AC131" s="3">
        <v>67.9</v>
      </c>
      <c r="AD131" s="3" t="s">
        <v>216</v>
      </c>
    </row>
    <row r="132">
      <c r="A132" s="3" t="s">
        <v>1473</v>
      </c>
      <c r="B132" s="3" t="s">
        <v>68</v>
      </c>
      <c r="C132" s="3" t="s">
        <v>119</v>
      </c>
      <c r="D132" s="3">
        <v>2011.0</v>
      </c>
      <c r="E132" s="3">
        <v>290.0</v>
      </c>
      <c r="F132" s="3" t="s">
        <v>32</v>
      </c>
      <c r="G132" s="3">
        <v>5.14677319E8</v>
      </c>
      <c r="H132" s="3" t="s">
        <v>1474</v>
      </c>
      <c r="I132" s="3" t="s">
        <v>1475</v>
      </c>
      <c r="J132" s="3" t="s">
        <v>71</v>
      </c>
      <c r="K132" s="3" t="s">
        <v>1476</v>
      </c>
      <c r="L132" s="4"/>
      <c r="M132" s="5" t="s">
        <v>1477</v>
      </c>
      <c r="N132" s="3" t="s">
        <v>1478</v>
      </c>
      <c r="O132" s="3" t="s">
        <v>183</v>
      </c>
      <c r="P132" s="3" t="s">
        <v>40</v>
      </c>
      <c r="Q132" s="3">
        <v>7403626.0</v>
      </c>
      <c r="R132" s="3" t="s">
        <v>40</v>
      </c>
      <c r="S132" s="3" t="s">
        <v>40</v>
      </c>
      <c r="T132" s="3" t="s">
        <v>41</v>
      </c>
      <c r="U132" s="3" t="s">
        <v>1479</v>
      </c>
      <c r="V132" s="3" t="s">
        <v>1480</v>
      </c>
      <c r="W132" s="3" t="s">
        <v>1481</v>
      </c>
      <c r="X132" s="3" t="s">
        <v>1482</v>
      </c>
      <c r="Y132" s="3" t="s">
        <v>1483</v>
      </c>
      <c r="Z132" s="3" t="s">
        <v>1484</v>
      </c>
      <c r="AA132" s="3" t="s">
        <v>47</v>
      </c>
      <c r="AB132" s="3" t="s">
        <v>47</v>
      </c>
      <c r="AC132" s="3">
        <v>134.0</v>
      </c>
      <c r="AD132" s="3" t="s">
        <v>80</v>
      </c>
    </row>
    <row r="133">
      <c r="A133" s="3" t="s">
        <v>1485</v>
      </c>
      <c r="B133" s="3" t="s">
        <v>82</v>
      </c>
      <c r="C133" s="3" t="s">
        <v>51</v>
      </c>
      <c r="D133" s="3">
        <v>2014.0</v>
      </c>
      <c r="E133" s="3">
        <v>3.0</v>
      </c>
      <c r="F133" s="3" t="s">
        <v>32</v>
      </c>
      <c r="G133" s="3" t="s">
        <v>40</v>
      </c>
      <c r="H133" s="3" t="s">
        <v>1486</v>
      </c>
      <c r="I133" s="3" t="s">
        <v>1487</v>
      </c>
      <c r="J133" s="3" t="s">
        <v>54</v>
      </c>
      <c r="K133" s="3" t="s">
        <v>1488</v>
      </c>
      <c r="L133" s="4"/>
      <c r="M133" s="5" t="s">
        <v>1489</v>
      </c>
      <c r="N133" s="3" t="s">
        <v>1490</v>
      </c>
      <c r="O133" s="3" t="s">
        <v>1491</v>
      </c>
      <c r="P133" s="3" t="s">
        <v>40</v>
      </c>
      <c r="Q133" s="3">
        <v>3780800.0</v>
      </c>
      <c r="R133" s="3" t="s">
        <v>40</v>
      </c>
      <c r="S133" s="3" t="s">
        <v>40</v>
      </c>
      <c r="T133" s="3" t="s">
        <v>41</v>
      </c>
      <c r="U133" s="3" t="s">
        <v>1492</v>
      </c>
      <c r="V133" s="3" t="s">
        <v>40</v>
      </c>
      <c r="W133" s="3" t="s">
        <v>1493</v>
      </c>
      <c r="X133" s="3" t="s">
        <v>1494</v>
      </c>
      <c r="Y133" s="3" t="s">
        <v>1495</v>
      </c>
      <c r="Z133" s="3" t="s">
        <v>66</v>
      </c>
      <c r="AA133" s="3" t="s">
        <v>32</v>
      </c>
      <c r="AB133" s="3" t="s">
        <v>32</v>
      </c>
      <c r="AC133" s="3" t="s">
        <v>40</v>
      </c>
      <c r="AD133" s="3" t="s">
        <v>80</v>
      </c>
    </row>
    <row r="134">
      <c r="A134" s="3" t="s">
        <v>1496</v>
      </c>
      <c r="B134" s="3" t="s">
        <v>30</v>
      </c>
      <c r="C134" s="3" t="s">
        <v>31</v>
      </c>
      <c r="D134" s="3">
        <v>2017.0</v>
      </c>
      <c r="E134" s="3">
        <v>3.0</v>
      </c>
      <c r="F134" s="3" t="s">
        <v>32</v>
      </c>
      <c r="G134" s="3">
        <v>5.11079139E8</v>
      </c>
      <c r="H134" s="3" t="s">
        <v>1497</v>
      </c>
      <c r="I134" s="3" t="s">
        <v>1498</v>
      </c>
      <c r="J134" s="3" t="s">
        <v>54</v>
      </c>
      <c r="K134" s="3" t="s">
        <v>1499</v>
      </c>
      <c r="L134" s="4"/>
      <c r="M134" s="5" t="s">
        <v>1500</v>
      </c>
      <c r="N134" s="3" t="s">
        <v>1501</v>
      </c>
      <c r="O134" s="3" t="s">
        <v>1502</v>
      </c>
      <c r="P134" s="3" t="s">
        <v>40</v>
      </c>
      <c r="Q134" s="3">
        <v>5591235.0</v>
      </c>
      <c r="R134" s="3" t="s">
        <v>40</v>
      </c>
      <c r="S134" s="3" t="s">
        <v>40</v>
      </c>
      <c r="T134" s="3" t="s">
        <v>41</v>
      </c>
      <c r="U134" s="3" t="s">
        <v>1499</v>
      </c>
      <c r="V134" s="3" t="s">
        <v>1503</v>
      </c>
      <c r="W134" s="3" t="s">
        <v>1499</v>
      </c>
      <c r="X134" s="3" t="s">
        <v>1504</v>
      </c>
      <c r="Y134" s="3" t="s">
        <v>1505</v>
      </c>
      <c r="Z134" s="3" t="s">
        <v>1506</v>
      </c>
      <c r="AA134" s="3" t="s">
        <v>32</v>
      </c>
      <c r="AB134" s="3" t="s">
        <v>32</v>
      </c>
      <c r="AC134" s="3" t="s">
        <v>40</v>
      </c>
      <c r="AD134" s="3" t="s">
        <v>80</v>
      </c>
    </row>
    <row r="135">
      <c r="A135" s="3" t="s">
        <v>1507</v>
      </c>
      <c r="B135" s="3" t="s">
        <v>351</v>
      </c>
      <c r="C135" s="3" t="s">
        <v>51</v>
      </c>
      <c r="D135" s="3">
        <v>2000.0</v>
      </c>
      <c r="E135" s="3">
        <v>3.0</v>
      </c>
      <c r="F135" s="3" t="s">
        <v>32</v>
      </c>
      <c r="G135" s="3">
        <v>5.12896085E8</v>
      </c>
      <c r="H135" s="3" t="s">
        <v>1508</v>
      </c>
      <c r="I135" s="3" t="s">
        <v>1509</v>
      </c>
      <c r="J135" s="3" t="s">
        <v>35</v>
      </c>
      <c r="K135" s="3" t="s">
        <v>1510</v>
      </c>
      <c r="L135" s="4"/>
      <c r="M135" s="5" t="s">
        <v>1511</v>
      </c>
      <c r="N135" s="3" t="s">
        <v>1512</v>
      </c>
      <c r="O135" s="3" t="s">
        <v>311</v>
      </c>
      <c r="P135" s="3" t="s">
        <v>40</v>
      </c>
      <c r="Q135" s="3">
        <v>2066736.0</v>
      </c>
      <c r="R135" s="3" t="s">
        <v>40</v>
      </c>
      <c r="S135" s="3" t="s">
        <v>40</v>
      </c>
      <c r="T135" s="3" t="s">
        <v>41</v>
      </c>
      <c r="U135" s="3" t="s">
        <v>1513</v>
      </c>
      <c r="V135" s="3" t="s">
        <v>1514</v>
      </c>
      <c r="W135" s="3" t="s">
        <v>1513</v>
      </c>
      <c r="X135" s="3" t="s">
        <v>1515</v>
      </c>
      <c r="Y135" s="3" t="s">
        <v>1516</v>
      </c>
      <c r="Z135" s="3" t="s">
        <v>66</v>
      </c>
      <c r="AA135" s="3" t="s">
        <v>32</v>
      </c>
      <c r="AB135" s="3" t="s">
        <v>32</v>
      </c>
      <c r="AC135" s="3" t="s">
        <v>40</v>
      </c>
      <c r="AD135" s="3" t="s">
        <v>48</v>
      </c>
    </row>
    <row r="136">
      <c r="A136" s="3" t="s">
        <v>1517</v>
      </c>
      <c r="B136" s="3" t="s">
        <v>82</v>
      </c>
      <c r="C136" s="3" t="s">
        <v>1518</v>
      </c>
      <c r="D136" s="3">
        <v>2024.0</v>
      </c>
      <c r="E136" s="3">
        <v>3.0</v>
      </c>
      <c r="F136" s="3" t="s">
        <v>32</v>
      </c>
      <c r="G136" s="3">
        <v>5.17016051E8</v>
      </c>
      <c r="H136" s="3" t="s">
        <v>1519</v>
      </c>
      <c r="I136" s="3" t="s">
        <v>1520</v>
      </c>
      <c r="J136" s="3" t="s">
        <v>35</v>
      </c>
      <c r="K136" s="3" t="s">
        <v>1521</v>
      </c>
      <c r="L136" s="4"/>
      <c r="M136" s="5" t="s">
        <v>1522</v>
      </c>
      <c r="N136" s="3" t="s">
        <v>1523</v>
      </c>
      <c r="O136" s="3" t="s">
        <v>1502</v>
      </c>
      <c r="P136" s="3" t="s">
        <v>40</v>
      </c>
      <c r="Q136" s="3">
        <v>4925110.0</v>
      </c>
      <c r="R136" s="3" t="s">
        <v>40</v>
      </c>
      <c r="S136" s="3" t="s">
        <v>40</v>
      </c>
      <c r="T136" s="3" t="s">
        <v>41</v>
      </c>
      <c r="U136" s="3" t="s">
        <v>40</v>
      </c>
      <c r="V136" s="3" t="s">
        <v>1524</v>
      </c>
      <c r="W136" s="3" t="s">
        <v>40</v>
      </c>
      <c r="X136" s="3" t="s">
        <v>1525</v>
      </c>
      <c r="Y136" s="3" t="s">
        <v>1526</v>
      </c>
      <c r="Z136" s="3" t="s">
        <v>66</v>
      </c>
      <c r="AA136" s="3" t="s">
        <v>32</v>
      </c>
      <c r="AB136" s="3" t="s">
        <v>32</v>
      </c>
      <c r="AC136" s="3" t="s">
        <v>40</v>
      </c>
      <c r="AD136" s="3" t="s">
        <v>80</v>
      </c>
    </row>
    <row r="137">
      <c r="A137" s="6" t="s">
        <v>1527</v>
      </c>
      <c r="B137" s="6" t="s">
        <v>68</v>
      </c>
      <c r="C137" s="6" t="s">
        <v>51</v>
      </c>
      <c r="D137" s="6">
        <v>2015.0</v>
      </c>
      <c r="E137" s="6">
        <v>3.0</v>
      </c>
      <c r="F137" s="6" t="s">
        <v>32</v>
      </c>
      <c r="G137" s="6">
        <v>5.15391571E8</v>
      </c>
      <c r="H137" s="6" t="s">
        <v>1528</v>
      </c>
      <c r="I137" s="6" t="s">
        <v>1529</v>
      </c>
      <c r="J137" s="6" t="s">
        <v>265</v>
      </c>
      <c r="K137" s="6" t="s">
        <v>1530</v>
      </c>
      <c r="L137" s="4"/>
      <c r="M137" s="7" t="s">
        <v>1531</v>
      </c>
      <c r="N137" s="6" t="s">
        <v>1532</v>
      </c>
      <c r="O137" s="6" t="s">
        <v>147</v>
      </c>
      <c r="P137" s="6">
        <v>10474.0</v>
      </c>
      <c r="Q137" s="6">
        <v>9110401.0</v>
      </c>
      <c r="R137" s="6" t="s">
        <v>40</v>
      </c>
      <c r="S137" s="6" t="s">
        <v>40</v>
      </c>
      <c r="T137" s="6" t="s">
        <v>41</v>
      </c>
      <c r="U137" s="6" t="s">
        <v>1533</v>
      </c>
      <c r="V137" s="6" t="s">
        <v>1534</v>
      </c>
      <c r="W137" s="6" t="s">
        <v>1533</v>
      </c>
      <c r="X137" s="6" t="s">
        <v>1535</v>
      </c>
      <c r="Y137" s="6" t="s">
        <v>1536</v>
      </c>
      <c r="Z137" s="6" t="s">
        <v>1537</v>
      </c>
      <c r="AA137" s="6" t="s">
        <v>47</v>
      </c>
      <c r="AB137" s="6" t="s">
        <v>47</v>
      </c>
      <c r="AC137" s="6">
        <v>1.125</v>
      </c>
      <c r="AD137" s="6" t="s">
        <v>80</v>
      </c>
    </row>
    <row r="138">
      <c r="A138" s="3" t="s">
        <v>1538</v>
      </c>
      <c r="B138" s="3" t="s">
        <v>82</v>
      </c>
      <c r="C138" s="3" t="s">
        <v>31</v>
      </c>
      <c r="D138" s="3">
        <v>2022.0</v>
      </c>
      <c r="E138" s="3">
        <v>3.0</v>
      </c>
      <c r="F138" s="3" t="s">
        <v>32</v>
      </c>
      <c r="G138" s="3">
        <v>5.16616653E8</v>
      </c>
      <c r="H138" s="3" t="s">
        <v>1539</v>
      </c>
      <c r="I138" s="3" t="s">
        <v>1540</v>
      </c>
      <c r="J138" s="3" t="s">
        <v>54</v>
      </c>
      <c r="K138" s="3" t="s">
        <v>1541</v>
      </c>
      <c r="L138" s="4"/>
      <c r="M138" s="5" t="s">
        <v>1542</v>
      </c>
      <c r="N138" s="3" t="s">
        <v>40</v>
      </c>
      <c r="O138" s="3" t="s">
        <v>1543</v>
      </c>
      <c r="P138" s="3" t="s">
        <v>40</v>
      </c>
      <c r="Q138" s="3" t="s">
        <v>40</v>
      </c>
      <c r="R138" s="3" t="s">
        <v>40</v>
      </c>
      <c r="S138" s="3" t="s">
        <v>40</v>
      </c>
      <c r="T138" s="3" t="s">
        <v>41</v>
      </c>
      <c r="U138" s="3" t="s">
        <v>1544</v>
      </c>
      <c r="V138" s="3" t="s">
        <v>40</v>
      </c>
      <c r="W138" s="3" t="s">
        <v>1545</v>
      </c>
      <c r="X138" s="3" t="s">
        <v>1546</v>
      </c>
      <c r="Y138" s="3" t="s">
        <v>1547</v>
      </c>
      <c r="Z138" s="3" t="s">
        <v>66</v>
      </c>
      <c r="AA138" s="3" t="s">
        <v>32</v>
      </c>
      <c r="AB138" s="3" t="s">
        <v>32</v>
      </c>
      <c r="AC138" s="3" t="s">
        <v>40</v>
      </c>
      <c r="AD138" s="3" t="s">
        <v>216</v>
      </c>
    </row>
    <row r="139">
      <c r="A139" s="3" t="s">
        <v>1548</v>
      </c>
      <c r="B139" s="3" t="s">
        <v>82</v>
      </c>
      <c r="C139" s="3" t="s">
        <v>51</v>
      </c>
      <c r="D139" s="3">
        <v>2005.0</v>
      </c>
      <c r="E139" s="3">
        <v>3.0</v>
      </c>
      <c r="F139" s="3" t="s">
        <v>32</v>
      </c>
      <c r="G139" s="3">
        <v>5.13916635E8</v>
      </c>
      <c r="H139" s="3" t="s">
        <v>1549</v>
      </c>
      <c r="I139" s="3" t="s">
        <v>1550</v>
      </c>
      <c r="J139" s="3" t="s">
        <v>54</v>
      </c>
      <c r="K139" s="3" t="s">
        <v>1551</v>
      </c>
      <c r="L139" s="4"/>
      <c r="M139" s="5" t="s">
        <v>1552</v>
      </c>
      <c r="N139" s="3" t="s">
        <v>40</v>
      </c>
      <c r="O139" s="3" t="s">
        <v>1553</v>
      </c>
      <c r="P139" s="3">
        <v>136.0</v>
      </c>
      <c r="Q139" s="3">
        <v>1791500.0</v>
      </c>
      <c r="R139" s="3" t="s">
        <v>40</v>
      </c>
      <c r="S139" s="3" t="s">
        <v>40</v>
      </c>
      <c r="T139" s="3" t="s">
        <v>41</v>
      </c>
      <c r="U139" s="3" t="s">
        <v>40</v>
      </c>
      <c r="V139" s="3" t="s">
        <v>1554</v>
      </c>
      <c r="W139" s="3" t="s">
        <v>1551</v>
      </c>
      <c r="X139" s="3" t="s">
        <v>1555</v>
      </c>
      <c r="Y139" s="3" t="s">
        <v>1556</v>
      </c>
      <c r="Z139" s="3" t="s">
        <v>457</v>
      </c>
      <c r="AA139" s="3" t="s">
        <v>32</v>
      </c>
      <c r="AB139" s="3" t="s">
        <v>32</v>
      </c>
      <c r="AC139" s="3" t="s">
        <v>40</v>
      </c>
      <c r="AD139" s="3" t="s">
        <v>80</v>
      </c>
    </row>
    <row r="140">
      <c r="A140" s="3" t="s">
        <v>1557</v>
      </c>
      <c r="B140" s="3" t="s">
        <v>50</v>
      </c>
      <c r="C140" s="3" t="s">
        <v>51</v>
      </c>
      <c r="D140" s="3">
        <v>2011.0</v>
      </c>
      <c r="E140" s="3">
        <v>3.0</v>
      </c>
      <c r="F140" s="3" t="s">
        <v>32</v>
      </c>
      <c r="G140" s="3">
        <v>5.14619055E8</v>
      </c>
      <c r="H140" s="3" t="s">
        <v>1558</v>
      </c>
      <c r="I140" s="3" t="s">
        <v>1559</v>
      </c>
      <c r="J140" s="3" t="s">
        <v>35</v>
      </c>
      <c r="K140" s="3" t="s">
        <v>1560</v>
      </c>
      <c r="L140" s="4"/>
      <c r="M140" s="5" t="s">
        <v>1561</v>
      </c>
      <c r="N140" s="3" t="s">
        <v>1562</v>
      </c>
      <c r="O140" s="3" t="s">
        <v>1563</v>
      </c>
      <c r="P140" s="3" t="s">
        <v>40</v>
      </c>
      <c r="Q140" s="3">
        <v>4585800.0</v>
      </c>
      <c r="R140" s="3" t="s">
        <v>40</v>
      </c>
      <c r="S140" s="3" t="s">
        <v>40</v>
      </c>
      <c r="T140" s="3" t="s">
        <v>41</v>
      </c>
      <c r="U140" s="3" t="s">
        <v>1564</v>
      </c>
      <c r="V140" s="3" t="s">
        <v>1565</v>
      </c>
      <c r="W140" s="3" t="s">
        <v>1564</v>
      </c>
      <c r="X140" s="3" t="s">
        <v>1566</v>
      </c>
      <c r="Y140" s="3" t="s">
        <v>1567</v>
      </c>
      <c r="Z140" s="3" t="s">
        <v>1568</v>
      </c>
      <c r="AA140" s="3" t="s">
        <v>32</v>
      </c>
      <c r="AB140" s="3" t="s">
        <v>32</v>
      </c>
      <c r="AC140" s="3" t="s">
        <v>40</v>
      </c>
      <c r="AD140" s="3" t="s">
        <v>80</v>
      </c>
    </row>
    <row r="141">
      <c r="A141" s="3" t="s">
        <v>1569</v>
      </c>
      <c r="B141" s="3" t="s">
        <v>82</v>
      </c>
      <c r="C141" s="3" t="s">
        <v>31</v>
      </c>
      <c r="D141" s="3">
        <v>2019.0</v>
      </c>
      <c r="E141" s="3">
        <v>3.0</v>
      </c>
      <c r="F141" s="3" t="s">
        <v>32</v>
      </c>
      <c r="G141" s="3" t="s">
        <v>40</v>
      </c>
      <c r="H141" s="3" t="s">
        <v>1570</v>
      </c>
      <c r="I141" s="3" t="s">
        <v>1571</v>
      </c>
      <c r="J141" s="3" t="s">
        <v>35</v>
      </c>
      <c r="K141" s="3" t="s">
        <v>1572</v>
      </c>
      <c r="L141" s="4"/>
      <c r="M141" s="5" t="s">
        <v>1573</v>
      </c>
      <c r="N141" s="3" t="s">
        <v>1574</v>
      </c>
      <c r="O141" s="3" t="s">
        <v>298</v>
      </c>
      <c r="P141" s="3" t="s">
        <v>40</v>
      </c>
      <c r="Q141" s="3">
        <v>4250574.0</v>
      </c>
      <c r="R141" s="3" t="s">
        <v>40</v>
      </c>
      <c r="S141" s="3" t="s">
        <v>40</v>
      </c>
      <c r="T141" s="3" t="s">
        <v>41</v>
      </c>
      <c r="U141" s="3" t="s">
        <v>1575</v>
      </c>
      <c r="V141" s="3" t="s">
        <v>1576</v>
      </c>
      <c r="W141" s="3" t="s">
        <v>1575</v>
      </c>
      <c r="X141" s="3" t="s">
        <v>1577</v>
      </c>
      <c r="Y141" s="3" t="s">
        <v>1578</v>
      </c>
      <c r="Z141" s="3" t="s">
        <v>470</v>
      </c>
      <c r="AA141" s="3" t="s">
        <v>32</v>
      </c>
      <c r="AB141" s="3" t="s">
        <v>32</v>
      </c>
      <c r="AC141" s="3" t="s">
        <v>40</v>
      </c>
      <c r="AD141" s="3" t="s">
        <v>80</v>
      </c>
    </row>
    <row r="142">
      <c r="A142" s="3" t="s">
        <v>1579</v>
      </c>
      <c r="B142" s="3" t="s">
        <v>50</v>
      </c>
      <c r="C142" s="3" t="s">
        <v>51</v>
      </c>
      <c r="D142" s="3">
        <v>2013.0</v>
      </c>
      <c r="E142" s="3">
        <v>3.0</v>
      </c>
      <c r="F142" s="3" t="s">
        <v>32</v>
      </c>
      <c r="G142" s="3">
        <v>5.14863356E8</v>
      </c>
      <c r="H142" s="3" t="s">
        <v>1580</v>
      </c>
      <c r="I142" s="3" t="s">
        <v>1581</v>
      </c>
      <c r="J142" s="3" t="s">
        <v>35</v>
      </c>
      <c r="K142" s="3" t="s">
        <v>1582</v>
      </c>
      <c r="L142" s="4"/>
      <c r="M142" s="5" t="s">
        <v>1583</v>
      </c>
      <c r="N142" s="3" t="s">
        <v>1584</v>
      </c>
      <c r="O142" s="3" t="s">
        <v>278</v>
      </c>
      <c r="P142" s="3" t="s">
        <v>40</v>
      </c>
      <c r="Q142" s="3">
        <v>7572206.0</v>
      </c>
      <c r="R142" s="3" t="s">
        <v>40</v>
      </c>
      <c r="S142" s="3" t="s">
        <v>40</v>
      </c>
      <c r="T142" s="3" t="s">
        <v>41</v>
      </c>
      <c r="U142" s="3" t="s">
        <v>1585</v>
      </c>
      <c r="V142" s="3" t="s">
        <v>1586</v>
      </c>
      <c r="W142" s="3" t="s">
        <v>1585</v>
      </c>
      <c r="X142" s="3" t="s">
        <v>1587</v>
      </c>
      <c r="Y142" s="3" t="s">
        <v>1588</v>
      </c>
      <c r="Z142" s="3" t="s">
        <v>1177</v>
      </c>
      <c r="AA142" s="3" t="s">
        <v>32</v>
      </c>
      <c r="AB142" s="3" t="s">
        <v>32</v>
      </c>
      <c r="AC142" s="3" t="s">
        <v>40</v>
      </c>
      <c r="AD142" s="3" t="s">
        <v>80</v>
      </c>
    </row>
    <row r="143">
      <c r="A143" s="3" t="s">
        <v>1589</v>
      </c>
      <c r="B143" s="3" t="s">
        <v>50</v>
      </c>
      <c r="C143" s="3" t="s">
        <v>51</v>
      </c>
      <c r="D143" s="3">
        <v>2010.0</v>
      </c>
      <c r="E143" s="3">
        <v>3.0</v>
      </c>
      <c r="F143" s="3" t="s">
        <v>32</v>
      </c>
      <c r="G143" s="3">
        <v>5.14549948E8</v>
      </c>
      <c r="H143" s="3" t="s">
        <v>1590</v>
      </c>
      <c r="I143" s="3" t="s">
        <v>1591</v>
      </c>
      <c r="J143" s="3" t="s">
        <v>35</v>
      </c>
      <c r="K143" s="3" t="s">
        <v>1592</v>
      </c>
      <c r="L143" s="4"/>
      <c r="M143" s="5" t="s">
        <v>1593</v>
      </c>
      <c r="N143" s="3" t="s">
        <v>1594</v>
      </c>
      <c r="O143" s="3" t="s">
        <v>722</v>
      </c>
      <c r="P143" s="3">
        <v>3909.0</v>
      </c>
      <c r="Q143" s="3">
        <v>4951148.0</v>
      </c>
      <c r="R143" s="3" t="s">
        <v>40</v>
      </c>
      <c r="S143" s="3" t="s">
        <v>40</v>
      </c>
      <c r="T143" s="3" t="s">
        <v>41</v>
      </c>
      <c r="U143" s="3" t="s">
        <v>1595</v>
      </c>
      <c r="V143" s="3" t="s">
        <v>1596</v>
      </c>
      <c r="W143" s="3" t="s">
        <v>1595</v>
      </c>
      <c r="X143" s="3" t="s">
        <v>1597</v>
      </c>
      <c r="Y143" s="3" t="s">
        <v>1598</v>
      </c>
      <c r="Z143" s="3" t="s">
        <v>66</v>
      </c>
      <c r="AA143" s="3" t="s">
        <v>32</v>
      </c>
      <c r="AB143" s="3" t="s">
        <v>32</v>
      </c>
      <c r="AC143" s="3" t="s">
        <v>40</v>
      </c>
      <c r="AD143" s="3" t="s">
        <v>80</v>
      </c>
    </row>
    <row r="144">
      <c r="A144" s="6" t="s">
        <v>1599</v>
      </c>
      <c r="B144" s="6" t="s">
        <v>30</v>
      </c>
      <c r="C144" s="6" t="s">
        <v>31</v>
      </c>
      <c r="D144" s="6">
        <v>2022.0</v>
      </c>
      <c r="E144" s="6">
        <v>3.0</v>
      </c>
      <c r="F144" s="6" t="s">
        <v>32</v>
      </c>
      <c r="G144" s="6">
        <v>5.16631074E8</v>
      </c>
      <c r="H144" s="6" t="s">
        <v>1600</v>
      </c>
      <c r="I144" s="6" t="s">
        <v>1601</v>
      </c>
      <c r="J144" s="6" t="s">
        <v>910</v>
      </c>
      <c r="K144" s="16"/>
      <c r="L144" s="4"/>
      <c r="M144" s="7" t="s">
        <v>1602</v>
      </c>
      <c r="N144" s="6" t="s">
        <v>1603</v>
      </c>
      <c r="O144" s="6" t="s">
        <v>1604</v>
      </c>
      <c r="P144" s="6" t="s">
        <v>40</v>
      </c>
      <c r="Q144" s="6">
        <v>8050319.0</v>
      </c>
      <c r="R144" s="6" t="s">
        <v>40</v>
      </c>
      <c r="S144" s="6" t="s">
        <v>40</v>
      </c>
      <c r="T144" s="6" t="s">
        <v>41</v>
      </c>
      <c r="U144" s="6" t="s">
        <v>1605</v>
      </c>
      <c r="V144" s="6" t="s">
        <v>40</v>
      </c>
      <c r="W144" s="6" t="s">
        <v>1605</v>
      </c>
      <c r="X144" s="6" t="s">
        <v>1606</v>
      </c>
      <c r="Y144" s="6" t="s">
        <v>1607</v>
      </c>
      <c r="Z144" s="6" t="s">
        <v>66</v>
      </c>
      <c r="AA144" s="6" t="s">
        <v>47</v>
      </c>
      <c r="AB144" s="6" t="s">
        <v>32</v>
      </c>
      <c r="AC144" s="6">
        <v>0.9</v>
      </c>
      <c r="AD144" s="6" t="s">
        <v>80</v>
      </c>
    </row>
    <row r="145">
      <c r="A145" s="3" t="s">
        <v>1608</v>
      </c>
      <c r="B145" s="3" t="s">
        <v>82</v>
      </c>
      <c r="C145" s="3" t="s">
        <v>51</v>
      </c>
      <c r="D145" s="3">
        <v>1968.0</v>
      </c>
      <c r="E145" s="3">
        <v>3.0</v>
      </c>
      <c r="F145" s="3" t="s">
        <v>32</v>
      </c>
      <c r="G145" s="3">
        <v>5.10496532E8</v>
      </c>
      <c r="H145" s="3" t="s">
        <v>1609</v>
      </c>
      <c r="I145" s="3" t="s">
        <v>1610</v>
      </c>
      <c r="J145" s="3" t="s">
        <v>910</v>
      </c>
      <c r="K145" s="4"/>
      <c r="L145" s="4"/>
      <c r="M145" s="5" t="s">
        <v>1611</v>
      </c>
      <c r="N145" s="3" t="s">
        <v>1612</v>
      </c>
      <c r="O145" s="3" t="s">
        <v>1543</v>
      </c>
      <c r="P145" s="3" t="s">
        <v>40</v>
      </c>
      <c r="Q145" s="3">
        <v>5651613.0</v>
      </c>
      <c r="R145" s="3" t="s">
        <v>40</v>
      </c>
      <c r="S145" s="3" t="s">
        <v>40</v>
      </c>
      <c r="T145" s="3" t="s">
        <v>41</v>
      </c>
      <c r="U145" s="3" t="s">
        <v>1613</v>
      </c>
      <c r="V145" s="3" t="s">
        <v>1614</v>
      </c>
      <c r="W145" s="3" t="s">
        <v>1613</v>
      </c>
      <c r="X145" s="3" t="s">
        <v>1615</v>
      </c>
      <c r="Y145" s="3" t="s">
        <v>1616</v>
      </c>
      <c r="Z145" s="3" t="s">
        <v>412</v>
      </c>
      <c r="AA145" s="3" t="s">
        <v>32</v>
      </c>
      <c r="AB145" s="3" t="s">
        <v>32</v>
      </c>
      <c r="AC145" s="3" t="s">
        <v>40</v>
      </c>
      <c r="AD145" s="3" t="s">
        <v>80</v>
      </c>
    </row>
    <row r="146">
      <c r="A146" s="3" t="s">
        <v>1617</v>
      </c>
      <c r="B146" s="3" t="s">
        <v>203</v>
      </c>
      <c r="C146" s="3" t="s">
        <v>51</v>
      </c>
      <c r="D146" s="3">
        <v>2013.0</v>
      </c>
      <c r="E146" s="3">
        <v>3.0</v>
      </c>
      <c r="F146" s="3" t="s">
        <v>32</v>
      </c>
      <c r="G146" s="3">
        <v>5.14938018E8</v>
      </c>
      <c r="H146" s="3" t="s">
        <v>1618</v>
      </c>
      <c r="I146" s="3" t="s">
        <v>1619</v>
      </c>
      <c r="J146" s="3" t="s">
        <v>54</v>
      </c>
      <c r="K146" s="4"/>
      <c r="L146" s="4"/>
      <c r="M146" s="5" t="s">
        <v>1620</v>
      </c>
      <c r="N146" s="3" t="s">
        <v>1621</v>
      </c>
      <c r="O146" s="3" t="s">
        <v>1622</v>
      </c>
      <c r="P146" s="3" t="s">
        <v>40</v>
      </c>
      <c r="Q146" s="3">
        <v>5320047.0</v>
      </c>
      <c r="R146" s="3" t="s">
        <v>40</v>
      </c>
      <c r="S146" s="3" t="s">
        <v>40</v>
      </c>
      <c r="T146" s="3" t="s">
        <v>41</v>
      </c>
      <c r="U146" s="3" t="s">
        <v>1623</v>
      </c>
      <c r="V146" s="3" t="s">
        <v>1624</v>
      </c>
      <c r="W146" s="3" t="s">
        <v>1623</v>
      </c>
      <c r="X146" s="3" t="s">
        <v>1625</v>
      </c>
      <c r="Y146" s="3" t="s">
        <v>1626</v>
      </c>
      <c r="Z146" s="3" t="s">
        <v>66</v>
      </c>
      <c r="AA146" s="3" t="s">
        <v>32</v>
      </c>
      <c r="AB146" s="3" t="s">
        <v>32</v>
      </c>
      <c r="AC146" s="3" t="s">
        <v>40</v>
      </c>
      <c r="AD146" s="3" t="s">
        <v>80</v>
      </c>
    </row>
    <row r="147">
      <c r="A147" s="3" t="s">
        <v>1627</v>
      </c>
      <c r="B147" s="3" t="s">
        <v>50</v>
      </c>
      <c r="C147" s="3" t="s">
        <v>51</v>
      </c>
      <c r="D147" s="3">
        <v>2016.0</v>
      </c>
      <c r="E147" s="3">
        <v>3.0</v>
      </c>
      <c r="F147" s="3" t="s">
        <v>32</v>
      </c>
      <c r="G147" s="3">
        <v>5.40276979E8</v>
      </c>
      <c r="H147" s="3" t="s">
        <v>1628</v>
      </c>
      <c r="I147" s="3" t="s">
        <v>1629</v>
      </c>
      <c r="J147" s="3" t="s">
        <v>54</v>
      </c>
      <c r="K147" s="4"/>
      <c r="L147" s="4"/>
      <c r="M147" s="5" t="s">
        <v>1630</v>
      </c>
      <c r="N147" s="3" t="s">
        <v>1631</v>
      </c>
      <c r="O147" s="3" t="s">
        <v>298</v>
      </c>
      <c r="P147" s="3" t="s">
        <v>40</v>
      </c>
      <c r="Q147" s="3">
        <v>4232759.0</v>
      </c>
      <c r="R147" s="3" t="s">
        <v>40</v>
      </c>
      <c r="S147" s="3" t="s">
        <v>40</v>
      </c>
      <c r="T147" s="3" t="s">
        <v>41</v>
      </c>
      <c r="U147" s="3" t="s">
        <v>1632</v>
      </c>
      <c r="V147" s="3" t="s">
        <v>1633</v>
      </c>
      <c r="W147" s="3" t="s">
        <v>1632</v>
      </c>
      <c r="X147" s="3" t="s">
        <v>1634</v>
      </c>
      <c r="Y147" s="3" t="s">
        <v>1635</v>
      </c>
      <c r="Z147" s="3" t="s">
        <v>873</v>
      </c>
      <c r="AA147" s="3" t="s">
        <v>32</v>
      </c>
      <c r="AB147" s="3" t="s">
        <v>32</v>
      </c>
      <c r="AC147" s="3" t="s">
        <v>40</v>
      </c>
      <c r="AD147" s="3" t="s">
        <v>80</v>
      </c>
    </row>
    <row r="148">
      <c r="A148" s="3" t="s">
        <v>1636</v>
      </c>
      <c r="B148" s="3" t="s">
        <v>68</v>
      </c>
      <c r="C148" s="3" t="s">
        <v>51</v>
      </c>
      <c r="D148" s="3">
        <v>2016.0</v>
      </c>
      <c r="E148" s="3">
        <v>3.0</v>
      </c>
      <c r="F148" s="3" t="s">
        <v>32</v>
      </c>
      <c r="G148" s="3">
        <v>5.15537637E8</v>
      </c>
      <c r="H148" s="3" t="s">
        <v>1637</v>
      </c>
      <c r="I148" s="3" t="s">
        <v>1638</v>
      </c>
      <c r="J148" s="3" t="s">
        <v>35</v>
      </c>
      <c r="K148" s="4"/>
      <c r="L148" s="4"/>
      <c r="M148" s="5" t="s">
        <v>1639</v>
      </c>
      <c r="N148" s="3" t="s">
        <v>1640</v>
      </c>
      <c r="O148" s="3" t="s">
        <v>1037</v>
      </c>
      <c r="P148" s="3" t="s">
        <v>40</v>
      </c>
      <c r="Q148" s="3">
        <v>7407103.0</v>
      </c>
      <c r="R148" s="3" t="s">
        <v>40</v>
      </c>
      <c r="S148" s="3" t="s">
        <v>40</v>
      </c>
      <c r="T148" s="3" t="s">
        <v>41</v>
      </c>
      <c r="U148" s="3" t="s">
        <v>1641</v>
      </c>
      <c r="V148" s="3" t="s">
        <v>1642</v>
      </c>
      <c r="W148" s="3" t="s">
        <v>1641</v>
      </c>
      <c r="X148" s="3" t="s">
        <v>1643</v>
      </c>
      <c r="Y148" s="3" t="s">
        <v>1644</v>
      </c>
      <c r="Z148" s="3" t="s">
        <v>1177</v>
      </c>
      <c r="AA148" s="3" t="s">
        <v>47</v>
      </c>
      <c r="AB148" s="3" t="s">
        <v>32</v>
      </c>
      <c r="AC148" s="3" t="s">
        <v>40</v>
      </c>
      <c r="AD148" s="3" t="s">
        <v>80</v>
      </c>
    </row>
    <row r="149">
      <c r="A149" s="3" t="s">
        <v>1645</v>
      </c>
      <c r="B149" s="3" t="s">
        <v>50</v>
      </c>
      <c r="C149" s="3" t="s">
        <v>51</v>
      </c>
      <c r="D149" s="3">
        <v>2018.0</v>
      </c>
      <c r="E149" s="3">
        <v>3.0</v>
      </c>
      <c r="F149" s="3" t="s">
        <v>32</v>
      </c>
      <c r="G149" s="3">
        <v>5.15863157E8</v>
      </c>
      <c r="H149" s="3" t="s">
        <v>1646</v>
      </c>
      <c r="I149" s="3" t="s">
        <v>1647</v>
      </c>
      <c r="J149" s="3" t="s">
        <v>35</v>
      </c>
      <c r="K149" s="4"/>
      <c r="L149" s="4"/>
      <c r="M149" s="5" t="s">
        <v>1648</v>
      </c>
      <c r="N149" s="3" t="s">
        <v>1649</v>
      </c>
      <c r="O149" s="3" t="s">
        <v>485</v>
      </c>
      <c r="P149" s="3" t="s">
        <v>40</v>
      </c>
      <c r="Q149" s="3">
        <v>3508409.0</v>
      </c>
      <c r="R149" s="3" t="s">
        <v>40</v>
      </c>
      <c r="S149" s="3" t="s">
        <v>40</v>
      </c>
      <c r="T149" s="3" t="s">
        <v>41</v>
      </c>
      <c r="U149" s="3" t="s">
        <v>1650</v>
      </c>
      <c r="V149" s="3" t="s">
        <v>40</v>
      </c>
      <c r="W149" s="3" t="s">
        <v>1650</v>
      </c>
      <c r="X149" s="3" t="s">
        <v>1651</v>
      </c>
      <c r="Y149" s="3" t="s">
        <v>1652</v>
      </c>
      <c r="Z149" s="3" t="s">
        <v>1653</v>
      </c>
      <c r="AA149" s="3" t="s">
        <v>32</v>
      </c>
      <c r="AB149" s="3" t="s">
        <v>32</v>
      </c>
      <c r="AC149" s="3" t="s">
        <v>40</v>
      </c>
      <c r="AD149" s="3" t="s">
        <v>80</v>
      </c>
    </row>
    <row r="150">
      <c r="A150" s="3" t="s">
        <v>1654</v>
      </c>
      <c r="B150" s="3" t="s">
        <v>68</v>
      </c>
      <c r="C150" s="3" t="s">
        <v>1518</v>
      </c>
      <c r="D150" s="3">
        <v>2022.0</v>
      </c>
      <c r="E150" s="3">
        <v>3.0</v>
      </c>
      <c r="F150" s="3" t="s">
        <v>32</v>
      </c>
      <c r="G150" s="3">
        <v>5.16584877E8</v>
      </c>
      <c r="H150" s="3" t="s">
        <v>1655</v>
      </c>
      <c r="I150" s="3" t="s">
        <v>1656</v>
      </c>
      <c r="J150" s="3" t="s">
        <v>35</v>
      </c>
      <c r="K150" s="4"/>
      <c r="L150" s="4"/>
      <c r="M150" s="5" t="s">
        <v>1657</v>
      </c>
      <c r="N150" s="3" t="s">
        <v>1658</v>
      </c>
      <c r="O150" s="3" t="s">
        <v>616</v>
      </c>
      <c r="P150" s="3" t="s">
        <v>40</v>
      </c>
      <c r="Q150" s="3">
        <v>5221550.0</v>
      </c>
      <c r="R150" s="3" t="s">
        <v>40</v>
      </c>
      <c r="S150" s="3" t="s">
        <v>40</v>
      </c>
      <c r="T150" s="3" t="s">
        <v>41</v>
      </c>
      <c r="U150" s="3" t="s">
        <v>1659</v>
      </c>
      <c r="V150" s="3" t="s">
        <v>40</v>
      </c>
      <c r="W150" s="3" t="s">
        <v>1659</v>
      </c>
      <c r="X150" s="3" t="s">
        <v>1660</v>
      </c>
      <c r="Y150" s="3" t="s">
        <v>1661</v>
      </c>
      <c r="Z150" s="3" t="s">
        <v>1662</v>
      </c>
      <c r="AA150" s="3" t="s">
        <v>32</v>
      </c>
      <c r="AB150" s="3" t="s">
        <v>32</v>
      </c>
      <c r="AC150" s="3" t="s">
        <v>40</v>
      </c>
      <c r="AD150" s="3" t="s">
        <v>80</v>
      </c>
    </row>
    <row r="151">
      <c r="A151" s="3" t="s">
        <v>1663</v>
      </c>
      <c r="B151" s="3" t="s">
        <v>50</v>
      </c>
      <c r="C151" s="3" t="s">
        <v>51</v>
      </c>
      <c r="D151" s="3">
        <v>2023.0</v>
      </c>
      <c r="E151" s="3">
        <v>30.0</v>
      </c>
      <c r="F151" s="3" t="s">
        <v>32</v>
      </c>
      <c r="G151" s="3">
        <v>5.167978E8</v>
      </c>
      <c r="H151" s="3" t="s">
        <v>1664</v>
      </c>
      <c r="I151" s="3" t="s">
        <v>1665</v>
      </c>
      <c r="J151" s="3" t="s">
        <v>35</v>
      </c>
      <c r="K151" s="3" t="s">
        <v>1666</v>
      </c>
      <c r="L151" s="4"/>
      <c r="M151" s="5" t="s">
        <v>1667</v>
      </c>
      <c r="N151" s="3" t="s">
        <v>1668</v>
      </c>
      <c r="O151" s="3" t="s">
        <v>1037</v>
      </c>
      <c r="P151" s="3" t="s">
        <v>40</v>
      </c>
      <c r="Q151" s="3">
        <v>7403639.0</v>
      </c>
      <c r="R151" s="3" t="s">
        <v>40</v>
      </c>
      <c r="S151" s="3" t="s">
        <v>40</v>
      </c>
      <c r="T151" s="3" t="s">
        <v>41</v>
      </c>
      <c r="U151" s="3" t="s">
        <v>40</v>
      </c>
      <c r="V151" s="3" t="s">
        <v>1669</v>
      </c>
      <c r="W151" s="3" t="s">
        <v>40</v>
      </c>
      <c r="X151" s="3" t="s">
        <v>443</v>
      </c>
      <c r="Y151" s="3" t="s">
        <v>1670</v>
      </c>
      <c r="Z151" s="3" t="s">
        <v>1671</v>
      </c>
      <c r="AA151" s="3" t="s">
        <v>32</v>
      </c>
      <c r="AB151" s="3" t="s">
        <v>32</v>
      </c>
      <c r="AC151" s="3" t="s">
        <v>40</v>
      </c>
      <c r="AD151" s="3" t="s">
        <v>80</v>
      </c>
    </row>
    <row r="152">
      <c r="A152" s="3" t="s">
        <v>1672</v>
      </c>
      <c r="B152" s="3" t="s">
        <v>82</v>
      </c>
      <c r="C152" s="3" t="s">
        <v>51</v>
      </c>
      <c r="D152" s="3">
        <v>2011.0</v>
      </c>
      <c r="E152" s="3">
        <v>30.0</v>
      </c>
      <c r="F152" s="3" t="s">
        <v>32</v>
      </c>
      <c r="G152" s="3">
        <v>5.14505379E8</v>
      </c>
      <c r="H152" s="3" t="s">
        <v>1673</v>
      </c>
      <c r="I152" s="3" t="s">
        <v>1674</v>
      </c>
      <c r="J152" s="3" t="s">
        <v>71</v>
      </c>
      <c r="K152" s="3" t="s">
        <v>1675</v>
      </c>
      <c r="L152" s="4"/>
      <c r="M152" s="5" t="s">
        <v>1676</v>
      </c>
      <c r="N152" s="3" t="s">
        <v>1677</v>
      </c>
      <c r="O152" s="3" t="s">
        <v>1678</v>
      </c>
      <c r="P152" s="3" t="s">
        <v>40</v>
      </c>
      <c r="Q152" s="3">
        <v>2412401.0</v>
      </c>
      <c r="R152" s="3" t="s">
        <v>40</v>
      </c>
      <c r="S152" s="3" t="s">
        <v>40</v>
      </c>
      <c r="T152" s="3" t="s">
        <v>41</v>
      </c>
      <c r="U152" s="3" t="s">
        <v>1679</v>
      </c>
      <c r="V152" s="3" t="s">
        <v>1680</v>
      </c>
      <c r="W152" s="3" t="s">
        <v>1679</v>
      </c>
      <c r="X152" s="3" t="s">
        <v>1681</v>
      </c>
      <c r="Y152" s="3" t="s">
        <v>1682</v>
      </c>
      <c r="Z152" s="3" t="s">
        <v>1683</v>
      </c>
      <c r="AA152" s="3" t="s">
        <v>47</v>
      </c>
      <c r="AB152" s="3" t="s">
        <v>32</v>
      </c>
      <c r="AC152" s="3" t="s">
        <v>40</v>
      </c>
      <c r="AD152" s="3" t="s">
        <v>80</v>
      </c>
    </row>
    <row r="153">
      <c r="A153" s="3" t="s">
        <v>1684</v>
      </c>
      <c r="B153" s="3" t="s">
        <v>82</v>
      </c>
      <c r="C153" s="3" t="s">
        <v>51</v>
      </c>
      <c r="D153" s="3">
        <v>2018.0</v>
      </c>
      <c r="E153" s="3">
        <v>30.0</v>
      </c>
      <c r="F153" s="3" t="s">
        <v>32</v>
      </c>
      <c r="G153" s="3">
        <v>5.16010386E8</v>
      </c>
      <c r="H153" s="3" t="s">
        <v>1685</v>
      </c>
      <c r="I153" s="3" t="s">
        <v>1686</v>
      </c>
      <c r="J153" s="3" t="s">
        <v>35</v>
      </c>
      <c r="K153" s="3" t="s">
        <v>1687</v>
      </c>
      <c r="L153" s="4"/>
      <c r="M153" s="5" t="s">
        <v>1688</v>
      </c>
      <c r="N153" s="3" t="s">
        <v>1689</v>
      </c>
      <c r="O153" s="3" t="s">
        <v>75</v>
      </c>
      <c r="P153" s="3" t="s">
        <v>40</v>
      </c>
      <c r="Q153" s="3">
        <v>6971068.0</v>
      </c>
      <c r="R153" s="3" t="s">
        <v>40</v>
      </c>
      <c r="S153" s="3" t="s">
        <v>40</v>
      </c>
      <c r="T153" s="3" t="s">
        <v>41</v>
      </c>
      <c r="U153" s="3" t="s">
        <v>1690</v>
      </c>
      <c r="V153" s="3" t="s">
        <v>1691</v>
      </c>
      <c r="W153" s="3" t="s">
        <v>1690</v>
      </c>
      <c r="X153" s="3" t="s">
        <v>1692</v>
      </c>
      <c r="Y153" s="3" t="s">
        <v>1693</v>
      </c>
      <c r="Z153" s="3" t="s">
        <v>1694</v>
      </c>
      <c r="AA153" s="3" t="s">
        <v>47</v>
      </c>
      <c r="AB153" s="3" t="s">
        <v>47</v>
      </c>
      <c r="AC153" s="3">
        <v>5.0</v>
      </c>
      <c r="AD153" s="3" t="s">
        <v>80</v>
      </c>
    </row>
    <row r="154">
      <c r="A154" s="3" t="s">
        <v>1695</v>
      </c>
      <c r="B154" s="3" t="s">
        <v>154</v>
      </c>
      <c r="C154" s="3" t="s">
        <v>51</v>
      </c>
      <c r="D154" s="3">
        <v>2016.0</v>
      </c>
      <c r="E154" s="3">
        <v>30.0</v>
      </c>
      <c r="F154" s="3" t="s">
        <v>32</v>
      </c>
      <c r="G154" s="3">
        <v>5.15326452E8</v>
      </c>
      <c r="H154" s="3" t="s">
        <v>1696</v>
      </c>
      <c r="I154" s="3" t="s">
        <v>1697</v>
      </c>
      <c r="J154" s="3" t="s">
        <v>35</v>
      </c>
      <c r="K154" s="3" t="s">
        <v>1698</v>
      </c>
      <c r="L154" s="4"/>
      <c r="M154" s="5" t="s">
        <v>1699</v>
      </c>
      <c r="N154" s="3" t="s">
        <v>40</v>
      </c>
      <c r="O154" s="3" t="s">
        <v>1162</v>
      </c>
      <c r="P154" s="3" t="s">
        <v>40</v>
      </c>
      <c r="Q154" s="3">
        <v>4690500.0</v>
      </c>
      <c r="R154" s="3" t="s">
        <v>40</v>
      </c>
      <c r="S154" s="3" t="s">
        <v>40</v>
      </c>
      <c r="T154" s="3" t="s">
        <v>41</v>
      </c>
      <c r="U154" s="3" t="s">
        <v>1700</v>
      </c>
      <c r="V154" s="3" t="s">
        <v>40</v>
      </c>
      <c r="W154" s="3" t="s">
        <v>1700</v>
      </c>
      <c r="X154" s="3" t="s">
        <v>1701</v>
      </c>
      <c r="Y154" s="3" t="s">
        <v>1702</v>
      </c>
      <c r="Z154" s="3" t="s">
        <v>1703</v>
      </c>
      <c r="AA154" s="3" t="s">
        <v>47</v>
      </c>
      <c r="AB154" s="3" t="s">
        <v>47</v>
      </c>
      <c r="AC154" s="3">
        <v>17.0</v>
      </c>
      <c r="AD154" s="3" t="s">
        <v>80</v>
      </c>
    </row>
    <row r="155">
      <c r="A155" s="10" t="s">
        <v>1704</v>
      </c>
      <c r="B155" s="10" t="s">
        <v>30</v>
      </c>
      <c r="C155" s="10" t="s">
        <v>51</v>
      </c>
      <c r="D155" s="10">
        <v>2013.0</v>
      </c>
      <c r="E155" s="10">
        <v>30.0</v>
      </c>
      <c r="F155" s="10" t="s">
        <v>47</v>
      </c>
      <c r="G155" s="10">
        <v>5.14881564E8</v>
      </c>
      <c r="H155" s="10" t="s">
        <v>1705</v>
      </c>
      <c r="I155" s="10" t="s">
        <v>1706</v>
      </c>
      <c r="J155" s="10" t="s">
        <v>71</v>
      </c>
      <c r="K155" s="10" t="s">
        <v>1707</v>
      </c>
      <c r="L155" s="4"/>
      <c r="M155" s="11" t="s">
        <v>1708</v>
      </c>
      <c r="N155" s="10" t="s">
        <v>1709</v>
      </c>
      <c r="O155" s="10" t="s">
        <v>246</v>
      </c>
      <c r="P155" s="10" t="s">
        <v>40</v>
      </c>
      <c r="Q155" s="10">
        <v>7152008.0</v>
      </c>
      <c r="R155" s="10" t="s">
        <v>40</v>
      </c>
      <c r="S155" s="10" t="s">
        <v>40</v>
      </c>
      <c r="T155" s="10" t="s">
        <v>41</v>
      </c>
      <c r="U155" s="10" t="s">
        <v>1710</v>
      </c>
      <c r="V155" s="10" t="s">
        <v>1711</v>
      </c>
      <c r="W155" s="10" t="s">
        <v>1710</v>
      </c>
      <c r="X155" s="10" t="s">
        <v>1712</v>
      </c>
      <c r="Y155" s="10" t="s">
        <v>1713</v>
      </c>
      <c r="Z155" s="10" t="s">
        <v>201</v>
      </c>
      <c r="AA155" s="10" t="s">
        <v>47</v>
      </c>
      <c r="AB155" s="10" t="s">
        <v>47</v>
      </c>
      <c r="AC155" s="10">
        <v>241.7</v>
      </c>
      <c r="AD155" s="10" t="s">
        <v>80</v>
      </c>
    </row>
    <row r="156">
      <c r="A156" s="3" t="s">
        <v>1714</v>
      </c>
      <c r="B156" s="3" t="s">
        <v>82</v>
      </c>
      <c r="C156" s="3" t="s">
        <v>51</v>
      </c>
      <c r="D156" s="3">
        <v>1985.0</v>
      </c>
      <c r="E156" s="3">
        <v>30.0</v>
      </c>
      <c r="F156" s="3" t="s">
        <v>32</v>
      </c>
      <c r="G156" s="3">
        <v>5.11100471E8</v>
      </c>
      <c r="H156" s="3" t="s">
        <v>1715</v>
      </c>
      <c r="I156" s="3" t="s">
        <v>1716</v>
      </c>
      <c r="J156" s="3" t="s">
        <v>54</v>
      </c>
      <c r="K156" s="3" t="s">
        <v>1717</v>
      </c>
      <c r="L156" s="4"/>
      <c r="M156" s="5" t="s">
        <v>1718</v>
      </c>
      <c r="N156" s="3" t="s">
        <v>1719</v>
      </c>
      <c r="O156" s="3" t="s">
        <v>278</v>
      </c>
      <c r="P156" s="3" t="s">
        <v>40</v>
      </c>
      <c r="Q156" s="3">
        <v>7570418.0</v>
      </c>
      <c r="R156" s="3" t="s">
        <v>40</v>
      </c>
      <c r="S156" s="3" t="s">
        <v>40</v>
      </c>
      <c r="T156" s="3" t="s">
        <v>41</v>
      </c>
      <c r="U156" s="3" t="s">
        <v>1720</v>
      </c>
      <c r="V156" s="3" t="s">
        <v>1721</v>
      </c>
      <c r="W156" s="3" t="s">
        <v>1720</v>
      </c>
      <c r="X156" s="3" t="s">
        <v>1722</v>
      </c>
      <c r="Y156" s="3" t="s">
        <v>1723</v>
      </c>
      <c r="Z156" s="3" t="s">
        <v>46</v>
      </c>
      <c r="AA156" s="3" t="s">
        <v>32</v>
      </c>
      <c r="AB156" s="3" t="s">
        <v>32</v>
      </c>
      <c r="AC156" s="3" t="s">
        <v>40</v>
      </c>
      <c r="AD156" s="3" t="s">
        <v>80</v>
      </c>
    </row>
    <row r="157">
      <c r="A157" s="3" t="s">
        <v>1724</v>
      </c>
      <c r="B157" s="3" t="s">
        <v>82</v>
      </c>
      <c r="C157" s="3" t="s">
        <v>51</v>
      </c>
      <c r="D157" s="3">
        <v>2012.0</v>
      </c>
      <c r="E157" s="3">
        <v>30.0</v>
      </c>
      <c r="F157" s="3" t="s">
        <v>32</v>
      </c>
      <c r="G157" s="3">
        <v>5.14616069E8</v>
      </c>
      <c r="H157" s="3" t="s">
        <v>1725</v>
      </c>
      <c r="I157" s="3" t="s">
        <v>1726</v>
      </c>
      <c r="J157" s="3" t="s">
        <v>35</v>
      </c>
      <c r="K157" s="3" t="s">
        <v>1727</v>
      </c>
      <c r="L157" s="4"/>
      <c r="M157" s="5" t="s">
        <v>1728</v>
      </c>
      <c r="N157" s="3" t="s">
        <v>1729</v>
      </c>
      <c r="O157" s="3" t="s">
        <v>1730</v>
      </c>
      <c r="P157" s="3" t="s">
        <v>40</v>
      </c>
      <c r="Q157" s="3">
        <v>7316500.0</v>
      </c>
      <c r="R157" s="3" t="s">
        <v>40</v>
      </c>
      <c r="S157" s="3" t="s">
        <v>40</v>
      </c>
      <c r="T157" s="3" t="s">
        <v>41</v>
      </c>
      <c r="U157" s="3" t="s">
        <v>1731</v>
      </c>
      <c r="V157" s="3" t="s">
        <v>1732</v>
      </c>
      <c r="W157" s="3" t="s">
        <v>1733</v>
      </c>
      <c r="X157" s="3" t="s">
        <v>1734</v>
      </c>
      <c r="Y157" s="3" t="s">
        <v>1735</v>
      </c>
      <c r="Z157" s="3" t="s">
        <v>1736</v>
      </c>
      <c r="AA157" s="3" t="s">
        <v>47</v>
      </c>
      <c r="AB157" s="3" t="s">
        <v>47</v>
      </c>
      <c r="AC157" s="3">
        <v>20.0</v>
      </c>
      <c r="AD157" s="3" t="s">
        <v>80</v>
      </c>
    </row>
    <row r="158">
      <c r="A158" s="3" t="s">
        <v>1737</v>
      </c>
      <c r="B158" s="3" t="s">
        <v>30</v>
      </c>
      <c r="C158" s="3" t="s">
        <v>51</v>
      </c>
      <c r="D158" s="3">
        <v>2005.0</v>
      </c>
      <c r="E158" s="3">
        <v>30.0</v>
      </c>
      <c r="F158" s="3" t="s">
        <v>32</v>
      </c>
      <c r="G158" s="3">
        <v>5.1542018E8</v>
      </c>
      <c r="H158" s="3" t="s">
        <v>1738</v>
      </c>
      <c r="I158" s="3" t="s">
        <v>1739</v>
      </c>
      <c r="J158" s="3" t="s">
        <v>71</v>
      </c>
      <c r="K158" s="4"/>
      <c r="L158" s="4"/>
      <c r="M158" s="5" t="s">
        <v>1740</v>
      </c>
      <c r="N158" s="3" t="s">
        <v>1741</v>
      </c>
      <c r="O158" s="3" t="s">
        <v>75</v>
      </c>
      <c r="P158" s="3" t="s">
        <v>40</v>
      </c>
      <c r="Q158" s="3" t="s">
        <v>40</v>
      </c>
      <c r="R158" s="3" t="s">
        <v>40</v>
      </c>
      <c r="S158" s="3" t="s">
        <v>40</v>
      </c>
      <c r="T158" s="3" t="s">
        <v>41</v>
      </c>
      <c r="U158" s="3" t="s">
        <v>1742</v>
      </c>
      <c r="V158" s="3" t="s">
        <v>1743</v>
      </c>
      <c r="W158" s="3" t="s">
        <v>1742</v>
      </c>
      <c r="X158" s="3" t="s">
        <v>1744</v>
      </c>
      <c r="Y158" s="3" t="s">
        <v>1745</v>
      </c>
      <c r="Z158" s="3" t="s">
        <v>66</v>
      </c>
      <c r="AA158" s="3" t="s">
        <v>47</v>
      </c>
      <c r="AB158" s="3" t="s">
        <v>32</v>
      </c>
      <c r="AC158" s="3">
        <v>36.25</v>
      </c>
      <c r="AD158" s="3" t="s">
        <v>80</v>
      </c>
    </row>
    <row r="159">
      <c r="A159" s="3" t="s">
        <v>1746</v>
      </c>
      <c r="B159" s="3" t="s">
        <v>68</v>
      </c>
      <c r="C159" s="3" t="s">
        <v>31</v>
      </c>
      <c r="D159" s="3">
        <v>2018.0</v>
      </c>
      <c r="E159" s="3">
        <v>30.0</v>
      </c>
      <c r="F159" s="3" t="s">
        <v>32</v>
      </c>
      <c r="G159" s="3">
        <v>5.15847903E8</v>
      </c>
      <c r="H159" s="3" t="s">
        <v>1747</v>
      </c>
      <c r="I159" s="3" t="s">
        <v>1748</v>
      </c>
      <c r="J159" s="3" t="s">
        <v>71</v>
      </c>
      <c r="K159" s="4"/>
      <c r="L159" s="4"/>
      <c r="M159" s="5" t="s">
        <v>1749</v>
      </c>
      <c r="N159" s="3" t="s">
        <v>1750</v>
      </c>
      <c r="O159" s="3" t="s">
        <v>1037</v>
      </c>
      <c r="P159" s="3" t="s">
        <v>40</v>
      </c>
      <c r="Q159" s="3">
        <v>7403650.0</v>
      </c>
      <c r="R159" s="3" t="s">
        <v>40</v>
      </c>
      <c r="S159" s="3" t="s">
        <v>40</v>
      </c>
      <c r="T159" s="3" t="s">
        <v>41</v>
      </c>
      <c r="U159" s="3" t="s">
        <v>1751</v>
      </c>
      <c r="V159" s="3" t="s">
        <v>1752</v>
      </c>
      <c r="W159" s="3" t="s">
        <v>1751</v>
      </c>
      <c r="X159" s="3" t="s">
        <v>1753</v>
      </c>
      <c r="Y159" s="3" t="s">
        <v>1754</v>
      </c>
      <c r="Z159" s="3" t="s">
        <v>1755</v>
      </c>
      <c r="AA159" s="3" t="s">
        <v>47</v>
      </c>
      <c r="AB159" s="3" t="s">
        <v>32</v>
      </c>
      <c r="AC159" s="3">
        <v>7.75</v>
      </c>
      <c r="AD159" s="3" t="s">
        <v>80</v>
      </c>
    </row>
    <row r="160">
      <c r="A160" s="3" t="s">
        <v>1756</v>
      </c>
      <c r="B160" s="3" t="s">
        <v>82</v>
      </c>
      <c r="C160" s="3" t="s">
        <v>51</v>
      </c>
      <c r="D160" s="3">
        <v>1994.0</v>
      </c>
      <c r="E160" s="3">
        <v>30.0</v>
      </c>
      <c r="F160" s="3" t="s">
        <v>32</v>
      </c>
      <c r="G160" s="3">
        <v>5.12052077E8</v>
      </c>
      <c r="H160" s="3" t="s">
        <v>1757</v>
      </c>
      <c r="I160" s="3" t="s">
        <v>1758</v>
      </c>
      <c r="J160" s="3" t="s">
        <v>71</v>
      </c>
      <c r="K160" s="4"/>
      <c r="L160" s="4"/>
      <c r="M160" s="5" t="s">
        <v>1759</v>
      </c>
      <c r="N160" s="3" t="s">
        <v>1760</v>
      </c>
      <c r="O160" s="3" t="s">
        <v>137</v>
      </c>
      <c r="P160" s="3" t="s">
        <v>40</v>
      </c>
      <c r="Q160" s="3">
        <v>4454312.0</v>
      </c>
      <c r="R160" s="3" t="s">
        <v>40</v>
      </c>
      <c r="S160" s="3" t="s">
        <v>40</v>
      </c>
      <c r="T160" s="3" t="s">
        <v>41</v>
      </c>
      <c r="U160" s="3" t="s">
        <v>1761</v>
      </c>
      <c r="V160" s="3" t="s">
        <v>1762</v>
      </c>
      <c r="W160" s="3" t="s">
        <v>1761</v>
      </c>
      <c r="X160" s="3" t="s">
        <v>1763</v>
      </c>
      <c r="Y160" s="3" t="s">
        <v>1764</v>
      </c>
      <c r="Z160" s="3" t="s">
        <v>457</v>
      </c>
      <c r="AA160" s="3" t="s">
        <v>47</v>
      </c>
      <c r="AB160" s="3" t="s">
        <v>32</v>
      </c>
      <c r="AC160" s="3" t="s">
        <v>40</v>
      </c>
      <c r="AD160" s="3" t="s">
        <v>80</v>
      </c>
    </row>
    <row r="161">
      <c r="A161" s="3" t="s">
        <v>1765</v>
      </c>
      <c r="B161" s="3" t="s">
        <v>30</v>
      </c>
      <c r="C161" s="3" t="s">
        <v>51</v>
      </c>
      <c r="D161" s="3">
        <v>2008.0</v>
      </c>
      <c r="E161" s="3">
        <v>30.0</v>
      </c>
      <c r="F161" s="3" t="s">
        <v>32</v>
      </c>
      <c r="G161" s="3">
        <v>5.14140995E8</v>
      </c>
      <c r="H161" s="3" t="s">
        <v>1766</v>
      </c>
      <c r="I161" s="3" t="s">
        <v>1767</v>
      </c>
      <c r="J161" s="3" t="s">
        <v>35</v>
      </c>
      <c r="K161" s="4"/>
      <c r="L161" s="4"/>
      <c r="M161" s="5" t="s">
        <v>1768</v>
      </c>
      <c r="N161" s="3" t="s">
        <v>1769</v>
      </c>
      <c r="O161" s="3" t="s">
        <v>616</v>
      </c>
      <c r="P161" s="3" t="s">
        <v>40</v>
      </c>
      <c r="Q161" s="3">
        <v>5222145.0</v>
      </c>
      <c r="R161" s="3" t="s">
        <v>40</v>
      </c>
      <c r="S161" s="3" t="s">
        <v>40</v>
      </c>
      <c r="T161" s="3" t="s">
        <v>41</v>
      </c>
      <c r="U161" s="3" t="s">
        <v>1770</v>
      </c>
      <c r="V161" s="3" t="s">
        <v>1771</v>
      </c>
      <c r="W161" s="3" t="s">
        <v>1770</v>
      </c>
      <c r="X161" s="3" t="s">
        <v>1772</v>
      </c>
      <c r="Y161" s="3" t="s">
        <v>1773</v>
      </c>
      <c r="Z161" s="3" t="s">
        <v>46</v>
      </c>
      <c r="AA161" s="3" t="s">
        <v>47</v>
      </c>
      <c r="AB161" s="3" t="s">
        <v>32</v>
      </c>
      <c r="AC161" s="3" t="s">
        <v>40</v>
      </c>
      <c r="AD161" s="3" t="s">
        <v>80</v>
      </c>
    </row>
    <row r="162">
      <c r="A162" s="3" t="s">
        <v>1774</v>
      </c>
      <c r="B162" s="3" t="s">
        <v>82</v>
      </c>
      <c r="C162" s="3" t="s">
        <v>51</v>
      </c>
      <c r="D162" s="3">
        <v>2012.0</v>
      </c>
      <c r="E162" s="3">
        <v>30.0</v>
      </c>
      <c r="F162" s="3" t="s">
        <v>32</v>
      </c>
      <c r="G162" s="3">
        <v>5.14759505E8</v>
      </c>
      <c r="H162" s="3" t="s">
        <v>1775</v>
      </c>
      <c r="I162" s="3" t="s">
        <v>1776</v>
      </c>
      <c r="J162" s="3" t="s">
        <v>71</v>
      </c>
      <c r="K162" s="4"/>
      <c r="L162" s="4"/>
      <c r="M162" s="5" t="s">
        <v>1777</v>
      </c>
      <c r="N162" s="3" t="s">
        <v>1778</v>
      </c>
      <c r="O162" s="3" t="s">
        <v>1127</v>
      </c>
      <c r="P162" s="3">
        <v>82.0</v>
      </c>
      <c r="Q162" s="3">
        <v>2017400.0</v>
      </c>
      <c r="R162" s="3" t="s">
        <v>40</v>
      </c>
      <c r="S162" s="3" t="s">
        <v>40</v>
      </c>
      <c r="T162" s="3" t="s">
        <v>41</v>
      </c>
      <c r="U162" s="3" t="s">
        <v>1779</v>
      </c>
      <c r="V162" s="3" t="s">
        <v>1780</v>
      </c>
      <c r="W162" s="3" t="s">
        <v>1779</v>
      </c>
      <c r="X162" s="3" t="s">
        <v>1781</v>
      </c>
      <c r="Y162" s="3" t="s">
        <v>1782</v>
      </c>
      <c r="Z162" s="3" t="s">
        <v>66</v>
      </c>
      <c r="AA162" s="3" t="s">
        <v>47</v>
      </c>
      <c r="AB162" s="3" t="s">
        <v>32</v>
      </c>
      <c r="AC162" s="3" t="s">
        <v>40</v>
      </c>
      <c r="AD162" s="3" t="s">
        <v>80</v>
      </c>
    </row>
    <row r="163">
      <c r="A163" s="3" t="s">
        <v>1783</v>
      </c>
      <c r="B163" s="3" t="s">
        <v>82</v>
      </c>
      <c r="C163" s="3" t="s">
        <v>119</v>
      </c>
      <c r="D163" s="3">
        <v>2016.0</v>
      </c>
      <c r="E163" s="3">
        <v>300.0</v>
      </c>
      <c r="F163" s="3" t="s">
        <v>32</v>
      </c>
      <c r="G163" s="3">
        <v>5.14234202E8</v>
      </c>
      <c r="H163" s="3" t="s">
        <v>1784</v>
      </c>
      <c r="I163" s="3" t="s">
        <v>1785</v>
      </c>
      <c r="J163" s="3" t="s">
        <v>35</v>
      </c>
      <c r="K163" s="3" t="s">
        <v>1786</v>
      </c>
      <c r="L163" s="4"/>
      <c r="M163" s="5" t="s">
        <v>1787</v>
      </c>
      <c r="N163" s="3" t="s">
        <v>1788</v>
      </c>
      <c r="O163" s="3" t="s">
        <v>1789</v>
      </c>
      <c r="P163" s="3" t="s">
        <v>40</v>
      </c>
      <c r="Q163" s="3">
        <v>7666.0</v>
      </c>
      <c r="R163" s="3" t="s">
        <v>1790</v>
      </c>
      <c r="S163" s="3" t="s">
        <v>40</v>
      </c>
      <c r="T163" s="3" t="s">
        <v>60</v>
      </c>
      <c r="U163" s="3" t="s">
        <v>1791</v>
      </c>
      <c r="V163" s="3" t="s">
        <v>40</v>
      </c>
      <c r="W163" s="3" t="s">
        <v>1791</v>
      </c>
      <c r="X163" s="3" t="s">
        <v>1792</v>
      </c>
      <c r="Y163" s="3" t="s">
        <v>1793</v>
      </c>
      <c r="Z163" s="3" t="s">
        <v>1794</v>
      </c>
      <c r="AA163" s="3" t="s">
        <v>47</v>
      </c>
      <c r="AB163" s="3" t="s">
        <v>47</v>
      </c>
      <c r="AC163" s="3">
        <v>230.5</v>
      </c>
      <c r="AD163" s="3" t="s">
        <v>80</v>
      </c>
    </row>
    <row r="164">
      <c r="A164" s="10" t="s">
        <v>1795</v>
      </c>
      <c r="B164" s="10" t="s">
        <v>50</v>
      </c>
      <c r="C164" s="10" t="s">
        <v>119</v>
      </c>
      <c r="D164" s="10">
        <v>2018.0</v>
      </c>
      <c r="E164" s="10">
        <v>300.0</v>
      </c>
      <c r="F164" s="10" t="s">
        <v>47</v>
      </c>
      <c r="G164" s="10" t="s">
        <v>40</v>
      </c>
      <c r="H164" s="10" t="s">
        <v>1796</v>
      </c>
      <c r="I164" s="10" t="s">
        <v>1797</v>
      </c>
      <c r="J164" s="10" t="s">
        <v>35</v>
      </c>
      <c r="K164" s="10" t="s">
        <v>1798</v>
      </c>
      <c r="L164" s="4"/>
      <c r="M164" s="11" t="s">
        <v>1799</v>
      </c>
      <c r="N164" s="10" t="s">
        <v>1800</v>
      </c>
      <c r="O164" s="10" t="s">
        <v>1801</v>
      </c>
      <c r="P164" s="10" t="s">
        <v>40</v>
      </c>
      <c r="Q164" s="10">
        <v>94043.0</v>
      </c>
      <c r="R164" s="10" t="s">
        <v>1431</v>
      </c>
      <c r="S164" s="10" t="s">
        <v>40</v>
      </c>
      <c r="T164" s="10" t="s">
        <v>60</v>
      </c>
      <c r="U164" s="10" t="s">
        <v>1802</v>
      </c>
      <c r="V164" s="10" t="s">
        <v>40</v>
      </c>
      <c r="W164" s="10" t="s">
        <v>1802</v>
      </c>
      <c r="X164" s="10" t="s">
        <v>1803</v>
      </c>
      <c r="Y164" s="10" t="s">
        <v>1804</v>
      </c>
      <c r="Z164" s="10" t="s">
        <v>1805</v>
      </c>
      <c r="AA164" s="10" t="s">
        <v>47</v>
      </c>
      <c r="AB164" s="10" t="s">
        <v>47</v>
      </c>
      <c r="AC164" s="10">
        <v>310.0</v>
      </c>
      <c r="AD164" s="10" t="s">
        <v>80</v>
      </c>
    </row>
    <row r="165">
      <c r="A165" s="10" t="s">
        <v>1806</v>
      </c>
      <c r="B165" s="10" t="s">
        <v>154</v>
      </c>
      <c r="C165" s="10" t="s">
        <v>119</v>
      </c>
      <c r="D165" s="10">
        <v>1950.0</v>
      </c>
      <c r="E165" s="10">
        <v>300.0</v>
      </c>
      <c r="F165" s="10" t="s">
        <v>47</v>
      </c>
      <c r="G165" s="10">
        <v>5.12406695E8</v>
      </c>
      <c r="H165" s="10" t="s">
        <v>1807</v>
      </c>
      <c r="I165" s="10" t="s">
        <v>1808</v>
      </c>
      <c r="J165" s="10" t="s">
        <v>157</v>
      </c>
      <c r="K165" s="19"/>
      <c r="L165" s="4"/>
      <c r="M165" s="11" t="s">
        <v>1809</v>
      </c>
      <c r="N165" s="10" t="s">
        <v>1810</v>
      </c>
      <c r="O165" s="10" t="s">
        <v>298</v>
      </c>
      <c r="P165" s="10">
        <v>8657.0</v>
      </c>
      <c r="Q165" s="10">
        <v>4250608.0</v>
      </c>
      <c r="R165" s="10" t="s">
        <v>40</v>
      </c>
      <c r="S165" s="10" t="s">
        <v>40</v>
      </c>
      <c r="T165" s="10" t="s">
        <v>41</v>
      </c>
      <c r="U165" s="10" t="s">
        <v>1811</v>
      </c>
      <c r="V165" s="10" t="s">
        <v>1812</v>
      </c>
      <c r="W165" s="10" t="s">
        <v>1813</v>
      </c>
      <c r="X165" s="10" t="s">
        <v>1814</v>
      </c>
      <c r="Y165" s="10" t="s">
        <v>1815</v>
      </c>
      <c r="Z165" s="10" t="s">
        <v>1816</v>
      </c>
      <c r="AA165" s="10" t="s">
        <v>47</v>
      </c>
      <c r="AB165" s="10" t="s">
        <v>32</v>
      </c>
      <c r="AC165" s="10">
        <v>15.3</v>
      </c>
      <c r="AD165" s="10" t="s">
        <v>80</v>
      </c>
    </row>
    <row r="166">
      <c r="A166" s="3" t="s">
        <v>1817</v>
      </c>
      <c r="B166" s="3" t="s">
        <v>82</v>
      </c>
      <c r="C166" s="3" t="s">
        <v>51</v>
      </c>
      <c r="D166" s="3">
        <v>2016.0</v>
      </c>
      <c r="E166" s="3">
        <v>31.0</v>
      </c>
      <c r="F166" s="3" t="s">
        <v>32</v>
      </c>
      <c r="G166" s="3">
        <v>5.15027282E8</v>
      </c>
      <c r="H166" s="3" t="s">
        <v>1818</v>
      </c>
      <c r="I166" s="3" t="s">
        <v>1819</v>
      </c>
      <c r="J166" s="3" t="s">
        <v>35</v>
      </c>
      <c r="K166" s="4"/>
      <c r="L166" s="4"/>
      <c r="M166" s="5" t="s">
        <v>1820</v>
      </c>
      <c r="N166" s="3" t="s">
        <v>1821</v>
      </c>
      <c r="O166" s="3" t="s">
        <v>75</v>
      </c>
      <c r="P166" s="3">
        <v>5180.0</v>
      </c>
      <c r="Q166" s="3">
        <v>6655613.0</v>
      </c>
      <c r="R166" s="3" t="s">
        <v>40</v>
      </c>
      <c r="S166" s="3" t="s">
        <v>40</v>
      </c>
      <c r="T166" s="3" t="s">
        <v>41</v>
      </c>
      <c r="U166" s="3" t="s">
        <v>1822</v>
      </c>
      <c r="V166" s="3" t="s">
        <v>40</v>
      </c>
      <c r="W166" s="3" t="s">
        <v>1822</v>
      </c>
      <c r="X166" s="3" t="s">
        <v>1823</v>
      </c>
      <c r="Y166" s="3" t="s">
        <v>1824</v>
      </c>
      <c r="Z166" s="3" t="s">
        <v>1755</v>
      </c>
      <c r="AA166" s="3" t="s">
        <v>47</v>
      </c>
      <c r="AB166" s="3" t="s">
        <v>47</v>
      </c>
      <c r="AC166" s="3">
        <v>22.0</v>
      </c>
      <c r="AD166" s="3" t="s">
        <v>80</v>
      </c>
    </row>
    <row r="167">
      <c r="A167" s="3" t="s">
        <v>1825</v>
      </c>
      <c r="B167" s="3" t="s">
        <v>82</v>
      </c>
      <c r="C167" s="3" t="s">
        <v>51</v>
      </c>
      <c r="D167" s="3">
        <v>2014.0</v>
      </c>
      <c r="E167" s="3">
        <v>33.0</v>
      </c>
      <c r="F167" s="3" t="s">
        <v>32</v>
      </c>
      <c r="G167" s="3">
        <v>5.15013241E8</v>
      </c>
      <c r="H167" s="3" t="s">
        <v>1826</v>
      </c>
      <c r="I167" s="3" t="s">
        <v>1827</v>
      </c>
      <c r="J167" s="3" t="s">
        <v>35</v>
      </c>
      <c r="K167" s="3" t="s">
        <v>1828</v>
      </c>
      <c r="L167" s="4"/>
      <c r="M167" s="5" t="s">
        <v>1829</v>
      </c>
      <c r="N167" s="3" t="s">
        <v>1830</v>
      </c>
      <c r="O167" s="3" t="s">
        <v>722</v>
      </c>
      <c r="P167" s="3" t="s">
        <v>40</v>
      </c>
      <c r="Q167" s="3">
        <v>4951243.0</v>
      </c>
      <c r="R167" s="3" t="s">
        <v>40</v>
      </c>
      <c r="S167" s="3" t="s">
        <v>40</v>
      </c>
      <c r="T167" s="3" t="s">
        <v>41</v>
      </c>
      <c r="U167" s="3" t="s">
        <v>1831</v>
      </c>
      <c r="V167" s="3" t="s">
        <v>1832</v>
      </c>
      <c r="W167" s="3" t="s">
        <v>1831</v>
      </c>
      <c r="X167" s="3" t="s">
        <v>1833</v>
      </c>
      <c r="Y167" s="3" t="s">
        <v>1834</v>
      </c>
      <c r="Z167" s="3" t="s">
        <v>1835</v>
      </c>
      <c r="AA167" s="3" t="s">
        <v>32</v>
      </c>
      <c r="AB167" s="3" t="s">
        <v>32</v>
      </c>
      <c r="AC167" s="3" t="s">
        <v>40</v>
      </c>
      <c r="AD167" s="3" t="s">
        <v>80</v>
      </c>
    </row>
    <row r="168">
      <c r="A168" s="3" t="s">
        <v>1836</v>
      </c>
      <c r="B168" s="3" t="s">
        <v>30</v>
      </c>
      <c r="C168" s="3" t="s">
        <v>31</v>
      </c>
      <c r="D168" s="3">
        <v>2015.0</v>
      </c>
      <c r="E168" s="3">
        <v>34.0</v>
      </c>
      <c r="F168" s="3" t="s">
        <v>32</v>
      </c>
      <c r="G168" s="3">
        <v>5.15368629E8</v>
      </c>
      <c r="H168" s="3" t="s">
        <v>1837</v>
      </c>
      <c r="I168" s="3" t="s">
        <v>1838</v>
      </c>
      <c r="J168" s="3" t="s">
        <v>71</v>
      </c>
      <c r="K168" s="3" t="s">
        <v>1839</v>
      </c>
      <c r="L168" s="4"/>
      <c r="M168" s="5" t="s">
        <v>1840</v>
      </c>
      <c r="N168" s="3" t="s">
        <v>1841</v>
      </c>
      <c r="O168" s="3" t="s">
        <v>147</v>
      </c>
      <c r="P168" s="3" t="s">
        <v>40</v>
      </c>
      <c r="Q168" s="3">
        <v>9139102.0</v>
      </c>
      <c r="R168" s="3" t="s">
        <v>40</v>
      </c>
      <c r="S168" s="3" t="s">
        <v>40</v>
      </c>
      <c r="T168" s="3" t="s">
        <v>41</v>
      </c>
      <c r="U168" s="3" t="s">
        <v>1842</v>
      </c>
      <c r="V168" s="3" t="s">
        <v>1843</v>
      </c>
      <c r="W168" s="3" t="s">
        <v>1842</v>
      </c>
      <c r="X168" s="3" t="s">
        <v>1844</v>
      </c>
      <c r="Y168" s="3" t="s">
        <v>1845</v>
      </c>
      <c r="Z168" s="3" t="s">
        <v>201</v>
      </c>
      <c r="AA168" s="3" t="s">
        <v>47</v>
      </c>
      <c r="AB168" s="3" t="s">
        <v>32</v>
      </c>
      <c r="AC168" s="3">
        <v>4.83</v>
      </c>
      <c r="AD168" s="3" t="s">
        <v>80</v>
      </c>
    </row>
    <row r="169">
      <c r="A169" s="3" t="s">
        <v>1846</v>
      </c>
      <c r="B169" s="3" t="s">
        <v>30</v>
      </c>
      <c r="C169" s="3" t="s">
        <v>31</v>
      </c>
      <c r="D169" s="3">
        <v>2018.0</v>
      </c>
      <c r="E169" s="3">
        <v>34.0</v>
      </c>
      <c r="F169" s="3" t="s">
        <v>32</v>
      </c>
      <c r="G169" s="3">
        <v>5.15918035E8</v>
      </c>
      <c r="H169" s="3" t="s">
        <v>1847</v>
      </c>
      <c r="I169" s="3" t="s">
        <v>1848</v>
      </c>
      <c r="J169" s="3" t="s">
        <v>35</v>
      </c>
      <c r="K169" s="3" t="s">
        <v>1849</v>
      </c>
      <c r="L169" s="4"/>
      <c r="M169" s="5" t="s">
        <v>1850</v>
      </c>
      <c r="N169" s="3" t="s">
        <v>1851</v>
      </c>
      <c r="O169" s="3" t="s">
        <v>1397</v>
      </c>
      <c r="P169" s="3" t="s">
        <v>40</v>
      </c>
      <c r="Q169" s="3">
        <v>8470912.0</v>
      </c>
      <c r="R169" s="3" t="s">
        <v>40</v>
      </c>
      <c r="S169" s="3" t="s">
        <v>40</v>
      </c>
      <c r="T169" s="3" t="s">
        <v>41</v>
      </c>
      <c r="U169" s="3" t="s">
        <v>1852</v>
      </c>
      <c r="V169" s="3" t="s">
        <v>1853</v>
      </c>
      <c r="W169" s="3" t="s">
        <v>40</v>
      </c>
      <c r="X169" s="3" t="s">
        <v>1854</v>
      </c>
      <c r="Y169" s="3" t="s">
        <v>1855</v>
      </c>
      <c r="Z169" s="3" t="s">
        <v>1856</v>
      </c>
      <c r="AA169" s="3" t="s">
        <v>47</v>
      </c>
      <c r="AB169" s="3" t="s">
        <v>47</v>
      </c>
      <c r="AC169" s="3">
        <v>22.9</v>
      </c>
      <c r="AD169" s="3" t="s">
        <v>117</v>
      </c>
    </row>
    <row r="170">
      <c r="A170" s="3" t="s">
        <v>1857</v>
      </c>
      <c r="B170" s="3" t="s">
        <v>82</v>
      </c>
      <c r="C170" s="3" t="s">
        <v>51</v>
      </c>
      <c r="D170" s="3">
        <v>2006.0</v>
      </c>
      <c r="E170" s="3">
        <v>34.0</v>
      </c>
      <c r="F170" s="3" t="s">
        <v>32</v>
      </c>
      <c r="G170" s="3">
        <v>5.11798589E8</v>
      </c>
      <c r="H170" s="3" t="s">
        <v>1858</v>
      </c>
      <c r="I170" s="3" t="s">
        <v>1859</v>
      </c>
      <c r="J170" s="3" t="s">
        <v>71</v>
      </c>
      <c r="K170" s="3" t="s">
        <v>1860</v>
      </c>
      <c r="L170" s="4"/>
      <c r="M170" s="5" t="s">
        <v>1861</v>
      </c>
      <c r="N170" s="3" t="s">
        <v>1862</v>
      </c>
      <c r="O170" s="3" t="s">
        <v>1863</v>
      </c>
      <c r="P170" s="3" t="s">
        <v>40</v>
      </c>
      <c r="Q170" s="3">
        <v>7470.0</v>
      </c>
      <c r="R170" s="3" t="s">
        <v>1790</v>
      </c>
      <c r="S170" s="3" t="s">
        <v>40</v>
      </c>
      <c r="T170" s="3" t="s">
        <v>60</v>
      </c>
      <c r="U170" s="3" t="s">
        <v>1864</v>
      </c>
      <c r="V170" s="3" t="s">
        <v>1865</v>
      </c>
      <c r="W170" s="3" t="s">
        <v>1866</v>
      </c>
      <c r="X170" s="3" t="s">
        <v>1867</v>
      </c>
      <c r="Y170" s="3" t="s">
        <v>1868</v>
      </c>
      <c r="Z170" s="3" t="s">
        <v>567</v>
      </c>
      <c r="AA170" s="3" t="s">
        <v>32</v>
      </c>
      <c r="AB170" s="3" t="s">
        <v>32</v>
      </c>
      <c r="AC170" s="3" t="s">
        <v>40</v>
      </c>
      <c r="AD170" s="3" t="s">
        <v>80</v>
      </c>
    </row>
    <row r="171">
      <c r="A171" s="3" t="s">
        <v>1869</v>
      </c>
      <c r="B171" s="3" t="s">
        <v>50</v>
      </c>
      <c r="C171" s="3" t="s">
        <v>51</v>
      </c>
      <c r="D171" s="3">
        <v>2011.0</v>
      </c>
      <c r="E171" s="3">
        <v>34.0</v>
      </c>
      <c r="F171" s="3" t="s">
        <v>32</v>
      </c>
      <c r="G171" s="3">
        <v>5.15053726E8</v>
      </c>
      <c r="H171" s="3" t="s">
        <v>1870</v>
      </c>
      <c r="I171" s="3" t="s">
        <v>1871</v>
      </c>
      <c r="J171" s="3" t="s">
        <v>35</v>
      </c>
      <c r="K171" s="4"/>
      <c r="L171" s="4"/>
      <c r="M171" s="5" t="s">
        <v>1872</v>
      </c>
      <c r="N171" s="3" t="s">
        <v>40</v>
      </c>
      <c r="O171" s="3" t="s">
        <v>40</v>
      </c>
      <c r="P171" s="3" t="s">
        <v>40</v>
      </c>
      <c r="Q171" s="3" t="s">
        <v>40</v>
      </c>
      <c r="R171" s="3" t="s">
        <v>40</v>
      </c>
      <c r="S171" s="3" t="s">
        <v>40</v>
      </c>
      <c r="T171" s="3" t="s">
        <v>41</v>
      </c>
      <c r="U171" s="3" t="s">
        <v>1873</v>
      </c>
      <c r="V171" s="3" t="s">
        <v>1874</v>
      </c>
      <c r="W171" s="3" t="s">
        <v>1873</v>
      </c>
      <c r="X171" s="3" t="s">
        <v>1875</v>
      </c>
      <c r="Y171" s="3" t="s">
        <v>1876</v>
      </c>
      <c r="Z171" s="3" t="s">
        <v>1877</v>
      </c>
      <c r="AA171" s="3" t="s">
        <v>32</v>
      </c>
      <c r="AB171" s="3" t="s">
        <v>32</v>
      </c>
      <c r="AC171" s="3" t="s">
        <v>40</v>
      </c>
      <c r="AD171" s="3" t="s">
        <v>80</v>
      </c>
    </row>
    <row r="172">
      <c r="A172" s="3" t="s">
        <v>1878</v>
      </c>
      <c r="B172" s="3" t="s">
        <v>50</v>
      </c>
      <c r="C172" s="3" t="s">
        <v>119</v>
      </c>
      <c r="D172" s="3">
        <v>2014.0</v>
      </c>
      <c r="E172" s="3">
        <v>340.0</v>
      </c>
      <c r="F172" s="3" t="s">
        <v>32</v>
      </c>
      <c r="G172" s="3">
        <v>5.14620186E8</v>
      </c>
      <c r="H172" s="3" t="s">
        <v>1879</v>
      </c>
      <c r="I172" s="3" t="s">
        <v>1880</v>
      </c>
      <c r="J172" s="3" t="s">
        <v>35</v>
      </c>
      <c r="K172" s="3" t="s">
        <v>1881</v>
      </c>
      <c r="L172" s="4"/>
      <c r="M172" s="5" t="s">
        <v>1882</v>
      </c>
      <c r="N172" s="3" t="s">
        <v>1883</v>
      </c>
      <c r="O172" s="3" t="s">
        <v>75</v>
      </c>
      <c r="P172" s="3" t="s">
        <v>40</v>
      </c>
      <c r="Q172" s="3">
        <v>6473309.0</v>
      </c>
      <c r="R172" s="3" t="s">
        <v>40</v>
      </c>
      <c r="S172" s="3" t="s">
        <v>40</v>
      </c>
      <c r="T172" s="3" t="s">
        <v>41</v>
      </c>
      <c r="U172" s="3" t="s">
        <v>1884</v>
      </c>
      <c r="V172" s="3" t="s">
        <v>1885</v>
      </c>
      <c r="W172" s="3" t="s">
        <v>1886</v>
      </c>
      <c r="X172" s="3" t="s">
        <v>1887</v>
      </c>
      <c r="Y172" s="3" t="s">
        <v>1888</v>
      </c>
      <c r="Z172" s="3" t="s">
        <v>1889</v>
      </c>
      <c r="AA172" s="3" t="s">
        <v>47</v>
      </c>
      <c r="AB172" s="3" t="s">
        <v>47</v>
      </c>
      <c r="AC172" s="3">
        <v>262.0</v>
      </c>
      <c r="AD172" s="3" t="s">
        <v>80</v>
      </c>
    </row>
    <row r="173">
      <c r="A173" s="10" t="s">
        <v>1890</v>
      </c>
      <c r="B173" s="10" t="s">
        <v>30</v>
      </c>
      <c r="C173" s="10" t="s">
        <v>119</v>
      </c>
      <c r="D173" s="10">
        <v>2006.0</v>
      </c>
      <c r="E173" s="10">
        <v>3400.0</v>
      </c>
      <c r="F173" s="10" t="s">
        <v>47</v>
      </c>
      <c r="G173" s="10">
        <v>5.13865329E8</v>
      </c>
      <c r="H173" s="10" t="s">
        <v>1891</v>
      </c>
      <c r="I173" s="10" t="s">
        <v>1892</v>
      </c>
      <c r="J173" s="10" t="s">
        <v>71</v>
      </c>
      <c r="K173" s="10" t="s">
        <v>1893</v>
      </c>
      <c r="L173" s="4"/>
      <c r="M173" s="11" t="s">
        <v>1894</v>
      </c>
      <c r="N173" s="10" t="s">
        <v>1895</v>
      </c>
      <c r="O173" s="10" t="s">
        <v>552</v>
      </c>
      <c r="P173" s="10">
        <v>12001.0</v>
      </c>
      <c r="Q173" s="10">
        <v>4673335.0</v>
      </c>
      <c r="R173" s="10" t="s">
        <v>40</v>
      </c>
      <c r="S173" s="10" t="s">
        <v>40</v>
      </c>
      <c r="T173" s="10" t="s">
        <v>41</v>
      </c>
      <c r="U173" s="10" t="s">
        <v>1896</v>
      </c>
      <c r="V173" s="10" t="s">
        <v>1897</v>
      </c>
      <c r="W173" s="10" t="s">
        <v>1896</v>
      </c>
      <c r="X173" s="10" t="s">
        <v>1898</v>
      </c>
      <c r="Y173" s="10" t="s">
        <v>1899</v>
      </c>
      <c r="Z173" s="10" t="s">
        <v>1900</v>
      </c>
      <c r="AA173" s="10" t="s">
        <v>47</v>
      </c>
      <c r="AB173" s="10" t="s">
        <v>47</v>
      </c>
      <c r="AC173" s="10">
        <v>747.3</v>
      </c>
      <c r="AD173" s="10" t="s">
        <v>80</v>
      </c>
    </row>
    <row r="174">
      <c r="A174" s="6" t="s">
        <v>1901</v>
      </c>
      <c r="B174" s="6" t="s">
        <v>50</v>
      </c>
      <c r="C174" s="6" t="s">
        <v>51</v>
      </c>
      <c r="D174" s="6">
        <v>2016.0</v>
      </c>
      <c r="E174" s="6">
        <v>35.0</v>
      </c>
      <c r="F174" s="6" t="s">
        <v>32</v>
      </c>
      <c r="G174" s="6">
        <v>5.1531736E8</v>
      </c>
      <c r="H174" s="6" t="s">
        <v>1902</v>
      </c>
      <c r="I174" s="6" t="s">
        <v>1903</v>
      </c>
      <c r="J174" s="6" t="s">
        <v>35</v>
      </c>
      <c r="K174" s="6" t="s">
        <v>1904</v>
      </c>
      <c r="L174" s="4"/>
      <c r="M174" s="7" t="s">
        <v>1905</v>
      </c>
      <c r="N174" s="6" t="s">
        <v>1906</v>
      </c>
      <c r="O174" s="6" t="s">
        <v>75</v>
      </c>
      <c r="P174" s="6" t="s">
        <v>40</v>
      </c>
      <c r="Q174" s="6">
        <v>6701816.0</v>
      </c>
      <c r="R174" s="6" t="s">
        <v>40</v>
      </c>
      <c r="S174" s="6" t="s">
        <v>40</v>
      </c>
      <c r="T174" s="6" t="s">
        <v>41</v>
      </c>
      <c r="U174" s="6" t="s">
        <v>1907</v>
      </c>
      <c r="V174" s="6" t="s">
        <v>1908</v>
      </c>
      <c r="W174" s="6" t="s">
        <v>1907</v>
      </c>
      <c r="X174" s="6" t="s">
        <v>1909</v>
      </c>
      <c r="Y174" s="6" t="s">
        <v>1910</v>
      </c>
      <c r="Z174" s="6" t="s">
        <v>853</v>
      </c>
      <c r="AA174" s="6" t="s">
        <v>47</v>
      </c>
      <c r="AB174" s="6" t="s">
        <v>47</v>
      </c>
      <c r="AC174" s="6">
        <v>1.0</v>
      </c>
      <c r="AD174" s="6" t="s">
        <v>80</v>
      </c>
    </row>
    <row r="175">
      <c r="A175" s="6" t="s">
        <v>1911</v>
      </c>
      <c r="B175" s="6" t="s">
        <v>82</v>
      </c>
      <c r="C175" s="6" t="s">
        <v>119</v>
      </c>
      <c r="D175" s="6">
        <v>1994.0</v>
      </c>
      <c r="E175" s="6">
        <v>35.0</v>
      </c>
      <c r="F175" s="6" t="s">
        <v>32</v>
      </c>
      <c r="G175" s="6">
        <v>5.11926255E8</v>
      </c>
      <c r="H175" s="6" t="s">
        <v>1912</v>
      </c>
      <c r="I175" s="6" t="s">
        <v>1913</v>
      </c>
      <c r="J175" s="6" t="s">
        <v>35</v>
      </c>
      <c r="K175" s="6" t="s">
        <v>1914</v>
      </c>
      <c r="L175" s="4"/>
      <c r="M175" s="7" t="s">
        <v>1915</v>
      </c>
      <c r="N175" s="6" t="s">
        <v>1916</v>
      </c>
      <c r="O175" s="6" t="s">
        <v>1917</v>
      </c>
      <c r="P175" s="6">
        <v>8643.0</v>
      </c>
      <c r="Q175" s="6">
        <v>8258401.0</v>
      </c>
      <c r="R175" s="6" t="s">
        <v>40</v>
      </c>
      <c r="S175" s="6" t="s">
        <v>40</v>
      </c>
      <c r="T175" s="6" t="s">
        <v>41</v>
      </c>
      <c r="U175" s="6" t="s">
        <v>1918</v>
      </c>
      <c r="V175" s="6" t="s">
        <v>1919</v>
      </c>
      <c r="W175" s="6" t="s">
        <v>1918</v>
      </c>
      <c r="X175" s="6" t="s">
        <v>1920</v>
      </c>
      <c r="Y175" s="6" t="s">
        <v>1921</v>
      </c>
      <c r="Z175" s="6" t="s">
        <v>535</v>
      </c>
      <c r="AA175" s="6" t="s">
        <v>47</v>
      </c>
      <c r="AB175" s="6" t="s">
        <v>32</v>
      </c>
      <c r="AC175" s="6">
        <v>0.3</v>
      </c>
      <c r="AD175" s="6" t="s">
        <v>80</v>
      </c>
    </row>
    <row r="176">
      <c r="A176" s="8" t="s">
        <v>1922</v>
      </c>
      <c r="B176" s="8" t="s">
        <v>82</v>
      </c>
      <c r="C176" s="8" t="s">
        <v>119</v>
      </c>
      <c r="D176" s="8">
        <v>2016.0</v>
      </c>
      <c r="E176" s="8">
        <v>365.0</v>
      </c>
      <c r="F176" s="8" t="s">
        <v>47</v>
      </c>
      <c r="G176" s="8">
        <v>5.15382422E8</v>
      </c>
      <c r="H176" s="8" t="s">
        <v>1923</v>
      </c>
      <c r="I176" s="8" t="s">
        <v>1924</v>
      </c>
      <c r="J176" s="8" t="s">
        <v>35</v>
      </c>
      <c r="K176" s="8" t="s">
        <v>1925</v>
      </c>
      <c r="L176" s="4"/>
      <c r="M176" s="9" t="s">
        <v>1926</v>
      </c>
      <c r="N176" s="8" t="s">
        <v>1927</v>
      </c>
      <c r="O176" s="8" t="s">
        <v>1928</v>
      </c>
      <c r="P176" s="8" t="s">
        <v>40</v>
      </c>
      <c r="Q176" s="8">
        <v>4809202.0</v>
      </c>
      <c r="R176" s="8" t="s">
        <v>40</v>
      </c>
      <c r="S176" s="8" t="s">
        <v>40</v>
      </c>
      <c r="T176" s="8" t="s">
        <v>41</v>
      </c>
      <c r="U176" s="8" t="s">
        <v>1929</v>
      </c>
      <c r="V176" s="8" t="s">
        <v>1930</v>
      </c>
      <c r="W176" s="8" t="s">
        <v>1929</v>
      </c>
      <c r="X176" s="8" t="s">
        <v>1931</v>
      </c>
      <c r="Y176" s="8" t="s">
        <v>1932</v>
      </c>
      <c r="Z176" s="8" t="s">
        <v>1933</v>
      </c>
      <c r="AA176" s="8" t="s">
        <v>47</v>
      </c>
      <c r="AB176" s="8" t="s">
        <v>47</v>
      </c>
      <c r="AC176" s="8">
        <v>482.0</v>
      </c>
      <c r="AD176" s="8" t="s">
        <v>80</v>
      </c>
    </row>
    <row r="177">
      <c r="A177" s="3" t="s">
        <v>1934</v>
      </c>
      <c r="B177" s="3" t="s">
        <v>50</v>
      </c>
      <c r="C177" s="3" t="s">
        <v>51</v>
      </c>
      <c r="D177" s="3">
        <v>2016.0</v>
      </c>
      <c r="E177" s="3">
        <v>38.0</v>
      </c>
      <c r="F177" s="3" t="s">
        <v>32</v>
      </c>
      <c r="G177" s="3">
        <v>5.15486579E8</v>
      </c>
      <c r="H177" s="3" t="s">
        <v>1935</v>
      </c>
      <c r="I177" s="3" t="s">
        <v>1936</v>
      </c>
      <c r="J177" s="3" t="s">
        <v>35</v>
      </c>
      <c r="K177" s="3" t="s">
        <v>1937</v>
      </c>
      <c r="L177" s="4"/>
      <c r="M177" s="5" t="s">
        <v>1938</v>
      </c>
      <c r="N177" s="3" t="s">
        <v>1939</v>
      </c>
      <c r="O177" s="3" t="s">
        <v>183</v>
      </c>
      <c r="P177" s="3" t="s">
        <v>40</v>
      </c>
      <c r="Q177" s="3">
        <v>7670202.0</v>
      </c>
      <c r="R177" s="3" t="s">
        <v>40</v>
      </c>
      <c r="S177" s="3" t="s">
        <v>40</v>
      </c>
      <c r="T177" s="3" t="s">
        <v>41</v>
      </c>
      <c r="U177" s="3" t="s">
        <v>1940</v>
      </c>
      <c r="V177" s="3" t="s">
        <v>1941</v>
      </c>
      <c r="W177" s="3" t="s">
        <v>1940</v>
      </c>
      <c r="X177" s="3" t="s">
        <v>1942</v>
      </c>
      <c r="Y177" s="3" t="s">
        <v>1943</v>
      </c>
      <c r="Z177" s="3" t="s">
        <v>1944</v>
      </c>
      <c r="AA177" s="3" t="s">
        <v>47</v>
      </c>
      <c r="AB177" s="3" t="s">
        <v>47</v>
      </c>
      <c r="AC177" s="3">
        <v>27.8</v>
      </c>
      <c r="AD177" s="3" t="s">
        <v>80</v>
      </c>
    </row>
    <row r="178">
      <c r="A178" s="3" t="s">
        <v>1945</v>
      </c>
      <c r="B178" s="3" t="s">
        <v>154</v>
      </c>
      <c r="C178" s="3" t="s">
        <v>119</v>
      </c>
      <c r="D178" s="3">
        <v>2013.0</v>
      </c>
      <c r="E178" s="3">
        <v>39.0</v>
      </c>
      <c r="F178" s="3" t="s">
        <v>32</v>
      </c>
      <c r="G178" s="3" t="s">
        <v>40</v>
      </c>
      <c r="H178" s="3" t="s">
        <v>1946</v>
      </c>
      <c r="I178" s="3" t="s">
        <v>1947</v>
      </c>
      <c r="J178" s="3" t="s">
        <v>71</v>
      </c>
      <c r="K178" s="3" t="s">
        <v>1948</v>
      </c>
      <c r="L178" s="4"/>
      <c r="M178" s="5" t="s">
        <v>1949</v>
      </c>
      <c r="N178" s="3" t="s">
        <v>1950</v>
      </c>
      <c r="O178" s="3" t="s">
        <v>506</v>
      </c>
      <c r="P178" s="3" t="s">
        <v>40</v>
      </c>
      <c r="Q178" s="3" t="s">
        <v>1951</v>
      </c>
      <c r="R178" s="3" t="s">
        <v>507</v>
      </c>
      <c r="S178" s="3" t="s">
        <v>40</v>
      </c>
      <c r="T178" s="3" t="s">
        <v>60</v>
      </c>
      <c r="U178" s="3" t="s">
        <v>1952</v>
      </c>
      <c r="V178" s="3" t="s">
        <v>1953</v>
      </c>
      <c r="W178" s="3" t="s">
        <v>1952</v>
      </c>
      <c r="X178" s="3" t="s">
        <v>1954</v>
      </c>
      <c r="Y178" s="3" t="s">
        <v>1955</v>
      </c>
      <c r="Z178" s="3" t="s">
        <v>1956</v>
      </c>
      <c r="AA178" s="3" t="s">
        <v>47</v>
      </c>
      <c r="AB178" s="3" t="s">
        <v>32</v>
      </c>
      <c r="AC178" s="3">
        <v>2.0</v>
      </c>
      <c r="AD178" s="3" t="s">
        <v>80</v>
      </c>
    </row>
    <row r="179">
      <c r="A179" s="3" t="s">
        <v>1957</v>
      </c>
      <c r="B179" s="3" t="s">
        <v>50</v>
      </c>
      <c r="C179" s="3" t="s">
        <v>51</v>
      </c>
      <c r="D179" s="3">
        <v>2003.0</v>
      </c>
      <c r="E179" s="3">
        <v>4.0</v>
      </c>
      <c r="F179" s="3" t="s">
        <v>32</v>
      </c>
      <c r="G179" s="3">
        <v>5.13654772E8</v>
      </c>
      <c r="H179" s="3" t="s">
        <v>1958</v>
      </c>
      <c r="I179" s="3" t="s">
        <v>1959</v>
      </c>
      <c r="J179" s="3" t="s">
        <v>54</v>
      </c>
      <c r="K179" s="3" t="s">
        <v>1960</v>
      </c>
      <c r="L179" s="4"/>
      <c r="M179" s="5" t="s">
        <v>1961</v>
      </c>
      <c r="N179" s="3" t="s">
        <v>1962</v>
      </c>
      <c r="O179" s="3" t="s">
        <v>1963</v>
      </c>
      <c r="P179" s="3" t="s">
        <v>40</v>
      </c>
      <c r="Q179" s="3">
        <v>3093109.0</v>
      </c>
      <c r="R179" s="3" t="s">
        <v>40</v>
      </c>
      <c r="S179" s="3" t="s">
        <v>40</v>
      </c>
      <c r="T179" s="3" t="s">
        <v>41</v>
      </c>
      <c r="U179" s="3" t="s">
        <v>1964</v>
      </c>
      <c r="V179" s="3" t="s">
        <v>1965</v>
      </c>
      <c r="W179" s="3" t="s">
        <v>1964</v>
      </c>
      <c r="X179" s="3" t="s">
        <v>1966</v>
      </c>
      <c r="Y179" s="3" t="s">
        <v>1967</v>
      </c>
      <c r="Z179" s="3" t="s">
        <v>1968</v>
      </c>
      <c r="AA179" s="3" t="s">
        <v>32</v>
      </c>
      <c r="AB179" s="3" t="s">
        <v>32</v>
      </c>
      <c r="AC179" s="3" t="s">
        <v>40</v>
      </c>
      <c r="AD179" s="3" t="s">
        <v>48</v>
      </c>
    </row>
    <row r="180">
      <c r="A180" s="6" t="s">
        <v>1969</v>
      </c>
      <c r="B180" s="6" t="s">
        <v>50</v>
      </c>
      <c r="C180" s="6" t="s">
        <v>31</v>
      </c>
      <c r="D180" s="6">
        <v>2020.0</v>
      </c>
      <c r="E180" s="6">
        <v>4.0</v>
      </c>
      <c r="F180" s="6" t="s">
        <v>32</v>
      </c>
      <c r="G180" s="6">
        <v>5.16388881E8</v>
      </c>
      <c r="H180" s="6" t="s">
        <v>1970</v>
      </c>
      <c r="I180" s="6" t="s">
        <v>1971</v>
      </c>
      <c r="J180" s="6" t="s">
        <v>35</v>
      </c>
      <c r="K180" s="6" t="s">
        <v>1972</v>
      </c>
      <c r="L180" s="4"/>
      <c r="M180" s="7" t="s">
        <v>1973</v>
      </c>
      <c r="N180" s="6" t="s">
        <v>1974</v>
      </c>
      <c r="O180" s="6" t="s">
        <v>485</v>
      </c>
      <c r="P180" s="6" t="s">
        <v>40</v>
      </c>
      <c r="Q180" s="6">
        <v>3244756.0</v>
      </c>
      <c r="R180" s="6" t="s">
        <v>40</v>
      </c>
      <c r="S180" s="6" t="s">
        <v>40</v>
      </c>
      <c r="T180" s="6" t="s">
        <v>41</v>
      </c>
      <c r="U180" s="6" t="s">
        <v>1975</v>
      </c>
      <c r="V180" s="6" t="s">
        <v>1976</v>
      </c>
      <c r="W180" s="6" t="s">
        <v>1975</v>
      </c>
      <c r="X180" s="6" t="s">
        <v>1977</v>
      </c>
      <c r="Y180" s="6" t="s">
        <v>1978</v>
      </c>
      <c r="Z180" s="6" t="s">
        <v>291</v>
      </c>
      <c r="AA180" s="6" t="s">
        <v>47</v>
      </c>
      <c r="AB180" s="6" t="s">
        <v>32</v>
      </c>
      <c r="AC180" s="6">
        <v>0.75</v>
      </c>
      <c r="AD180" s="6" t="s">
        <v>80</v>
      </c>
    </row>
    <row r="181">
      <c r="A181" s="3" t="s">
        <v>1979</v>
      </c>
      <c r="B181" s="3" t="s">
        <v>50</v>
      </c>
      <c r="C181" s="3" t="s">
        <v>31</v>
      </c>
      <c r="D181" s="3">
        <v>2014.0</v>
      </c>
      <c r="E181" s="3">
        <v>4.0</v>
      </c>
      <c r="F181" s="3" t="s">
        <v>32</v>
      </c>
      <c r="G181" s="3">
        <v>5.15223931E8</v>
      </c>
      <c r="H181" s="3" t="s">
        <v>1980</v>
      </c>
      <c r="I181" s="3" t="s">
        <v>1981</v>
      </c>
      <c r="J181" s="3" t="s">
        <v>35</v>
      </c>
      <c r="K181" s="3" t="s">
        <v>1982</v>
      </c>
      <c r="L181" s="4"/>
      <c r="M181" s="5" t="s">
        <v>1983</v>
      </c>
      <c r="N181" s="3" t="s">
        <v>1984</v>
      </c>
      <c r="O181" s="3" t="s">
        <v>75</v>
      </c>
      <c r="P181" s="3" t="s">
        <v>40</v>
      </c>
      <c r="Q181" s="3">
        <v>6356605.0</v>
      </c>
      <c r="R181" s="3" t="s">
        <v>40</v>
      </c>
      <c r="S181" s="3" t="s">
        <v>40</v>
      </c>
      <c r="T181" s="3" t="s">
        <v>41</v>
      </c>
      <c r="U181" s="3" t="s">
        <v>1985</v>
      </c>
      <c r="V181" s="3" t="s">
        <v>1986</v>
      </c>
      <c r="W181" s="3" t="s">
        <v>1985</v>
      </c>
      <c r="X181" s="3" t="s">
        <v>1987</v>
      </c>
      <c r="Y181" s="3" t="s">
        <v>1988</v>
      </c>
      <c r="Z181" s="3" t="s">
        <v>1989</v>
      </c>
      <c r="AA181" s="3" t="s">
        <v>32</v>
      </c>
      <c r="AB181" s="3" t="s">
        <v>32</v>
      </c>
      <c r="AC181" s="3" t="s">
        <v>40</v>
      </c>
      <c r="AD181" s="3" t="s">
        <v>80</v>
      </c>
    </row>
    <row r="182">
      <c r="A182" s="3" t="s">
        <v>1990</v>
      </c>
      <c r="B182" s="3" t="s">
        <v>30</v>
      </c>
      <c r="C182" s="3" t="s">
        <v>31</v>
      </c>
      <c r="D182" s="3">
        <v>2025.0</v>
      </c>
      <c r="E182" s="3">
        <v>4.0</v>
      </c>
      <c r="F182" s="3" t="s">
        <v>32</v>
      </c>
      <c r="G182" s="3">
        <v>5.17119632E8</v>
      </c>
      <c r="H182" s="3" t="s">
        <v>1991</v>
      </c>
      <c r="I182" s="3" t="s">
        <v>1992</v>
      </c>
      <c r="J182" s="3" t="s">
        <v>71</v>
      </c>
      <c r="K182" s="3" t="s">
        <v>1993</v>
      </c>
      <c r="L182" s="4"/>
      <c r="M182" s="5" t="s">
        <v>1994</v>
      </c>
      <c r="N182" s="3" t="s">
        <v>1995</v>
      </c>
      <c r="O182" s="3" t="s">
        <v>552</v>
      </c>
      <c r="P182" s="3" t="s">
        <v>40</v>
      </c>
      <c r="Q182" s="3">
        <v>4673304.0</v>
      </c>
      <c r="R182" s="3" t="s">
        <v>40</v>
      </c>
      <c r="S182" s="3" t="s">
        <v>40</v>
      </c>
      <c r="T182" s="3" t="s">
        <v>41</v>
      </c>
      <c r="U182" s="3" t="s">
        <v>1996</v>
      </c>
      <c r="V182" s="3" t="s">
        <v>1997</v>
      </c>
      <c r="W182" s="3" t="s">
        <v>1998</v>
      </c>
      <c r="X182" s="3" t="s">
        <v>1999</v>
      </c>
      <c r="Y182" s="3" t="s">
        <v>2000</v>
      </c>
      <c r="Z182" s="3" t="s">
        <v>2001</v>
      </c>
      <c r="AA182" s="3" t="s">
        <v>47</v>
      </c>
      <c r="AB182" s="3" t="s">
        <v>47</v>
      </c>
      <c r="AC182" s="3" t="s">
        <v>40</v>
      </c>
      <c r="AD182" s="3" t="s">
        <v>80</v>
      </c>
    </row>
    <row r="183">
      <c r="A183" s="10" t="s">
        <v>2002</v>
      </c>
      <c r="B183" s="10" t="s">
        <v>154</v>
      </c>
      <c r="C183" s="10" t="s">
        <v>51</v>
      </c>
      <c r="D183" s="10">
        <v>2014.0</v>
      </c>
      <c r="E183" s="10">
        <v>40.0</v>
      </c>
      <c r="F183" s="10" t="s">
        <v>47</v>
      </c>
      <c r="G183" s="10">
        <v>5.15154607E8</v>
      </c>
      <c r="H183" s="10" t="s">
        <v>2003</v>
      </c>
      <c r="I183" s="10" t="s">
        <v>2004</v>
      </c>
      <c r="J183" s="10" t="s">
        <v>71</v>
      </c>
      <c r="K183" s="10" t="s">
        <v>2005</v>
      </c>
      <c r="L183" s="4"/>
      <c r="M183" s="11" t="s">
        <v>2006</v>
      </c>
      <c r="N183" s="10" t="s">
        <v>2007</v>
      </c>
      <c r="O183" s="10" t="s">
        <v>722</v>
      </c>
      <c r="P183" s="10" t="s">
        <v>40</v>
      </c>
      <c r="Q183" s="10">
        <v>4970602.0</v>
      </c>
      <c r="R183" s="10" t="s">
        <v>40</v>
      </c>
      <c r="S183" s="10" t="s">
        <v>40</v>
      </c>
      <c r="T183" s="10" t="s">
        <v>41</v>
      </c>
      <c r="U183" s="10" t="s">
        <v>2008</v>
      </c>
      <c r="V183" s="10" t="s">
        <v>2009</v>
      </c>
      <c r="W183" s="10" t="s">
        <v>2008</v>
      </c>
      <c r="X183" s="10" t="s">
        <v>2010</v>
      </c>
      <c r="Y183" s="10" t="s">
        <v>2011</v>
      </c>
      <c r="Z183" s="10" t="s">
        <v>777</v>
      </c>
      <c r="AA183" s="10" t="s">
        <v>47</v>
      </c>
      <c r="AB183" s="10" t="s">
        <v>47</v>
      </c>
      <c r="AC183" s="10">
        <v>16.88</v>
      </c>
      <c r="AD183" s="10" t="s">
        <v>80</v>
      </c>
    </row>
    <row r="184">
      <c r="A184" s="3" t="s">
        <v>2012</v>
      </c>
      <c r="B184" s="3" t="s">
        <v>50</v>
      </c>
      <c r="C184" s="3" t="s">
        <v>51</v>
      </c>
      <c r="D184" s="3">
        <v>2016.0</v>
      </c>
      <c r="E184" s="3">
        <v>40.0</v>
      </c>
      <c r="F184" s="3" t="s">
        <v>32</v>
      </c>
      <c r="G184" s="3">
        <v>5.15460111E8</v>
      </c>
      <c r="H184" s="3" t="s">
        <v>2013</v>
      </c>
      <c r="I184" s="3" t="s">
        <v>2014</v>
      </c>
      <c r="J184" s="3" t="s">
        <v>71</v>
      </c>
      <c r="K184" s="3" t="s">
        <v>2015</v>
      </c>
      <c r="L184" s="4"/>
      <c r="M184" s="5" t="s">
        <v>2016</v>
      </c>
      <c r="N184" s="3" t="s">
        <v>2017</v>
      </c>
      <c r="O184" s="3" t="s">
        <v>147</v>
      </c>
      <c r="P184" s="3" t="s">
        <v>40</v>
      </c>
      <c r="Q184" s="3">
        <v>9777516.0</v>
      </c>
      <c r="R184" s="3" t="s">
        <v>40</v>
      </c>
      <c r="S184" s="3" t="s">
        <v>40</v>
      </c>
      <c r="T184" s="3" t="s">
        <v>41</v>
      </c>
      <c r="U184" s="3" t="s">
        <v>40</v>
      </c>
      <c r="V184" s="3" t="s">
        <v>40</v>
      </c>
      <c r="W184" s="3" t="s">
        <v>2018</v>
      </c>
      <c r="X184" s="3" t="s">
        <v>2019</v>
      </c>
      <c r="Y184" s="3" t="s">
        <v>2020</v>
      </c>
      <c r="Z184" s="3" t="s">
        <v>2021</v>
      </c>
      <c r="AA184" s="3" t="s">
        <v>47</v>
      </c>
      <c r="AB184" s="3" t="s">
        <v>47</v>
      </c>
      <c r="AC184" s="3">
        <v>7.52</v>
      </c>
      <c r="AD184" s="3" t="s">
        <v>80</v>
      </c>
    </row>
    <row r="185">
      <c r="A185" s="3" t="s">
        <v>2022</v>
      </c>
      <c r="B185" s="3" t="s">
        <v>50</v>
      </c>
      <c r="C185" s="3" t="s">
        <v>51</v>
      </c>
      <c r="D185" s="3">
        <v>2011.0</v>
      </c>
      <c r="E185" s="3">
        <v>40.0</v>
      </c>
      <c r="F185" s="3" t="s">
        <v>32</v>
      </c>
      <c r="G185" s="3">
        <v>5.14681972E8</v>
      </c>
      <c r="H185" s="3" t="s">
        <v>2023</v>
      </c>
      <c r="I185" s="3" t="s">
        <v>2024</v>
      </c>
      <c r="J185" s="3" t="s">
        <v>71</v>
      </c>
      <c r="K185" s="3" t="s">
        <v>2025</v>
      </c>
      <c r="L185" s="4"/>
      <c r="M185" s="5" t="s">
        <v>2026</v>
      </c>
      <c r="N185" s="3" t="s">
        <v>2027</v>
      </c>
      <c r="O185" s="3" t="s">
        <v>485</v>
      </c>
      <c r="P185" s="3" t="s">
        <v>40</v>
      </c>
      <c r="Q185" s="3">
        <v>3303323.0</v>
      </c>
      <c r="R185" s="3" t="s">
        <v>40</v>
      </c>
      <c r="S185" s="3" t="s">
        <v>40</v>
      </c>
      <c r="T185" s="3" t="s">
        <v>41</v>
      </c>
      <c r="U185" s="3" t="s">
        <v>2028</v>
      </c>
      <c r="V185" s="3" t="s">
        <v>2029</v>
      </c>
      <c r="W185" s="3" t="s">
        <v>2028</v>
      </c>
      <c r="X185" s="3" t="s">
        <v>2030</v>
      </c>
      <c r="Y185" s="3" t="s">
        <v>2031</v>
      </c>
      <c r="Z185" s="3" t="s">
        <v>2032</v>
      </c>
      <c r="AA185" s="3" t="s">
        <v>47</v>
      </c>
      <c r="AB185" s="3" t="s">
        <v>47</v>
      </c>
      <c r="AC185" s="3">
        <v>47.1</v>
      </c>
      <c r="AD185" s="3" t="s">
        <v>80</v>
      </c>
    </row>
    <row r="186">
      <c r="A186" s="3" t="s">
        <v>2033</v>
      </c>
      <c r="B186" s="3" t="s">
        <v>435</v>
      </c>
      <c r="C186" s="3" t="s">
        <v>31</v>
      </c>
      <c r="D186" s="3">
        <v>2018.0</v>
      </c>
      <c r="E186" s="3">
        <v>40.0</v>
      </c>
      <c r="F186" s="3" t="s">
        <v>32</v>
      </c>
      <c r="G186" s="3">
        <v>5.15886992E8</v>
      </c>
      <c r="H186" s="3" t="s">
        <v>2034</v>
      </c>
      <c r="I186" s="3" t="s">
        <v>2035</v>
      </c>
      <c r="J186" s="3" t="s">
        <v>71</v>
      </c>
      <c r="K186" s="3" t="s">
        <v>2036</v>
      </c>
      <c r="L186" s="4"/>
      <c r="M186" s="5" t="s">
        <v>2037</v>
      </c>
      <c r="N186" s="3" t="s">
        <v>2038</v>
      </c>
      <c r="O186" s="3" t="s">
        <v>75</v>
      </c>
      <c r="P186" s="3" t="s">
        <v>40</v>
      </c>
      <c r="Q186" s="3">
        <v>6618001.0</v>
      </c>
      <c r="R186" s="3" t="s">
        <v>40</v>
      </c>
      <c r="S186" s="3" t="s">
        <v>40</v>
      </c>
      <c r="T186" s="3" t="s">
        <v>41</v>
      </c>
      <c r="U186" s="3" t="s">
        <v>2039</v>
      </c>
      <c r="V186" s="3" t="s">
        <v>40</v>
      </c>
      <c r="W186" s="3" t="s">
        <v>2040</v>
      </c>
      <c r="X186" s="3" t="s">
        <v>2041</v>
      </c>
      <c r="Y186" s="3" t="s">
        <v>2042</v>
      </c>
      <c r="Z186" s="3" t="s">
        <v>2043</v>
      </c>
      <c r="AA186" s="3" t="s">
        <v>47</v>
      </c>
      <c r="AB186" s="3" t="s">
        <v>47</v>
      </c>
      <c r="AC186" s="3">
        <v>19.5</v>
      </c>
      <c r="AD186" s="3" t="s">
        <v>80</v>
      </c>
    </row>
    <row r="187">
      <c r="A187" s="3" t="s">
        <v>2044</v>
      </c>
      <c r="B187" s="3" t="s">
        <v>50</v>
      </c>
      <c r="C187" s="3" t="s">
        <v>51</v>
      </c>
      <c r="D187" s="3">
        <v>2015.0</v>
      </c>
      <c r="E187" s="3">
        <v>40.0</v>
      </c>
      <c r="F187" s="3" t="s">
        <v>32</v>
      </c>
      <c r="G187" s="3">
        <v>5.15662732E8</v>
      </c>
      <c r="H187" s="3" t="s">
        <v>2045</v>
      </c>
      <c r="I187" s="3" t="s">
        <v>2046</v>
      </c>
      <c r="J187" s="3" t="s">
        <v>35</v>
      </c>
      <c r="K187" s="3" t="s">
        <v>2047</v>
      </c>
      <c r="L187" s="4"/>
      <c r="M187" s="5" t="s">
        <v>2048</v>
      </c>
      <c r="N187" s="3" t="s">
        <v>2049</v>
      </c>
      <c r="O187" s="3" t="s">
        <v>137</v>
      </c>
      <c r="P187" s="3" t="s">
        <v>40</v>
      </c>
      <c r="Q187" s="3">
        <v>4442525.0</v>
      </c>
      <c r="R187" s="3" t="s">
        <v>40</v>
      </c>
      <c r="S187" s="3" t="s">
        <v>40</v>
      </c>
      <c r="T187" s="3" t="s">
        <v>41</v>
      </c>
      <c r="U187" s="3" t="s">
        <v>2050</v>
      </c>
      <c r="V187" s="3" t="s">
        <v>2051</v>
      </c>
      <c r="W187" s="3" t="s">
        <v>2050</v>
      </c>
      <c r="X187" s="3" t="s">
        <v>2052</v>
      </c>
      <c r="Y187" s="3" t="s">
        <v>2053</v>
      </c>
      <c r="Z187" s="3" t="s">
        <v>2054</v>
      </c>
      <c r="AA187" s="3" t="s">
        <v>47</v>
      </c>
      <c r="AB187" s="3" t="s">
        <v>47</v>
      </c>
      <c r="AC187" s="3">
        <v>12.162</v>
      </c>
      <c r="AD187" s="3" t="s">
        <v>80</v>
      </c>
    </row>
    <row r="188">
      <c r="A188" s="6" t="s">
        <v>2055</v>
      </c>
      <c r="B188" s="6" t="s">
        <v>154</v>
      </c>
      <c r="C188" s="6" t="s">
        <v>51</v>
      </c>
      <c r="D188" s="6">
        <v>2000.0</v>
      </c>
      <c r="E188" s="6">
        <v>40.0</v>
      </c>
      <c r="F188" s="6" t="s">
        <v>32</v>
      </c>
      <c r="G188" s="6">
        <v>5.12908971E8</v>
      </c>
      <c r="H188" s="6" t="s">
        <v>2056</v>
      </c>
      <c r="I188" s="6" t="s">
        <v>2057</v>
      </c>
      <c r="J188" s="6" t="s">
        <v>35</v>
      </c>
      <c r="K188" s="16"/>
      <c r="L188" s="4"/>
      <c r="M188" s="7" t="s">
        <v>2058</v>
      </c>
      <c r="N188" s="6" t="s">
        <v>2059</v>
      </c>
      <c r="O188" s="6" t="s">
        <v>1928</v>
      </c>
      <c r="P188" s="6">
        <v>1417.0</v>
      </c>
      <c r="Q188" s="6">
        <v>4801761.0</v>
      </c>
      <c r="R188" s="6" t="s">
        <v>40</v>
      </c>
      <c r="S188" s="6" t="s">
        <v>40</v>
      </c>
      <c r="T188" s="6" t="s">
        <v>41</v>
      </c>
      <c r="U188" s="6" t="s">
        <v>2060</v>
      </c>
      <c r="V188" s="6" t="s">
        <v>2061</v>
      </c>
      <c r="W188" s="6" t="s">
        <v>2062</v>
      </c>
      <c r="X188" s="6" t="s">
        <v>2063</v>
      </c>
      <c r="Y188" s="6" t="s">
        <v>2064</v>
      </c>
      <c r="Z188" s="6" t="s">
        <v>66</v>
      </c>
      <c r="AA188" s="6" t="s">
        <v>47</v>
      </c>
      <c r="AB188" s="6" t="s">
        <v>32</v>
      </c>
      <c r="AC188" s="6">
        <v>0.33</v>
      </c>
      <c r="AD188" s="6" t="s">
        <v>80</v>
      </c>
    </row>
    <row r="189">
      <c r="A189" s="3" t="s">
        <v>2065</v>
      </c>
      <c r="B189" s="3" t="s">
        <v>82</v>
      </c>
      <c r="C189" s="3" t="s">
        <v>119</v>
      </c>
      <c r="D189" s="3">
        <v>1985.0</v>
      </c>
      <c r="E189" s="3">
        <v>40.0</v>
      </c>
      <c r="F189" s="3" t="s">
        <v>32</v>
      </c>
      <c r="G189" s="3">
        <v>5.12563792E8</v>
      </c>
      <c r="H189" s="3" t="s">
        <v>2066</v>
      </c>
      <c r="I189" s="3" t="s">
        <v>2067</v>
      </c>
      <c r="J189" s="3" t="s">
        <v>71</v>
      </c>
      <c r="K189" s="4"/>
      <c r="L189" s="4"/>
      <c r="M189" s="5" t="s">
        <v>2068</v>
      </c>
      <c r="N189" s="3" t="s">
        <v>2069</v>
      </c>
      <c r="O189" s="3" t="s">
        <v>137</v>
      </c>
      <c r="P189" s="3" t="s">
        <v>40</v>
      </c>
      <c r="Q189" s="3">
        <v>4464305.0</v>
      </c>
      <c r="R189" s="3" t="s">
        <v>40</v>
      </c>
      <c r="S189" s="3" t="s">
        <v>40</v>
      </c>
      <c r="T189" s="3" t="s">
        <v>41</v>
      </c>
      <c r="U189" s="3" t="s">
        <v>2070</v>
      </c>
      <c r="V189" s="3" t="s">
        <v>2071</v>
      </c>
      <c r="W189" s="3" t="s">
        <v>2070</v>
      </c>
      <c r="X189" s="3" t="s">
        <v>2072</v>
      </c>
      <c r="Y189" s="3" t="s">
        <v>2073</v>
      </c>
      <c r="Z189" s="3" t="s">
        <v>2074</v>
      </c>
      <c r="AA189" s="3" t="s">
        <v>32</v>
      </c>
      <c r="AB189" s="3" t="s">
        <v>32</v>
      </c>
      <c r="AC189" s="3" t="s">
        <v>40</v>
      </c>
      <c r="AD189" s="3" t="s">
        <v>80</v>
      </c>
    </row>
    <row r="190">
      <c r="A190" s="10" t="s">
        <v>2075</v>
      </c>
      <c r="B190" s="10" t="s">
        <v>154</v>
      </c>
      <c r="C190" s="10" t="s">
        <v>119</v>
      </c>
      <c r="D190" s="10">
        <v>1999.0</v>
      </c>
      <c r="E190" s="10">
        <v>40.0</v>
      </c>
      <c r="F190" s="10" t="s">
        <v>47</v>
      </c>
      <c r="G190" s="10">
        <v>5.13608943E8</v>
      </c>
      <c r="H190" s="10" t="s">
        <v>2076</v>
      </c>
      <c r="I190" s="10" t="s">
        <v>2077</v>
      </c>
      <c r="J190" s="10" t="s">
        <v>35</v>
      </c>
      <c r="K190" s="19"/>
      <c r="L190" s="4"/>
      <c r="M190" s="11" t="s">
        <v>2078</v>
      </c>
      <c r="N190" s="10" t="s">
        <v>2079</v>
      </c>
      <c r="O190" s="10" t="s">
        <v>2080</v>
      </c>
      <c r="P190" s="10" t="s">
        <v>40</v>
      </c>
      <c r="Q190" s="10" t="s">
        <v>40</v>
      </c>
      <c r="R190" s="10" t="s">
        <v>40</v>
      </c>
      <c r="S190" s="10" t="s">
        <v>40</v>
      </c>
      <c r="T190" s="10" t="s">
        <v>2081</v>
      </c>
      <c r="U190" s="10" t="s">
        <v>2082</v>
      </c>
      <c r="V190" s="10" t="s">
        <v>40</v>
      </c>
      <c r="W190" s="10" t="s">
        <v>2083</v>
      </c>
      <c r="X190" s="10" t="s">
        <v>2084</v>
      </c>
      <c r="Y190" s="10" t="s">
        <v>2085</v>
      </c>
      <c r="Z190" s="10" t="s">
        <v>736</v>
      </c>
      <c r="AA190" s="10" t="s">
        <v>47</v>
      </c>
      <c r="AB190" s="10" t="s">
        <v>32</v>
      </c>
      <c r="AC190" s="10">
        <v>3.1</v>
      </c>
      <c r="AD190" s="10" t="s">
        <v>80</v>
      </c>
    </row>
    <row r="191">
      <c r="A191" s="10" t="s">
        <v>2086</v>
      </c>
      <c r="B191" s="10" t="s">
        <v>50</v>
      </c>
      <c r="C191" s="10" t="s">
        <v>51</v>
      </c>
      <c r="D191" s="10">
        <v>2014.0</v>
      </c>
      <c r="E191" s="10">
        <v>40.0</v>
      </c>
      <c r="F191" s="10" t="s">
        <v>47</v>
      </c>
      <c r="G191" s="10">
        <v>5.15446474E8</v>
      </c>
      <c r="H191" s="10" t="s">
        <v>2087</v>
      </c>
      <c r="I191" s="10" t="s">
        <v>2088</v>
      </c>
      <c r="J191" s="10" t="s">
        <v>54</v>
      </c>
      <c r="K191" s="19"/>
      <c r="L191" s="4"/>
      <c r="M191" s="11" t="s">
        <v>2089</v>
      </c>
      <c r="N191" s="10" t="s">
        <v>2090</v>
      </c>
      <c r="O191" s="10" t="s">
        <v>2091</v>
      </c>
      <c r="P191" s="10">
        <v>9297.0</v>
      </c>
      <c r="Q191" s="10">
        <v>8850126.0</v>
      </c>
      <c r="R191" s="10" t="s">
        <v>40</v>
      </c>
      <c r="S191" s="10" t="s">
        <v>40</v>
      </c>
      <c r="T191" s="10" t="s">
        <v>41</v>
      </c>
      <c r="U191" s="10" t="s">
        <v>2092</v>
      </c>
      <c r="V191" s="10" t="s">
        <v>2093</v>
      </c>
      <c r="W191" s="10" t="s">
        <v>2092</v>
      </c>
      <c r="X191" s="10" t="s">
        <v>2094</v>
      </c>
      <c r="Y191" s="10" t="s">
        <v>2095</v>
      </c>
      <c r="Z191" s="10" t="s">
        <v>2096</v>
      </c>
      <c r="AA191" s="10" t="s">
        <v>47</v>
      </c>
      <c r="AB191" s="10" t="s">
        <v>32</v>
      </c>
      <c r="AC191" s="10">
        <v>5.25</v>
      </c>
      <c r="AD191" s="10" t="s">
        <v>80</v>
      </c>
    </row>
    <row r="192">
      <c r="A192" s="3" t="s">
        <v>2097</v>
      </c>
      <c r="B192" s="3" t="s">
        <v>50</v>
      </c>
      <c r="C192" s="3" t="s">
        <v>51</v>
      </c>
      <c r="D192" s="3">
        <v>2012.0</v>
      </c>
      <c r="E192" s="3">
        <v>41.0</v>
      </c>
      <c r="F192" s="3" t="s">
        <v>32</v>
      </c>
      <c r="G192" s="3">
        <v>5.14922079E8</v>
      </c>
      <c r="H192" s="3" t="s">
        <v>2098</v>
      </c>
      <c r="I192" s="3" t="s">
        <v>2099</v>
      </c>
      <c r="J192" s="3" t="s">
        <v>35</v>
      </c>
      <c r="K192" s="3" t="s">
        <v>2100</v>
      </c>
      <c r="L192" s="4"/>
      <c r="M192" s="5" t="s">
        <v>2101</v>
      </c>
      <c r="N192" s="3" t="s">
        <v>2102</v>
      </c>
      <c r="O192" s="3" t="s">
        <v>1247</v>
      </c>
      <c r="P192" s="3" t="s">
        <v>40</v>
      </c>
      <c r="Q192" s="3">
        <v>4527704.0</v>
      </c>
      <c r="R192" s="3" t="s">
        <v>40</v>
      </c>
      <c r="S192" s="3" t="s">
        <v>40</v>
      </c>
      <c r="T192" s="3" t="s">
        <v>41</v>
      </c>
      <c r="U192" s="3" t="s">
        <v>2103</v>
      </c>
      <c r="V192" s="3" t="s">
        <v>2104</v>
      </c>
      <c r="W192" s="3" t="s">
        <v>2103</v>
      </c>
      <c r="X192" s="3" t="s">
        <v>2105</v>
      </c>
      <c r="Y192" s="3" t="s">
        <v>2106</v>
      </c>
      <c r="Z192" s="3" t="s">
        <v>2107</v>
      </c>
      <c r="AA192" s="3" t="s">
        <v>47</v>
      </c>
      <c r="AB192" s="3" t="s">
        <v>47</v>
      </c>
      <c r="AC192" s="3">
        <v>11.5</v>
      </c>
      <c r="AD192" s="3" t="s">
        <v>80</v>
      </c>
    </row>
    <row r="193">
      <c r="A193" s="10" t="s">
        <v>2108</v>
      </c>
      <c r="B193" s="10" t="s">
        <v>351</v>
      </c>
      <c r="C193" s="10" t="s">
        <v>119</v>
      </c>
      <c r="D193" s="10">
        <v>1999.0</v>
      </c>
      <c r="E193" s="10">
        <v>4100.0</v>
      </c>
      <c r="F193" s="10" t="s">
        <v>47</v>
      </c>
      <c r="G193" s="10">
        <v>5.12700436E8</v>
      </c>
      <c r="H193" s="10" t="s">
        <v>2109</v>
      </c>
      <c r="I193" s="10" t="s">
        <v>2110</v>
      </c>
      <c r="J193" s="10" t="s">
        <v>2111</v>
      </c>
      <c r="K193" s="10" t="s">
        <v>2112</v>
      </c>
      <c r="L193" s="4"/>
      <c r="M193" s="11" t="s">
        <v>2113</v>
      </c>
      <c r="N193" s="10" t="s">
        <v>2114</v>
      </c>
      <c r="O193" s="10" t="s">
        <v>147</v>
      </c>
      <c r="P193" s="10">
        <v>45157.0</v>
      </c>
      <c r="Q193" s="10">
        <v>9777513.0</v>
      </c>
      <c r="R193" s="10" t="s">
        <v>40</v>
      </c>
      <c r="S193" s="10" t="s">
        <v>40</v>
      </c>
      <c r="T193" s="10" t="s">
        <v>41</v>
      </c>
      <c r="U193" s="10" t="s">
        <v>2115</v>
      </c>
      <c r="V193" s="10" t="s">
        <v>2116</v>
      </c>
      <c r="W193" s="10" t="s">
        <v>2117</v>
      </c>
      <c r="X193" s="10" t="s">
        <v>2118</v>
      </c>
      <c r="Y193" s="10" t="s">
        <v>2119</v>
      </c>
      <c r="Z193" s="10" t="s">
        <v>2120</v>
      </c>
      <c r="AA193" s="10" t="s">
        <v>47</v>
      </c>
      <c r="AB193" s="10" t="s">
        <v>47</v>
      </c>
      <c r="AC193" s="10">
        <v>257.0</v>
      </c>
      <c r="AD193" s="10" t="s">
        <v>117</v>
      </c>
    </row>
    <row r="194">
      <c r="A194" s="10" t="s">
        <v>2121</v>
      </c>
      <c r="B194" s="10" t="s">
        <v>351</v>
      </c>
      <c r="C194" s="10" t="s">
        <v>119</v>
      </c>
      <c r="D194" s="10">
        <v>1999.0</v>
      </c>
      <c r="E194" s="10">
        <v>430.0</v>
      </c>
      <c r="F194" s="10" t="s">
        <v>47</v>
      </c>
      <c r="G194" s="10">
        <v>5.12872854E8</v>
      </c>
      <c r="H194" s="10" t="s">
        <v>2122</v>
      </c>
      <c r="I194" s="10" t="s">
        <v>2123</v>
      </c>
      <c r="J194" s="10" t="s">
        <v>71</v>
      </c>
      <c r="K194" s="10" t="s">
        <v>2124</v>
      </c>
      <c r="L194" s="4"/>
      <c r="M194" s="11" t="s">
        <v>2125</v>
      </c>
      <c r="N194" s="10" t="s">
        <v>2126</v>
      </c>
      <c r="O194" s="10" t="s">
        <v>2127</v>
      </c>
      <c r="P194" s="10" t="s">
        <v>40</v>
      </c>
      <c r="Q194" s="10">
        <v>20850.0</v>
      </c>
      <c r="R194" s="10" t="s">
        <v>2128</v>
      </c>
      <c r="S194" s="10" t="s">
        <v>40</v>
      </c>
      <c r="T194" s="10" t="s">
        <v>60</v>
      </c>
      <c r="U194" s="10" t="s">
        <v>2129</v>
      </c>
      <c r="V194" s="10" t="s">
        <v>2130</v>
      </c>
      <c r="W194" s="10" t="s">
        <v>2129</v>
      </c>
      <c r="X194" s="10" t="s">
        <v>2131</v>
      </c>
      <c r="Y194" s="10" t="s">
        <v>2132</v>
      </c>
      <c r="Z194" s="10" t="s">
        <v>2133</v>
      </c>
      <c r="AA194" s="10" t="s">
        <v>32</v>
      </c>
      <c r="AB194" s="10" t="s">
        <v>32</v>
      </c>
      <c r="AC194" s="10" t="s">
        <v>40</v>
      </c>
      <c r="AD194" s="10" t="s">
        <v>80</v>
      </c>
    </row>
    <row r="195">
      <c r="A195" s="3" t="s">
        <v>2134</v>
      </c>
      <c r="B195" s="3" t="s">
        <v>50</v>
      </c>
      <c r="C195" s="3" t="s">
        <v>51</v>
      </c>
      <c r="D195" s="3">
        <v>2016.0</v>
      </c>
      <c r="E195" s="3">
        <v>44.0</v>
      </c>
      <c r="F195" s="3" t="s">
        <v>32</v>
      </c>
      <c r="G195" s="3">
        <v>5.15390979E8</v>
      </c>
      <c r="H195" s="3" t="s">
        <v>2135</v>
      </c>
      <c r="I195" s="3" t="s">
        <v>2136</v>
      </c>
      <c r="J195" s="3" t="s">
        <v>35</v>
      </c>
      <c r="K195" s="3" t="s">
        <v>2137</v>
      </c>
      <c r="L195" s="4"/>
      <c r="M195" s="5" t="s">
        <v>2138</v>
      </c>
      <c r="N195" s="3" t="s">
        <v>2139</v>
      </c>
      <c r="O195" s="3" t="s">
        <v>1247</v>
      </c>
      <c r="P195" s="3" t="s">
        <v>40</v>
      </c>
      <c r="Q195" s="3">
        <v>4527713.0</v>
      </c>
      <c r="R195" s="3" t="s">
        <v>40</v>
      </c>
      <c r="S195" s="3" t="s">
        <v>40</v>
      </c>
      <c r="T195" s="3" t="s">
        <v>41</v>
      </c>
      <c r="U195" s="3" t="s">
        <v>2140</v>
      </c>
      <c r="V195" s="3" t="s">
        <v>2141</v>
      </c>
      <c r="W195" s="3" t="s">
        <v>2140</v>
      </c>
      <c r="X195" s="3" t="s">
        <v>2142</v>
      </c>
      <c r="Y195" s="3" t="s">
        <v>2143</v>
      </c>
      <c r="Z195" s="3" t="s">
        <v>1653</v>
      </c>
      <c r="AA195" s="3" t="s">
        <v>47</v>
      </c>
      <c r="AB195" s="3" t="s">
        <v>47</v>
      </c>
      <c r="AC195" s="3">
        <v>37.0</v>
      </c>
      <c r="AD195" s="3" t="s">
        <v>80</v>
      </c>
    </row>
    <row r="196">
      <c r="A196" s="6" t="s">
        <v>2144</v>
      </c>
      <c r="B196" s="6" t="s">
        <v>50</v>
      </c>
      <c r="C196" s="6" t="s">
        <v>51</v>
      </c>
      <c r="D196" s="6">
        <v>1998.0</v>
      </c>
      <c r="E196" s="6">
        <v>45.0</v>
      </c>
      <c r="F196" s="6" t="s">
        <v>47</v>
      </c>
      <c r="G196" s="6">
        <v>5.12685512E8</v>
      </c>
      <c r="H196" s="6" t="s">
        <v>2145</v>
      </c>
      <c r="I196" s="6" t="s">
        <v>2146</v>
      </c>
      <c r="J196" s="6" t="s">
        <v>2147</v>
      </c>
      <c r="K196" s="6" t="s">
        <v>2148</v>
      </c>
      <c r="L196" s="4"/>
      <c r="M196" s="7" t="s">
        <v>2149</v>
      </c>
      <c r="N196" s="6" t="s">
        <v>2150</v>
      </c>
      <c r="O196" s="6" t="s">
        <v>552</v>
      </c>
      <c r="P196" s="6">
        <v>12050.0</v>
      </c>
      <c r="Q196" s="6">
        <v>4685205.0</v>
      </c>
      <c r="R196" s="6" t="s">
        <v>40</v>
      </c>
      <c r="S196" s="6" t="s">
        <v>40</v>
      </c>
      <c r="T196" s="6" t="s">
        <v>41</v>
      </c>
      <c r="U196" s="6" t="s">
        <v>2151</v>
      </c>
      <c r="V196" s="6" t="s">
        <v>2152</v>
      </c>
      <c r="W196" s="6" t="s">
        <v>2151</v>
      </c>
      <c r="X196" s="6" t="s">
        <v>2153</v>
      </c>
      <c r="Y196" s="6" t="s">
        <v>2154</v>
      </c>
      <c r="Z196" s="6" t="s">
        <v>412</v>
      </c>
      <c r="AA196" s="6" t="s">
        <v>47</v>
      </c>
      <c r="AB196" s="6" t="s">
        <v>32</v>
      </c>
      <c r="AC196" s="6">
        <v>0.25</v>
      </c>
      <c r="AD196" s="6" t="s">
        <v>80</v>
      </c>
    </row>
    <row r="197">
      <c r="A197" s="5" t="s">
        <v>2155</v>
      </c>
      <c r="B197" s="3" t="s">
        <v>50</v>
      </c>
      <c r="C197" s="3" t="s">
        <v>51</v>
      </c>
      <c r="D197" s="3">
        <v>2016.0</v>
      </c>
      <c r="E197" s="3">
        <v>45.0</v>
      </c>
      <c r="F197" s="3" t="s">
        <v>32</v>
      </c>
      <c r="G197" s="3">
        <v>5.1621874E8</v>
      </c>
      <c r="H197" s="3" t="s">
        <v>2156</v>
      </c>
      <c r="I197" s="3" t="s">
        <v>2157</v>
      </c>
      <c r="J197" s="3" t="s">
        <v>2158</v>
      </c>
      <c r="K197" s="3" t="s">
        <v>2159</v>
      </c>
      <c r="L197" s="4"/>
      <c r="M197" s="5" t="s">
        <v>2160</v>
      </c>
      <c r="N197" s="3" t="s">
        <v>2161</v>
      </c>
      <c r="O197" s="3" t="s">
        <v>2162</v>
      </c>
      <c r="P197" s="3" t="s">
        <v>40</v>
      </c>
      <c r="Q197" s="3">
        <v>2710.0</v>
      </c>
      <c r="R197" s="3" t="s">
        <v>40</v>
      </c>
      <c r="S197" s="3" t="s">
        <v>40</v>
      </c>
      <c r="T197" s="3" t="s">
        <v>2163</v>
      </c>
      <c r="U197" s="3" t="s">
        <v>2164</v>
      </c>
      <c r="V197" s="3" t="s">
        <v>2165</v>
      </c>
      <c r="W197" s="3" t="s">
        <v>2166</v>
      </c>
      <c r="X197" s="3" t="s">
        <v>2167</v>
      </c>
      <c r="Y197" s="3" t="s">
        <v>2168</v>
      </c>
      <c r="Z197" s="3" t="s">
        <v>2169</v>
      </c>
      <c r="AA197" s="3" t="s">
        <v>47</v>
      </c>
      <c r="AB197" s="3" t="s">
        <v>47</v>
      </c>
      <c r="AC197" s="3">
        <v>21.418</v>
      </c>
      <c r="AD197" s="3" t="s">
        <v>80</v>
      </c>
    </row>
    <row r="198">
      <c r="A198" s="3" t="s">
        <v>2170</v>
      </c>
      <c r="B198" s="3" t="s">
        <v>82</v>
      </c>
      <c r="C198" s="3" t="s">
        <v>51</v>
      </c>
      <c r="D198" s="3">
        <v>2008.0</v>
      </c>
      <c r="E198" s="3">
        <v>45.0</v>
      </c>
      <c r="F198" s="3" t="s">
        <v>32</v>
      </c>
      <c r="G198" s="3">
        <v>5.14782135E8</v>
      </c>
      <c r="H198" s="3" t="s">
        <v>2171</v>
      </c>
      <c r="I198" s="3" t="s">
        <v>2172</v>
      </c>
      <c r="J198" s="3" t="s">
        <v>71</v>
      </c>
      <c r="K198" s="3" t="s">
        <v>2173</v>
      </c>
      <c r="L198" s="4"/>
      <c r="M198" s="5" t="s">
        <v>2174</v>
      </c>
      <c r="N198" s="3" t="s">
        <v>2175</v>
      </c>
      <c r="O198" s="3" t="s">
        <v>722</v>
      </c>
      <c r="P198" s="3" t="s">
        <v>40</v>
      </c>
      <c r="Q198" s="3">
        <v>4927189.0</v>
      </c>
      <c r="R198" s="3" t="s">
        <v>40</v>
      </c>
      <c r="S198" s="3" t="s">
        <v>40</v>
      </c>
      <c r="T198" s="3" t="s">
        <v>41</v>
      </c>
      <c r="U198" s="3" t="s">
        <v>2176</v>
      </c>
      <c r="V198" s="3" t="s">
        <v>2177</v>
      </c>
      <c r="W198" s="3" t="s">
        <v>2176</v>
      </c>
      <c r="X198" s="3" t="s">
        <v>2178</v>
      </c>
      <c r="Y198" s="3" t="s">
        <v>2179</v>
      </c>
      <c r="Z198" s="3" t="s">
        <v>66</v>
      </c>
      <c r="AA198" s="3" t="s">
        <v>47</v>
      </c>
      <c r="AB198" s="3" t="s">
        <v>47</v>
      </c>
      <c r="AC198" s="3">
        <v>5.54</v>
      </c>
      <c r="AD198" s="3" t="s">
        <v>80</v>
      </c>
    </row>
    <row r="199">
      <c r="A199" s="3" t="s">
        <v>2180</v>
      </c>
      <c r="B199" s="3" t="s">
        <v>154</v>
      </c>
      <c r="C199" s="3" t="s">
        <v>51</v>
      </c>
      <c r="D199" s="3">
        <v>2010.0</v>
      </c>
      <c r="E199" s="3">
        <v>45.0</v>
      </c>
      <c r="F199" s="3" t="s">
        <v>32</v>
      </c>
      <c r="G199" s="3">
        <v>5.14467513E8</v>
      </c>
      <c r="H199" s="3" t="s">
        <v>2181</v>
      </c>
      <c r="I199" s="3" t="s">
        <v>2182</v>
      </c>
      <c r="J199" s="3" t="s">
        <v>35</v>
      </c>
      <c r="K199" s="3" t="s">
        <v>2183</v>
      </c>
      <c r="L199" s="4"/>
      <c r="M199" s="5" t="s">
        <v>2184</v>
      </c>
      <c r="N199" s="3" t="s">
        <v>2185</v>
      </c>
      <c r="O199" s="3" t="s">
        <v>1037</v>
      </c>
      <c r="P199" s="3" t="s">
        <v>40</v>
      </c>
      <c r="Q199" s="3">
        <v>7403650.0</v>
      </c>
      <c r="R199" s="3" t="s">
        <v>40</v>
      </c>
      <c r="S199" s="3" t="s">
        <v>40</v>
      </c>
      <c r="T199" s="3" t="s">
        <v>41</v>
      </c>
      <c r="U199" s="3" t="s">
        <v>2186</v>
      </c>
      <c r="V199" s="3" t="s">
        <v>2187</v>
      </c>
      <c r="W199" s="3" t="s">
        <v>2186</v>
      </c>
      <c r="X199" s="3" t="s">
        <v>2188</v>
      </c>
      <c r="Y199" s="3" t="s">
        <v>2189</v>
      </c>
      <c r="Z199" s="3" t="s">
        <v>66</v>
      </c>
      <c r="AA199" s="3" t="s">
        <v>47</v>
      </c>
      <c r="AB199" s="3" t="s">
        <v>47</v>
      </c>
      <c r="AC199" s="3">
        <v>88.8</v>
      </c>
      <c r="AD199" s="3" t="s">
        <v>48</v>
      </c>
    </row>
    <row r="200">
      <c r="A200" s="3" t="s">
        <v>2190</v>
      </c>
      <c r="B200" s="3" t="s">
        <v>154</v>
      </c>
      <c r="C200" s="3" t="s">
        <v>119</v>
      </c>
      <c r="D200" s="3">
        <v>2006.0</v>
      </c>
      <c r="E200" s="3">
        <v>45.0</v>
      </c>
      <c r="F200" s="3" t="s">
        <v>32</v>
      </c>
      <c r="G200" s="3">
        <v>5.13814442E8</v>
      </c>
      <c r="H200" s="3" t="s">
        <v>2191</v>
      </c>
      <c r="I200" s="3" t="s">
        <v>2192</v>
      </c>
      <c r="J200" s="3" t="s">
        <v>2193</v>
      </c>
      <c r="K200" s="4"/>
      <c r="L200" s="4"/>
      <c r="M200" s="5" t="s">
        <v>2194</v>
      </c>
      <c r="N200" s="3" t="s">
        <v>2195</v>
      </c>
      <c r="O200" s="3" t="s">
        <v>2196</v>
      </c>
      <c r="P200" s="3" t="s">
        <v>40</v>
      </c>
      <c r="Q200" s="3">
        <v>9085000.0</v>
      </c>
      <c r="R200" s="3" t="s">
        <v>40</v>
      </c>
      <c r="S200" s="3" t="s">
        <v>40</v>
      </c>
      <c r="T200" s="3" t="s">
        <v>41</v>
      </c>
      <c r="U200" s="3" t="s">
        <v>2197</v>
      </c>
      <c r="V200" s="3" t="s">
        <v>2198</v>
      </c>
      <c r="W200" s="3" t="s">
        <v>2197</v>
      </c>
      <c r="X200" s="3" t="s">
        <v>2199</v>
      </c>
      <c r="Y200" s="3" t="s">
        <v>2200</v>
      </c>
      <c r="Z200" s="3" t="s">
        <v>1177</v>
      </c>
      <c r="AA200" s="3" t="s">
        <v>47</v>
      </c>
      <c r="AB200" s="3" t="s">
        <v>47</v>
      </c>
      <c r="AC200" s="3">
        <v>200.5</v>
      </c>
      <c r="AD200" s="3" t="s">
        <v>80</v>
      </c>
    </row>
    <row r="201">
      <c r="A201" s="3" t="s">
        <v>2201</v>
      </c>
      <c r="B201" s="3" t="s">
        <v>50</v>
      </c>
      <c r="C201" s="3" t="s">
        <v>119</v>
      </c>
      <c r="D201" s="3">
        <v>2015.0</v>
      </c>
      <c r="E201" s="3">
        <v>475.0</v>
      </c>
      <c r="F201" s="3" t="s">
        <v>32</v>
      </c>
      <c r="G201" s="3">
        <v>5.16333051E8</v>
      </c>
      <c r="H201" s="3" t="s">
        <v>2202</v>
      </c>
      <c r="I201" s="3" t="s">
        <v>2203</v>
      </c>
      <c r="J201" s="3" t="s">
        <v>35</v>
      </c>
      <c r="K201" s="3" t="s">
        <v>2204</v>
      </c>
      <c r="L201" s="4"/>
      <c r="M201" s="5" t="s">
        <v>2205</v>
      </c>
      <c r="N201" s="3" t="s">
        <v>2206</v>
      </c>
      <c r="O201" s="3" t="s">
        <v>58</v>
      </c>
      <c r="P201" s="3" t="s">
        <v>40</v>
      </c>
      <c r="Q201" s="3">
        <v>2121.0</v>
      </c>
      <c r="R201" s="3" t="s">
        <v>59</v>
      </c>
      <c r="S201" s="3" t="s">
        <v>40</v>
      </c>
      <c r="T201" s="3" t="s">
        <v>60</v>
      </c>
      <c r="U201" s="3" t="s">
        <v>2207</v>
      </c>
      <c r="V201" s="3" t="s">
        <v>2208</v>
      </c>
      <c r="W201" s="3" t="s">
        <v>2207</v>
      </c>
      <c r="X201" s="3" t="s">
        <v>2209</v>
      </c>
      <c r="Y201" s="3" t="s">
        <v>2210</v>
      </c>
      <c r="Z201" s="3" t="s">
        <v>2211</v>
      </c>
      <c r="AA201" s="3" t="s">
        <v>47</v>
      </c>
      <c r="AB201" s="3" t="s">
        <v>47</v>
      </c>
      <c r="AC201" s="3">
        <v>741.1</v>
      </c>
      <c r="AD201" s="3" t="s">
        <v>80</v>
      </c>
    </row>
    <row r="202">
      <c r="A202" s="3" t="s">
        <v>2212</v>
      </c>
      <c r="B202" s="3" t="s">
        <v>82</v>
      </c>
      <c r="C202" s="3" t="s">
        <v>31</v>
      </c>
      <c r="D202" s="3">
        <v>2018.0</v>
      </c>
      <c r="E202" s="3">
        <v>49.0</v>
      </c>
      <c r="F202" s="3" t="s">
        <v>32</v>
      </c>
      <c r="G202" s="3">
        <v>5.15900702E8</v>
      </c>
      <c r="H202" s="3" t="s">
        <v>2213</v>
      </c>
      <c r="I202" s="3" t="s">
        <v>2214</v>
      </c>
      <c r="J202" s="3" t="s">
        <v>35</v>
      </c>
      <c r="K202" s="4"/>
      <c r="L202" s="4"/>
      <c r="M202" s="5" t="s">
        <v>2215</v>
      </c>
      <c r="N202" s="3" t="s">
        <v>2216</v>
      </c>
      <c r="O202" s="3" t="s">
        <v>75</v>
      </c>
      <c r="P202" s="3" t="s">
        <v>40</v>
      </c>
      <c r="Q202" s="3">
        <v>6777863.0</v>
      </c>
      <c r="R202" s="3" t="s">
        <v>40</v>
      </c>
      <c r="S202" s="3" t="s">
        <v>40</v>
      </c>
      <c r="T202" s="3" t="s">
        <v>41</v>
      </c>
      <c r="U202" s="3" t="s">
        <v>2217</v>
      </c>
      <c r="V202" s="3" t="s">
        <v>40</v>
      </c>
      <c r="W202" s="3" t="s">
        <v>2217</v>
      </c>
      <c r="X202" s="3" t="s">
        <v>2218</v>
      </c>
      <c r="Y202" s="3" t="s">
        <v>2219</v>
      </c>
      <c r="Z202" s="3" t="s">
        <v>2220</v>
      </c>
      <c r="AA202" s="3" t="s">
        <v>47</v>
      </c>
      <c r="AB202" s="3" t="s">
        <v>47</v>
      </c>
      <c r="AC202" s="3">
        <v>26.5</v>
      </c>
      <c r="AD202" s="3" t="s">
        <v>80</v>
      </c>
    </row>
    <row r="203">
      <c r="A203" s="3" t="s">
        <v>2221</v>
      </c>
      <c r="B203" s="3" t="s">
        <v>68</v>
      </c>
      <c r="C203" s="3" t="s">
        <v>31</v>
      </c>
      <c r="D203" s="3">
        <v>2022.0</v>
      </c>
      <c r="E203" s="3">
        <v>5.0</v>
      </c>
      <c r="F203" s="3" t="s">
        <v>32</v>
      </c>
      <c r="G203" s="3">
        <v>5.16618915E8</v>
      </c>
      <c r="H203" s="3" t="s">
        <v>2222</v>
      </c>
      <c r="I203" s="3" t="s">
        <v>2223</v>
      </c>
      <c r="J203" s="3" t="s">
        <v>54</v>
      </c>
      <c r="K203" s="3" t="s">
        <v>2224</v>
      </c>
      <c r="L203" s="4"/>
      <c r="M203" s="5" t="s">
        <v>2225</v>
      </c>
      <c r="N203" s="3" t="s">
        <v>2226</v>
      </c>
      <c r="O203" s="3" t="s">
        <v>298</v>
      </c>
      <c r="P203" s="3" t="s">
        <v>40</v>
      </c>
      <c r="Q203" s="3">
        <v>4242273.0</v>
      </c>
      <c r="R203" s="3" t="s">
        <v>40</v>
      </c>
      <c r="S203" s="3" t="s">
        <v>40</v>
      </c>
      <c r="T203" s="3" t="s">
        <v>41</v>
      </c>
      <c r="U203" s="3" t="s">
        <v>2227</v>
      </c>
      <c r="V203" s="3" t="s">
        <v>2228</v>
      </c>
      <c r="W203" s="3" t="s">
        <v>2227</v>
      </c>
      <c r="X203" s="3" t="s">
        <v>271</v>
      </c>
      <c r="Y203" s="3" t="s">
        <v>2229</v>
      </c>
      <c r="Z203" s="3" t="s">
        <v>291</v>
      </c>
      <c r="AA203" s="3" t="s">
        <v>32</v>
      </c>
      <c r="AB203" s="3" t="s">
        <v>32</v>
      </c>
      <c r="AC203" s="3" t="s">
        <v>40</v>
      </c>
      <c r="AD203" s="3" t="s">
        <v>80</v>
      </c>
    </row>
    <row r="204">
      <c r="A204" s="3" t="s">
        <v>2230</v>
      </c>
      <c r="B204" s="3" t="s">
        <v>50</v>
      </c>
      <c r="C204" s="3" t="s">
        <v>51</v>
      </c>
      <c r="D204" s="3">
        <v>2018.0</v>
      </c>
      <c r="E204" s="3">
        <v>5.0</v>
      </c>
      <c r="F204" s="3" t="s">
        <v>32</v>
      </c>
      <c r="G204" s="3">
        <v>5.16062742E8</v>
      </c>
      <c r="H204" s="3" t="s">
        <v>2231</v>
      </c>
      <c r="I204" s="3" t="s">
        <v>2232</v>
      </c>
      <c r="J204" s="3" t="s">
        <v>54</v>
      </c>
      <c r="K204" s="3" t="s">
        <v>2233</v>
      </c>
      <c r="L204" s="4"/>
      <c r="M204" s="5" t="s">
        <v>2234</v>
      </c>
      <c r="N204" s="3" t="s">
        <v>2235</v>
      </c>
      <c r="O204" s="3" t="s">
        <v>75</v>
      </c>
      <c r="P204" s="3" t="s">
        <v>40</v>
      </c>
      <c r="Q204" s="3">
        <v>6266114.0</v>
      </c>
      <c r="R204" s="3" t="s">
        <v>40</v>
      </c>
      <c r="S204" s="3" t="s">
        <v>40</v>
      </c>
      <c r="T204" s="3" t="s">
        <v>41</v>
      </c>
      <c r="U204" s="3" t="s">
        <v>2236</v>
      </c>
      <c r="V204" s="3" t="s">
        <v>40</v>
      </c>
      <c r="W204" s="3" t="s">
        <v>2236</v>
      </c>
      <c r="X204" s="3" t="s">
        <v>2237</v>
      </c>
      <c r="Y204" s="3" t="s">
        <v>2238</v>
      </c>
      <c r="Z204" s="3" t="s">
        <v>66</v>
      </c>
      <c r="AA204" s="3" t="s">
        <v>32</v>
      </c>
      <c r="AB204" s="3" t="s">
        <v>32</v>
      </c>
      <c r="AC204" s="3" t="s">
        <v>40</v>
      </c>
      <c r="AD204" s="3" t="s">
        <v>80</v>
      </c>
    </row>
    <row r="205">
      <c r="A205" s="3" t="s">
        <v>2239</v>
      </c>
      <c r="B205" s="3" t="s">
        <v>82</v>
      </c>
      <c r="C205" s="3" t="s">
        <v>31</v>
      </c>
      <c r="D205" s="3">
        <v>2020.0</v>
      </c>
      <c r="E205" s="3">
        <v>5.0</v>
      </c>
      <c r="F205" s="3" t="s">
        <v>32</v>
      </c>
      <c r="G205" s="3">
        <v>5.16342151E8</v>
      </c>
      <c r="H205" s="3" t="s">
        <v>2240</v>
      </c>
      <c r="I205" s="3" t="s">
        <v>2241</v>
      </c>
      <c r="J205" s="3" t="s">
        <v>54</v>
      </c>
      <c r="K205" s="3" t="s">
        <v>2242</v>
      </c>
      <c r="L205" s="4"/>
      <c r="M205" s="5" t="s">
        <v>2243</v>
      </c>
      <c r="N205" s="3" t="s">
        <v>2244</v>
      </c>
      <c r="O205" s="3" t="s">
        <v>1247</v>
      </c>
      <c r="P205" s="3">
        <v>271.0</v>
      </c>
      <c r="Q205" s="3">
        <v>4520126.0</v>
      </c>
      <c r="R205" s="3" t="s">
        <v>40</v>
      </c>
      <c r="S205" s="3" t="s">
        <v>40</v>
      </c>
      <c r="T205" s="3" t="s">
        <v>41</v>
      </c>
      <c r="U205" s="3" t="s">
        <v>2242</v>
      </c>
      <c r="V205" s="3" t="s">
        <v>2245</v>
      </c>
      <c r="W205" s="3" t="s">
        <v>2242</v>
      </c>
      <c r="X205" s="3" t="s">
        <v>2246</v>
      </c>
      <c r="Y205" s="3" t="s">
        <v>2247</v>
      </c>
      <c r="Z205" s="3" t="s">
        <v>2248</v>
      </c>
      <c r="AA205" s="3" t="s">
        <v>32</v>
      </c>
      <c r="AB205" s="3" t="s">
        <v>32</v>
      </c>
      <c r="AC205" s="3" t="s">
        <v>40</v>
      </c>
      <c r="AD205" s="3" t="s">
        <v>80</v>
      </c>
    </row>
    <row r="206">
      <c r="A206" s="5" t="s">
        <v>2249</v>
      </c>
      <c r="B206" s="3" t="s">
        <v>50</v>
      </c>
      <c r="C206" s="3" t="s">
        <v>51</v>
      </c>
      <c r="D206" s="3">
        <v>2017.0</v>
      </c>
      <c r="E206" s="3">
        <v>5.0</v>
      </c>
      <c r="F206" s="3" t="s">
        <v>32</v>
      </c>
      <c r="G206" s="3">
        <v>5.15898971E8</v>
      </c>
      <c r="H206" s="3" t="s">
        <v>2250</v>
      </c>
      <c r="I206" s="3" t="s">
        <v>2251</v>
      </c>
      <c r="J206" s="3" t="s">
        <v>2252</v>
      </c>
      <c r="K206" s="3" t="s">
        <v>2253</v>
      </c>
      <c r="L206" s="4"/>
      <c r="M206" s="5" t="s">
        <v>2254</v>
      </c>
      <c r="N206" s="3" t="s">
        <v>2255</v>
      </c>
      <c r="O206" s="3" t="s">
        <v>75</v>
      </c>
      <c r="P206" s="3" t="s">
        <v>40</v>
      </c>
      <c r="Q206" s="3">
        <v>6492129.0</v>
      </c>
      <c r="R206" s="3" t="s">
        <v>40</v>
      </c>
      <c r="S206" s="3" t="s">
        <v>40</v>
      </c>
      <c r="T206" s="3" t="s">
        <v>41</v>
      </c>
      <c r="U206" s="3" t="s">
        <v>2256</v>
      </c>
      <c r="V206" s="3" t="s">
        <v>40</v>
      </c>
      <c r="W206" s="3" t="s">
        <v>2256</v>
      </c>
      <c r="X206" s="3" t="s">
        <v>2257</v>
      </c>
      <c r="Y206" s="3" t="s">
        <v>2258</v>
      </c>
      <c r="Z206" s="3" t="s">
        <v>2259</v>
      </c>
      <c r="AA206" s="3" t="s">
        <v>47</v>
      </c>
      <c r="AB206" s="3" t="s">
        <v>32</v>
      </c>
      <c r="AC206" s="3" t="s">
        <v>40</v>
      </c>
      <c r="AD206" s="3" t="s">
        <v>80</v>
      </c>
    </row>
    <row r="207">
      <c r="A207" s="3" t="s">
        <v>2260</v>
      </c>
      <c r="B207" s="3" t="s">
        <v>82</v>
      </c>
      <c r="C207" s="3" t="s">
        <v>51</v>
      </c>
      <c r="D207" s="3">
        <v>2009.0</v>
      </c>
      <c r="E207" s="3">
        <v>5.0</v>
      </c>
      <c r="F207" s="3" t="s">
        <v>32</v>
      </c>
      <c r="G207" s="3">
        <v>5.14229954E8</v>
      </c>
      <c r="H207" s="3" t="s">
        <v>2261</v>
      </c>
      <c r="I207" s="3" t="s">
        <v>2262</v>
      </c>
      <c r="J207" s="3" t="s">
        <v>35</v>
      </c>
      <c r="K207" s="3" t="s">
        <v>2263</v>
      </c>
      <c r="L207" s="4"/>
      <c r="M207" s="5" t="s">
        <v>2264</v>
      </c>
      <c r="N207" s="3" t="s">
        <v>2265</v>
      </c>
      <c r="O207" s="3" t="s">
        <v>298</v>
      </c>
      <c r="P207" s="3" t="s">
        <v>40</v>
      </c>
      <c r="Q207" s="3">
        <v>4250717.0</v>
      </c>
      <c r="R207" s="3" t="s">
        <v>40</v>
      </c>
      <c r="S207" s="3" t="s">
        <v>40</v>
      </c>
      <c r="T207" s="3" t="s">
        <v>41</v>
      </c>
      <c r="U207" s="3" t="s">
        <v>2263</v>
      </c>
      <c r="V207" s="3" t="s">
        <v>2266</v>
      </c>
      <c r="W207" s="3" t="s">
        <v>2263</v>
      </c>
      <c r="X207" s="3" t="s">
        <v>2267</v>
      </c>
      <c r="Y207" s="3" t="s">
        <v>2268</v>
      </c>
      <c r="Z207" s="3" t="s">
        <v>2269</v>
      </c>
      <c r="AA207" s="3" t="s">
        <v>32</v>
      </c>
      <c r="AB207" s="3" t="s">
        <v>32</v>
      </c>
      <c r="AC207" s="3" t="s">
        <v>40</v>
      </c>
      <c r="AD207" s="3" t="s">
        <v>80</v>
      </c>
    </row>
    <row r="208">
      <c r="A208" s="3" t="s">
        <v>2270</v>
      </c>
      <c r="B208" s="3" t="s">
        <v>82</v>
      </c>
      <c r="C208" s="3" t="s">
        <v>1518</v>
      </c>
      <c r="D208" s="3">
        <v>2024.0</v>
      </c>
      <c r="E208" s="3">
        <v>5.0</v>
      </c>
      <c r="F208" s="3" t="s">
        <v>32</v>
      </c>
      <c r="G208" s="3" t="s">
        <v>40</v>
      </c>
      <c r="H208" s="3" t="s">
        <v>2271</v>
      </c>
      <c r="I208" s="3" t="s">
        <v>2262</v>
      </c>
      <c r="J208" s="3" t="s">
        <v>35</v>
      </c>
      <c r="K208" s="3" t="s">
        <v>2263</v>
      </c>
      <c r="L208" s="4"/>
      <c r="M208" s="5" t="s">
        <v>2272</v>
      </c>
      <c r="N208" s="3" t="s">
        <v>40</v>
      </c>
      <c r="O208" s="3" t="s">
        <v>298</v>
      </c>
      <c r="P208" s="3" t="s">
        <v>40</v>
      </c>
      <c r="Q208" s="3" t="s">
        <v>40</v>
      </c>
      <c r="R208" s="3" t="s">
        <v>40</v>
      </c>
      <c r="S208" s="3" t="s">
        <v>40</v>
      </c>
      <c r="T208" s="3" t="s">
        <v>41</v>
      </c>
      <c r="U208" s="3" t="s">
        <v>40</v>
      </c>
      <c r="V208" s="3" t="s">
        <v>2273</v>
      </c>
      <c r="W208" s="3" t="s">
        <v>40</v>
      </c>
      <c r="X208" s="3" t="s">
        <v>2274</v>
      </c>
      <c r="Y208" s="3" t="s">
        <v>2275</v>
      </c>
      <c r="Z208" s="3" t="s">
        <v>2276</v>
      </c>
      <c r="AA208" s="3" t="s">
        <v>32</v>
      </c>
      <c r="AB208" s="3" t="s">
        <v>32</v>
      </c>
      <c r="AC208" s="3" t="s">
        <v>40</v>
      </c>
      <c r="AD208" s="3" t="s">
        <v>80</v>
      </c>
    </row>
    <row r="209">
      <c r="A209" s="3" t="s">
        <v>2277</v>
      </c>
      <c r="B209" s="3" t="s">
        <v>50</v>
      </c>
      <c r="C209" s="3" t="s">
        <v>31</v>
      </c>
      <c r="D209" s="3">
        <v>2018.0</v>
      </c>
      <c r="E209" s="3">
        <v>5.0</v>
      </c>
      <c r="F209" s="3" t="s">
        <v>32</v>
      </c>
      <c r="G209" s="3" t="s">
        <v>40</v>
      </c>
      <c r="H209" s="3" t="s">
        <v>2278</v>
      </c>
      <c r="I209" s="3" t="s">
        <v>2279</v>
      </c>
      <c r="J209" s="3" t="s">
        <v>54</v>
      </c>
      <c r="K209" s="3" t="s">
        <v>2280</v>
      </c>
      <c r="L209" s="4"/>
      <c r="M209" s="5" t="s">
        <v>2281</v>
      </c>
      <c r="N209" s="3" t="s">
        <v>2282</v>
      </c>
      <c r="O209" s="3" t="s">
        <v>40</v>
      </c>
      <c r="P209" s="3" t="s">
        <v>40</v>
      </c>
      <c r="Q209" s="3">
        <v>1430.0</v>
      </c>
      <c r="R209" s="3" t="s">
        <v>40</v>
      </c>
      <c r="S209" s="3" t="s">
        <v>40</v>
      </c>
      <c r="T209" s="3" t="s">
        <v>2283</v>
      </c>
      <c r="U209" s="3" t="s">
        <v>40</v>
      </c>
      <c r="V209" s="3" t="s">
        <v>2284</v>
      </c>
      <c r="W209" s="3" t="s">
        <v>2280</v>
      </c>
      <c r="X209" s="3" t="s">
        <v>2285</v>
      </c>
      <c r="Y209" s="3" t="s">
        <v>2286</v>
      </c>
      <c r="Z209" s="3" t="s">
        <v>2287</v>
      </c>
      <c r="AA209" s="3" t="s">
        <v>32</v>
      </c>
      <c r="AB209" s="3" t="s">
        <v>32</v>
      </c>
      <c r="AC209" s="3" t="s">
        <v>40</v>
      </c>
      <c r="AD209" s="3" t="s">
        <v>80</v>
      </c>
    </row>
    <row r="210">
      <c r="A210" s="3" t="s">
        <v>2288</v>
      </c>
      <c r="B210" s="3" t="s">
        <v>50</v>
      </c>
      <c r="C210" s="3" t="s">
        <v>1518</v>
      </c>
      <c r="D210" s="3">
        <v>2018.0</v>
      </c>
      <c r="E210" s="3">
        <v>5.0</v>
      </c>
      <c r="F210" s="3" t="s">
        <v>32</v>
      </c>
      <c r="G210" s="3" t="s">
        <v>40</v>
      </c>
      <c r="H210" s="3" t="s">
        <v>2289</v>
      </c>
      <c r="I210" s="3" t="s">
        <v>2290</v>
      </c>
      <c r="J210" s="3" t="s">
        <v>54</v>
      </c>
      <c r="K210" s="3" t="s">
        <v>2291</v>
      </c>
      <c r="L210" s="4"/>
      <c r="M210" s="5" t="s">
        <v>2292</v>
      </c>
      <c r="N210" s="3" t="s">
        <v>40</v>
      </c>
      <c r="O210" s="3" t="s">
        <v>147</v>
      </c>
      <c r="P210" s="3" t="s">
        <v>40</v>
      </c>
      <c r="Q210" s="3" t="s">
        <v>40</v>
      </c>
      <c r="R210" s="3" t="s">
        <v>40</v>
      </c>
      <c r="S210" s="3" t="s">
        <v>40</v>
      </c>
      <c r="T210" s="3" t="s">
        <v>41</v>
      </c>
      <c r="U210" s="3" t="s">
        <v>2291</v>
      </c>
      <c r="V210" s="3" t="s">
        <v>40</v>
      </c>
      <c r="W210" s="3" t="s">
        <v>2291</v>
      </c>
      <c r="X210" s="3" t="s">
        <v>2293</v>
      </c>
      <c r="Y210" s="3" t="s">
        <v>2294</v>
      </c>
      <c r="Z210" s="3" t="s">
        <v>1683</v>
      </c>
      <c r="AA210" s="3" t="s">
        <v>32</v>
      </c>
      <c r="AB210" s="3" t="s">
        <v>32</v>
      </c>
      <c r="AC210" s="3" t="s">
        <v>40</v>
      </c>
      <c r="AD210" s="3" t="s">
        <v>48</v>
      </c>
    </row>
    <row r="211">
      <c r="A211" s="3" t="s">
        <v>2295</v>
      </c>
      <c r="B211" s="3" t="s">
        <v>82</v>
      </c>
      <c r="C211" s="3" t="s">
        <v>1518</v>
      </c>
      <c r="D211" s="3">
        <v>2025.0</v>
      </c>
      <c r="E211" s="3">
        <v>5.0</v>
      </c>
      <c r="F211" s="3" t="s">
        <v>32</v>
      </c>
      <c r="G211" s="3">
        <v>5.171855E8</v>
      </c>
      <c r="H211" s="3" t="s">
        <v>2296</v>
      </c>
      <c r="I211" s="3" t="s">
        <v>2297</v>
      </c>
      <c r="J211" s="3" t="s">
        <v>35</v>
      </c>
      <c r="K211" s="3" t="s">
        <v>2298</v>
      </c>
      <c r="L211" s="4"/>
      <c r="M211" s="5" t="s">
        <v>2299</v>
      </c>
      <c r="N211" s="3" t="s">
        <v>2300</v>
      </c>
      <c r="O211" s="3" t="s">
        <v>582</v>
      </c>
      <c r="P211" s="3" t="s">
        <v>40</v>
      </c>
      <c r="Q211" s="3">
        <v>8712801.0</v>
      </c>
      <c r="R211" s="3" t="s">
        <v>40</v>
      </c>
      <c r="S211" s="3" t="s">
        <v>40</v>
      </c>
      <c r="T211" s="3" t="s">
        <v>41</v>
      </c>
      <c r="U211" s="3" t="s">
        <v>40</v>
      </c>
      <c r="V211" s="3" t="s">
        <v>40</v>
      </c>
      <c r="W211" s="3" t="s">
        <v>40</v>
      </c>
      <c r="X211" s="3" t="s">
        <v>2301</v>
      </c>
      <c r="Y211" s="3" t="s">
        <v>290</v>
      </c>
      <c r="Z211" s="3" t="s">
        <v>66</v>
      </c>
      <c r="AA211" s="3" t="s">
        <v>32</v>
      </c>
      <c r="AB211" s="3" t="s">
        <v>32</v>
      </c>
      <c r="AC211" s="3" t="s">
        <v>40</v>
      </c>
      <c r="AD211" s="3" t="s">
        <v>80</v>
      </c>
    </row>
    <row r="212">
      <c r="A212" s="3" t="s">
        <v>2302</v>
      </c>
      <c r="B212" s="3" t="s">
        <v>30</v>
      </c>
      <c r="C212" s="3" t="s">
        <v>51</v>
      </c>
      <c r="D212" s="3">
        <v>2014.0</v>
      </c>
      <c r="E212" s="3">
        <v>5.0</v>
      </c>
      <c r="F212" s="3" t="s">
        <v>32</v>
      </c>
      <c r="G212" s="3">
        <v>5.15746824E8</v>
      </c>
      <c r="H212" s="3" t="s">
        <v>2303</v>
      </c>
      <c r="I212" s="3" t="s">
        <v>2304</v>
      </c>
      <c r="J212" s="3" t="s">
        <v>71</v>
      </c>
      <c r="K212" s="3" t="s">
        <v>2305</v>
      </c>
      <c r="L212" s="4"/>
      <c r="M212" s="5" t="s">
        <v>2306</v>
      </c>
      <c r="N212" s="3" t="s">
        <v>2307</v>
      </c>
      <c r="O212" s="3" t="s">
        <v>2308</v>
      </c>
      <c r="P212" s="3" t="s">
        <v>40</v>
      </c>
      <c r="Q212" s="3">
        <v>7302.0</v>
      </c>
      <c r="R212" s="3" t="s">
        <v>1790</v>
      </c>
      <c r="S212" s="3" t="s">
        <v>40</v>
      </c>
      <c r="T212" s="3" t="s">
        <v>60</v>
      </c>
      <c r="U212" s="3" t="s">
        <v>2309</v>
      </c>
      <c r="V212" s="3" t="s">
        <v>2310</v>
      </c>
      <c r="W212" s="3" t="s">
        <v>2309</v>
      </c>
      <c r="X212" s="3" t="s">
        <v>2311</v>
      </c>
      <c r="Y212" s="3" t="s">
        <v>2312</v>
      </c>
      <c r="Z212" s="3" t="s">
        <v>523</v>
      </c>
      <c r="AA212" s="3" t="s">
        <v>47</v>
      </c>
      <c r="AB212" s="3" t="s">
        <v>32</v>
      </c>
      <c r="AC212" s="3" t="s">
        <v>40</v>
      </c>
      <c r="AD212" s="3" t="s">
        <v>80</v>
      </c>
    </row>
    <row r="213">
      <c r="A213" s="3" t="s">
        <v>2313</v>
      </c>
      <c r="B213" s="3" t="s">
        <v>30</v>
      </c>
      <c r="C213" s="3" t="s">
        <v>1518</v>
      </c>
      <c r="D213" s="3">
        <v>2024.0</v>
      </c>
      <c r="E213" s="3">
        <v>5.0</v>
      </c>
      <c r="F213" s="3" t="s">
        <v>32</v>
      </c>
      <c r="G213" s="3" t="s">
        <v>40</v>
      </c>
      <c r="H213" s="3" t="s">
        <v>2314</v>
      </c>
      <c r="I213" s="3" t="s">
        <v>2315</v>
      </c>
      <c r="J213" s="3" t="s">
        <v>35</v>
      </c>
      <c r="K213" s="3" t="s">
        <v>2316</v>
      </c>
      <c r="L213" s="4"/>
      <c r="M213" s="5" t="s">
        <v>2317</v>
      </c>
      <c r="N213" s="3" t="s">
        <v>40</v>
      </c>
      <c r="O213" s="3" t="s">
        <v>75</v>
      </c>
      <c r="P213" s="3" t="s">
        <v>40</v>
      </c>
      <c r="Q213" s="3" t="s">
        <v>40</v>
      </c>
      <c r="R213" s="3" t="s">
        <v>40</v>
      </c>
      <c r="S213" s="3" t="s">
        <v>40</v>
      </c>
      <c r="T213" s="3" t="s">
        <v>41</v>
      </c>
      <c r="U213" s="3" t="s">
        <v>2318</v>
      </c>
      <c r="V213" s="3" t="s">
        <v>40</v>
      </c>
      <c r="W213" s="3" t="s">
        <v>2318</v>
      </c>
      <c r="X213" s="3" t="s">
        <v>2319</v>
      </c>
      <c r="Y213" s="3" t="s">
        <v>2000</v>
      </c>
      <c r="Z213" s="3" t="s">
        <v>1900</v>
      </c>
      <c r="AA213" s="3" t="s">
        <v>32</v>
      </c>
      <c r="AB213" s="3" t="s">
        <v>32</v>
      </c>
      <c r="AC213" s="3" t="s">
        <v>40</v>
      </c>
      <c r="AD213" s="3" t="s">
        <v>216</v>
      </c>
    </row>
    <row r="214">
      <c r="A214" s="3" t="s">
        <v>2320</v>
      </c>
      <c r="B214" s="3" t="s">
        <v>68</v>
      </c>
      <c r="C214" s="3" t="s">
        <v>31</v>
      </c>
      <c r="D214" s="3">
        <v>2023.0</v>
      </c>
      <c r="E214" s="3">
        <v>5.0</v>
      </c>
      <c r="F214" s="3" t="s">
        <v>32</v>
      </c>
      <c r="G214" s="3" t="s">
        <v>40</v>
      </c>
      <c r="H214" s="3" t="s">
        <v>2321</v>
      </c>
      <c r="I214" s="3" t="s">
        <v>2322</v>
      </c>
      <c r="J214" s="3" t="s">
        <v>2323</v>
      </c>
      <c r="K214" s="3" t="s">
        <v>2324</v>
      </c>
      <c r="L214" s="4"/>
      <c r="M214" s="5" t="s">
        <v>2325</v>
      </c>
      <c r="N214" s="3" t="s">
        <v>40</v>
      </c>
      <c r="O214" s="3" t="s">
        <v>75</v>
      </c>
      <c r="P214" s="3" t="s">
        <v>40</v>
      </c>
      <c r="Q214" s="3" t="s">
        <v>40</v>
      </c>
      <c r="R214" s="3" t="s">
        <v>40</v>
      </c>
      <c r="S214" s="3" t="s">
        <v>40</v>
      </c>
      <c r="T214" s="3" t="s">
        <v>41</v>
      </c>
      <c r="U214" s="3" t="s">
        <v>2324</v>
      </c>
      <c r="V214" s="3" t="s">
        <v>2326</v>
      </c>
      <c r="W214" s="3" t="s">
        <v>2324</v>
      </c>
      <c r="X214" s="3" t="s">
        <v>2327</v>
      </c>
      <c r="Y214" s="3" t="s">
        <v>2328</v>
      </c>
      <c r="Z214" s="3" t="s">
        <v>873</v>
      </c>
      <c r="AA214" s="3" t="s">
        <v>47</v>
      </c>
      <c r="AB214" s="3" t="s">
        <v>32</v>
      </c>
      <c r="AC214" s="3" t="s">
        <v>40</v>
      </c>
      <c r="AD214" s="3" t="s">
        <v>80</v>
      </c>
    </row>
    <row r="215">
      <c r="A215" s="3" t="s">
        <v>2329</v>
      </c>
      <c r="B215" s="3" t="s">
        <v>30</v>
      </c>
      <c r="C215" s="3" t="s">
        <v>51</v>
      </c>
      <c r="D215" s="3">
        <v>2011.0</v>
      </c>
      <c r="E215" s="3">
        <v>5.0</v>
      </c>
      <c r="F215" s="3" t="s">
        <v>32</v>
      </c>
      <c r="G215" s="3">
        <v>5.14503416E8</v>
      </c>
      <c r="H215" s="3" t="s">
        <v>2330</v>
      </c>
      <c r="I215" s="3" t="s">
        <v>2331</v>
      </c>
      <c r="J215" s="3" t="s">
        <v>35</v>
      </c>
      <c r="K215" s="3" t="s">
        <v>2332</v>
      </c>
      <c r="L215" s="4"/>
      <c r="M215" s="5" t="s">
        <v>2333</v>
      </c>
      <c r="N215" s="3" t="s">
        <v>2334</v>
      </c>
      <c r="O215" s="3" t="s">
        <v>485</v>
      </c>
      <c r="P215" s="3">
        <v>9533.0</v>
      </c>
      <c r="Q215" s="3">
        <v>3566104.0</v>
      </c>
      <c r="R215" s="3" t="s">
        <v>40</v>
      </c>
      <c r="S215" s="3" t="s">
        <v>40</v>
      </c>
      <c r="T215" s="3" t="s">
        <v>41</v>
      </c>
      <c r="U215" s="3" t="s">
        <v>2335</v>
      </c>
      <c r="V215" s="3" t="s">
        <v>2336</v>
      </c>
      <c r="W215" s="3" t="s">
        <v>2335</v>
      </c>
      <c r="X215" s="3" t="s">
        <v>2337</v>
      </c>
      <c r="Y215" s="3" t="s">
        <v>2338</v>
      </c>
      <c r="Z215" s="3" t="s">
        <v>66</v>
      </c>
      <c r="AA215" s="3" t="s">
        <v>32</v>
      </c>
      <c r="AB215" s="3" t="s">
        <v>32</v>
      </c>
      <c r="AC215" s="3" t="s">
        <v>40</v>
      </c>
      <c r="AD215" s="3" t="s">
        <v>48</v>
      </c>
    </row>
    <row r="216">
      <c r="A216" s="3" t="s">
        <v>2339</v>
      </c>
      <c r="B216" s="3" t="s">
        <v>50</v>
      </c>
      <c r="C216" s="3" t="s">
        <v>31</v>
      </c>
      <c r="D216" s="3">
        <v>2022.0</v>
      </c>
      <c r="E216" s="3">
        <v>5.0</v>
      </c>
      <c r="F216" s="3" t="s">
        <v>32</v>
      </c>
      <c r="G216" s="3">
        <v>5.16565934E8</v>
      </c>
      <c r="H216" s="3" t="s">
        <v>2340</v>
      </c>
      <c r="I216" s="3" t="s">
        <v>2341</v>
      </c>
      <c r="J216" s="3" t="s">
        <v>54</v>
      </c>
      <c r="K216" s="3" t="s">
        <v>2342</v>
      </c>
      <c r="L216" s="4"/>
      <c r="M216" s="5" t="s">
        <v>2343</v>
      </c>
      <c r="N216" s="3" t="s">
        <v>2344</v>
      </c>
      <c r="O216" s="3" t="s">
        <v>75</v>
      </c>
      <c r="P216" s="3" t="s">
        <v>40</v>
      </c>
      <c r="Q216" s="3">
        <v>6812508.0</v>
      </c>
      <c r="R216" s="3" t="s">
        <v>40</v>
      </c>
      <c r="S216" s="3" t="s">
        <v>40</v>
      </c>
      <c r="T216" s="3" t="s">
        <v>41</v>
      </c>
      <c r="U216" s="3" t="s">
        <v>2345</v>
      </c>
      <c r="V216" s="3" t="s">
        <v>2346</v>
      </c>
      <c r="W216" s="3" t="s">
        <v>2345</v>
      </c>
      <c r="X216" s="3" t="s">
        <v>2347</v>
      </c>
      <c r="Y216" s="3" t="s">
        <v>2348</v>
      </c>
      <c r="Z216" s="3" t="s">
        <v>66</v>
      </c>
      <c r="AA216" s="3" t="s">
        <v>32</v>
      </c>
      <c r="AB216" s="3" t="s">
        <v>32</v>
      </c>
      <c r="AC216" s="3" t="s">
        <v>40</v>
      </c>
      <c r="AD216" s="3" t="s">
        <v>80</v>
      </c>
    </row>
    <row r="217">
      <c r="A217" s="3" t="s">
        <v>2349</v>
      </c>
      <c r="B217" s="3" t="s">
        <v>82</v>
      </c>
      <c r="C217" s="3" t="s">
        <v>31</v>
      </c>
      <c r="D217" s="3">
        <v>2023.0</v>
      </c>
      <c r="E217" s="3">
        <v>5.0</v>
      </c>
      <c r="F217" s="3" t="s">
        <v>32</v>
      </c>
      <c r="G217" s="3">
        <v>5.16828308E8</v>
      </c>
      <c r="H217" s="3" t="s">
        <v>2350</v>
      </c>
      <c r="I217" s="3" t="s">
        <v>2351</v>
      </c>
      <c r="J217" s="3" t="s">
        <v>35</v>
      </c>
      <c r="K217" s="3" t="s">
        <v>2352</v>
      </c>
      <c r="L217" s="4"/>
      <c r="M217" s="5" t="s">
        <v>2353</v>
      </c>
      <c r="N217" s="3" t="s">
        <v>2354</v>
      </c>
      <c r="O217" s="3" t="s">
        <v>298</v>
      </c>
      <c r="P217" s="3" t="s">
        <v>40</v>
      </c>
      <c r="Q217" s="3">
        <v>4275636.0</v>
      </c>
      <c r="R217" s="3" t="s">
        <v>40</v>
      </c>
      <c r="S217" s="3" t="s">
        <v>40</v>
      </c>
      <c r="T217" s="3" t="s">
        <v>41</v>
      </c>
      <c r="U217" s="3" t="s">
        <v>2355</v>
      </c>
      <c r="V217" s="3" t="s">
        <v>2356</v>
      </c>
      <c r="W217" s="3" t="s">
        <v>2355</v>
      </c>
      <c r="X217" s="3" t="s">
        <v>2357</v>
      </c>
      <c r="Y217" s="3" t="s">
        <v>290</v>
      </c>
      <c r="Z217" s="3" t="s">
        <v>66</v>
      </c>
      <c r="AA217" s="3" t="s">
        <v>32</v>
      </c>
      <c r="AB217" s="3" t="s">
        <v>32</v>
      </c>
      <c r="AC217" s="3" t="s">
        <v>40</v>
      </c>
      <c r="AD217" s="3" t="s">
        <v>80</v>
      </c>
    </row>
    <row r="218">
      <c r="A218" s="3" t="s">
        <v>2358</v>
      </c>
      <c r="B218" s="3" t="s">
        <v>50</v>
      </c>
      <c r="C218" s="3" t="s">
        <v>51</v>
      </c>
      <c r="D218" s="3">
        <v>1963.0</v>
      </c>
      <c r="E218" s="3">
        <v>5.0</v>
      </c>
      <c r="F218" s="3" t="s">
        <v>32</v>
      </c>
      <c r="G218" s="3">
        <v>5.12283763E8</v>
      </c>
      <c r="H218" s="3" t="s">
        <v>2359</v>
      </c>
      <c r="I218" s="3" t="s">
        <v>2360</v>
      </c>
      <c r="J218" s="3" t="s">
        <v>2361</v>
      </c>
      <c r="K218" s="3" t="s">
        <v>2362</v>
      </c>
      <c r="L218" s="4"/>
      <c r="M218" s="5" t="s">
        <v>2363</v>
      </c>
      <c r="N218" s="3" t="s">
        <v>2364</v>
      </c>
      <c r="O218" s="3" t="s">
        <v>1543</v>
      </c>
      <c r="P218" s="3">
        <v>103.0</v>
      </c>
      <c r="Q218" s="3">
        <v>5691502.0</v>
      </c>
      <c r="R218" s="3" t="s">
        <v>40</v>
      </c>
      <c r="S218" s="3" t="s">
        <v>40</v>
      </c>
      <c r="T218" s="3" t="s">
        <v>41</v>
      </c>
      <c r="U218" s="3" t="s">
        <v>2362</v>
      </c>
      <c r="V218" s="3" t="s">
        <v>2365</v>
      </c>
      <c r="W218" s="3" t="s">
        <v>2366</v>
      </c>
      <c r="X218" s="3" t="s">
        <v>2367</v>
      </c>
      <c r="Y218" s="3" t="s">
        <v>2368</v>
      </c>
      <c r="Z218" s="3" t="s">
        <v>2369</v>
      </c>
      <c r="AA218" s="3" t="s">
        <v>32</v>
      </c>
      <c r="AB218" s="3" t="s">
        <v>32</v>
      </c>
      <c r="AC218" s="3" t="s">
        <v>40</v>
      </c>
      <c r="AD218" s="3" t="s">
        <v>80</v>
      </c>
    </row>
    <row r="219">
      <c r="A219" s="3" t="s">
        <v>2370</v>
      </c>
      <c r="B219" s="3" t="s">
        <v>30</v>
      </c>
      <c r="C219" s="3" t="s">
        <v>51</v>
      </c>
      <c r="D219" s="3">
        <v>2014.0</v>
      </c>
      <c r="E219" s="3">
        <v>5.0</v>
      </c>
      <c r="F219" s="3" t="s">
        <v>32</v>
      </c>
      <c r="G219" s="3">
        <v>5.14983121E8</v>
      </c>
      <c r="H219" s="3" t="s">
        <v>2371</v>
      </c>
      <c r="I219" s="3" t="s">
        <v>2372</v>
      </c>
      <c r="J219" s="3" t="s">
        <v>71</v>
      </c>
      <c r="K219" s="3" t="s">
        <v>2373</v>
      </c>
      <c r="L219" s="4"/>
      <c r="M219" s="5" t="s">
        <v>2374</v>
      </c>
      <c r="N219" s="3" t="s">
        <v>1851</v>
      </c>
      <c r="O219" s="3" t="s">
        <v>1397</v>
      </c>
      <c r="P219" s="3" t="s">
        <v>40</v>
      </c>
      <c r="Q219" s="3">
        <v>8470912.0</v>
      </c>
      <c r="R219" s="3" t="s">
        <v>40</v>
      </c>
      <c r="S219" s="3" t="s">
        <v>40</v>
      </c>
      <c r="T219" s="3" t="s">
        <v>41</v>
      </c>
      <c r="U219" s="3" t="s">
        <v>2375</v>
      </c>
      <c r="V219" s="3" t="s">
        <v>2376</v>
      </c>
      <c r="W219" s="3" t="s">
        <v>2375</v>
      </c>
      <c r="X219" s="3" t="s">
        <v>2377</v>
      </c>
      <c r="Y219" s="3" t="s">
        <v>2378</v>
      </c>
      <c r="Z219" s="3" t="s">
        <v>1900</v>
      </c>
      <c r="AA219" s="3" t="s">
        <v>47</v>
      </c>
      <c r="AB219" s="3" t="s">
        <v>47</v>
      </c>
      <c r="AC219" s="3">
        <v>5.15</v>
      </c>
      <c r="AD219" s="3" t="s">
        <v>80</v>
      </c>
    </row>
    <row r="220">
      <c r="A220" s="6" t="s">
        <v>2379</v>
      </c>
      <c r="B220" s="6" t="s">
        <v>154</v>
      </c>
      <c r="C220" s="6" t="s">
        <v>51</v>
      </c>
      <c r="D220" s="6">
        <v>2019.0</v>
      </c>
      <c r="E220" s="6">
        <v>5.0</v>
      </c>
      <c r="F220" s="6" t="s">
        <v>32</v>
      </c>
      <c r="G220" s="6">
        <v>5.16051398E8</v>
      </c>
      <c r="H220" s="6" t="s">
        <v>2380</v>
      </c>
      <c r="I220" s="6" t="s">
        <v>2381</v>
      </c>
      <c r="J220" s="6" t="s">
        <v>35</v>
      </c>
      <c r="K220" s="6" t="s">
        <v>2382</v>
      </c>
      <c r="L220" s="4"/>
      <c r="M220" s="7" t="s">
        <v>2383</v>
      </c>
      <c r="N220" s="6" t="s">
        <v>2384</v>
      </c>
      <c r="O220" s="6" t="s">
        <v>75</v>
      </c>
      <c r="P220" s="6" t="s">
        <v>40</v>
      </c>
      <c r="Q220" s="6">
        <v>6382441.0</v>
      </c>
      <c r="R220" s="6" t="s">
        <v>40</v>
      </c>
      <c r="S220" s="6" t="s">
        <v>40</v>
      </c>
      <c r="T220" s="6" t="s">
        <v>41</v>
      </c>
      <c r="U220" s="6" t="s">
        <v>2385</v>
      </c>
      <c r="V220" s="6" t="s">
        <v>40</v>
      </c>
      <c r="W220" s="6" t="s">
        <v>2385</v>
      </c>
      <c r="X220" s="6" t="s">
        <v>2386</v>
      </c>
      <c r="Y220" s="6" t="s">
        <v>2387</v>
      </c>
      <c r="Z220" s="6" t="s">
        <v>2388</v>
      </c>
      <c r="AA220" s="6" t="s">
        <v>47</v>
      </c>
      <c r="AB220" s="6" t="s">
        <v>32</v>
      </c>
      <c r="AC220" s="6">
        <v>0.12</v>
      </c>
      <c r="AD220" s="6" t="s">
        <v>80</v>
      </c>
    </row>
    <row r="221">
      <c r="A221" s="3" t="s">
        <v>2389</v>
      </c>
      <c r="B221" s="3" t="s">
        <v>68</v>
      </c>
      <c r="C221" s="3" t="s">
        <v>31</v>
      </c>
      <c r="D221" s="3">
        <v>2015.0</v>
      </c>
      <c r="E221" s="3">
        <v>5.0</v>
      </c>
      <c r="F221" s="3" t="s">
        <v>32</v>
      </c>
      <c r="G221" s="3">
        <v>5.15265718E8</v>
      </c>
      <c r="H221" s="3" t="s">
        <v>2390</v>
      </c>
      <c r="I221" s="3" t="s">
        <v>2391</v>
      </c>
      <c r="J221" s="3" t="s">
        <v>35</v>
      </c>
      <c r="K221" s="3" t="s">
        <v>2392</v>
      </c>
      <c r="L221" s="4"/>
      <c r="M221" s="5" t="s">
        <v>2393</v>
      </c>
      <c r="N221" s="3" t="s">
        <v>2394</v>
      </c>
      <c r="O221" s="3" t="s">
        <v>147</v>
      </c>
      <c r="P221" s="3" t="s">
        <v>40</v>
      </c>
      <c r="Q221" s="3">
        <v>9338502.0</v>
      </c>
      <c r="R221" s="3" t="s">
        <v>40</v>
      </c>
      <c r="S221" s="3" t="s">
        <v>40</v>
      </c>
      <c r="T221" s="3" t="s">
        <v>41</v>
      </c>
      <c r="U221" s="3" t="s">
        <v>2395</v>
      </c>
      <c r="V221" s="3" t="s">
        <v>2396</v>
      </c>
      <c r="W221" s="3" t="s">
        <v>2395</v>
      </c>
      <c r="X221" s="3" t="s">
        <v>2397</v>
      </c>
      <c r="Y221" s="3" t="s">
        <v>2398</v>
      </c>
      <c r="Z221" s="3" t="s">
        <v>523</v>
      </c>
      <c r="AA221" s="3" t="s">
        <v>32</v>
      </c>
      <c r="AB221" s="3" t="s">
        <v>32</v>
      </c>
      <c r="AC221" s="3" t="s">
        <v>40</v>
      </c>
      <c r="AD221" s="3" t="s">
        <v>80</v>
      </c>
    </row>
    <row r="222">
      <c r="A222" s="20" t="s">
        <v>2399</v>
      </c>
      <c r="B222" s="20" t="s">
        <v>82</v>
      </c>
      <c r="C222" s="20" t="s">
        <v>31</v>
      </c>
      <c r="D222" s="20">
        <v>2020.0</v>
      </c>
      <c r="E222" s="20">
        <v>5.0</v>
      </c>
      <c r="F222" s="20" t="s">
        <v>32</v>
      </c>
      <c r="G222" s="20">
        <v>5.16501095E8</v>
      </c>
      <c r="H222" s="20" t="s">
        <v>2400</v>
      </c>
      <c r="I222" s="20" t="s">
        <v>2401</v>
      </c>
      <c r="J222" s="20" t="s">
        <v>35</v>
      </c>
      <c r="K222" s="20" t="s">
        <v>2402</v>
      </c>
      <c r="L222" s="21"/>
      <c r="M222" s="22" t="s">
        <v>2403</v>
      </c>
      <c r="N222" s="20" t="s">
        <v>2404</v>
      </c>
      <c r="O222" s="20" t="s">
        <v>2405</v>
      </c>
      <c r="P222" s="20" t="s">
        <v>40</v>
      </c>
      <c r="Q222" s="20">
        <v>6092000.0</v>
      </c>
      <c r="R222" s="20" t="s">
        <v>40</v>
      </c>
      <c r="S222" s="20" t="s">
        <v>40</v>
      </c>
      <c r="T222" s="20" t="s">
        <v>41</v>
      </c>
      <c r="U222" s="20" t="s">
        <v>40</v>
      </c>
      <c r="V222" s="20" t="s">
        <v>2406</v>
      </c>
      <c r="W222" s="20" t="s">
        <v>40</v>
      </c>
      <c r="X222" s="20" t="s">
        <v>2407</v>
      </c>
      <c r="Y222" s="20" t="s">
        <v>290</v>
      </c>
      <c r="Z222" s="20" t="s">
        <v>201</v>
      </c>
      <c r="AA222" s="20" t="s">
        <v>32</v>
      </c>
      <c r="AB222" s="20" t="s">
        <v>32</v>
      </c>
      <c r="AC222" s="20" t="s">
        <v>40</v>
      </c>
      <c r="AD222" s="20" t="s">
        <v>80</v>
      </c>
    </row>
    <row r="223">
      <c r="A223" s="3" t="s">
        <v>2408</v>
      </c>
      <c r="B223" s="3" t="s">
        <v>82</v>
      </c>
      <c r="C223" s="3" t="s">
        <v>51</v>
      </c>
      <c r="D223" s="3">
        <v>2014.0</v>
      </c>
      <c r="E223" s="3">
        <v>5.0</v>
      </c>
      <c r="F223" s="3" t="s">
        <v>32</v>
      </c>
      <c r="G223" s="3">
        <v>5.15305944E8</v>
      </c>
      <c r="H223" s="3" t="s">
        <v>2409</v>
      </c>
      <c r="I223" s="3" t="s">
        <v>2410</v>
      </c>
      <c r="J223" s="3" t="s">
        <v>54</v>
      </c>
      <c r="K223" s="3" t="s">
        <v>2411</v>
      </c>
      <c r="L223" s="4"/>
      <c r="M223" s="5" t="s">
        <v>2412</v>
      </c>
      <c r="N223" s="3" t="s">
        <v>2413</v>
      </c>
      <c r="O223" s="3" t="s">
        <v>2414</v>
      </c>
      <c r="P223" s="3" t="s">
        <v>40</v>
      </c>
      <c r="Q223" s="3">
        <v>2307049.0</v>
      </c>
      <c r="R223" s="3" t="s">
        <v>40</v>
      </c>
      <c r="S223" s="3" t="s">
        <v>40</v>
      </c>
      <c r="T223" s="3" t="s">
        <v>41</v>
      </c>
      <c r="U223" s="3" t="s">
        <v>2411</v>
      </c>
      <c r="V223" s="3" t="s">
        <v>2415</v>
      </c>
      <c r="W223" s="3" t="s">
        <v>2411</v>
      </c>
      <c r="X223" s="3" t="s">
        <v>2416</v>
      </c>
      <c r="Y223" s="3" t="s">
        <v>2417</v>
      </c>
      <c r="Z223" s="3" t="s">
        <v>2418</v>
      </c>
      <c r="AA223" s="3" t="s">
        <v>32</v>
      </c>
      <c r="AB223" s="3" t="s">
        <v>32</v>
      </c>
      <c r="AC223" s="3" t="s">
        <v>40</v>
      </c>
      <c r="AD223" s="3" t="s">
        <v>80</v>
      </c>
    </row>
    <row r="224">
      <c r="A224" s="3" t="s">
        <v>2419</v>
      </c>
      <c r="B224" s="3" t="s">
        <v>82</v>
      </c>
      <c r="C224" s="3" t="s">
        <v>31</v>
      </c>
      <c r="D224" s="3">
        <v>2017.0</v>
      </c>
      <c r="E224" s="3">
        <v>5.0</v>
      </c>
      <c r="F224" s="3" t="s">
        <v>32</v>
      </c>
      <c r="G224" s="3" t="s">
        <v>40</v>
      </c>
      <c r="H224" s="3" t="s">
        <v>2420</v>
      </c>
      <c r="I224" s="3" t="s">
        <v>2421</v>
      </c>
      <c r="J224" s="3" t="s">
        <v>54</v>
      </c>
      <c r="K224" s="3" t="s">
        <v>2422</v>
      </c>
      <c r="L224" s="4"/>
      <c r="M224" s="5" t="s">
        <v>2423</v>
      </c>
      <c r="N224" s="3" t="s">
        <v>2424</v>
      </c>
      <c r="O224" s="3" t="s">
        <v>75</v>
      </c>
      <c r="P224" s="3" t="s">
        <v>40</v>
      </c>
      <c r="Q224" s="3">
        <v>6721516.0</v>
      </c>
      <c r="R224" s="3" t="s">
        <v>40</v>
      </c>
      <c r="S224" s="3" t="s">
        <v>40</v>
      </c>
      <c r="T224" s="3" t="s">
        <v>41</v>
      </c>
      <c r="U224" s="3" t="s">
        <v>2425</v>
      </c>
      <c r="V224" s="3" t="s">
        <v>40</v>
      </c>
      <c r="W224" s="3" t="s">
        <v>2425</v>
      </c>
      <c r="X224" s="3" t="s">
        <v>2426</v>
      </c>
      <c r="Y224" s="3" t="s">
        <v>2427</v>
      </c>
      <c r="Z224" s="3" t="s">
        <v>66</v>
      </c>
      <c r="AA224" s="3" t="s">
        <v>47</v>
      </c>
      <c r="AB224" s="3" t="s">
        <v>32</v>
      </c>
      <c r="AC224" s="3" t="s">
        <v>40</v>
      </c>
      <c r="AD224" s="3" t="s">
        <v>80</v>
      </c>
    </row>
    <row r="225">
      <c r="A225" s="3" t="s">
        <v>2428</v>
      </c>
      <c r="B225" s="3" t="s">
        <v>82</v>
      </c>
      <c r="C225" s="3" t="s">
        <v>51</v>
      </c>
      <c r="D225" s="3">
        <v>2016.0</v>
      </c>
      <c r="E225" s="3">
        <v>5.0</v>
      </c>
      <c r="F225" s="3" t="s">
        <v>32</v>
      </c>
      <c r="G225" s="3">
        <v>5.15331593E8</v>
      </c>
      <c r="H225" s="3" t="s">
        <v>2429</v>
      </c>
      <c r="I225" s="3" t="s">
        <v>2430</v>
      </c>
      <c r="J225" s="3" t="s">
        <v>35</v>
      </c>
      <c r="K225" s="3" t="s">
        <v>2431</v>
      </c>
      <c r="L225" s="4"/>
      <c r="M225" s="3" t="s">
        <v>40</v>
      </c>
      <c r="N225" s="3" t="s">
        <v>2432</v>
      </c>
      <c r="O225" s="3" t="s">
        <v>2433</v>
      </c>
      <c r="P225" s="3" t="s">
        <v>40</v>
      </c>
      <c r="Q225" s="3">
        <v>7760942.0</v>
      </c>
      <c r="R225" s="3" t="s">
        <v>40</v>
      </c>
      <c r="S225" s="3" t="s">
        <v>40</v>
      </c>
      <c r="T225" s="3" t="s">
        <v>41</v>
      </c>
      <c r="U225" s="3" t="s">
        <v>40</v>
      </c>
      <c r="V225" s="3" t="s">
        <v>2434</v>
      </c>
      <c r="W225" s="3" t="s">
        <v>2435</v>
      </c>
      <c r="X225" s="3" t="s">
        <v>2436</v>
      </c>
      <c r="Y225" s="3" t="s">
        <v>2437</v>
      </c>
      <c r="Z225" s="3" t="s">
        <v>66</v>
      </c>
      <c r="AA225" s="3" t="s">
        <v>32</v>
      </c>
      <c r="AB225" s="3" t="s">
        <v>32</v>
      </c>
      <c r="AC225" s="3" t="s">
        <v>40</v>
      </c>
      <c r="AD225" s="3" t="s">
        <v>80</v>
      </c>
    </row>
    <row r="226">
      <c r="A226" s="3" t="s">
        <v>2438</v>
      </c>
      <c r="B226" s="3" t="s">
        <v>82</v>
      </c>
      <c r="C226" s="3" t="s">
        <v>31</v>
      </c>
      <c r="D226" s="3">
        <v>2023.0</v>
      </c>
      <c r="E226" s="3">
        <v>5.0</v>
      </c>
      <c r="F226" s="3" t="s">
        <v>32</v>
      </c>
      <c r="G226" s="3">
        <v>5.16995115E8</v>
      </c>
      <c r="H226" s="3" t="s">
        <v>2439</v>
      </c>
      <c r="I226" s="3" t="s">
        <v>2440</v>
      </c>
      <c r="J226" s="3" t="s">
        <v>35</v>
      </c>
      <c r="K226" s="3" t="s">
        <v>2441</v>
      </c>
      <c r="L226" s="4"/>
      <c r="M226" s="5" t="s">
        <v>2442</v>
      </c>
      <c r="N226" s="3" t="s">
        <v>2443</v>
      </c>
      <c r="O226" s="3" t="s">
        <v>2444</v>
      </c>
      <c r="P226" s="3" t="s">
        <v>40</v>
      </c>
      <c r="Q226" s="3">
        <v>5126112.0</v>
      </c>
      <c r="R226" s="3" t="s">
        <v>40</v>
      </c>
      <c r="S226" s="3" t="s">
        <v>40</v>
      </c>
      <c r="T226" s="3" t="s">
        <v>41</v>
      </c>
      <c r="U226" s="3" t="s">
        <v>2441</v>
      </c>
      <c r="V226" s="3" t="s">
        <v>40</v>
      </c>
      <c r="W226" s="3" t="s">
        <v>2441</v>
      </c>
      <c r="X226" s="3" t="s">
        <v>2445</v>
      </c>
      <c r="Y226" s="3" t="s">
        <v>290</v>
      </c>
      <c r="Z226" s="3" t="s">
        <v>66</v>
      </c>
      <c r="AA226" s="3" t="s">
        <v>47</v>
      </c>
      <c r="AB226" s="3" t="s">
        <v>47</v>
      </c>
      <c r="AC226" s="3">
        <v>1.5</v>
      </c>
      <c r="AD226" s="3" t="s">
        <v>80</v>
      </c>
    </row>
    <row r="227">
      <c r="A227" s="3" t="s">
        <v>2446</v>
      </c>
      <c r="B227" s="3" t="s">
        <v>68</v>
      </c>
      <c r="C227" s="3" t="s">
        <v>31</v>
      </c>
      <c r="D227" s="3">
        <v>2019.0</v>
      </c>
      <c r="E227" s="3">
        <v>5.0</v>
      </c>
      <c r="F227" s="3" t="s">
        <v>32</v>
      </c>
      <c r="G227" s="3">
        <v>5.16701984E8</v>
      </c>
      <c r="H227" s="3" t="s">
        <v>2447</v>
      </c>
      <c r="I227" s="3" t="s">
        <v>2448</v>
      </c>
      <c r="J227" s="3" t="s">
        <v>35</v>
      </c>
      <c r="K227" s="3" t="s">
        <v>2449</v>
      </c>
      <c r="L227" s="4"/>
      <c r="M227" s="5" t="s">
        <v>2450</v>
      </c>
      <c r="N227" s="3" t="s">
        <v>40</v>
      </c>
      <c r="O227" s="3" t="s">
        <v>75</v>
      </c>
      <c r="P227" s="3" t="s">
        <v>40</v>
      </c>
      <c r="Q227" s="3" t="s">
        <v>40</v>
      </c>
      <c r="R227" s="3" t="s">
        <v>40</v>
      </c>
      <c r="S227" s="3" t="s">
        <v>40</v>
      </c>
      <c r="T227" s="3" t="s">
        <v>41</v>
      </c>
      <c r="U227" s="3" t="s">
        <v>40</v>
      </c>
      <c r="V227" s="3" t="s">
        <v>2451</v>
      </c>
      <c r="W227" s="3" t="s">
        <v>40</v>
      </c>
      <c r="X227" s="3" t="s">
        <v>271</v>
      </c>
      <c r="Y227" s="3" t="s">
        <v>2452</v>
      </c>
      <c r="Z227" s="3" t="s">
        <v>291</v>
      </c>
      <c r="AA227" s="3" t="s">
        <v>32</v>
      </c>
      <c r="AB227" s="3" t="s">
        <v>32</v>
      </c>
      <c r="AC227" s="3" t="s">
        <v>40</v>
      </c>
      <c r="AD227" s="3" t="s">
        <v>80</v>
      </c>
    </row>
    <row r="228">
      <c r="A228" s="3" t="s">
        <v>2453</v>
      </c>
      <c r="B228" s="3" t="s">
        <v>154</v>
      </c>
      <c r="C228" s="3" t="s">
        <v>31</v>
      </c>
      <c r="D228" s="3">
        <v>2015.0</v>
      </c>
      <c r="E228" s="3">
        <v>5.0</v>
      </c>
      <c r="F228" s="3" t="s">
        <v>32</v>
      </c>
      <c r="G228" s="3">
        <v>5.15239028E8</v>
      </c>
      <c r="H228" s="3" t="s">
        <v>2454</v>
      </c>
      <c r="I228" s="3" t="s">
        <v>2455</v>
      </c>
      <c r="J228" s="3" t="s">
        <v>968</v>
      </c>
      <c r="K228" s="3" t="s">
        <v>2456</v>
      </c>
      <c r="L228" s="4"/>
      <c r="M228" s="5" t="s">
        <v>2457</v>
      </c>
      <c r="N228" s="3" t="s">
        <v>2458</v>
      </c>
      <c r="O228" s="3" t="s">
        <v>183</v>
      </c>
      <c r="P228" s="3" t="s">
        <v>40</v>
      </c>
      <c r="Q228" s="3">
        <v>7670107.0</v>
      </c>
      <c r="R228" s="3" t="s">
        <v>40</v>
      </c>
      <c r="S228" s="3" t="s">
        <v>40</v>
      </c>
      <c r="T228" s="3" t="s">
        <v>41</v>
      </c>
      <c r="U228" s="3" t="s">
        <v>2459</v>
      </c>
      <c r="V228" s="3" t="s">
        <v>2460</v>
      </c>
      <c r="W228" s="3" t="s">
        <v>2459</v>
      </c>
      <c r="X228" s="3" t="s">
        <v>2461</v>
      </c>
      <c r="Y228" s="3" t="s">
        <v>2462</v>
      </c>
      <c r="Z228" s="3" t="s">
        <v>685</v>
      </c>
      <c r="AA228" s="3" t="s">
        <v>47</v>
      </c>
      <c r="AB228" s="3" t="s">
        <v>32</v>
      </c>
      <c r="AC228" s="3" t="s">
        <v>40</v>
      </c>
      <c r="AD228" s="3" t="s">
        <v>80</v>
      </c>
    </row>
    <row r="229">
      <c r="A229" s="3" t="s">
        <v>2463</v>
      </c>
      <c r="B229" s="3" t="s">
        <v>50</v>
      </c>
      <c r="C229" s="3" t="s">
        <v>31</v>
      </c>
      <c r="D229" s="3">
        <v>2011.0</v>
      </c>
      <c r="E229" s="3">
        <v>5.0</v>
      </c>
      <c r="F229" s="3" t="s">
        <v>32</v>
      </c>
      <c r="G229" s="3">
        <v>5.14668839E8</v>
      </c>
      <c r="H229" s="3" t="s">
        <v>2464</v>
      </c>
      <c r="I229" s="3" t="s">
        <v>2465</v>
      </c>
      <c r="J229" s="3" t="s">
        <v>35</v>
      </c>
      <c r="K229" s="3" t="s">
        <v>2466</v>
      </c>
      <c r="L229" s="4"/>
      <c r="M229" s="5" t="s">
        <v>2467</v>
      </c>
      <c r="N229" s="3" t="s">
        <v>2468</v>
      </c>
      <c r="O229" s="3" t="s">
        <v>137</v>
      </c>
      <c r="P229" s="3" t="s">
        <v>40</v>
      </c>
      <c r="Q229" s="3">
        <v>4421611.0</v>
      </c>
      <c r="R229" s="3" t="s">
        <v>40</v>
      </c>
      <c r="S229" s="3" t="s">
        <v>40</v>
      </c>
      <c r="T229" s="3" t="s">
        <v>41</v>
      </c>
      <c r="U229" s="3" t="s">
        <v>2466</v>
      </c>
      <c r="V229" s="3" t="s">
        <v>40</v>
      </c>
      <c r="W229" s="3" t="s">
        <v>2466</v>
      </c>
      <c r="X229" s="3" t="s">
        <v>2469</v>
      </c>
      <c r="Y229" s="3" t="s">
        <v>2470</v>
      </c>
      <c r="Z229" s="3" t="s">
        <v>2471</v>
      </c>
      <c r="AA229" s="3" t="s">
        <v>32</v>
      </c>
      <c r="AB229" s="3" t="s">
        <v>32</v>
      </c>
      <c r="AC229" s="3" t="s">
        <v>40</v>
      </c>
      <c r="AD229" s="3" t="s">
        <v>48</v>
      </c>
    </row>
    <row r="230">
      <c r="A230" s="3" t="s">
        <v>2472</v>
      </c>
      <c r="B230" s="3" t="s">
        <v>30</v>
      </c>
      <c r="C230" s="3" t="s">
        <v>31</v>
      </c>
      <c r="D230" s="3">
        <v>2020.0</v>
      </c>
      <c r="E230" s="3">
        <v>5.0</v>
      </c>
      <c r="F230" s="3" t="s">
        <v>32</v>
      </c>
      <c r="G230" s="3" t="s">
        <v>40</v>
      </c>
      <c r="H230" s="3" t="s">
        <v>2473</v>
      </c>
      <c r="I230" s="3" t="s">
        <v>2474</v>
      </c>
      <c r="J230" s="3" t="s">
        <v>265</v>
      </c>
      <c r="K230" s="3" t="s">
        <v>2475</v>
      </c>
      <c r="L230" s="4"/>
      <c r="M230" s="3" t="s">
        <v>40</v>
      </c>
      <c r="N230" s="3" t="s">
        <v>40</v>
      </c>
      <c r="O230" s="3" t="s">
        <v>75</v>
      </c>
      <c r="P230" s="3" t="s">
        <v>40</v>
      </c>
      <c r="Q230" s="3" t="s">
        <v>40</v>
      </c>
      <c r="R230" s="3" t="s">
        <v>40</v>
      </c>
      <c r="S230" s="3" t="s">
        <v>40</v>
      </c>
      <c r="T230" s="3" t="s">
        <v>41</v>
      </c>
      <c r="U230" s="3" t="s">
        <v>40</v>
      </c>
      <c r="V230" s="3" t="s">
        <v>40</v>
      </c>
      <c r="W230" s="3" t="s">
        <v>40</v>
      </c>
      <c r="X230" s="3" t="s">
        <v>2476</v>
      </c>
      <c r="Y230" s="3" t="s">
        <v>290</v>
      </c>
      <c r="Z230" s="3" t="s">
        <v>66</v>
      </c>
      <c r="AA230" s="3" t="s">
        <v>32</v>
      </c>
      <c r="AB230" s="3" t="s">
        <v>32</v>
      </c>
      <c r="AC230" s="3" t="s">
        <v>40</v>
      </c>
      <c r="AD230" s="3" t="s">
        <v>80</v>
      </c>
    </row>
    <row r="231">
      <c r="A231" s="3" t="s">
        <v>2477</v>
      </c>
      <c r="B231" s="3" t="s">
        <v>82</v>
      </c>
      <c r="C231" s="3" t="s">
        <v>119</v>
      </c>
      <c r="D231" s="3">
        <v>2013.0</v>
      </c>
      <c r="E231" s="3">
        <v>5.0</v>
      </c>
      <c r="F231" s="3" t="s">
        <v>32</v>
      </c>
      <c r="G231" s="3">
        <v>5.14903236E8</v>
      </c>
      <c r="H231" s="3" t="s">
        <v>2478</v>
      </c>
      <c r="I231" s="3" t="s">
        <v>2479</v>
      </c>
      <c r="J231" s="3" t="s">
        <v>35</v>
      </c>
      <c r="K231" s="3" t="s">
        <v>2480</v>
      </c>
      <c r="L231" s="4"/>
      <c r="M231" s="5" t="s">
        <v>2481</v>
      </c>
      <c r="N231" s="3" t="s">
        <v>40</v>
      </c>
      <c r="O231" s="3" t="s">
        <v>2482</v>
      </c>
      <c r="P231" s="3" t="s">
        <v>40</v>
      </c>
      <c r="Q231" s="3">
        <v>1231500.0</v>
      </c>
      <c r="R231" s="3" t="s">
        <v>40</v>
      </c>
      <c r="S231" s="3" t="s">
        <v>40</v>
      </c>
      <c r="T231" s="3" t="s">
        <v>41</v>
      </c>
      <c r="U231" s="3" t="s">
        <v>2483</v>
      </c>
      <c r="V231" s="3" t="s">
        <v>2484</v>
      </c>
      <c r="W231" s="3" t="s">
        <v>2483</v>
      </c>
      <c r="X231" s="3" t="s">
        <v>2485</v>
      </c>
      <c r="Y231" s="3" t="s">
        <v>2486</v>
      </c>
      <c r="Z231" s="3" t="s">
        <v>412</v>
      </c>
      <c r="AA231" s="3" t="s">
        <v>32</v>
      </c>
      <c r="AB231" s="3" t="s">
        <v>32</v>
      </c>
      <c r="AC231" s="3" t="s">
        <v>40</v>
      </c>
      <c r="AD231" s="3" t="s">
        <v>80</v>
      </c>
    </row>
    <row r="232">
      <c r="A232" s="3" t="s">
        <v>2487</v>
      </c>
      <c r="B232" s="3" t="s">
        <v>68</v>
      </c>
      <c r="C232" s="3" t="s">
        <v>31</v>
      </c>
      <c r="D232" s="3">
        <v>2020.0</v>
      </c>
      <c r="E232" s="3">
        <v>5.0</v>
      </c>
      <c r="F232" s="3" t="s">
        <v>32</v>
      </c>
      <c r="G232" s="3">
        <v>5.16376266E8</v>
      </c>
      <c r="H232" s="3" t="s">
        <v>2488</v>
      </c>
      <c r="I232" s="3" t="s">
        <v>2489</v>
      </c>
      <c r="J232" s="3" t="s">
        <v>54</v>
      </c>
      <c r="K232" s="3" t="s">
        <v>2490</v>
      </c>
      <c r="L232" s="4"/>
      <c r="M232" s="5" t="s">
        <v>2491</v>
      </c>
      <c r="N232" s="3" t="s">
        <v>2492</v>
      </c>
      <c r="O232" s="3" t="s">
        <v>2493</v>
      </c>
      <c r="P232" s="3" t="s">
        <v>40</v>
      </c>
      <c r="Q232" s="3">
        <v>3657000.0</v>
      </c>
      <c r="R232" s="3" t="s">
        <v>40</v>
      </c>
      <c r="S232" s="3" t="s">
        <v>40</v>
      </c>
      <c r="T232" s="3" t="s">
        <v>41</v>
      </c>
      <c r="U232" s="3" t="s">
        <v>2494</v>
      </c>
      <c r="V232" s="3" t="s">
        <v>40</v>
      </c>
      <c r="W232" s="3" t="s">
        <v>2494</v>
      </c>
      <c r="X232" s="3" t="s">
        <v>2495</v>
      </c>
      <c r="Y232" s="3" t="s">
        <v>290</v>
      </c>
      <c r="Z232" s="3" t="s">
        <v>66</v>
      </c>
      <c r="AA232" s="3" t="s">
        <v>47</v>
      </c>
      <c r="AB232" s="3" t="s">
        <v>32</v>
      </c>
      <c r="AC232" s="3" t="s">
        <v>40</v>
      </c>
      <c r="AD232" s="3" t="s">
        <v>80</v>
      </c>
    </row>
    <row r="233">
      <c r="A233" s="6" t="s">
        <v>2496</v>
      </c>
      <c r="B233" s="6" t="s">
        <v>82</v>
      </c>
      <c r="C233" s="6" t="s">
        <v>51</v>
      </c>
      <c r="D233" s="6">
        <v>2002.0</v>
      </c>
      <c r="E233" s="6">
        <v>5.0</v>
      </c>
      <c r="F233" s="6" t="s">
        <v>32</v>
      </c>
      <c r="G233" s="6">
        <v>5.13189423E8</v>
      </c>
      <c r="H233" s="6" t="s">
        <v>2497</v>
      </c>
      <c r="I233" s="6" t="s">
        <v>2498</v>
      </c>
      <c r="J233" s="6" t="s">
        <v>35</v>
      </c>
      <c r="K233" s="6" t="s">
        <v>2499</v>
      </c>
      <c r="L233" s="4"/>
      <c r="M233" s="7" t="s">
        <v>2500</v>
      </c>
      <c r="N233" s="6" t="s">
        <v>2501</v>
      </c>
      <c r="O233" s="6" t="s">
        <v>2502</v>
      </c>
      <c r="P233" s="6">
        <v>406.0</v>
      </c>
      <c r="Q233" s="6">
        <v>6099000.0</v>
      </c>
      <c r="R233" s="6" t="s">
        <v>40</v>
      </c>
      <c r="S233" s="6" t="s">
        <v>40</v>
      </c>
      <c r="T233" s="6" t="s">
        <v>41</v>
      </c>
      <c r="U233" s="6" t="s">
        <v>2503</v>
      </c>
      <c r="V233" s="6" t="s">
        <v>2504</v>
      </c>
      <c r="W233" s="6" t="s">
        <v>2503</v>
      </c>
      <c r="X233" s="6" t="s">
        <v>2505</v>
      </c>
      <c r="Y233" s="6" t="s">
        <v>2506</v>
      </c>
      <c r="Z233" s="6" t="s">
        <v>1145</v>
      </c>
      <c r="AA233" s="6" t="s">
        <v>47</v>
      </c>
      <c r="AB233" s="6" t="s">
        <v>32</v>
      </c>
      <c r="AC233" s="6">
        <v>1.5</v>
      </c>
      <c r="AD233" s="6" t="s">
        <v>80</v>
      </c>
    </row>
    <row r="234">
      <c r="A234" s="6" t="s">
        <v>2507</v>
      </c>
      <c r="B234" s="6" t="s">
        <v>50</v>
      </c>
      <c r="C234" s="6" t="s">
        <v>31</v>
      </c>
      <c r="D234" s="6">
        <v>2019.0</v>
      </c>
      <c r="E234" s="6">
        <v>5.0</v>
      </c>
      <c r="F234" s="6" t="s">
        <v>32</v>
      </c>
      <c r="G234" s="6">
        <v>5.16158599E8</v>
      </c>
      <c r="H234" s="6" t="s">
        <v>2508</v>
      </c>
      <c r="I234" s="6" t="s">
        <v>2509</v>
      </c>
      <c r="J234" s="6" t="s">
        <v>35</v>
      </c>
      <c r="K234" s="16"/>
      <c r="L234" s="4"/>
      <c r="M234" s="7" t="s">
        <v>2510</v>
      </c>
      <c r="N234" s="6" t="s">
        <v>40</v>
      </c>
      <c r="O234" s="6" t="s">
        <v>1397</v>
      </c>
      <c r="P234" s="6" t="s">
        <v>40</v>
      </c>
      <c r="Q234" s="6" t="s">
        <v>40</v>
      </c>
      <c r="R234" s="6" t="s">
        <v>40</v>
      </c>
      <c r="S234" s="6" t="s">
        <v>40</v>
      </c>
      <c r="T234" s="6" t="s">
        <v>41</v>
      </c>
      <c r="U234" s="6" t="s">
        <v>2511</v>
      </c>
      <c r="V234" s="6" t="s">
        <v>2512</v>
      </c>
      <c r="W234" s="6" t="s">
        <v>2511</v>
      </c>
      <c r="X234" s="6" t="s">
        <v>90</v>
      </c>
      <c r="Y234" s="6" t="s">
        <v>2513</v>
      </c>
      <c r="Z234" s="6" t="s">
        <v>873</v>
      </c>
      <c r="AA234" s="6" t="s">
        <v>47</v>
      </c>
      <c r="AB234" s="6" t="s">
        <v>47</v>
      </c>
      <c r="AC234" s="6">
        <v>0.02</v>
      </c>
      <c r="AD234" s="6" t="s">
        <v>80</v>
      </c>
    </row>
    <row r="235">
      <c r="A235" s="6" t="s">
        <v>2514</v>
      </c>
      <c r="B235" s="6" t="s">
        <v>50</v>
      </c>
      <c r="C235" s="6" t="s">
        <v>51</v>
      </c>
      <c r="D235" s="6">
        <v>2010.0</v>
      </c>
      <c r="E235" s="6">
        <v>5.0</v>
      </c>
      <c r="F235" s="6" t="s">
        <v>32</v>
      </c>
      <c r="G235" s="6">
        <v>5.14473024E8</v>
      </c>
      <c r="H235" s="6" t="s">
        <v>2515</v>
      </c>
      <c r="I235" s="6" t="s">
        <v>2516</v>
      </c>
      <c r="J235" s="6" t="s">
        <v>2517</v>
      </c>
      <c r="K235" s="16"/>
      <c r="L235" s="4"/>
      <c r="M235" s="7" t="s">
        <v>2518</v>
      </c>
      <c r="N235" s="6" t="s">
        <v>2519</v>
      </c>
      <c r="O235" s="6" t="s">
        <v>485</v>
      </c>
      <c r="P235" s="6" t="s">
        <v>40</v>
      </c>
      <c r="Q235" s="6">
        <v>3298426.0</v>
      </c>
      <c r="R235" s="6" t="s">
        <v>40</v>
      </c>
      <c r="S235" s="6" t="s">
        <v>40</v>
      </c>
      <c r="T235" s="6" t="s">
        <v>41</v>
      </c>
      <c r="U235" s="6" t="s">
        <v>2520</v>
      </c>
      <c r="V235" s="6" t="s">
        <v>2521</v>
      </c>
      <c r="W235" s="6" t="s">
        <v>2520</v>
      </c>
      <c r="X235" s="6" t="s">
        <v>2522</v>
      </c>
      <c r="Y235" s="6" t="s">
        <v>2523</v>
      </c>
      <c r="Z235" s="6" t="s">
        <v>2524</v>
      </c>
      <c r="AA235" s="6" t="s">
        <v>47</v>
      </c>
      <c r="AB235" s="6" t="s">
        <v>32</v>
      </c>
      <c r="AC235" s="6">
        <v>0.3</v>
      </c>
      <c r="AD235" s="6" t="s">
        <v>80</v>
      </c>
    </row>
    <row r="236">
      <c r="A236" s="3" t="s">
        <v>2525</v>
      </c>
      <c r="B236" s="3" t="s">
        <v>68</v>
      </c>
      <c r="C236" s="3" t="s">
        <v>51</v>
      </c>
      <c r="D236" s="3">
        <v>2020.0</v>
      </c>
      <c r="E236" s="3">
        <v>5.0</v>
      </c>
      <c r="F236" s="3" t="s">
        <v>32</v>
      </c>
      <c r="G236" s="3">
        <v>5.16214673E8</v>
      </c>
      <c r="H236" s="3" t="s">
        <v>2526</v>
      </c>
      <c r="I236" s="3" t="s">
        <v>2527</v>
      </c>
      <c r="J236" s="3" t="s">
        <v>35</v>
      </c>
      <c r="K236" s="4"/>
      <c r="L236" s="4"/>
      <c r="M236" s="5" t="s">
        <v>2528</v>
      </c>
      <c r="N236" s="3" t="s">
        <v>2529</v>
      </c>
      <c r="O236" s="3" t="s">
        <v>75</v>
      </c>
      <c r="P236" s="3" t="s">
        <v>40</v>
      </c>
      <c r="Q236" s="3">
        <v>6941156.0</v>
      </c>
      <c r="R236" s="3" t="s">
        <v>40</v>
      </c>
      <c r="S236" s="3" t="s">
        <v>40</v>
      </c>
      <c r="T236" s="3" t="s">
        <v>41</v>
      </c>
      <c r="U236" s="3" t="s">
        <v>2530</v>
      </c>
      <c r="V236" s="3" t="s">
        <v>40</v>
      </c>
      <c r="W236" s="3" t="s">
        <v>2530</v>
      </c>
      <c r="X236" s="3" t="s">
        <v>2531</v>
      </c>
      <c r="Y236" s="3" t="s">
        <v>2532</v>
      </c>
      <c r="Z236" s="3" t="s">
        <v>1662</v>
      </c>
      <c r="AA236" s="3" t="s">
        <v>47</v>
      </c>
      <c r="AB236" s="3" t="s">
        <v>32</v>
      </c>
      <c r="AC236" s="3">
        <v>5.0</v>
      </c>
      <c r="AD236" s="3" t="s">
        <v>80</v>
      </c>
    </row>
    <row r="237">
      <c r="A237" s="3" t="s">
        <v>2533</v>
      </c>
      <c r="B237" s="3" t="s">
        <v>154</v>
      </c>
      <c r="C237" s="3" t="s">
        <v>51</v>
      </c>
      <c r="D237" s="3">
        <v>2000.0</v>
      </c>
      <c r="E237" s="3">
        <v>5.0</v>
      </c>
      <c r="F237" s="3" t="s">
        <v>32</v>
      </c>
      <c r="G237" s="3">
        <v>5.14124973E8</v>
      </c>
      <c r="H237" s="3" t="s">
        <v>2534</v>
      </c>
      <c r="I237" s="3" t="s">
        <v>1610</v>
      </c>
      <c r="J237" s="3" t="s">
        <v>2535</v>
      </c>
      <c r="K237" s="4"/>
      <c r="L237" s="4"/>
      <c r="M237" s="5" t="s">
        <v>1611</v>
      </c>
      <c r="N237" s="3" t="s">
        <v>2536</v>
      </c>
      <c r="O237" s="3" t="s">
        <v>552</v>
      </c>
      <c r="P237" s="3" t="s">
        <v>2537</v>
      </c>
      <c r="Q237" s="3">
        <v>4685195.0</v>
      </c>
      <c r="R237" s="3" t="s">
        <v>40</v>
      </c>
      <c r="S237" s="3" t="s">
        <v>40</v>
      </c>
      <c r="T237" s="3" t="s">
        <v>41</v>
      </c>
      <c r="U237" s="3" t="s">
        <v>1613</v>
      </c>
      <c r="V237" s="3" t="s">
        <v>1614</v>
      </c>
      <c r="W237" s="3" t="s">
        <v>1613</v>
      </c>
      <c r="X237" s="3" t="s">
        <v>2538</v>
      </c>
      <c r="Y237" s="3" t="s">
        <v>2539</v>
      </c>
      <c r="Z237" s="3" t="s">
        <v>66</v>
      </c>
      <c r="AA237" s="3" t="s">
        <v>32</v>
      </c>
      <c r="AB237" s="3" t="s">
        <v>32</v>
      </c>
      <c r="AC237" s="3" t="s">
        <v>40</v>
      </c>
      <c r="AD237" s="3" t="s">
        <v>80</v>
      </c>
    </row>
    <row r="238">
      <c r="A238" s="3" t="s">
        <v>2540</v>
      </c>
      <c r="B238" s="3" t="s">
        <v>30</v>
      </c>
      <c r="C238" s="3" t="s">
        <v>31</v>
      </c>
      <c r="D238" s="3">
        <v>2012.0</v>
      </c>
      <c r="E238" s="3">
        <v>5.0</v>
      </c>
      <c r="F238" s="3" t="s">
        <v>32</v>
      </c>
      <c r="G238" s="3" t="s">
        <v>40</v>
      </c>
      <c r="H238" s="3" t="s">
        <v>2541</v>
      </c>
      <c r="I238" s="3" t="s">
        <v>2542</v>
      </c>
      <c r="J238" s="3" t="s">
        <v>35</v>
      </c>
      <c r="K238" s="4"/>
      <c r="L238" s="4"/>
      <c r="M238" s="5" t="s">
        <v>2543</v>
      </c>
      <c r="N238" s="3" t="s">
        <v>2544</v>
      </c>
      <c r="O238" s="3" t="s">
        <v>2545</v>
      </c>
      <c r="P238" s="3" t="s">
        <v>40</v>
      </c>
      <c r="Q238" s="3">
        <v>2514700.0</v>
      </c>
      <c r="R238" s="3" t="s">
        <v>40</v>
      </c>
      <c r="S238" s="3" t="s">
        <v>40</v>
      </c>
      <c r="T238" s="3" t="s">
        <v>41</v>
      </c>
      <c r="U238" s="3" t="s">
        <v>2546</v>
      </c>
      <c r="V238" s="3" t="s">
        <v>2547</v>
      </c>
      <c r="W238" s="3" t="s">
        <v>2548</v>
      </c>
      <c r="X238" s="3" t="s">
        <v>2549</v>
      </c>
      <c r="Y238" s="3" t="s">
        <v>2550</v>
      </c>
      <c r="Z238" s="3" t="s">
        <v>66</v>
      </c>
      <c r="AA238" s="3" t="s">
        <v>32</v>
      </c>
      <c r="AB238" s="3" t="s">
        <v>32</v>
      </c>
      <c r="AC238" s="3" t="s">
        <v>40</v>
      </c>
      <c r="AD238" s="3" t="s">
        <v>80</v>
      </c>
    </row>
    <row r="239">
      <c r="A239" s="3" t="s">
        <v>2551</v>
      </c>
      <c r="B239" s="3" t="s">
        <v>82</v>
      </c>
      <c r="C239" s="3" t="s">
        <v>31</v>
      </c>
      <c r="D239" s="3">
        <v>2014.0</v>
      </c>
      <c r="E239" s="3">
        <v>5.0</v>
      </c>
      <c r="F239" s="3" t="s">
        <v>32</v>
      </c>
      <c r="G239" s="3" t="s">
        <v>40</v>
      </c>
      <c r="H239" s="3" t="s">
        <v>2552</v>
      </c>
      <c r="I239" s="3" t="s">
        <v>2553</v>
      </c>
      <c r="J239" s="3" t="s">
        <v>2554</v>
      </c>
      <c r="K239" s="4"/>
      <c r="L239" s="4"/>
      <c r="M239" s="5" t="s">
        <v>2555</v>
      </c>
      <c r="N239" s="3" t="s">
        <v>40</v>
      </c>
      <c r="O239" s="3" t="s">
        <v>40</v>
      </c>
      <c r="P239" s="3" t="s">
        <v>40</v>
      </c>
      <c r="Q239" s="3" t="s">
        <v>40</v>
      </c>
      <c r="R239" s="3" t="s">
        <v>40</v>
      </c>
      <c r="S239" s="3" t="s">
        <v>40</v>
      </c>
      <c r="T239" s="3" t="s">
        <v>41</v>
      </c>
      <c r="U239" s="3" t="s">
        <v>2556</v>
      </c>
      <c r="V239" s="3" t="s">
        <v>2557</v>
      </c>
      <c r="W239" s="3" t="s">
        <v>2556</v>
      </c>
      <c r="X239" s="3" t="s">
        <v>2558</v>
      </c>
      <c r="Y239" s="3" t="s">
        <v>2559</v>
      </c>
      <c r="Z239" s="3" t="s">
        <v>66</v>
      </c>
      <c r="AA239" s="3" t="s">
        <v>32</v>
      </c>
      <c r="AB239" s="3" t="s">
        <v>32</v>
      </c>
      <c r="AC239" s="3" t="s">
        <v>40</v>
      </c>
      <c r="AD239" s="3" t="s">
        <v>80</v>
      </c>
    </row>
    <row r="240">
      <c r="A240" s="3" t="s">
        <v>2560</v>
      </c>
      <c r="B240" s="3" t="s">
        <v>351</v>
      </c>
      <c r="C240" s="3" t="s">
        <v>51</v>
      </c>
      <c r="D240" s="3">
        <v>2014.0</v>
      </c>
      <c r="E240" s="3">
        <v>5.0</v>
      </c>
      <c r="F240" s="3" t="s">
        <v>32</v>
      </c>
      <c r="G240" s="3">
        <v>5.15041325E8</v>
      </c>
      <c r="H240" s="3" t="s">
        <v>2561</v>
      </c>
      <c r="I240" s="3" t="s">
        <v>2562</v>
      </c>
      <c r="J240" s="3" t="s">
        <v>54</v>
      </c>
      <c r="K240" s="4"/>
      <c r="L240" s="4"/>
      <c r="M240" s="5" t="s">
        <v>2563</v>
      </c>
      <c r="N240" s="3" t="s">
        <v>2564</v>
      </c>
      <c r="O240" s="3" t="s">
        <v>98</v>
      </c>
      <c r="P240" s="3">
        <v>266.0</v>
      </c>
      <c r="Q240" s="3">
        <v>1610102.0</v>
      </c>
      <c r="R240" s="3" t="s">
        <v>40</v>
      </c>
      <c r="S240" s="3" t="s">
        <v>40</v>
      </c>
      <c r="T240" s="3" t="s">
        <v>41</v>
      </c>
      <c r="U240" s="3" t="s">
        <v>2565</v>
      </c>
      <c r="V240" s="3" t="s">
        <v>2566</v>
      </c>
      <c r="W240" s="3" t="s">
        <v>2565</v>
      </c>
      <c r="X240" s="3" t="s">
        <v>351</v>
      </c>
      <c r="Y240" s="3" t="s">
        <v>2567</v>
      </c>
      <c r="Z240" s="3" t="s">
        <v>66</v>
      </c>
      <c r="AA240" s="3" t="s">
        <v>32</v>
      </c>
      <c r="AB240" s="3" t="s">
        <v>32</v>
      </c>
      <c r="AC240" s="3" t="s">
        <v>40</v>
      </c>
      <c r="AD240" s="3" t="s">
        <v>80</v>
      </c>
    </row>
    <row r="241">
      <c r="A241" s="3" t="s">
        <v>2568</v>
      </c>
      <c r="B241" s="3" t="s">
        <v>68</v>
      </c>
      <c r="C241" s="3" t="s">
        <v>31</v>
      </c>
      <c r="D241" s="3">
        <v>2015.0</v>
      </c>
      <c r="E241" s="3">
        <v>5.0</v>
      </c>
      <c r="F241" s="3" t="s">
        <v>32</v>
      </c>
      <c r="G241" s="3">
        <v>5.15311132E8</v>
      </c>
      <c r="H241" s="3" t="s">
        <v>2569</v>
      </c>
      <c r="I241" s="3" t="s">
        <v>2570</v>
      </c>
      <c r="J241" s="3" t="s">
        <v>35</v>
      </c>
      <c r="K241" s="4"/>
      <c r="L241" s="4"/>
      <c r="M241" s="5" t="s">
        <v>2571</v>
      </c>
      <c r="N241" s="3" t="s">
        <v>2572</v>
      </c>
      <c r="O241" s="3" t="s">
        <v>1502</v>
      </c>
      <c r="P241" s="3" t="s">
        <v>40</v>
      </c>
      <c r="Q241" s="3">
        <v>5590000.0</v>
      </c>
      <c r="R241" s="3" t="s">
        <v>40</v>
      </c>
      <c r="S241" s="3" t="s">
        <v>40</v>
      </c>
      <c r="T241" s="3" t="s">
        <v>41</v>
      </c>
      <c r="U241" s="3" t="s">
        <v>2573</v>
      </c>
      <c r="V241" s="3" t="s">
        <v>2574</v>
      </c>
      <c r="W241" s="3" t="s">
        <v>2573</v>
      </c>
      <c r="X241" s="3" t="s">
        <v>2575</v>
      </c>
      <c r="Y241" s="3" t="s">
        <v>2576</v>
      </c>
      <c r="Z241" s="3" t="s">
        <v>2577</v>
      </c>
      <c r="AA241" s="3" t="s">
        <v>32</v>
      </c>
      <c r="AB241" s="3" t="s">
        <v>32</v>
      </c>
      <c r="AC241" s="3" t="s">
        <v>40</v>
      </c>
      <c r="AD241" s="3" t="s">
        <v>80</v>
      </c>
    </row>
    <row r="242">
      <c r="A242" s="3" t="s">
        <v>2578</v>
      </c>
      <c r="B242" s="3" t="s">
        <v>154</v>
      </c>
      <c r="C242" s="3" t="s">
        <v>51</v>
      </c>
      <c r="D242" s="3">
        <v>2017.0</v>
      </c>
      <c r="E242" s="3">
        <v>5.0</v>
      </c>
      <c r="F242" s="3" t="s">
        <v>32</v>
      </c>
      <c r="G242" s="3">
        <v>5.14447655E8</v>
      </c>
      <c r="H242" s="3" t="s">
        <v>2579</v>
      </c>
      <c r="I242" s="3" t="s">
        <v>2580</v>
      </c>
      <c r="J242" s="3" t="s">
        <v>54</v>
      </c>
      <c r="K242" s="4"/>
      <c r="L242" s="4"/>
      <c r="M242" s="5" t="s">
        <v>2581</v>
      </c>
      <c r="N242" s="3" t="s">
        <v>2582</v>
      </c>
      <c r="O242" s="3" t="s">
        <v>75</v>
      </c>
      <c r="P242" s="3" t="s">
        <v>40</v>
      </c>
      <c r="Q242" s="3">
        <v>6964138.0</v>
      </c>
      <c r="R242" s="3" t="s">
        <v>40</v>
      </c>
      <c r="S242" s="3" t="s">
        <v>40</v>
      </c>
      <c r="T242" s="3" t="s">
        <v>41</v>
      </c>
      <c r="U242" s="3" t="s">
        <v>2583</v>
      </c>
      <c r="V242" s="3" t="s">
        <v>2584</v>
      </c>
      <c r="W242" s="3" t="s">
        <v>2583</v>
      </c>
      <c r="X242" s="3" t="s">
        <v>2585</v>
      </c>
      <c r="Y242" s="3" t="s">
        <v>2586</v>
      </c>
      <c r="Z242" s="3" t="s">
        <v>46</v>
      </c>
      <c r="AA242" s="3" t="s">
        <v>32</v>
      </c>
      <c r="AB242" s="3" t="s">
        <v>32</v>
      </c>
      <c r="AC242" s="3" t="s">
        <v>40</v>
      </c>
      <c r="AD242" s="3" t="s">
        <v>80</v>
      </c>
    </row>
    <row r="243">
      <c r="A243" s="5" t="s">
        <v>2587</v>
      </c>
      <c r="B243" s="3" t="s">
        <v>82</v>
      </c>
      <c r="C243" s="3" t="s">
        <v>31</v>
      </c>
      <c r="D243" s="3">
        <v>2017.0</v>
      </c>
      <c r="E243" s="3">
        <v>5.0</v>
      </c>
      <c r="F243" s="3" t="s">
        <v>32</v>
      </c>
      <c r="G243" s="3">
        <v>5.155932E8</v>
      </c>
      <c r="H243" s="3" t="s">
        <v>2588</v>
      </c>
      <c r="I243" s="3" t="s">
        <v>2589</v>
      </c>
      <c r="J243" s="3" t="s">
        <v>35</v>
      </c>
      <c r="K243" s="4"/>
      <c r="L243" s="4"/>
      <c r="M243" s="5" t="s">
        <v>2590</v>
      </c>
      <c r="N243" s="3" t="s">
        <v>2591</v>
      </c>
      <c r="O243" s="3" t="s">
        <v>2592</v>
      </c>
      <c r="P243" s="3" t="s">
        <v>40</v>
      </c>
      <c r="Q243" s="3">
        <v>4051201.0</v>
      </c>
      <c r="R243" s="3" t="s">
        <v>40</v>
      </c>
      <c r="S243" s="3" t="s">
        <v>40</v>
      </c>
      <c r="T243" s="3" t="s">
        <v>41</v>
      </c>
      <c r="U243" s="3" t="s">
        <v>2593</v>
      </c>
      <c r="V243" s="3" t="s">
        <v>40</v>
      </c>
      <c r="W243" s="3" t="s">
        <v>40</v>
      </c>
      <c r="X243" s="3" t="s">
        <v>2594</v>
      </c>
      <c r="Y243" s="3" t="s">
        <v>2595</v>
      </c>
      <c r="Z243" s="3" t="s">
        <v>523</v>
      </c>
      <c r="AA243" s="3" t="s">
        <v>32</v>
      </c>
      <c r="AB243" s="3" t="s">
        <v>32</v>
      </c>
      <c r="AC243" s="3" t="s">
        <v>40</v>
      </c>
      <c r="AD243" s="3" t="s">
        <v>80</v>
      </c>
    </row>
    <row r="244">
      <c r="A244" s="3" t="s">
        <v>2596</v>
      </c>
      <c r="B244" s="3" t="s">
        <v>82</v>
      </c>
      <c r="C244" s="3" t="s">
        <v>31</v>
      </c>
      <c r="D244" s="3">
        <v>2018.0</v>
      </c>
      <c r="E244" s="3">
        <v>5.0</v>
      </c>
      <c r="F244" s="3" t="s">
        <v>32</v>
      </c>
      <c r="G244" s="3">
        <v>5.15844132E8</v>
      </c>
      <c r="H244" s="3" t="s">
        <v>2597</v>
      </c>
      <c r="I244" s="3" t="s">
        <v>2598</v>
      </c>
      <c r="J244" s="3" t="s">
        <v>35</v>
      </c>
      <c r="K244" s="4"/>
      <c r="L244" s="4"/>
      <c r="M244" s="5" t="s">
        <v>2599</v>
      </c>
      <c r="N244" s="3" t="s">
        <v>40</v>
      </c>
      <c r="O244" s="3" t="s">
        <v>298</v>
      </c>
      <c r="P244" s="3" t="s">
        <v>40</v>
      </c>
      <c r="Q244" s="3" t="s">
        <v>40</v>
      </c>
      <c r="R244" s="3" t="s">
        <v>40</v>
      </c>
      <c r="S244" s="3" t="s">
        <v>40</v>
      </c>
      <c r="T244" s="3" t="s">
        <v>41</v>
      </c>
      <c r="U244" s="3" t="s">
        <v>2600</v>
      </c>
      <c r="V244" s="3" t="s">
        <v>2601</v>
      </c>
      <c r="W244" s="3" t="s">
        <v>2600</v>
      </c>
      <c r="X244" s="3" t="s">
        <v>2602</v>
      </c>
      <c r="Y244" s="3" t="s">
        <v>2603</v>
      </c>
      <c r="Z244" s="3" t="s">
        <v>66</v>
      </c>
      <c r="AA244" s="3" t="s">
        <v>47</v>
      </c>
      <c r="AB244" s="3" t="s">
        <v>32</v>
      </c>
      <c r="AC244" s="3" t="s">
        <v>40</v>
      </c>
      <c r="AD244" s="3" t="s">
        <v>80</v>
      </c>
    </row>
    <row r="245">
      <c r="A245" s="3" t="s">
        <v>2604</v>
      </c>
      <c r="B245" s="3" t="s">
        <v>68</v>
      </c>
      <c r="C245" s="3" t="s">
        <v>31</v>
      </c>
      <c r="D245" s="3">
        <v>2018.0</v>
      </c>
      <c r="E245" s="3">
        <v>5.0</v>
      </c>
      <c r="F245" s="3" t="s">
        <v>32</v>
      </c>
      <c r="G245" s="3">
        <v>5.15855005E8</v>
      </c>
      <c r="H245" s="3" t="s">
        <v>2605</v>
      </c>
      <c r="I245" s="3" t="s">
        <v>2606</v>
      </c>
      <c r="J245" s="3" t="s">
        <v>54</v>
      </c>
      <c r="K245" s="4"/>
      <c r="L245" s="4"/>
      <c r="M245" s="3" t="s">
        <v>40</v>
      </c>
      <c r="N245" s="3" t="s">
        <v>2607</v>
      </c>
      <c r="O245" s="3" t="s">
        <v>75</v>
      </c>
      <c r="P245" s="3" t="s">
        <v>40</v>
      </c>
      <c r="Q245" s="3">
        <v>6701101.0</v>
      </c>
      <c r="R245" s="3" t="s">
        <v>40</v>
      </c>
      <c r="S245" s="3" t="s">
        <v>40</v>
      </c>
      <c r="T245" s="3" t="s">
        <v>41</v>
      </c>
      <c r="U245" s="3" t="s">
        <v>2608</v>
      </c>
      <c r="V245" s="3" t="s">
        <v>2609</v>
      </c>
      <c r="W245" s="3" t="s">
        <v>2608</v>
      </c>
      <c r="X245" s="3" t="s">
        <v>271</v>
      </c>
      <c r="Y245" s="3" t="s">
        <v>290</v>
      </c>
      <c r="Z245" s="3" t="s">
        <v>66</v>
      </c>
      <c r="AA245" s="3" t="s">
        <v>32</v>
      </c>
      <c r="AB245" s="3" t="s">
        <v>32</v>
      </c>
      <c r="AC245" s="3" t="s">
        <v>40</v>
      </c>
      <c r="AD245" s="3" t="s">
        <v>80</v>
      </c>
    </row>
    <row r="246">
      <c r="A246" s="3" t="s">
        <v>2610</v>
      </c>
      <c r="B246" s="3" t="s">
        <v>68</v>
      </c>
      <c r="C246" s="3" t="s">
        <v>51</v>
      </c>
      <c r="D246" s="3">
        <v>2018.0</v>
      </c>
      <c r="E246" s="3">
        <v>5.0</v>
      </c>
      <c r="F246" s="3" t="s">
        <v>32</v>
      </c>
      <c r="G246" s="3">
        <v>5.15890556E8</v>
      </c>
      <c r="H246" s="3" t="s">
        <v>2611</v>
      </c>
      <c r="I246" s="3" t="s">
        <v>2612</v>
      </c>
      <c r="J246" s="3" t="s">
        <v>35</v>
      </c>
      <c r="K246" s="4"/>
      <c r="L246" s="4"/>
      <c r="M246" s="5" t="s">
        <v>2613</v>
      </c>
      <c r="N246" s="3" t="s">
        <v>2614</v>
      </c>
      <c r="O246" s="3" t="s">
        <v>75</v>
      </c>
      <c r="P246" s="3" t="s">
        <v>40</v>
      </c>
      <c r="Q246" s="3">
        <v>6816727.0</v>
      </c>
      <c r="R246" s="3" t="s">
        <v>40</v>
      </c>
      <c r="S246" s="3" t="s">
        <v>40</v>
      </c>
      <c r="T246" s="3" t="s">
        <v>41</v>
      </c>
      <c r="U246" s="3" t="s">
        <v>2615</v>
      </c>
      <c r="V246" s="3" t="s">
        <v>2616</v>
      </c>
      <c r="W246" s="3" t="s">
        <v>2615</v>
      </c>
      <c r="X246" s="3" t="s">
        <v>2617</v>
      </c>
      <c r="Y246" s="3" t="s">
        <v>2618</v>
      </c>
      <c r="Z246" s="3" t="s">
        <v>1145</v>
      </c>
      <c r="AA246" s="3" t="s">
        <v>32</v>
      </c>
      <c r="AB246" s="3" t="s">
        <v>32</v>
      </c>
      <c r="AC246" s="3" t="s">
        <v>40</v>
      </c>
      <c r="AD246" s="3" t="s">
        <v>80</v>
      </c>
    </row>
    <row r="247">
      <c r="A247" s="3" t="s">
        <v>2619</v>
      </c>
      <c r="B247" s="3" t="s">
        <v>50</v>
      </c>
      <c r="C247" s="3" t="s">
        <v>31</v>
      </c>
      <c r="D247" s="3">
        <v>2019.0</v>
      </c>
      <c r="E247" s="3">
        <v>5.0</v>
      </c>
      <c r="F247" s="3" t="s">
        <v>32</v>
      </c>
      <c r="G247" s="3">
        <v>5.15985232E8</v>
      </c>
      <c r="H247" s="3" t="s">
        <v>2620</v>
      </c>
      <c r="I247" s="3" t="s">
        <v>2621</v>
      </c>
      <c r="J247" s="3" t="s">
        <v>35</v>
      </c>
      <c r="K247" s="4"/>
      <c r="L247" s="4"/>
      <c r="M247" s="5" t="s">
        <v>2622</v>
      </c>
      <c r="N247" s="3" t="s">
        <v>2623</v>
      </c>
      <c r="O247" s="3" t="s">
        <v>75</v>
      </c>
      <c r="P247" s="3" t="s">
        <v>40</v>
      </c>
      <c r="Q247" s="3">
        <v>6560405.0</v>
      </c>
      <c r="R247" s="3" t="s">
        <v>40</v>
      </c>
      <c r="S247" s="3" t="s">
        <v>40</v>
      </c>
      <c r="T247" s="3" t="s">
        <v>41</v>
      </c>
      <c r="U247" s="3" t="s">
        <v>40</v>
      </c>
      <c r="V247" s="3" t="s">
        <v>2624</v>
      </c>
      <c r="W247" s="3" t="s">
        <v>40</v>
      </c>
      <c r="X247" s="3" t="s">
        <v>2625</v>
      </c>
      <c r="Y247" s="3" t="s">
        <v>2626</v>
      </c>
      <c r="Z247" s="3" t="s">
        <v>66</v>
      </c>
      <c r="AA247" s="3" t="s">
        <v>32</v>
      </c>
      <c r="AB247" s="3" t="s">
        <v>32</v>
      </c>
      <c r="AC247" s="3" t="s">
        <v>40</v>
      </c>
      <c r="AD247" s="3" t="s">
        <v>80</v>
      </c>
    </row>
    <row r="248">
      <c r="A248" s="3" t="s">
        <v>2627</v>
      </c>
      <c r="B248" s="3" t="s">
        <v>82</v>
      </c>
      <c r="C248" s="3" t="s">
        <v>51</v>
      </c>
      <c r="D248" s="3">
        <v>2020.0</v>
      </c>
      <c r="E248" s="3">
        <v>5.0</v>
      </c>
      <c r="F248" s="3" t="s">
        <v>32</v>
      </c>
      <c r="G248" s="3">
        <v>5.16281276E8</v>
      </c>
      <c r="H248" s="3" t="s">
        <v>2628</v>
      </c>
      <c r="I248" s="3" t="s">
        <v>2629</v>
      </c>
      <c r="J248" s="3" t="s">
        <v>54</v>
      </c>
      <c r="K248" s="4"/>
      <c r="L248" s="4"/>
      <c r="M248" s="5" t="s">
        <v>2630</v>
      </c>
      <c r="N248" s="3" t="s">
        <v>2631</v>
      </c>
      <c r="O248" s="3" t="s">
        <v>1491</v>
      </c>
      <c r="P248" s="3" t="s">
        <v>40</v>
      </c>
      <c r="Q248" s="3">
        <v>3052641.0</v>
      </c>
      <c r="R248" s="3" t="s">
        <v>40</v>
      </c>
      <c r="S248" s="3" t="s">
        <v>40</v>
      </c>
      <c r="T248" s="3" t="s">
        <v>41</v>
      </c>
      <c r="U248" s="3" t="s">
        <v>2632</v>
      </c>
      <c r="V248" s="3" t="s">
        <v>2633</v>
      </c>
      <c r="W248" s="3" t="s">
        <v>2632</v>
      </c>
      <c r="X248" s="3" t="s">
        <v>2634</v>
      </c>
      <c r="Y248" s="3" t="s">
        <v>2635</v>
      </c>
      <c r="Z248" s="3" t="s">
        <v>66</v>
      </c>
      <c r="AA248" s="3" t="s">
        <v>32</v>
      </c>
      <c r="AB248" s="3" t="s">
        <v>32</v>
      </c>
      <c r="AC248" s="3" t="s">
        <v>40</v>
      </c>
      <c r="AD248" s="3" t="s">
        <v>80</v>
      </c>
    </row>
    <row r="249">
      <c r="A249" s="3" t="s">
        <v>2636</v>
      </c>
      <c r="B249" s="3" t="s">
        <v>50</v>
      </c>
      <c r="C249" s="3" t="s">
        <v>51</v>
      </c>
      <c r="D249" s="3">
        <v>2020.0</v>
      </c>
      <c r="E249" s="3">
        <v>5.0</v>
      </c>
      <c r="F249" s="3" t="s">
        <v>32</v>
      </c>
      <c r="G249" s="3">
        <v>5.16163151E8</v>
      </c>
      <c r="H249" s="3" t="s">
        <v>2637</v>
      </c>
      <c r="I249" s="3" t="s">
        <v>2638</v>
      </c>
      <c r="J249" s="3" t="s">
        <v>35</v>
      </c>
      <c r="K249" s="4"/>
      <c r="L249" s="4"/>
      <c r="M249" s="5" t="s">
        <v>2639</v>
      </c>
      <c r="N249" s="3" t="s">
        <v>2640</v>
      </c>
      <c r="O249" s="3" t="s">
        <v>1963</v>
      </c>
      <c r="P249" s="3" t="s">
        <v>40</v>
      </c>
      <c r="Q249" s="3">
        <v>3092429.0</v>
      </c>
      <c r="R249" s="3" t="s">
        <v>40</v>
      </c>
      <c r="S249" s="3" t="s">
        <v>40</v>
      </c>
      <c r="T249" s="3" t="s">
        <v>41</v>
      </c>
      <c r="U249" s="3" t="s">
        <v>2641</v>
      </c>
      <c r="V249" s="3" t="s">
        <v>2642</v>
      </c>
      <c r="W249" s="3" t="s">
        <v>2641</v>
      </c>
      <c r="X249" s="3" t="s">
        <v>2643</v>
      </c>
      <c r="Y249" s="3" t="s">
        <v>2644</v>
      </c>
      <c r="Z249" s="3" t="s">
        <v>2645</v>
      </c>
      <c r="AA249" s="3" t="s">
        <v>32</v>
      </c>
      <c r="AB249" s="3" t="s">
        <v>32</v>
      </c>
      <c r="AC249" s="3" t="s">
        <v>40</v>
      </c>
      <c r="AD249" s="3" t="s">
        <v>80</v>
      </c>
    </row>
    <row r="250">
      <c r="A250" s="3" t="s">
        <v>2646</v>
      </c>
      <c r="B250" s="3" t="s">
        <v>50</v>
      </c>
      <c r="C250" s="3" t="s">
        <v>31</v>
      </c>
      <c r="D250" s="3">
        <v>2021.0</v>
      </c>
      <c r="E250" s="3">
        <v>5.0</v>
      </c>
      <c r="F250" s="3" t="s">
        <v>32</v>
      </c>
      <c r="G250" s="3">
        <v>5.16509742E8</v>
      </c>
      <c r="H250" s="3" t="s">
        <v>2647</v>
      </c>
      <c r="I250" s="3" t="s">
        <v>2648</v>
      </c>
      <c r="J250" s="3" t="s">
        <v>35</v>
      </c>
      <c r="K250" s="4"/>
      <c r="L250" s="4"/>
      <c r="M250" s="5" t="s">
        <v>2649</v>
      </c>
      <c r="N250" s="3" t="s">
        <v>2650</v>
      </c>
      <c r="O250" s="3" t="s">
        <v>75</v>
      </c>
      <c r="P250" s="3" t="s">
        <v>40</v>
      </c>
      <c r="Q250" s="3">
        <v>6610802.0</v>
      </c>
      <c r="R250" s="3" t="s">
        <v>40</v>
      </c>
      <c r="S250" s="3" t="s">
        <v>40</v>
      </c>
      <c r="T250" s="3" t="s">
        <v>41</v>
      </c>
      <c r="U250" s="3" t="s">
        <v>2651</v>
      </c>
      <c r="V250" s="3" t="s">
        <v>40</v>
      </c>
      <c r="W250" s="3" t="s">
        <v>2651</v>
      </c>
      <c r="X250" s="3" t="s">
        <v>2652</v>
      </c>
      <c r="Y250" s="3" t="s">
        <v>2653</v>
      </c>
      <c r="Z250" s="3" t="s">
        <v>2654</v>
      </c>
      <c r="AA250" s="3" t="s">
        <v>32</v>
      </c>
      <c r="AB250" s="3" t="s">
        <v>32</v>
      </c>
      <c r="AC250" s="3" t="s">
        <v>40</v>
      </c>
      <c r="AD250" s="3" t="s">
        <v>48</v>
      </c>
    </row>
    <row r="251">
      <c r="A251" s="3" t="s">
        <v>2655</v>
      </c>
      <c r="B251" s="3" t="s">
        <v>82</v>
      </c>
      <c r="C251" s="3" t="s">
        <v>1518</v>
      </c>
      <c r="D251" s="3">
        <v>2021.0</v>
      </c>
      <c r="E251" s="3">
        <v>5.0</v>
      </c>
      <c r="F251" s="3" t="s">
        <v>32</v>
      </c>
      <c r="G251" s="3" t="s">
        <v>40</v>
      </c>
      <c r="H251" s="3" t="s">
        <v>2656</v>
      </c>
      <c r="I251" s="3" t="s">
        <v>2657</v>
      </c>
      <c r="J251" s="3" t="s">
        <v>910</v>
      </c>
      <c r="K251" s="4"/>
      <c r="L251" s="4"/>
      <c r="M251" s="5" t="s">
        <v>2658</v>
      </c>
      <c r="N251" s="3" t="s">
        <v>40</v>
      </c>
      <c r="O251" s="3" t="s">
        <v>75</v>
      </c>
      <c r="P251" s="3" t="s">
        <v>40</v>
      </c>
      <c r="Q251" s="3" t="s">
        <v>40</v>
      </c>
      <c r="R251" s="3" t="s">
        <v>40</v>
      </c>
      <c r="S251" s="3" t="s">
        <v>40</v>
      </c>
      <c r="T251" s="3" t="s">
        <v>41</v>
      </c>
      <c r="U251" s="3" t="s">
        <v>40</v>
      </c>
      <c r="V251" s="3" t="s">
        <v>40</v>
      </c>
      <c r="W251" s="3" t="s">
        <v>40</v>
      </c>
      <c r="X251" s="3" t="s">
        <v>2659</v>
      </c>
      <c r="Y251" s="3" t="s">
        <v>2660</v>
      </c>
      <c r="Z251" s="3" t="s">
        <v>66</v>
      </c>
      <c r="AA251" s="3" t="s">
        <v>32</v>
      </c>
      <c r="AB251" s="3" t="s">
        <v>32</v>
      </c>
      <c r="AC251" s="3" t="s">
        <v>40</v>
      </c>
      <c r="AD251" s="3" t="s">
        <v>80</v>
      </c>
    </row>
    <row r="252">
      <c r="A252" s="3" t="s">
        <v>2661</v>
      </c>
      <c r="B252" s="3" t="s">
        <v>82</v>
      </c>
      <c r="C252" s="3" t="s">
        <v>31</v>
      </c>
      <c r="D252" s="3">
        <v>2022.0</v>
      </c>
      <c r="E252" s="3">
        <v>5.0</v>
      </c>
      <c r="F252" s="3" t="s">
        <v>32</v>
      </c>
      <c r="G252" s="3">
        <v>5.16788205E8</v>
      </c>
      <c r="H252" s="3" t="s">
        <v>2662</v>
      </c>
      <c r="I252" s="3" t="s">
        <v>2663</v>
      </c>
      <c r="J252" s="3" t="s">
        <v>71</v>
      </c>
      <c r="K252" s="4"/>
      <c r="L252" s="4"/>
      <c r="M252" s="5" t="s">
        <v>2664</v>
      </c>
      <c r="N252" s="3" t="s">
        <v>2665</v>
      </c>
      <c r="O252" s="3" t="s">
        <v>75</v>
      </c>
      <c r="P252" s="3" t="s">
        <v>40</v>
      </c>
      <c r="Q252" s="3">
        <v>6816914.0</v>
      </c>
      <c r="R252" s="3" t="s">
        <v>40</v>
      </c>
      <c r="S252" s="3" t="s">
        <v>40</v>
      </c>
      <c r="T252" s="3" t="s">
        <v>41</v>
      </c>
      <c r="U252" s="3" t="s">
        <v>2666</v>
      </c>
      <c r="V252" s="3" t="s">
        <v>2667</v>
      </c>
      <c r="W252" s="3" t="s">
        <v>40</v>
      </c>
      <c r="X252" s="3" t="s">
        <v>2668</v>
      </c>
      <c r="Y252" s="3" t="s">
        <v>2669</v>
      </c>
      <c r="Z252" s="3" t="s">
        <v>66</v>
      </c>
      <c r="AA252" s="3" t="s">
        <v>32</v>
      </c>
      <c r="AB252" s="3" t="s">
        <v>32</v>
      </c>
      <c r="AC252" s="3" t="s">
        <v>40</v>
      </c>
      <c r="AD252" s="3" t="s">
        <v>80</v>
      </c>
    </row>
    <row r="253">
      <c r="A253" s="3" t="s">
        <v>2670</v>
      </c>
      <c r="B253" s="3" t="s">
        <v>82</v>
      </c>
      <c r="C253" s="3" t="s">
        <v>31</v>
      </c>
      <c r="D253" s="3">
        <v>2022.0</v>
      </c>
      <c r="E253" s="3">
        <v>5.0</v>
      </c>
      <c r="F253" s="3" t="s">
        <v>32</v>
      </c>
      <c r="G253" s="3" t="s">
        <v>40</v>
      </c>
      <c r="H253" s="3" t="s">
        <v>2671</v>
      </c>
      <c r="I253" s="3" t="s">
        <v>2672</v>
      </c>
      <c r="J253" s="3" t="s">
        <v>54</v>
      </c>
      <c r="K253" s="4"/>
      <c r="L253" s="4"/>
      <c r="M253" s="5" t="s">
        <v>2673</v>
      </c>
      <c r="N253" s="3" t="s">
        <v>40</v>
      </c>
      <c r="O253" s="3" t="s">
        <v>40</v>
      </c>
      <c r="P253" s="3" t="s">
        <v>40</v>
      </c>
      <c r="Q253" s="3" t="s">
        <v>40</v>
      </c>
      <c r="R253" s="3" t="s">
        <v>40</v>
      </c>
      <c r="S253" s="3" t="s">
        <v>40</v>
      </c>
      <c r="T253" s="3" t="s">
        <v>41</v>
      </c>
      <c r="U253" s="3" t="s">
        <v>2674</v>
      </c>
      <c r="V253" s="3" t="s">
        <v>2675</v>
      </c>
      <c r="W253" s="3" t="s">
        <v>2676</v>
      </c>
      <c r="X253" s="3" t="s">
        <v>2677</v>
      </c>
      <c r="Y253" s="3" t="s">
        <v>2678</v>
      </c>
      <c r="Z253" s="3" t="s">
        <v>470</v>
      </c>
      <c r="AA253" s="3" t="s">
        <v>32</v>
      </c>
      <c r="AB253" s="3" t="s">
        <v>32</v>
      </c>
      <c r="AC253" s="3" t="s">
        <v>40</v>
      </c>
      <c r="AD253" s="3" t="s">
        <v>80</v>
      </c>
    </row>
    <row r="254">
      <c r="A254" s="3" t="s">
        <v>2679</v>
      </c>
      <c r="B254" s="3" t="s">
        <v>50</v>
      </c>
      <c r="C254" s="3" t="s">
        <v>31</v>
      </c>
      <c r="D254" s="3">
        <v>2024.0</v>
      </c>
      <c r="E254" s="3">
        <v>5.0</v>
      </c>
      <c r="F254" s="3" t="s">
        <v>32</v>
      </c>
      <c r="G254" s="3">
        <v>5.17004602E8</v>
      </c>
      <c r="H254" s="3" t="s">
        <v>2680</v>
      </c>
      <c r="I254" s="3" t="s">
        <v>2681</v>
      </c>
      <c r="J254" s="3" t="s">
        <v>35</v>
      </c>
      <c r="K254" s="4"/>
      <c r="L254" s="4"/>
      <c r="M254" s="5" t="s">
        <v>2682</v>
      </c>
      <c r="N254" s="3" t="s">
        <v>2683</v>
      </c>
      <c r="O254" s="3" t="s">
        <v>2684</v>
      </c>
      <c r="P254" s="3" t="s">
        <v>40</v>
      </c>
      <c r="Q254" s="3" t="s">
        <v>40</v>
      </c>
      <c r="R254" s="3" t="s">
        <v>40</v>
      </c>
      <c r="S254" s="3" t="s">
        <v>40</v>
      </c>
      <c r="T254" s="3" t="s">
        <v>41</v>
      </c>
      <c r="U254" s="3" t="s">
        <v>40</v>
      </c>
      <c r="V254" s="3" t="s">
        <v>40</v>
      </c>
      <c r="W254" s="3" t="s">
        <v>40</v>
      </c>
      <c r="X254" s="3" t="s">
        <v>2685</v>
      </c>
      <c r="Y254" s="3" t="s">
        <v>2686</v>
      </c>
      <c r="Z254" s="3" t="s">
        <v>291</v>
      </c>
      <c r="AA254" s="3" t="s">
        <v>47</v>
      </c>
      <c r="AB254" s="3" t="s">
        <v>47</v>
      </c>
      <c r="AC254" s="3" t="s">
        <v>40</v>
      </c>
      <c r="AD254" s="3" t="s">
        <v>80</v>
      </c>
    </row>
    <row r="255">
      <c r="A255" s="3" t="s">
        <v>2687</v>
      </c>
      <c r="B255" s="3" t="s">
        <v>82</v>
      </c>
      <c r="C255" s="3" t="s">
        <v>51</v>
      </c>
      <c r="D255" s="3">
        <v>1981.0</v>
      </c>
      <c r="E255" s="3">
        <v>50.0</v>
      </c>
      <c r="F255" s="3" t="s">
        <v>32</v>
      </c>
      <c r="G255" s="3">
        <v>5.10888647E8</v>
      </c>
      <c r="H255" s="3" t="s">
        <v>2688</v>
      </c>
      <c r="I255" s="3" t="s">
        <v>2689</v>
      </c>
      <c r="J255" s="3" t="s">
        <v>2690</v>
      </c>
      <c r="K255" s="3" t="s">
        <v>2691</v>
      </c>
      <c r="L255" s="4"/>
      <c r="M255" s="5" t="s">
        <v>2692</v>
      </c>
      <c r="N255" s="3" t="s">
        <v>2693</v>
      </c>
      <c r="O255" s="3" t="s">
        <v>147</v>
      </c>
      <c r="P255" s="3">
        <v>45049.0</v>
      </c>
      <c r="Q255" s="3">
        <v>91450.0</v>
      </c>
      <c r="R255" s="3" t="s">
        <v>40</v>
      </c>
      <c r="S255" s="3" t="s">
        <v>40</v>
      </c>
      <c r="T255" s="3" t="s">
        <v>41</v>
      </c>
      <c r="U255" s="3" t="s">
        <v>40</v>
      </c>
      <c r="V255" s="3" t="s">
        <v>2694</v>
      </c>
      <c r="W255" s="3" t="s">
        <v>2695</v>
      </c>
      <c r="X255" s="3" t="s">
        <v>2696</v>
      </c>
      <c r="Y255" s="3" t="s">
        <v>2697</v>
      </c>
      <c r="Z255" s="3" t="s">
        <v>2698</v>
      </c>
      <c r="AA255" s="3" t="s">
        <v>32</v>
      </c>
      <c r="AB255" s="3" t="s">
        <v>32</v>
      </c>
      <c r="AC255" s="3" t="s">
        <v>40</v>
      </c>
      <c r="AD255" s="3" t="s">
        <v>80</v>
      </c>
    </row>
    <row r="256">
      <c r="A256" s="3" t="s">
        <v>2699</v>
      </c>
      <c r="B256" s="3" t="s">
        <v>82</v>
      </c>
      <c r="C256" s="3" t="s">
        <v>51</v>
      </c>
      <c r="D256" s="3">
        <v>2011.0</v>
      </c>
      <c r="E256" s="3">
        <v>50.0</v>
      </c>
      <c r="F256" s="3" t="s">
        <v>32</v>
      </c>
      <c r="G256" s="3">
        <v>5.14740422E8</v>
      </c>
      <c r="H256" s="3" t="s">
        <v>2700</v>
      </c>
      <c r="I256" s="3" t="s">
        <v>2701</v>
      </c>
      <c r="J256" s="3" t="s">
        <v>71</v>
      </c>
      <c r="K256" s="3" t="s">
        <v>2702</v>
      </c>
      <c r="L256" s="4"/>
      <c r="M256" s="5" t="s">
        <v>2703</v>
      </c>
      <c r="N256" s="3" t="s">
        <v>2704</v>
      </c>
      <c r="O256" s="3" t="s">
        <v>2405</v>
      </c>
      <c r="P256" s="3" t="s">
        <v>40</v>
      </c>
      <c r="Q256" s="3">
        <v>6092000.0</v>
      </c>
      <c r="R256" s="3" t="s">
        <v>40</v>
      </c>
      <c r="S256" s="3" t="s">
        <v>40</v>
      </c>
      <c r="T256" s="3" t="s">
        <v>41</v>
      </c>
      <c r="U256" s="3" t="s">
        <v>2705</v>
      </c>
      <c r="V256" s="3" t="s">
        <v>2706</v>
      </c>
      <c r="W256" s="3" t="s">
        <v>2705</v>
      </c>
      <c r="X256" s="3" t="s">
        <v>2707</v>
      </c>
      <c r="Y256" s="3" t="s">
        <v>66</v>
      </c>
      <c r="Z256" s="3" t="s">
        <v>66</v>
      </c>
      <c r="AA256" s="3" t="s">
        <v>47</v>
      </c>
      <c r="AB256" s="3" t="s">
        <v>32</v>
      </c>
      <c r="AC256" s="3" t="s">
        <v>40</v>
      </c>
      <c r="AD256" s="3" t="s">
        <v>80</v>
      </c>
    </row>
    <row r="257">
      <c r="A257" s="3" t="s">
        <v>2708</v>
      </c>
      <c r="B257" s="3" t="s">
        <v>82</v>
      </c>
      <c r="C257" s="3" t="s">
        <v>119</v>
      </c>
      <c r="D257" s="3">
        <v>1971.0</v>
      </c>
      <c r="E257" s="3">
        <v>50.0</v>
      </c>
      <c r="F257" s="3" t="s">
        <v>32</v>
      </c>
      <c r="G257" s="3">
        <v>5.10573157E8</v>
      </c>
      <c r="H257" s="3" t="s">
        <v>2709</v>
      </c>
      <c r="I257" s="3" t="s">
        <v>2710</v>
      </c>
      <c r="J257" s="3" t="s">
        <v>157</v>
      </c>
      <c r="K257" s="3" t="s">
        <v>2711</v>
      </c>
      <c r="L257" s="4"/>
      <c r="M257" s="5" t="s">
        <v>2712</v>
      </c>
      <c r="N257" s="3" t="s">
        <v>2713</v>
      </c>
      <c r="O257" s="3" t="s">
        <v>2714</v>
      </c>
      <c r="P257" s="3">
        <v>404.0</v>
      </c>
      <c r="Q257" s="3">
        <v>3688809.0</v>
      </c>
      <c r="R257" s="3" t="s">
        <v>40</v>
      </c>
      <c r="S257" s="3" t="s">
        <v>40</v>
      </c>
      <c r="T257" s="3" t="s">
        <v>41</v>
      </c>
      <c r="U257" s="3" t="s">
        <v>2715</v>
      </c>
      <c r="V257" s="3" t="s">
        <v>2716</v>
      </c>
      <c r="W257" s="3" t="s">
        <v>2715</v>
      </c>
      <c r="X257" s="3" t="s">
        <v>2717</v>
      </c>
      <c r="Y257" s="3" t="s">
        <v>2718</v>
      </c>
      <c r="Z257" s="3" t="s">
        <v>2719</v>
      </c>
      <c r="AA257" s="3" t="s">
        <v>32</v>
      </c>
      <c r="AB257" s="3" t="s">
        <v>32</v>
      </c>
      <c r="AC257" s="3" t="s">
        <v>40</v>
      </c>
      <c r="AD257" s="3" t="s">
        <v>80</v>
      </c>
    </row>
    <row r="258">
      <c r="A258" s="3" t="s">
        <v>2720</v>
      </c>
      <c r="B258" s="3" t="s">
        <v>82</v>
      </c>
      <c r="C258" s="3" t="s">
        <v>51</v>
      </c>
      <c r="D258" s="3">
        <v>1973.0</v>
      </c>
      <c r="E258" s="3">
        <v>50.0</v>
      </c>
      <c r="F258" s="3" t="s">
        <v>32</v>
      </c>
      <c r="G258" s="3">
        <v>5.10697329E8</v>
      </c>
      <c r="H258" s="3" t="s">
        <v>2721</v>
      </c>
      <c r="I258" s="3" t="s">
        <v>2722</v>
      </c>
      <c r="J258" s="3" t="s">
        <v>71</v>
      </c>
      <c r="K258" s="3" t="s">
        <v>2723</v>
      </c>
      <c r="L258" s="4"/>
      <c r="M258" s="5" t="s">
        <v>2724</v>
      </c>
      <c r="N258" s="3" t="s">
        <v>2725</v>
      </c>
      <c r="O258" s="3" t="s">
        <v>638</v>
      </c>
      <c r="P258" s="3">
        <v>260.0</v>
      </c>
      <c r="Q258" s="3">
        <v>5623107.0</v>
      </c>
      <c r="R258" s="3" t="s">
        <v>40</v>
      </c>
      <c r="S258" s="3" t="s">
        <v>40</v>
      </c>
      <c r="T258" s="3" t="s">
        <v>41</v>
      </c>
      <c r="U258" s="3" t="s">
        <v>2726</v>
      </c>
      <c r="V258" s="3" t="s">
        <v>2727</v>
      </c>
      <c r="W258" s="3" t="s">
        <v>2726</v>
      </c>
      <c r="X258" s="3" t="s">
        <v>2728</v>
      </c>
      <c r="Y258" s="3" t="s">
        <v>2729</v>
      </c>
      <c r="Z258" s="3" t="s">
        <v>2730</v>
      </c>
      <c r="AA258" s="3" t="s">
        <v>32</v>
      </c>
      <c r="AB258" s="3" t="s">
        <v>32</v>
      </c>
      <c r="AC258" s="3" t="s">
        <v>40</v>
      </c>
      <c r="AD258" s="3" t="s">
        <v>80</v>
      </c>
    </row>
    <row r="259">
      <c r="A259" s="3" t="s">
        <v>2731</v>
      </c>
      <c r="B259" s="3" t="s">
        <v>82</v>
      </c>
      <c r="C259" s="3" t="s">
        <v>51</v>
      </c>
      <c r="D259" s="3">
        <v>1999.0</v>
      </c>
      <c r="E259" s="3">
        <v>52.0</v>
      </c>
      <c r="F259" s="3" t="s">
        <v>32</v>
      </c>
      <c r="G259" s="3">
        <v>5.12759333E8</v>
      </c>
      <c r="H259" s="3" t="s">
        <v>2732</v>
      </c>
      <c r="I259" s="3" t="s">
        <v>2733</v>
      </c>
      <c r="J259" s="3" t="s">
        <v>71</v>
      </c>
      <c r="K259" s="3" t="s">
        <v>2734</v>
      </c>
      <c r="L259" s="4"/>
      <c r="M259" s="5" t="s">
        <v>2735</v>
      </c>
      <c r="N259" s="3" t="s">
        <v>2736</v>
      </c>
      <c r="O259" s="3" t="s">
        <v>1247</v>
      </c>
      <c r="P259" s="3" t="s">
        <v>40</v>
      </c>
      <c r="Q259" s="3">
        <v>4527022.0</v>
      </c>
      <c r="R259" s="3" t="s">
        <v>40</v>
      </c>
      <c r="S259" s="3" t="s">
        <v>40</v>
      </c>
      <c r="T259" s="3" t="s">
        <v>41</v>
      </c>
      <c r="U259" s="3" t="s">
        <v>2737</v>
      </c>
      <c r="V259" s="3" t="s">
        <v>2738</v>
      </c>
      <c r="W259" s="3" t="s">
        <v>2737</v>
      </c>
      <c r="X259" s="3" t="s">
        <v>2739</v>
      </c>
      <c r="Y259" s="3" t="s">
        <v>2740</v>
      </c>
      <c r="Z259" s="3" t="s">
        <v>535</v>
      </c>
      <c r="AA259" s="3" t="s">
        <v>32</v>
      </c>
      <c r="AB259" s="3" t="s">
        <v>32</v>
      </c>
      <c r="AC259" s="3" t="s">
        <v>40</v>
      </c>
      <c r="AD259" s="3" t="s">
        <v>80</v>
      </c>
    </row>
    <row r="260">
      <c r="A260" s="3" t="s">
        <v>2741</v>
      </c>
      <c r="B260" s="3" t="s">
        <v>50</v>
      </c>
      <c r="C260" s="3" t="s">
        <v>51</v>
      </c>
      <c r="D260" s="3">
        <v>1999.0</v>
      </c>
      <c r="E260" s="3">
        <v>52.0</v>
      </c>
      <c r="F260" s="3" t="s">
        <v>32</v>
      </c>
      <c r="G260" s="3">
        <v>5.12740564E8</v>
      </c>
      <c r="H260" s="3" t="s">
        <v>2742</v>
      </c>
      <c r="I260" s="3" t="s">
        <v>2743</v>
      </c>
      <c r="J260" s="3" t="s">
        <v>2744</v>
      </c>
      <c r="K260" s="4"/>
      <c r="L260" s="4"/>
      <c r="M260" s="5" t="s">
        <v>2745</v>
      </c>
      <c r="N260" s="3" t="s">
        <v>2746</v>
      </c>
      <c r="O260" s="3" t="s">
        <v>2502</v>
      </c>
      <c r="P260" s="3">
        <v>357.0</v>
      </c>
      <c r="Q260" s="3">
        <v>6099000.0</v>
      </c>
      <c r="R260" s="3" t="s">
        <v>40</v>
      </c>
      <c r="S260" s="3" t="s">
        <v>40</v>
      </c>
      <c r="T260" s="3" t="s">
        <v>41</v>
      </c>
      <c r="U260" s="3" t="s">
        <v>2747</v>
      </c>
      <c r="V260" s="3" t="s">
        <v>2748</v>
      </c>
      <c r="W260" s="3" t="s">
        <v>2747</v>
      </c>
      <c r="X260" s="3" t="s">
        <v>2749</v>
      </c>
      <c r="Y260" s="3" t="s">
        <v>2750</v>
      </c>
      <c r="Z260" s="3" t="s">
        <v>2751</v>
      </c>
      <c r="AA260" s="3" t="s">
        <v>47</v>
      </c>
      <c r="AB260" s="3" t="s">
        <v>47</v>
      </c>
      <c r="AC260" s="3">
        <v>47.1</v>
      </c>
      <c r="AD260" s="3" t="s">
        <v>80</v>
      </c>
    </row>
    <row r="261">
      <c r="A261" s="8" t="s">
        <v>2752</v>
      </c>
      <c r="B261" s="8" t="s">
        <v>82</v>
      </c>
      <c r="C261" s="8" t="s">
        <v>119</v>
      </c>
      <c r="D261" s="8">
        <v>1974.0</v>
      </c>
      <c r="E261" s="8">
        <v>525.0</v>
      </c>
      <c r="F261" s="8" t="s">
        <v>47</v>
      </c>
      <c r="G261" s="8">
        <v>5.20037243E8</v>
      </c>
      <c r="H261" s="8" t="s">
        <v>2753</v>
      </c>
      <c r="I261" s="8" t="s">
        <v>2754</v>
      </c>
      <c r="J261" s="8" t="s">
        <v>71</v>
      </c>
      <c r="K261" s="8" t="s">
        <v>2755</v>
      </c>
      <c r="L261" s="4"/>
      <c r="M261" s="9" t="s">
        <v>2756</v>
      </c>
      <c r="N261" s="8" t="s">
        <v>2757</v>
      </c>
      <c r="O261" s="8" t="s">
        <v>2714</v>
      </c>
      <c r="P261" s="8">
        <v>189.0</v>
      </c>
      <c r="Q261" s="8">
        <v>3660102.0</v>
      </c>
      <c r="R261" s="8" t="s">
        <v>40</v>
      </c>
      <c r="S261" s="8" t="s">
        <v>40</v>
      </c>
      <c r="T261" s="8" t="s">
        <v>41</v>
      </c>
      <c r="U261" s="8" t="s">
        <v>2758</v>
      </c>
      <c r="V261" s="8" t="s">
        <v>2759</v>
      </c>
      <c r="W261" s="8" t="s">
        <v>2760</v>
      </c>
      <c r="X261" s="8" t="s">
        <v>2761</v>
      </c>
      <c r="Y261" s="8" t="s">
        <v>2762</v>
      </c>
      <c r="Z261" s="8" t="s">
        <v>457</v>
      </c>
      <c r="AA261" s="8" t="s">
        <v>32</v>
      </c>
      <c r="AB261" s="8" t="s">
        <v>32</v>
      </c>
      <c r="AC261" s="8" t="s">
        <v>40</v>
      </c>
      <c r="AD261" s="8" t="s">
        <v>80</v>
      </c>
    </row>
    <row r="262">
      <c r="A262" s="3" t="s">
        <v>2763</v>
      </c>
      <c r="B262" s="3" t="s">
        <v>68</v>
      </c>
      <c r="C262" s="3" t="s">
        <v>51</v>
      </c>
      <c r="D262" s="3">
        <v>2016.0</v>
      </c>
      <c r="E262" s="3">
        <v>54.0</v>
      </c>
      <c r="F262" s="3" t="s">
        <v>32</v>
      </c>
      <c r="G262" s="3">
        <v>5.1573383E8</v>
      </c>
      <c r="H262" s="3" t="s">
        <v>2764</v>
      </c>
      <c r="I262" s="3" t="s">
        <v>2765</v>
      </c>
      <c r="J262" s="3" t="s">
        <v>54</v>
      </c>
      <c r="K262" s="3" t="s">
        <v>2766</v>
      </c>
      <c r="L262" s="4"/>
      <c r="M262" s="5" t="s">
        <v>2767</v>
      </c>
      <c r="N262" s="3" t="s">
        <v>2768</v>
      </c>
      <c r="O262" s="3" t="s">
        <v>506</v>
      </c>
      <c r="P262" s="3" t="s">
        <v>40</v>
      </c>
      <c r="Q262" s="3">
        <v>10018.0</v>
      </c>
      <c r="R262" s="3" t="s">
        <v>507</v>
      </c>
      <c r="S262" s="3" t="s">
        <v>40</v>
      </c>
      <c r="T262" s="3" t="s">
        <v>60</v>
      </c>
      <c r="U262" s="3" t="s">
        <v>2769</v>
      </c>
      <c r="V262" s="3" t="s">
        <v>2770</v>
      </c>
      <c r="W262" s="3" t="s">
        <v>2769</v>
      </c>
      <c r="X262" s="3" t="s">
        <v>2771</v>
      </c>
      <c r="Y262" s="3" t="s">
        <v>2772</v>
      </c>
      <c r="Z262" s="3" t="s">
        <v>66</v>
      </c>
      <c r="AA262" s="3" t="s">
        <v>47</v>
      </c>
      <c r="AB262" s="3" t="s">
        <v>47</v>
      </c>
      <c r="AC262" s="3">
        <v>44.6</v>
      </c>
      <c r="AD262" s="3" t="s">
        <v>80</v>
      </c>
    </row>
    <row r="263">
      <c r="A263" s="5" t="s">
        <v>2773</v>
      </c>
      <c r="B263" s="3" t="s">
        <v>435</v>
      </c>
      <c r="C263" s="3" t="s">
        <v>51</v>
      </c>
      <c r="D263" s="3">
        <v>2016.0</v>
      </c>
      <c r="E263" s="3">
        <v>55.0</v>
      </c>
      <c r="F263" s="3" t="s">
        <v>32</v>
      </c>
      <c r="G263" s="3">
        <v>5.15413482E8</v>
      </c>
      <c r="H263" s="3" t="s">
        <v>2774</v>
      </c>
      <c r="I263" s="3" t="s">
        <v>2775</v>
      </c>
      <c r="J263" s="3" t="s">
        <v>612</v>
      </c>
      <c r="K263" s="4"/>
      <c r="L263" s="4"/>
      <c r="M263" s="5" t="s">
        <v>2776</v>
      </c>
      <c r="N263" s="3" t="s">
        <v>2777</v>
      </c>
      <c r="O263" s="3" t="s">
        <v>616</v>
      </c>
      <c r="P263" s="3" t="s">
        <v>40</v>
      </c>
      <c r="Q263" s="3">
        <v>5250501.0</v>
      </c>
      <c r="R263" s="3" t="s">
        <v>40</v>
      </c>
      <c r="S263" s="3" t="s">
        <v>40</v>
      </c>
      <c r="T263" s="3" t="s">
        <v>41</v>
      </c>
      <c r="U263" s="3" t="s">
        <v>2778</v>
      </c>
      <c r="V263" s="3" t="s">
        <v>2779</v>
      </c>
      <c r="W263" s="3" t="s">
        <v>2778</v>
      </c>
      <c r="X263" s="3" t="s">
        <v>2780</v>
      </c>
      <c r="Y263" s="3" t="s">
        <v>2781</v>
      </c>
      <c r="Z263" s="3" t="s">
        <v>2782</v>
      </c>
      <c r="AA263" s="3" t="s">
        <v>47</v>
      </c>
      <c r="AB263" s="3" t="s">
        <v>47</v>
      </c>
      <c r="AC263" s="3">
        <v>19.625</v>
      </c>
      <c r="AD263" s="3" t="s">
        <v>80</v>
      </c>
    </row>
    <row r="264">
      <c r="A264" s="3" t="s">
        <v>2783</v>
      </c>
      <c r="B264" s="3" t="s">
        <v>50</v>
      </c>
      <c r="C264" s="3" t="s">
        <v>119</v>
      </c>
      <c r="D264" s="3">
        <v>2016.0</v>
      </c>
      <c r="E264" s="3">
        <v>550.0</v>
      </c>
      <c r="F264" s="3" t="s">
        <v>32</v>
      </c>
      <c r="G264" s="3">
        <v>5.15446821E8</v>
      </c>
      <c r="H264" s="3" t="s">
        <v>2784</v>
      </c>
      <c r="I264" s="3" t="s">
        <v>2785</v>
      </c>
      <c r="J264" s="3" t="s">
        <v>35</v>
      </c>
      <c r="K264" s="3" t="s">
        <v>2786</v>
      </c>
      <c r="L264" s="4"/>
      <c r="M264" s="5" t="s">
        <v>2787</v>
      </c>
      <c r="N264" s="3" t="s">
        <v>2788</v>
      </c>
      <c r="O264" s="3" t="s">
        <v>2789</v>
      </c>
      <c r="P264" s="3" t="s">
        <v>40</v>
      </c>
      <c r="Q264" s="3">
        <v>90024.0</v>
      </c>
      <c r="R264" s="3" t="s">
        <v>40</v>
      </c>
      <c r="S264" s="3" t="s">
        <v>40</v>
      </c>
      <c r="T264" s="3" t="s">
        <v>60</v>
      </c>
      <c r="U264" s="3" t="s">
        <v>2790</v>
      </c>
      <c r="V264" s="3" t="s">
        <v>2791</v>
      </c>
      <c r="W264" s="3" t="s">
        <v>2790</v>
      </c>
      <c r="X264" s="3" t="s">
        <v>2792</v>
      </c>
      <c r="Y264" s="3" t="s">
        <v>2793</v>
      </c>
      <c r="Z264" s="3" t="s">
        <v>2794</v>
      </c>
      <c r="AA264" s="3" t="s">
        <v>47</v>
      </c>
      <c r="AB264" s="3" t="s">
        <v>47</v>
      </c>
      <c r="AC264" s="3">
        <v>184.0</v>
      </c>
      <c r="AD264" s="3" t="s">
        <v>80</v>
      </c>
    </row>
    <row r="265">
      <c r="A265" s="8" t="s">
        <v>2795</v>
      </c>
      <c r="B265" s="8" t="s">
        <v>351</v>
      </c>
      <c r="C265" s="8" t="s">
        <v>119</v>
      </c>
      <c r="D265" s="8">
        <v>1993.0</v>
      </c>
      <c r="E265" s="8">
        <v>5500.0</v>
      </c>
      <c r="F265" s="8" t="s">
        <v>47</v>
      </c>
      <c r="G265" s="8">
        <v>5.20041997E8</v>
      </c>
      <c r="H265" s="8" t="s">
        <v>2796</v>
      </c>
      <c r="I265" s="8" t="s">
        <v>2797</v>
      </c>
      <c r="J265" s="8" t="s">
        <v>71</v>
      </c>
      <c r="K265" s="8" t="s">
        <v>2798</v>
      </c>
      <c r="L265" s="4"/>
      <c r="M265" s="9" t="s">
        <v>2799</v>
      </c>
      <c r="N265" s="8" t="s">
        <v>2800</v>
      </c>
      <c r="O265" s="8" t="s">
        <v>2414</v>
      </c>
      <c r="P265" s="8">
        <v>619.0</v>
      </c>
      <c r="Q265" s="8">
        <v>2310502.0</v>
      </c>
      <c r="R265" s="8" t="s">
        <v>40</v>
      </c>
      <c r="S265" s="8" t="s">
        <v>40</v>
      </c>
      <c r="T265" s="8" t="s">
        <v>41</v>
      </c>
      <c r="U265" s="8" t="s">
        <v>2801</v>
      </c>
      <c r="V265" s="8" t="s">
        <v>2802</v>
      </c>
      <c r="W265" s="8" t="s">
        <v>2803</v>
      </c>
      <c r="X265" s="8" t="s">
        <v>2804</v>
      </c>
      <c r="Y265" s="8" t="s">
        <v>2805</v>
      </c>
      <c r="Z265" s="8" t="s">
        <v>2806</v>
      </c>
      <c r="AA265" s="8" t="s">
        <v>47</v>
      </c>
      <c r="AB265" s="8" t="s">
        <v>47</v>
      </c>
      <c r="AC265" s="8">
        <v>614.0</v>
      </c>
      <c r="AD265" s="8" t="s">
        <v>80</v>
      </c>
    </row>
    <row r="266">
      <c r="A266" s="3" t="s">
        <v>2807</v>
      </c>
      <c r="B266" s="3" t="s">
        <v>50</v>
      </c>
      <c r="C266" s="3" t="s">
        <v>51</v>
      </c>
      <c r="D266" s="3">
        <v>2018.0</v>
      </c>
      <c r="E266" s="3">
        <v>58.0</v>
      </c>
      <c r="F266" s="3" t="s">
        <v>32</v>
      </c>
      <c r="G266" s="3">
        <v>5.15942068E8</v>
      </c>
      <c r="H266" s="3" t="s">
        <v>2808</v>
      </c>
      <c r="I266" s="3" t="s">
        <v>2809</v>
      </c>
      <c r="J266" s="3" t="s">
        <v>35</v>
      </c>
      <c r="K266" s="3" t="s">
        <v>2810</v>
      </c>
      <c r="L266" s="4"/>
      <c r="M266" s="5" t="s">
        <v>2811</v>
      </c>
      <c r="N266" s="3" t="s">
        <v>2812</v>
      </c>
      <c r="O266" s="3" t="s">
        <v>880</v>
      </c>
      <c r="P266" s="3" t="s">
        <v>40</v>
      </c>
      <c r="Q266" s="3">
        <v>78758.0</v>
      </c>
      <c r="R266" s="3" t="s">
        <v>881</v>
      </c>
      <c r="S266" s="3" t="s">
        <v>40</v>
      </c>
      <c r="T266" s="3" t="s">
        <v>60</v>
      </c>
      <c r="U266" s="3" t="s">
        <v>2813</v>
      </c>
      <c r="V266" s="3" t="s">
        <v>40</v>
      </c>
      <c r="W266" s="3" t="s">
        <v>2813</v>
      </c>
      <c r="X266" s="3" t="s">
        <v>2814</v>
      </c>
      <c r="Y266" s="3" t="s">
        <v>2815</v>
      </c>
      <c r="Z266" s="3" t="s">
        <v>511</v>
      </c>
      <c r="AA266" s="3" t="s">
        <v>47</v>
      </c>
      <c r="AB266" s="3" t="s">
        <v>47</v>
      </c>
      <c r="AC266" s="3">
        <v>23.0</v>
      </c>
      <c r="AD266" s="3" t="s">
        <v>80</v>
      </c>
    </row>
    <row r="267">
      <c r="A267" s="6" t="s">
        <v>2816</v>
      </c>
      <c r="B267" s="6" t="s">
        <v>68</v>
      </c>
      <c r="C267" s="6" t="s">
        <v>51</v>
      </c>
      <c r="D267" s="6">
        <v>2014.0</v>
      </c>
      <c r="E267" s="6">
        <v>6.0</v>
      </c>
      <c r="F267" s="6" t="s">
        <v>32</v>
      </c>
      <c r="G267" s="6">
        <v>5.15108264E8</v>
      </c>
      <c r="H267" s="6" t="s">
        <v>2817</v>
      </c>
      <c r="I267" s="6" t="s">
        <v>2818</v>
      </c>
      <c r="J267" s="6" t="s">
        <v>35</v>
      </c>
      <c r="K267" s="6" t="s">
        <v>2819</v>
      </c>
      <c r="L267" s="4"/>
      <c r="M267" s="7" t="s">
        <v>2820</v>
      </c>
      <c r="N267" s="6" t="s">
        <v>2821</v>
      </c>
      <c r="O267" s="6" t="s">
        <v>452</v>
      </c>
      <c r="P267" s="6" t="s">
        <v>40</v>
      </c>
      <c r="Q267" s="6">
        <v>7177908.0</v>
      </c>
      <c r="R267" s="6" t="s">
        <v>40</v>
      </c>
      <c r="S267" s="6" t="s">
        <v>40</v>
      </c>
      <c r="T267" s="6" t="s">
        <v>41</v>
      </c>
      <c r="U267" s="6" t="s">
        <v>2822</v>
      </c>
      <c r="V267" s="6" t="s">
        <v>2823</v>
      </c>
      <c r="W267" s="6" t="s">
        <v>2822</v>
      </c>
      <c r="X267" s="6" t="s">
        <v>2824</v>
      </c>
      <c r="Y267" s="6" t="s">
        <v>2825</v>
      </c>
      <c r="Z267" s="6" t="s">
        <v>2826</v>
      </c>
      <c r="AA267" s="6" t="s">
        <v>47</v>
      </c>
      <c r="AB267" s="6" t="s">
        <v>47</v>
      </c>
      <c r="AC267" s="6">
        <v>1.05</v>
      </c>
      <c r="AD267" s="6" t="s">
        <v>80</v>
      </c>
    </row>
    <row r="268">
      <c r="A268" s="6" t="s">
        <v>2827</v>
      </c>
      <c r="B268" s="6" t="s">
        <v>154</v>
      </c>
      <c r="C268" s="6" t="s">
        <v>51</v>
      </c>
      <c r="D268" s="6">
        <v>2019.0</v>
      </c>
      <c r="E268" s="6">
        <v>6.0</v>
      </c>
      <c r="F268" s="6" t="s">
        <v>32</v>
      </c>
      <c r="G268" s="6">
        <v>5.15959716E8</v>
      </c>
      <c r="H268" s="6" t="s">
        <v>2828</v>
      </c>
      <c r="I268" s="6" t="s">
        <v>2829</v>
      </c>
      <c r="J268" s="6" t="s">
        <v>35</v>
      </c>
      <c r="K268" s="6" t="s">
        <v>2830</v>
      </c>
      <c r="L268" s="4"/>
      <c r="M268" s="7" t="s">
        <v>2831</v>
      </c>
      <c r="N268" s="6" t="s">
        <v>2832</v>
      </c>
      <c r="O268" s="6" t="s">
        <v>147</v>
      </c>
      <c r="P268" s="6" t="s">
        <v>40</v>
      </c>
      <c r="Q268" s="6">
        <v>9354212.0</v>
      </c>
      <c r="R268" s="6" t="s">
        <v>40</v>
      </c>
      <c r="S268" s="6" t="s">
        <v>40</v>
      </c>
      <c r="T268" s="6" t="s">
        <v>41</v>
      </c>
      <c r="U268" s="6" t="s">
        <v>2833</v>
      </c>
      <c r="V268" s="6" t="s">
        <v>2834</v>
      </c>
      <c r="W268" s="6" t="s">
        <v>2833</v>
      </c>
      <c r="X268" s="6" t="s">
        <v>2835</v>
      </c>
      <c r="Y268" s="6" t="s">
        <v>2836</v>
      </c>
      <c r="Z268" s="6" t="s">
        <v>2837</v>
      </c>
      <c r="AA268" s="6" t="s">
        <v>47</v>
      </c>
      <c r="AB268" s="6" t="s">
        <v>32</v>
      </c>
      <c r="AC268" s="6">
        <v>1.2</v>
      </c>
      <c r="AD268" s="6" t="s">
        <v>80</v>
      </c>
    </row>
    <row r="269">
      <c r="A269" s="3" t="s">
        <v>2838</v>
      </c>
      <c r="B269" s="3" t="s">
        <v>50</v>
      </c>
      <c r="C269" s="3" t="s">
        <v>31</v>
      </c>
      <c r="D269" s="3">
        <v>2019.0</v>
      </c>
      <c r="E269" s="3">
        <v>6.0</v>
      </c>
      <c r="F269" s="3" t="s">
        <v>32</v>
      </c>
      <c r="G269" s="3">
        <v>5.15994838E8</v>
      </c>
      <c r="H269" s="3" t="s">
        <v>2839</v>
      </c>
      <c r="I269" s="3" t="s">
        <v>2840</v>
      </c>
      <c r="J269" s="3" t="s">
        <v>265</v>
      </c>
      <c r="K269" s="3" t="s">
        <v>2841</v>
      </c>
      <c r="L269" s="4"/>
      <c r="M269" s="5" t="s">
        <v>2842</v>
      </c>
      <c r="N269" s="3" t="s">
        <v>2843</v>
      </c>
      <c r="O269" s="3" t="s">
        <v>75</v>
      </c>
      <c r="P269" s="3" t="s">
        <v>40</v>
      </c>
      <c r="Q269" s="3">
        <v>6701203.0</v>
      </c>
      <c r="R269" s="3" t="s">
        <v>40</v>
      </c>
      <c r="S269" s="3" t="s">
        <v>40</v>
      </c>
      <c r="T269" s="3" t="s">
        <v>41</v>
      </c>
      <c r="U269" s="3" t="s">
        <v>2844</v>
      </c>
      <c r="V269" s="3" t="s">
        <v>2845</v>
      </c>
      <c r="W269" s="3" t="s">
        <v>2844</v>
      </c>
      <c r="X269" s="3" t="s">
        <v>2846</v>
      </c>
      <c r="Y269" s="3" t="s">
        <v>2847</v>
      </c>
      <c r="Z269" s="3" t="s">
        <v>2848</v>
      </c>
      <c r="AA269" s="3" t="s">
        <v>47</v>
      </c>
      <c r="AB269" s="3" t="s">
        <v>47</v>
      </c>
      <c r="AC269" s="3">
        <v>3.5</v>
      </c>
      <c r="AD269" s="3" t="s">
        <v>48</v>
      </c>
    </row>
    <row r="270">
      <c r="A270" s="6" t="s">
        <v>2849</v>
      </c>
      <c r="B270" s="6" t="s">
        <v>68</v>
      </c>
      <c r="C270" s="6" t="s">
        <v>51</v>
      </c>
      <c r="D270" s="6">
        <v>2021.0</v>
      </c>
      <c r="E270" s="6">
        <v>6.0</v>
      </c>
      <c r="F270" s="6" t="s">
        <v>32</v>
      </c>
      <c r="G270" s="6">
        <v>5.16295052E8</v>
      </c>
      <c r="H270" s="6" t="s">
        <v>2850</v>
      </c>
      <c r="I270" s="6" t="s">
        <v>2851</v>
      </c>
      <c r="J270" s="6" t="s">
        <v>35</v>
      </c>
      <c r="K270" s="16"/>
      <c r="L270" s="4"/>
      <c r="M270" s="7" t="s">
        <v>2852</v>
      </c>
      <c r="N270" s="6" t="s">
        <v>2853</v>
      </c>
      <c r="O270" s="6" t="s">
        <v>506</v>
      </c>
      <c r="P270" s="6" t="s">
        <v>40</v>
      </c>
      <c r="Q270" s="6">
        <v>10282.0</v>
      </c>
      <c r="R270" s="6" t="s">
        <v>507</v>
      </c>
      <c r="S270" s="6" t="s">
        <v>40</v>
      </c>
      <c r="T270" s="6" t="s">
        <v>60</v>
      </c>
      <c r="U270" s="6" t="s">
        <v>40</v>
      </c>
      <c r="V270" s="6" t="s">
        <v>40</v>
      </c>
      <c r="W270" s="6" t="s">
        <v>40</v>
      </c>
      <c r="X270" s="6" t="s">
        <v>2854</v>
      </c>
      <c r="Y270" s="6" t="s">
        <v>2855</v>
      </c>
      <c r="Z270" s="6" t="s">
        <v>2856</v>
      </c>
      <c r="AA270" s="6" t="s">
        <v>47</v>
      </c>
      <c r="AB270" s="6" t="s">
        <v>47</v>
      </c>
      <c r="AC270" s="6">
        <v>0.9</v>
      </c>
      <c r="AD270" s="6" t="s">
        <v>80</v>
      </c>
    </row>
    <row r="271">
      <c r="A271" s="3" t="s">
        <v>2857</v>
      </c>
      <c r="B271" s="3" t="s">
        <v>82</v>
      </c>
      <c r="C271" s="3" t="s">
        <v>51</v>
      </c>
      <c r="D271" s="3">
        <v>2013.0</v>
      </c>
      <c r="E271" s="3">
        <v>6.0</v>
      </c>
      <c r="F271" s="3" t="s">
        <v>32</v>
      </c>
      <c r="G271" s="3">
        <v>5.15480929E8</v>
      </c>
      <c r="H271" s="3" t="s">
        <v>2858</v>
      </c>
      <c r="I271" s="3" t="s">
        <v>2859</v>
      </c>
      <c r="J271" s="3" t="s">
        <v>35</v>
      </c>
      <c r="K271" s="4"/>
      <c r="L271" s="4"/>
      <c r="M271" s="5" t="s">
        <v>2860</v>
      </c>
      <c r="N271" s="3" t="s">
        <v>2861</v>
      </c>
      <c r="O271" s="3" t="s">
        <v>75</v>
      </c>
      <c r="P271" s="3" t="s">
        <v>40</v>
      </c>
      <c r="Q271" s="3">
        <v>6777668.0</v>
      </c>
      <c r="R271" s="3" t="s">
        <v>40</v>
      </c>
      <c r="S271" s="3" t="s">
        <v>40</v>
      </c>
      <c r="T271" s="3" t="s">
        <v>41</v>
      </c>
      <c r="U271" s="3" t="s">
        <v>2862</v>
      </c>
      <c r="V271" s="3" t="s">
        <v>2863</v>
      </c>
      <c r="W271" s="3" t="s">
        <v>2864</v>
      </c>
      <c r="X271" s="3" t="s">
        <v>2707</v>
      </c>
      <c r="Y271" s="3" t="s">
        <v>2865</v>
      </c>
      <c r="Z271" s="3" t="s">
        <v>66</v>
      </c>
      <c r="AA271" s="3" t="s">
        <v>32</v>
      </c>
      <c r="AB271" s="3" t="s">
        <v>32</v>
      </c>
      <c r="AC271" s="3" t="s">
        <v>40</v>
      </c>
      <c r="AD271" s="3" t="s">
        <v>80</v>
      </c>
    </row>
    <row r="272">
      <c r="A272" s="3" t="s">
        <v>2866</v>
      </c>
      <c r="B272" s="3" t="s">
        <v>82</v>
      </c>
      <c r="C272" s="3" t="s">
        <v>51</v>
      </c>
      <c r="D272" s="3">
        <v>2016.0</v>
      </c>
      <c r="E272" s="3">
        <v>6.0</v>
      </c>
      <c r="F272" s="3" t="s">
        <v>32</v>
      </c>
      <c r="G272" s="3">
        <v>5.15865905E8</v>
      </c>
      <c r="H272" s="3" t="s">
        <v>2867</v>
      </c>
      <c r="I272" s="3" t="s">
        <v>2868</v>
      </c>
      <c r="J272" s="3" t="s">
        <v>35</v>
      </c>
      <c r="K272" s="4"/>
      <c r="L272" s="4"/>
      <c r="M272" s="5" t="s">
        <v>2869</v>
      </c>
      <c r="N272" s="3" t="s">
        <v>40</v>
      </c>
      <c r="O272" s="3" t="s">
        <v>75</v>
      </c>
      <c r="P272" s="3" t="s">
        <v>40</v>
      </c>
      <c r="Q272" s="3" t="s">
        <v>40</v>
      </c>
      <c r="R272" s="3" t="s">
        <v>40</v>
      </c>
      <c r="S272" s="3" t="s">
        <v>40</v>
      </c>
      <c r="T272" s="3" t="s">
        <v>41</v>
      </c>
      <c r="U272" s="3" t="s">
        <v>2870</v>
      </c>
      <c r="V272" s="3" t="s">
        <v>2871</v>
      </c>
      <c r="W272" s="3" t="s">
        <v>2870</v>
      </c>
      <c r="X272" s="3" t="s">
        <v>2872</v>
      </c>
      <c r="Y272" s="3" t="s">
        <v>2873</v>
      </c>
      <c r="Z272" s="3" t="s">
        <v>2874</v>
      </c>
      <c r="AA272" s="3" t="s">
        <v>47</v>
      </c>
      <c r="AB272" s="3" t="s">
        <v>32</v>
      </c>
      <c r="AC272" s="3" t="s">
        <v>40</v>
      </c>
      <c r="AD272" s="3" t="s">
        <v>80</v>
      </c>
    </row>
    <row r="273">
      <c r="A273" s="3" t="s">
        <v>2875</v>
      </c>
      <c r="B273" s="3" t="s">
        <v>50</v>
      </c>
      <c r="C273" s="3" t="s">
        <v>51</v>
      </c>
      <c r="D273" s="3">
        <v>2000.0</v>
      </c>
      <c r="E273" s="3">
        <v>60.0</v>
      </c>
      <c r="F273" s="3" t="s">
        <v>32</v>
      </c>
      <c r="G273" s="3">
        <v>5.13110742E8</v>
      </c>
      <c r="H273" s="3" t="s">
        <v>2876</v>
      </c>
      <c r="I273" s="3" t="s">
        <v>2877</v>
      </c>
      <c r="J273" s="3" t="s">
        <v>35</v>
      </c>
      <c r="K273" s="3" t="s">
        <v>2878</v>
      </c>
      <c r="L273" s="4"/>
      <c r="M273" s="5" t="s">
        <v>2879</v>
      </c>
      <c r="N273" s="3" t="s">
        <v>2880</v>
      </c>
      <c r="O273" s="3" t="s">
        <v>2881</v>
      </c>
      <c r="P273" s="3" t="s">
        <v>40</v>
      </c>
      <c r="Q273" s="3">
        <v>6342.0</v>
      </c>
      <c r="R273" s="3" t="s">
        <v>40</v>
      </c>
      <c r="S273" s="3" t="s">
        <v>40</v>
      </c>
      <c r="T273" s="3" t="s">
        <v>258</v>
      </c>
      <c r="U273" s="3" t="s">
        <v>2882</v>
      </c>
      <c r="V273" s="3" t="s">
        <v>2883</v>
      </c>
      <c r="W273" s="3" t="s">
        <v>2882</v>
      </c>
      <c r="X273" s="3" t="s">
        <v>2884</v>
      </c>
      <c r="Y273" s="3" t="s">
        <v>2885</v>
      </c>
      <c r="Z273" s="3" t="s">
        <v>873</v>
      </c>
      <c r="AA273" s="3" t="s">
        <v>32</v>
      </c>
      <c r="AB273" s="3" t="s">
        <v>32</v>
      </c>
      <c r="AC273" s="3" t="s">
        <v>40</v>
      </c>
      <c r="AD273" s="3" t="s">
        <v>80</v>
      </c>
    </row>
    <row r="274">
      <c r="A274" s="3" t="s">
        <v>2886</v>
      </c>
      <c r="B274" s="3" t="s">
        <v>82</v>
      </c>
      <c r="C274" s="3" t="s">
        <v>119</v>
      </c>
      <c r="D274" s="3">
        <v>2011.0</v>
      </c>
      <c r="E274" s="3">
        <v>60.0</v>
      </c>
      <c r="F274" s="3" t="s">
        <v>32</v>
      </c>
      <c r="G274" s="3">
        <v>5.15049062E8</v>
      </c>
      <c r="H274" s="3" t="s">
        <v>2887</v>
      </c>
      <c r="I274" s="3" t="s">
        <v>2888</v>
      </c>
      <c r="J274" s="3" t="s">
        <v>54</v>
      </c>
      <c r="K274" s="4"/>
      <c r="L274" s="4"/>
      <c r="M274" s="5" t="s">
        <v>2889</v>
      </c>
      <c r="N274" s="3" t="s">
        <v>2890</v>
      </c>
      <c r="O274" s="3" t="s">
        <v>2891</v>
      </c>
      <c r="P274" s="3" t="s">
        <v>40</v>
      </c>
      <c r="Q274" s="3">
        <v>6330.0</v>
      </c>
      <c r="R274" s="3" t="s">
        <v>40</v>
      </c>
      <c r="S274" s="3" t="s">
        <v>40</v>
      </c>
      <c r="T274" s="3" t="s">
        <v>258</v>
      </c>
      <c r="U274" s="3" t="s">
        <v>2892</v>
      </c>
      <c r="V274" s="3" t="s">
        <v>2893</v>
      </c>
      <c r="W274" s="3" t="s">
        <v>2892</v>
      </c>
      <c r="X274" s="3" t="s">
        <v>2894</v>
      </c>
      <c r="Y274" s="3" t="s">
        <v>2895</v>
      </c>
      <c r="Z274" s="3" t="s">
        <v>2896</v>
      </c>
      <c r="AA274" s="3" t="s">
        <v>47</v>
      </c>
      <c r="AB274" s="3" t="s">
        <v>32</v>
      </c>
      <c r="AC274" s="3">
        <v>140.0</v>
      </c>
      <c r="AD274" s="3" t="s">
        <v>216</v>
      </c>
    </row>
    <row r="275">
      <c r="A275" s="3" t="s">
        <v>2897</v>
      </c>
      <c r="B275" s="3" t="s">
        <v>82</v>
      </c>
      <c r="C275" s="3" t="s">
        <v>51</v>
      </c>
      <c r="D275" s="3">
        <v>2017.0</v>
      </c>
      <c r="E275" s="3">
        <v>60.0</v>
      </c>
      <c r="F275" s="3" t="s">
        <v>32</v>
      </c>
      <c r="G275" s="3">
        <v>5.16018785E8</v>
      </c>
      <c r="H275" s="3" t="s">
        <v>2898</v>
      </c>
      <c r="I275" s="3" t="s">
        <v>2899</v>
      </c>
      <c r="J275" s="3" t="s">
        <v>35</v>
      </c>
      <c r="K275" s="4"/>
      <c r="L275" s="4"/>
      <c r="M275" s="5" t="s">
        <v>2900</v>
      </c>
      <c r="N275" s="3" t="s">
        <v>2901</v>
      </c>
      <c r="O275" s="3" t="s">
        <v>2902</v>
      </c>
      <c r="P275" s="3" t="s">
        <v>40</v>
      </c>
      <c r="Q275" s="3" t="s">
        <v>40</v>
      </c>
      <c r="R275" s="3" t="s">
        <v>40</v>
      </c>
      <c r="S275" s="3" t="s">
        <v>40</v>
      </c>
      <c r="T275" s="3" t="s">
        <v>41</v>
      </c>
      <c r="U275" s="3" t="s">
        <v>2903</v>
      </c>
      <c r="V275" s="3" t="s">
        <v>2904</v>
      </c>
      <c r="W275" s="3" t="s">
        <v>2903</v>
      </c>
      <c r="X275" s="3" t="s">
        <v>2905</v>
      </c>
      <c r="Y275" s="3" t="s">
        <v>2906</v>
      </c>
      <c r="Z275" s="3" t="s">
        <v>2907</v>
      </c>
      <c r="AA275" s="3" t="s">
        <v>47</v>
      </c>
      <c r="AB275" s="3" t="s">
        <v>47</v>
      </c>
      <c r="AC275" s="3">
        <v>50.0</v>
      </c>
      <c r="AD275" s="3" t="s">
        <v>80</v>
      </c>
    </row>
    <row r="276">
      <c r="A276" s="3" t="s">
        <v>2908</v>
      </c>
      <c r="B276" s="3" t="s">
        <v>50</v>
      </c>
      <c r="C276" s="3" t="s">
        <v>51</v>
      </c>
      <c r="D276" s="3">
        <v>1989.0</v>
      </c>
      <c r="E276" s="3">
        <v>60.0</v>
      </c>
      <c r="F276" s="3" t="s">
        <v>32</v>
      </c>
      <c r="G276" s="3">
        <v>5.11431918E8</v>
      </c>
      <c r="H276" s="3" t="s">
        <v>2909</v>
      </c>
      <c r="I276" s="3" t="s">
        <v>2910</v>
      </c>
      <c r="J276" s="3" t="s">
        <v>54</v>
      </c>
      <c r="K276" s="4"/>
      <c r="L276" s="4"/>
      <c r="M276" s="5" t="s">
        <v>2911</v>
      </c>
      <c r="N276" s="3" t="s">
        <v>2912</v>
      </c>
      <c r="O276" s="3" t="s">
        <v>1247</v>
      </c>
      <c r="P276" s="3" t="s">
        <v>40</v>
      </c>
      <c r="Q276" s="3">
        <v>4531825.0</v>
      </c>
      <c r="R276" s="3" t="s">
        <v>40</v>
      </c>
      <c r="S276" s="3" t="s">
        <v>40</v>
      </c>
      <c r="T276" s="3" t="s">
        <v>41</v>
      </c>
      <c r="U276" s="3" t="s">
        <v>2913</v>
      </c>
      <c r="V276" s="3" t="s">
        <v>2914</v>
      </c>
      <c r="W276" s="3" t="s">
        <v>2913</v>
      </c>
      <c r="X276" s="3" t="s">
        <v>2915</v>
      </c>
      <c r="Y276" s="3" t="s">
        <v>2916</v>
      </c>
      <c r="Z276" s="3" t="s">
        <v>46</v>
      </c>
      <c r="AA276" s="3" t="s">
        <v>32</v>
      </c>
      <c r="AB276" s="3" t="s">
        <v>32</v>
      </c>
      <c r="AC276" s="3" t="s">
        <v>40</v>
      </c>
      <c r="AD276" s="3" t="s">
        <v>80</v>
      </c>
    </row>
    <row r="277">
      <c r="A277" s="8" t="s">
        <v>2917</v>
      </c>
      <c r="B277" s="8" t="s">
        <v>30</v>
      </c>
      <c r="C277" s="8" t="s">
        <v>51</v>
      </c>
      <c r="D277" s="8">
        <v>2014.0</v>
      </c>
      <c r="E277" s="8">
        <v>60.0</v>
      </c>
      <c r="F277" s="8" t="s">
        <v>47</v>
      </c>
      <c r="G277" s="8">
        <v>5.15114429E8</v>
      </c>
      <c r="H277" s="8" t="s">
        <v>2918</v>
      </c>
      <c r="I277" s="8" t="s">
        <v>2919</v>
      </c>
      <c r="J277" s="8" t="s">
        <v>71</v>
      </c>
      <c r="K277" s="15"/>
      <c r="L277" s="4"/>
      <c r="M277" s="9" t="s">
        <v>2920</v>
      </c>
      <c r="N277" s="8" t="s">
        <v>2921</v>
      </c>
      <c r="O277" s="8" t="s">
        <v>2922</v>
      </c>
      <c r="P277" s="8" t="s">
        <v>40</v>
      </c>
      <c r="Q277" s="8">
        <v>6097200.0</v>
      </c>
      <c r="R277" s="8" t="s">
        <v>40</v>
      </c>
      <c r="S277" s="8" t="s">
        <v>40</v>
      </c>
      <c r="T277" s="8" t="s">
        <v>41</v>
      </c>
      <c r="U277" s="8" t="s">
        <v>2923</v>
      </c>
      <c r="V277" s="8" t="s">
        <v>2924</v>
      </c>
      <c r="W277" s="8" t="s">
        <v>2923</v>
      </c>
      <c r="X277" s="8" t="s">
        <v>2925</v>
      </c>
      <c r="Y277" s="8" t="s">
        <v>2926</v>
      </c>
      <c r="Z277" s="8" t="s">
        <v>46</v>
      </c>
      <c r="AA277" s="8" t="s">
        <v>47</v>
      </c>
      <c r="AB277" s="8" t="s">
        <v>32</v>
      </c>
      <c r="AC277" s="8">
        <v>66.0</v>
      </c>
      <c r="AD277" s="8" t="s">
        <v>80</v>
      </c>
    </row>
    <row r="278">
      <c r="A278" s="8" t="s">
        <v>2927</v>
      </c>
      <c r="B278" s="8" t="s">
        <v>68</v>
      </c>
      <c r="C278" s="8" t="s">
        <v>119</v>
      </c>
      <c r="D278" s="8">
        <v>2013.0</v>
      </c>
      <c r="E278" s="8">
        <v>600.0</v>
      </c>
      <c r="F278" s="8" t="s">
        <v>47</v>
      </c>
      <c r="G278" s="8" t="s">
        <v>40</v>
      </c>
      <c r="H278" s="8" t="s">
        <v>2928</v>
      </c>
      <c r="I278" s="8" t="s">
        <v>2929</v>
      </c>
      <c r="J278" s="8" t="s">
        <v>71</v>
      </c>
      <c r="K278" s="8" t="s">
        <v>2930</v>
      </c>
      <c r="L278" s="4"/>
      <c r="M278" s="9" t="s">
        <v>2931</v>
      </c>
      <c r="N278" s="8" t="s">
        <v>40</v>
      </c>
      <c r="O278" s="8" t="s">
        <v>2932</v>
      </c>
      <c r="P278" s="8" t="s">
        <v>40</v>
      </c>
      <c r="Q278" s="8">
        <v>77042.0</v>
      </c>
      <c r="R278" s="8" t="s">
        <v>881</v>
      </c>
      <c r="S278" s="8" t="s">
        <v>40</v>
      </c>
      <c r="T278" s="8" t="s">
        <v>60</v>
      </c>
      <c r="U278" s="8" t="s">
        <v>2933</v>
      </c>
      <c r="V278" s="8" t="s">
        <v>2934</v>
      </c>
      <c r="W278" s="8" t="s">
        <v>2933</v>
      </c>
      <c r="X278" s="8" t="s">
        <v>2935</v>
      </c>
      <c r="Y278" s="8" t="s">
        <v>2936</v>
      </c>
      <c r="Z278" s="8" t="s">
        <v>66</v>
      </c>
      <c r="AA278" s="8" t="s">
        <v>47</v>
      </c>
      <c r="AB278" s="8" t="s">
        <v>47</v>
      </c>
      <c r="AC278" s="8">
        <v>724.25</v>
      </c>
      <c r="AD278" s="8" t="s">
        <v>80</v>
      </c>
    </row>
    <row r="279">
      <c r="A279" s="3" t="s">
        <v>2937</v>
      </c>
      <c r="B279" s="3" t="s">
        <v>82</v>
      </c>
      <c r="C279" s="3" t="s">
        <v>119</v>
      </c>
      <c r="D279" s="3">
        <v>1993.0</v>
      </c>
      <c r="E279" s="3">
        <v>62.0</v>
      </c>
      <c r="F279" s="3" t="s">
        <v>32</v>
      </c>
      <c r="G279" s="3">
        <v>5.11884538E8</v>
      </c>
      <c r="H279" s="3" t="s">
        <v>2938</v>
      </c>
      <c r="I279" s="3" t="s">
        <v>2939</v>
      </c>
      <c r="J279" s="3" t="s">
        <v>35</v>
      </c>
      <c r="K279" s="4"/>
      <c r="L279" s="4"/>
      <c r="M279" s="5" t="s">
        <v>2940</v>
      </c>
      <c r="N279" s="3" t="s">
        <v>2941</v>
      </c>
      <c r="O279" s="3" t="s">
        <v>147</v>
      </c>
      <c r="P279" s="3">
        <v>45102.0</v>
      </c>
      <c r="Q279" s="3">
        <v>9777405.0</v>
      </c>
      <c r="R279" s="3" t="s">
        <v>40</v>
      </c>
      <c r="S279" s="3" t="s">
        <v>40</v>
      </c>
      <c r="T279" s="3" t="s">
        <v>41</v>
      </c>
      <c r="U279" s="3" t="s">
        <v>2942</v>
      </c>
      <c r="V279" s="3" t="s">
        <v>2943</v>
      </c>
      <c r="W279" s="3" t="s">
        <v>2942</v>
      </c>
      <c r="X279" s="3" t="s">
        <v>2944</v>
      </c>
      <c r="Y279" s="3" t="s">
        <v>2945</v>
      </c>
      <c r="Z279" s="3" t="s">
        <v>2946</v>
      </c>
      <c r="AA279" s="3" t="s">
        <v>47</v>
      </c>
      <c r="AB279" s="3" t="s">
        <v>32</v>
      </c>
      <c r="AC279" s="3" t="s">
        <v>40</v>
      </c>
      <c r="AD279" s="3" t="s">
        <v>80</v>
      </c>
    </row>
    <row r="280">
      <c r="A280" s="8" t="s">
        <v>2947</v>
      </c>
      <c r="B280" s="8" t="s">
        <v>50</v>
      </c>
      <c r="C280" s="8" t="s">
        <v>51</v>
      </c>
      <c r="D280" s="8">
        <v>2013.0</v>
      </c>
      <c r="E280" s="8">
        <v>64.0</v>
      </c>
      <c r="F280" s="8" t="s">
        <v>47</v>
      </c>
      <c r="G280" s="8">
        <v>5.14663335E8</v>
      </c>
      <c r="H280" s="8" t="s">
        <v>2948</v>
      </c>
      <c r="I280" s="8" t="s">
        <v>2949</v>
      </c>
      <c r="J280" s="8" t="s">
        <v>2950</v>
      </c>
      <c r="K280" s="8" t="s">
        <v>2951</v>
      </c>
      <c r="L280" s="4"/>
      <c r="M280" s="9" t="s">
        <v>2952</v>
      </c>
      <c r="N280" s="8" t="s">
        <v>2953</v>
      </c>
      <c r="O280" s="8" t="s">
        <v>298</v>
      </c>
      <c r="P280" s="8">
        <v>8190.0</v>
      </c>
      <c r="Q280" s="8">
        <v>4250711.0</v>
      </c>
      <c r="R280" s="8" t="s">
        <v>40</v>
      </c>
      <c r="S280" s="8" t="s">
        <v>40</v>
      </c>
      <c r="T280" s="8" t="s">
        <v>41</v>
      </c>
      <c r="U280" s="8" t="s">
        <v>2954</v>
      </c>
      <c r="V280" s="8" t="s">
        <v>2955</v>
      </c>
      <c r="W280" s="8" t="s">
        <v>2954</v>
      </c>
      <c r="X280" s="8" t="s">
        <v>2956</v>
      </c>
      <c r="Y280" s="8" t="s">
        <v>2957</v>
      </c>
      <c r="Z280" s="8" t="s">
        <v>2958</v>
      </c>
      <c r="AA280" s="8" t="s">
        <v>47</v>
      </c>
      <c r="AB280" s="8" t="s">
        <v>32</v>
      </c>
      <c r="AC280" s="8" t="s">
        <v>40</v>
      </c>
      <c r="AD280" s="8" t="s">
        <v>216</v>
      </c>
    </row>
    <row r="281">
      <c r="A281" s="8" t="s">
        <v>2959</v>
      </c>
      <c r="B281" s="8" t="s">
        <v>82</v>
      </c>
      <c r="C281" s="8" t="s">
        <v>51</v>
      </c>
      <c r="D281" s="8">
        <v>2016.0</v>
      </c>
      <c r="E281" s="8">
        <v>65.0</v>
      </c>
      <c r="F281" s="8" t="s">
        <v>47</v>
      </c>
      <c r="G281" s="8">
        <v>5.15441541E8</v>
      </c>
      <c r="H281" s="8" t="s">
        <v>2960</v>
      </c>
      <c r="I281" s="8" t="s">
        <v>2961</v>
      </c>
      <c r="J281" s="8" t="s">
        <v>71</v>
      </c>
      <c r="K281" s="8" t="s">
        <v>2962</v>
      </c>
      <c r="L281" s="4"/>
      <c r="M281" s="9" t="s">
        <v>2963</v>
      </c>
      <c r="N281" s="8" t="s">
        <v>2964</v>
      </c>
      <c r="O281" s="8" t="s">
        <v>828</v>
      </c>
      <c r="P281" s="8" t="s">
        <v>40</v>
      </c>
      <c r="Q281" s="8">
        <v>4366517.0</v>
      </c>
      <c r="R281" s="8" t="s">
        <v>40</v>
      </c>
      <c r="S281" s="8" t="s">
        <v>40</v>
      </c>
      <c r="T281" s="8" t="s">
        <v>41</v>
      </c>
      <c r="U281" s="8" t="s">
        <v>2965</v>
      </c>
      <c r="V281" s="8" t="s">
        <v>2966</v>
      </c>
      <c r="W281" s="8" t="s">
        <v>2967</v>
      </c>
      <c r="X281" s="8" t="s">
        <v>2968</v>
      </c>
      <c r="Y281" s="8" t="s">
        <v>2969</v>
      </c>
      <c r="Z281" s="8" t="s">
        <v>2970</v>
      </c>
      <c r="AA281" s="8" t="s">
        <v>47</v>
      </c>
      <c r="AB281" s="8" t="s">
        <v>32</v>
      </c>
      <c r="AC281" s="8">
        <v>38.0</v>
      </c>
      <c r="AD281" s="8" t="s">
        <v>80</v>
      </c>
    </row>
    <row r="282">
      <c r="A282" s="8" t="s">
        <v>2971</v>
      </c>
      <c r="B282" s="8" t="s">
        <v>30</v>
      </c>
      <c r="C282" s="8" t="s">
        <v>51</v>
      </c>
      <c r="D282" s="8">
        <v>2010.0</v>
      </c>
      <c r="E282" s="8">
        <v>65.0</v>
      </c>
      <c r="F282" s="8" t="s">
        <v>47</v>
      </c>
      <c r="G282" s="8">
        <v>5.14354786E8</v>
      </c>
      <c r="H282" s="8" t="s">
        <v>2972</v>
      </c>
      <c r="I282" s="8" t="s">
        <v>2973</v>
      </c>
      <c r="J282" s="8" t="s">
        <v>71</v>
      </c>
      <c r="K282" s="8" t="s">
        <v>2974</v>
      </c>
      <c r="L282" s="4"/>
      <c r="M282" s="9" t="s">
        <v>2975</v>
      </c>
      <c r="N282" s="8" t="s">
        <v>2976</v>
      </c>
      <c r="O282" s="8" t="s">
        <v>137</v>
      </c>
      <c r="P282" s="8" t="s">
        <v>2977</v>
      </c>
      <c r="Q282" s="8">
        <v>4433003.0</v>
      </c>
      <c r="R282" s="8" t="s">
        <v>40</v>
      </c>
      <c r="S282" s="8" t="s">
        <v>40</v>
      </c>
      <c r="T282" s="8" t="s">
        <v>41</v>
      </c>
      <c r="U282" s="8" t="s">
        <v>2978</v>
      </c>
      <c r="V282" s="8" t="s">
        <v>2979</v>
      </c>
      <c r="W282" s="8" t="s">
        <v>2978</v>
      </c>
      <c r="X282" s="8" t="s">
        <v>2980</v>
      </c>
      <c r="Y282" s="8" t="s">
        <v>2981</v>
      </c>
      <c r="Z282" s="8" t="s">
        <v>2982</v>
      </c>
      <c r="AA282" s="8" t="s">
        <v>47</v>
      </c>
      <c r="AB282" s="8" t="s">
        <v>32</v>
      </c>
      <c r="AC282" s="8">
        <v>79.4</v>
      </c>
      <c r="AD282" s="8" t="s">
        <v>80</v>
      </c>
    </row>
    <row r="283">
      <c r="A283" s="8" t="s">
        <v>2983</v>
      </c>
      <c r="B283" s="8" t="s">
        <v>82</v>
      </c>
      <c r="C283" s="8" t="s">
        <v>119</v>
      </c>
      <c r="D283" s="8">
        <v>2009.0</v>
      </c>
      <c r="E283" s="8">
        <v>650.0</v>
      </c>
      <c r="F283" s="8" t="s">
        <v>47</v>
      </c>
      <c r="G283" s="8">
        <v>5.14335967E8</v>
      </c>
      <c r="H283" s="8" t="s">
        <v>2984</v>
      </c>
      <c r="I283" s="8" t="s">
        <v>2985</v>
      </c>
      <c r="J283" s="8" t="s">
        <v>35</v>
      </c>
      <c r="K283" s="8" t="s">
        <v>2986</v>
      </c>
      <c r="L283" s="4"/>
      <c r="M283" s="9" t="s">
        <v>2987</v>
      </c>
      <c r="N283" s="8" t="s">
        <v>2988</v>
      </c>
      <c r="O283" s="8" t="s">
        <v>75</v>
      </c>
      <c r="P283" s="8" t="s">
        <v>40</v>
      </c>
      <c r="Q283" s="8">
        <v>6816914.0</v>
      </c>
      <c r="R283" s="8" t="s">
        <v>40</v>
      </c>
      <c r="S283" s="8" t="s">
        <v>40</v>
      </c>
      <c r="T283" s="8" t="s">
        <v>41</v>
      </c>
      <c r="U283" s="8" t="s">
        <v>2989</v>
      </c>
      <c r="V283" s="8" t="s">
        <v>2990</v>
      </c>
      <c r="W283" s="8" t="s">
        <v>2989</v>
      </c>
      <c r="X283" s="8" t="s">
        <v>2991</v>
      </c>
      <c r="Y283" s="8" t="s">
        <v>2992</v>
      </c>
      <c r="Z283" s="8" t="s">
        <v>2993</v>
      </c>
      <c r="AA283" s="8" t="s">
        <v>47</v>
      </c>
      <c r="AB283" s="8" t="s">
        <v>47</v>
      </c>
      <c r="AC283" s="8">
        <v>97.5</v>
      </c>
      <c r="AD283" s="8" t="s">
        <v>80</v>
      </c>
    </row>
    <row r="284">
      <c r="A284" s="3" t="s">
        <v>2994</v>
      </c>
      <c r="B284" s="3" t="s">
        <v>82</v>
      </c>
      <c r="C284" s="3" t="s">
        <v>119</v>
      </c>
      <c r="D284" s="3">
        <v>1997.0</v>
      </c>
      <c r="E284" s="3">
        <v>68.0</v>
      </c>
      <c r="F284" s="3" t="s">
        <v>32</v>
      </c>
      <c r="G284" s="3">
        <v>5.12491143E8</v>
      </c>
      <c r="H284" s="3" t="s">
        <v>2995</v>
      </c>
      <c r="I284" s="3" t="s">
        <v>2996</v>
      </c>
      <c r="J284" s="3" t="s">
        <v>71</v>
      </c>
      <c r="K284" s="3" t="s">
        <v>2997</v>
      </c>
      <c r="L284" s="4"/>
      <c r="M284" s="5" t="s">
        <v>2998</v>
      </c>
      <c r="N284" s="3" t="s">
        <v>2999</v>
      </c>
      <c r="O284" s="3" t="s">
        <v>1037</v>
      </c>
      <c r="P284" s="3" t="s">
        <v>40</v>
      </c>
      <c r="Q284" s="3">
        <v>7403649.0</v>
      </c>
      <c r="R284" s="3" t="s">
        <v>40</v>
      </c>
      <c r="S284" s="3" t="s">
        <v>40</v>
      </c>
      <c r="T284" s="3" t="s">
        <v>41</v>
      </c>
      <c r="U284" s="3" t="s">
        <v>3000</v>
      </c>
      <c r="V284" s="3" t="s">
        <v>3001</v>
      </c>
      <c r="W284" s="3" t="s">
        <v>3000</v>
      </c>
      <c r="X284" s="3" t="s">
        <v>3002</v>
      </c>
      <c r="Y284" s="3" t="s">
        <v>3003</v>
      </c>
      <c r="Z284" s="3" t="s">
        <v>66</v>
      </c>
      <c r="AA284" s="3" t="s">
        <v>47</v>
      </c>
      <c r="AB284" s="3" t="s">
        <v>47</v>
      </c>
      <c r="AC284" s="3">
        <v>59.6</v>
      </c>
      <c r="AD284" s="3" t="s">
        <v>80</v>
      </c>
    </row>
    <row r="285">
      <c r="A285" s="3" t="s">
        <v>3004</v>
      </c>
      <c r="B285" s="3" t="s">
        <v>50</v>
      </c>
      <c r="C285" s="3" t="s">
        <v>51</v>
      </c>
      <c r="D285" s="3">
        <v>2016.0</v>
      </c>
      <c r="E285" s="3">
        <v>7.0</v>
      </c>
      <c r="F285" s="3" t="s">
        <v>32</v>
      </c>
      <c r="G285" s="3">
        <v>5.15467249E8</v>
      </c>
      <c r="H285" s="3" t="s">
        <v>3005</v>
      </c>
      <c r="I285" s="3" t="s">
        <v>3006</v>
      </c>
      <c r="J285" s="3" t="s">
        <v>35</v>
      </c>
      <c r="K285" s="3" t="s">
        <v>3007</v>
      </c>
      <c r="L285" s="4"/>
      <c r="M285" s="5" t="s">
        <v>3008</v>
      </c>
      <c r="N285" s="3" t="s">
        <v>136</v>
      </c>
      <c r="O285" s="3" t="s">
        <v>137</v>
      </c>
      <c r="P285" s="3" t="s">
        <v>40</v>
      </c>
      <c r="Q285" s="3">
        <v>4442211.0</v>
      </c>
      <c r="R285" s="3" t="s">
        <v>40</v>
      </c>
      <c r="S285" s="3" t="s">
        <v>40</v>
      </c>
      <c r="T285" s="3" t="s">
        <v>41</v>
      </c>
      <c r="U285" s="3" t="s">
        <v>3009</v>
      </c>
      <c r="V285" s="3" t="s">
        <v>1762</v>
      </c>
      <c r="W285" s="3" t="s">
        <v>3009</v>
      </c>
      <c r="X285" s="3" t="s">
        <v>3010</v>
      </c>
      <c r="Y285" s="3" t="s">
        <v>3011</v>
      </c>
      <c r="Z285" s="3" t="s">
        <v>3012</v>
      </c>
      <c r="AA285" s="3" t="s">
        <v>47</v>
      </c>
      <c r="AB285" s="3" t="s">
        <v>32</v>
      </c>
      <c r="AC285" s="3" t="s">
        <v>40</v>
      </c>
      <c r="AD285" s="3" t="s">
        <v>80</v>
      </c>
    </row>
    <row r="286">
      <c r="A286" s="6" t="s">
        <v>3013</v>
      </c>
      <c r="B286" s="6" t="s">
        <v>82</v>
      </c>
      <c r="C286" s="6" t="s">
        <v>31</v>
      </c>
      <c r="D286" s="6">
        <v>2023.0</v>
      </c>
      <c r="E286" s="6">
        <v>7.0</v>
      </c>
      <c r="F286" s="6" t="s">
        <v>32</v>
      </c>
      <c r="G286" s="6">
        <v>5.16779261E8</v>
      </c>
      <c r="H286" s="6" t="s">
        <v>3014</v>
      </c>
      <c r="I286" s="6" t="s">
        <v>3015</v>
      </c>
      <c r="J286" s="6" t="s">
        <v>265</v>
      </c>
      <c r="K286" s="6" t="s">
        <v>3016</v>
      </c>
      <c r="L286" s="4"/>
      <c r="M286" s="7" t="s">
        <v>3017</v>
      </c>
      <c r="N286" s="6" t="s">
        <v>3018</v>
      </c>
      <c r="O286" s="6" t="s">
        <v>722</v>
      </c>
      <c r="P286" s="6" t="s">
        <v>40</v>
      </c>
      <c r="Q286" s="6">
        <v>4943734.0</v>
      </c>
      <c r="R286" s="6" t="s">
        <v>40</v>
      </c>
      <c r="S286" s="6" t="s">
        <v>40</v>
      </c>
      <c r="T286" s="6" t="s">
        <v>41</v>
      </c>
      <c r="U286" s="6" t="s">
        <v>40</v>
      </c>
      <c r="V286" s="6" t="s">
        <v>3019</v>
      </c>
      <c r="W286" s="6" t="s">
        <v>40</v>
      </c>
      <c r="X286" s="6" t="s">
        <v>3020</v>
      </c>
      <c r="Y286" s="6" t="s">
        <v>3021</v>
      </c>
      <c r="Z286" s="6" t="s">
        <v>685</v>
      </c>
      <c r="AA286" s="6" t="s">
        <v>47</v>
      </c>
      <c r="AB286" s="6" t="s">
        <v>32</v>
      </c>
      <c r="AC286" s="6">
        <v>0.7</v>
      </c>
      <c r="AD286" s="6" t="s">
        <v>80</v>
      </c>
    </row>
    <row r="287">
      <c r="A287" s="3" t="s">
        <v>3022</v>
      </c>
      <c r="B287" s="3" t="s">
        <v>82</v>
      </c>
      <c r="C287" s="3" t="s">
        <v>51</v>
      </c>
      <c r="D287" s="3">
        <v>2014.0</v>
      </c>
      <c r="E287" s="3">
        <v>7.0</v>
      </c>
      <c r="F287" s="3" t="s">
        <v>32</v>
      </c>
      <c r="G287" s="3">
        <v>5.15014512E8</v>
      </c>
      <c r="H287" s="3" t="s">
        <v>3023</v>
      </c>
      <c r="I287" s="3" t="s">
        <v>3024</v>
      </c>
      <c r="J287" s="3" t="s">
        <v>35</v>
      </c>
      <c r="K287" s="3" t="s">
        <v>3025</v>
      </c>
      <c r="L287" s="4"/>
      <c r="M287" s="5" t="s">
        <v>3026</v>
      </c>
      <c r="N287" s="3" t="s">
        <v>3027</v>
      </c>
      <c r="O287" s="3" t="s">
        <v>75</v>
      </c>
      <c r="P287" s="3" t="s">
        <v>40</v>
      </c>
      <c r="Q287" s="3">
        <v>6578403.0</v>
      </c>
      <c r="R287" s="3" t="s">
        <v>40</v>
      </c>
      <c r="S287" s="3" t="s">
        <v>40</v>
      </c>
      <c r="T287" s="3" t="s">
        <v>41</v>
      </c>
      <c r="U287" s="3" t="s">
        <v>3028</v>
      </c>
      <c r="V287" s="3" t="s">
        <v>40</v>
      </c>
      <c r="W287" s="3" t="s">
        <v>3028</v>
      </c>
      <c r="X287" s="3" t="s">
        <v>3029</v>
      </c>
      <c r="Y287" s="3" t="s">
        <v>3030</v>
      </c>
      <c r="Z287" s="3" t="s">
        <v>3031</v>
      </c>
      <c r="AA287" s="3" t="s">
        <v>47</v>
      </c>
      <c r="AB287" s="3" t="s">
        <v>32</v>
      </c>
      <c r="AC287" s="3" t="s">
        <v>40</v>
      </c>
      <c r="AD287" s="3" t="s">
        <v>80</v>
      </c>
    </row>
    <row r="288">
      <c r="A288" s="3" t="s">
        <v>3032</v>
      </c>
      <c r="B288" s="3" t="s">
        <v>154</v>
      </c>
      <c r="C288" s="3" t="s">
        <v>51</v>
      </c>
      <c r="D288" s="3">
        <v>2008.0</v>
      </c>
      <c r="E288" s="3">
        <v>7.0</v>
      </c>
      <c r="F288" s="3" t="s">
        <v>32</v>
      </c>
      <c r="G288" s="3">
        <v>5.14158179E8</v>
      </c>
      <c r="H288" s="3" t="s">
        <v>3033</v>
      </c>
      <c r="I288" s="3" t="s">
        <v>3034</v>
      </c>
      <c r="J288" s="3" t="s">
        <v>71</v>
      </c>
      <c r="K288" s="3" t="s">
        <v>3035</v>
      </c>
      <c r="L288" s="4"/>
      <c r="M288" s="5" t="s">
        <v>3036</v>
      </c>
      <c r="N288" s="3" t="s">
        <v>3037</v>
      </c>
      <c r="O288" s="3" t="s">
        <v>75</v>
      </c>
      <c r="P288" s="3" t="s">
        <v>40</v>
      </c>
      <c r="Q288" s="3">
        <v>6706041.0</v>
      </c>
      <c r="R288" s="3" t="s">
        <v>40</v>
      </c>
      <c r="S288" s="3" t="s">
        <v>40</v>
      </c>
      <c r="T288" s="3" t="s">
        <v>41</v>
      </c>
      <c r="U288" s="3" t="s">
        <v>3038</v>
      </c>
      <c r="V288" s="3" t="s">
        <v>3039</v>
      </c>
      <c r="W288" s="3" t="s">
        <v>3038</v>
      </c>
      <c r="X288" s="3" t="s">
        <v>3040</v>
      </c>
      <c r="Y288" s="3" t="s">
        <v>3041</v>
      </c>
      <c r="Z288" s="3" t="s">
        <v>46</v>
      </c>
      <c r="AA288" s="3" t="s">
        <v>47</v>
      </c>
      <c r="AB288" s="3" t="s">
        <v>32</v>
      </c>
      <c r="AC288" s="3" t="s">
        <v>40</v>
      </c>
      <c r="AD288" s="3" t="s">
        <v>80</v>
      </c>
    </row>
    <row r="289">
      <c r="A289" s="3" t="s">
        <v>3042</v>
      </c>
      <c r="B289" s="3" t="s">
        <v>82</v>
      </c>
      <c r="C289" s="3" t="s">
        <v>31</v>
      </c>
      <c r="D289" s="3">
        <v>2019.0</v>
      </c>
      <c r="E289" s="3">
        <v>7.0</v>
      </c>
      <c r="F289" s="3" t="s">
        <v>32</v>
      </c>
      <c r="G289" s="3">
        <v>5.16258894E8</v>
      </c>
      <c r="H289" s="3" t="s">
        <v>3043</v>
      </c>
      <c r="I289" s="3" t="s">
        <v>3044</v>
      </c>
      <c r="J289" s="3" t="s">
        <v>71</v>
      </c>
      <c r="K289" s="3" t="s">
        <v>3045</v>
      </c>
      <c r="L289" s="4"/>
      <c r="M289" s="5" t="s">
        <v>3046</v>
      </c>
      <c r="N289" s="3" t="s">
        <v>3047</v>
      </c>
      <c r="O289" s="3" t="s">
        <v>137</v>
      </c>
      <c r="P289" s="3" t="s">
        <v>40</v>
      </c>
      <c r="Q289" s="3">
        <v>4436942.0</v>
      </c>
      <c r="R289" s="3" t="s">
        <v>40</v>
      </c>
      <c r="S289" s="3" t="s">
        <v>40</v>
      </c>
      <c r="T289" s="3" t="s">
        <v>41</v>
      </c>
      <c r="U289" s="3" t="s">
        <v>3048</v>
      </c>
      <c r="V289" s="3" t="s">
        <v>3049</v>
      </c>
      <c r="W289" s="3" t="s">
        <v>40</v>
      </c>
      <c r="X289" s="3" t="s">
        <v>3050</v>
      </c>
      <c r="Y289" s="3" t="s">
        <v>3051</v>
      </c>
      <c r="Z289" s="3" t="s">
        <v>3052</v>
      </c>
      <c r="AA289" s="3" t="s">
        <v>47</v>
      </c>
      <c r="AB289" s="3" t="s">
        <v>32</v>
      </c>
      <c r="AC289" s="3" t="s">
        <v>40</v>
      </c>
      <c r="AD289" s="3" t="s">
        <v>80</v>
      </c>
    </row>
    <row r="290">
      <c r="A290" s="3" t="s">
        <v>3053</v>
      </c>
      <c r="B290" s="3" t="s">
        <v>50</v>
      </c>
      <c r="C290" s="3" t="s">
        <v>31</v>
      </c>
      <c r="D290" s="3">
        <v>2016.0</v>
      </c>
      <c r="E290" s="3">
        <v>7.0</v>
      </c>
      <c r="F290" s="3" t="s">
        <v>32</v>
      </c>
      <c r="G290" s="3">
        <v>5.1594842E8</v>
      </c>
      <c r="H290" s="3" t="s">
        <v>3054</v>
      </c>
      <c r="I290" s="3" t="s">
        <v>3055</v>
      </c>
      <c r="J290" s="3" t="s">
        <v>35</v>
      </c>
      <c r="K290" s="3" t="s">
        <v>3056</v>
      </c>
      <c r="L290" s="4"/>
      <c r="M290" s="5" t="s">
        <v>3057</v>
      </c>
      <c r="N290" s="3" t="s">
        <v>40</v>
      </c>
      <c r="O290" s="3" t="s">
        <v>75</v>
      </c>
      <c r="P290" s="3" t="s">
        <v>40</v>
      </c>
      <c r="Q290" s="3" t="s">
        <v>40</v>
      </c>
      <c r="R290" s="3" t="s">
        <v>40</v>
      </c>
      <c r="S290" s="3" t="s">
        <v>40</v>
      </c>
      <c r="T290" s="3" t="s">
        <v>41</v>
      </c>
      <c r="U290" s="3" t="s">
        <v>3056</v>
      </c>
      <c r="V290" s="3" t="s">
        <v>40</v>
      </c>
      <c r="W290" s="3" t="s">
        <v>3056</v>
      </c>
      <c r="X290" s="3" t="s">
        <v>3058</v>
      </c>
      <c r="Y290" s="3" t="s">
        <v>3059</v>
      </c>
      <c r="Z290" s="3" t="s">
        <v>1145</v>
      </c>
      <c r="AA290" s="3" t="s">
        <v>32</v>
      </c>
      <c r="AB290" s="3" t="s">
        <v>32</v>
      </c>
      <c r="AC290" s="3" t="s">
        <v>40</v>
      </c>
      <c r="AD290" s="3" t="s">
        <v>80</v>
      </c>
    </row>
    <row r="291">
      <c r="A291" s="23" t="s">
        <v>3060</v>
      </c>
      <c r="B291" s="23" t="s">
        <v>82</v>
      </c>
      <c r="C291" s="23" t="s">
        <v>31</v>
      </c>
      <c r="D291" s="23">
        <v>2011.0</v>
      </c>
      <c r="E291" s="23">
        <v>7.0</v>
      </c>
      <c r="F291" s="23" t="s">
        <v>32</v>
      </c>
      <c r="G291" s="23">
        <v>5.14693894E8</v>
      </c>
      <c r="H291" s="23" t="s">
        <v>3061</v>
      </c>
      <c r="I291" s="23" t="s">
        <v>3062</v>
      </c>
      <c r="J291" s="23" t="s">
        <v>35</v>
      </c>
      <c r="K291" s="23" t="s">
        <v>3063</v>
      </c>
      <c r="L291" s="4"/>
      <c r="M291" s="24" t="s">
        <v>3064</v>
      </c>
      <c r="N291" s="23" t="s">
        <v>3065</v>
      </c>
      <c r="O291" s="23" t="s">
        <v>2433</v>
      </c>
      <c r="P291" s="23">
        <v>12314.0</v>
      </c>
      <c r="Q291" s="23">
        <v>7745275.0</v>
      </c>
      <c r="R291" s="23" t="s">
        <v>40</v>
      </c>
      <c r="S291" s="23" t="s">
        <v>40</v>
      </c>
      <c r="T291" s="23" t="s">
        <v>41</v>
      </c>
      <c r="U291" s="23" t="s">
        <v>3066</v>
      </c>
      <c r="V291" s="23" t="s">
        <v>3067</v>
      </c>
      <c r="W291" s="23" t="s">
        <v>3066</v>
      </c>
      <c r="X291" s="23" t="s">
        <v>3068</v>
      </c>
      <c r="Y291" s="23" t="s">
        <v>3069</v>
      </c>
      <c r="Z291" s="23" t="s">
        <v>66</v>
      </c>
      <c r="AA291" s="23" t="s">
        <v>47</v>
      </c>
      <c r="AB291" s="23" t="s">
        <v>32</v>
      </c>
      <c r="AC291" s="23" t="s">
        <v>40</v>
      </c>
      <c r="AD291" s="23" t="s">
        <v>80</v>
      </c>
    </row>
    <row r="292">
      <c r="A292" s="6" t="s">
        <v>3070</v>
      </c>
      <c r="B292" s="6" t="s">
        <v>82</v>
      </c>
      <c r="C292" s="6" t="s">
        <v>31</v>
      </c>
      <c r="D292" s="6">
        <v>2021.0</v>
      </c>
      <c r="E292" s="6">
        <v>7.0</v>
      </c>
      <c r="F292" s="6" t="s">
        <v>32</v>
      </c>
      <c r="G292" s="6">
        <v>5.1635687E8</v>
      </c>
      <c r="H292" s="6" t="s">
        <v>3071</v>
      </c>
      <c r="I292" s="6" t="s">
        <v>2629</v>
      </c>
      <c r="J292" s="6" t="s">
        <v>54</v>
      </c>
      <c r="K292" s="16"/>
      <c r="L292" s="4"/>
      <c r="M292" s="7" t="s">
        <v>3072</v>
      </c>
      <c r="N292" s="6" t="s">
        <v>3073</v>
      </c>
      <c r="O292" s="6" t="s">
        <v>1491</v>
      </c>
      <c r="P292" s="6" t="s">
        <v>40</v>
      </c>
      <c r="Q292" s="6">
        <v>3052641.0</v>
      </c>
      <c r="R292" s="6" t="s">
        <v>40</v>
      </c>
      <c r="S292" s="6" t="s">
        <v>40</v>
      </c>
      <c r="T292" s="6" t="s">
        <v>41</v>
      </c>
      <c r="U292" s="6" t="s">
        <v>3074</v>
      </c>
      <c r="V292" s="6" t="s">
        <v>2633</v>
      </c>
      <c r="W292" s="6" t="s">
        <v>3074</v>
      </c>
      <c r="X292" s="6" t="s">
        <v>3075</v>
      </c>
      <c r="Y292" s="6" t="s">
        <v>3076</v>
      </c>
      <c r="Z292" s="6" t="s">
        <v>66</v>
      </c>
      <c r="AA292" s="6" t="s">
        <v>47</v>
      </c>
      <c r="AB292" s="6" t="s">
        <v>32</v>
      </c>
      <c r="AC292" s="6">
        <v>0.65</v>
      </c>
      <c r="AD292" s="6" t="s">
        <v>80</v>
      </c>
    </row>
    <row r="293">
      <c r="A293" s="3" t="s">
        <v>3077</v>
      </c>
      <c r="B293" s="3" t="s">
        <v>30</v>
      </c>
      <c r="C293" s="3" t="s">
        <v>31</v>
      </c>
      <c r="D293" s="3">
        <v>2019.0</v>
      </c>
      <c r="E293" s="3">
        <v>7.0</v>
      </c>
      <c r="F293" s="3" t="s">
        <v>32</v>
      </c>
      <c r="G293" s="3">
        <v>5.16233673E8</v>
      </c>
      <c r="H293" s="3" t="s">
        <v>3078</v>
      </c>
      <c r="I293" s="3" t="s">
        <v>889</v>
      </c>
      <c r="J293" s="3" t="s">
        <v>54</v>
      </c>
      <c r="K293" s="4"/>
      <c r="L293" s="4"/>
      <c r="M293" s="5" t="s">
        <v>3079</v>
      </c>
      <c r="N293" s="3" t="s">
        <v>40</v>
      </c>
      <c r="O293" s="3" t="s">
        <v>530</v>
      </c>
      <c r="P293" s="3" t="s">
        <v>40</v>
      </c>
      <c r="Q293" s="3" t="s">
        <v>40</v>
      </c>
      <c r="R293" s="3" t="s">
        <v>40</v>
      </c>
      <c r="S293" s="3" t="s">
        <v>40</v>
      </c>
      <c r="T293" s="3" t="s">
        <v>41</v>
      </c>
      <c r="U293" s="3" t="s">
        <v>3080</v>
      </c>
      <c r="V293" s="3" t="s">
        <v>40</v>
      </c>
      <c r="W293" s="3" t="s">
        <v>3080</v>
      </c>
      <c r="X293" s="3" t="s">
        <v>3081</v>
      </c>
      <c r="Y293" s="3" t="s">
        <v>3082</v>
      </c>
      <c r="Z293" s="3" t="s">
        <v>66</v>
      </c>
      <c r="AA293" s="3" t="s">
        <v>47</v>
      </c>
      <c r="AB293" s="3" t="s">
        <v>47</v>
      </c>
      <c r="AC293" s="3">
        <v>3.1</v>
      </c>
      <c r="AD293" s="3" t="s">
        <v>48</v>
      </c>
    </row>
    <row r="294">
      <c r="A294" s="6" t="s">
        <v>3083</v>
      </c>
      <c r="B294" s="6" t="s">
        <v>82</v>
      </c>
      <c r="C294" s="6" t="s">
        <v>51</v>
      </c>
      <c r="D294" s="6">
        <v>1996.0</v>
      </c>
      <c r="E294" s="6">
        <v>70.0</v>
      </c>
      <c r="F294" s="6" t="s">
        <v>32</v>
      </c>
      <c r="G294" s="6">
        <v>5.12363862E8</v>
      </c>
      <c r="H294" s="6" t="s">
        <v>3084</v>
      </c>
      <c r="I294" s="6" t="s">
        <v>3085</v>
      </c>
      <c r="J294" s="6" t="s">
        <v>781</v>
      </c>
      <c r="K294" s="6" t="s">
        <v>3086</v>
      </c>
      <c r="L294" s="4"/>
      <c r="M294" s="7" t="s">
        <v>3087</v>
      </c>
      <c r="N294" s="6" t="s">
        <v>3088</v>
      </c>
      <c r="O294" s="6" t="s">
        <v>3089</v>
      </c>
      <c r="P294" s="6" t="s">
        <v>40</v>
      </c>
      <c r="Q294" s="6">
        <v>46052.0</v>
      </c>
      <c r="R294" s="6" t="s">
        <v>3090</v>
      </c>
      <c r="S294" s="6" t="s">
        <v>40</v>
      </c>
      <c r="T294" s="6" t="s">
        <v>60</v>
      </c>
      <c r="U294" s="6" t="s">
        <v>3091</v>
      </c>
      <c r="V294" s="6" t="s">
        <v>3092</v>
      </c>
      <c r="W294" s="6" t="s">
        <v>3086</v>
      </c>
      <c r="X294" s="6" t="s">
        <v>3093</v>
      </c>
      <c r="Y294" s="6" t="s">
        <v>3094</v>
      </c>
      <c r="Z294" s="6" t="s">
        <v>66</v>
      </c>
      <c r="AA294" s="6" t="s">
        <v>47</v>
      </c>
      <c r="AB294" s="6" t="s">
        <v>32</v>
      </c>
      <c r="AC294" s="6">
        <v>0.4</v>
      </c>
      <c r="AD294" s="6" t="s">
        <v>48</v>
      </c>
    </row>
    <row r="295">
      <c r="A295" s="3" t="s">
        <v>3095</v>
      </c>
      <c r="B295" s="3" t="s">
        <v>50</v>
      </c>
      <c r="C295" s="3" t="s">
        <v>51</v>
      </c>
      <c r="D295" s="3">
        <v>2001.0</v>
      </c>
      <c r="E295" s="3">
        <v>70.0</v>
      </c>
      <c r="F295" s="3" t="s">
        <v>32</v>
      </c>
      <c r="G295" s="3">
        <v>5.13107243E8</v>
      </c>
      <c r="H295" s="3" t="s">
        <v>3096</v>
      </c>
      <c r="I295" s="3" t="s">
        <v>3097</v>
      </c>
      <c r="J295" s="3" t="s">
        <v>71</v>
      </c>
      <c r="K295" s="3" t="s">
        <v>3098</v>
      </c>
      <c r="L295" s="4"/>
      <c r="M295" s="5" t="s">
        <v>3099</v>
      </c>
      <c r="N295" s="3" t="s">
        <v>3100</v>
      </c>
      <c r="O295" s="3" t="s">
        <v>828</v>
      </c>
      <c r="P295" s="3">
        <v>2369.0</v>
      </c>
      <c r="Q295" s="3">
        <v>4366519.0</v>
      </c>
      <c r="R295" s="3" t="s">
        <v>40</v>
      </c>
      <c r="S295" s="3" t="s">
        <v>40</v>
      </c>
      <c r="T295" s="3" t="s">
        <v>41</v>
      </c>
      <c r="U295" s="3" t="s">
        <v>3101</v>
      </c>
      <c r="V295" s="3" t="s">
        <v>3102</v>
      </c>
      <c r="W295" s="3" t="s">
        <v>3101</v>
      </c>
      <c r="X295" s="3" t="s">
        <v>3103</v>
      </c>
      <c r="Y295" s="3" t="s">
        <v>3104</v>
      </c>
      <c r="Z295" s="3" t="s">
        <v>3105</v>
      </c>
      <c r="AA295" s="3" t="s">
        <v>32</v>
      </c>
      <c r="AB295" s="3" t="s">
        <v>32</v>
      </c>
      <c r="AC295" s="3" t="s">
        <v>40</v>
      </c>
      <c r="AD295" s="3" t="s">
        <v>80</v>
      </c>
    </row>
    <row r="296">
      <c r="A296" s="3" t="s">
        <v>3106</v>
      </c>
      <c r="B296" s="3" t="s">
        <v>68</v>
      </c>
      <c r="C296" s="3" t="s">
        <v>51</v>
      </c>
      <c r="D296" s="3">
        <v>2008.0</v>
      </c>
      <c r="E296" s="3">
        <v>70.0</v>
      </c>
      <c r="F296" s="3" t="s">
        <v>32</v>
      </c>
      <c r="G296" s="3">
        <v>5.13513366E8</v>
      </c>
      <c r="H296" s="3" t="s">
        <v>3107</v>
      </c>
      <c r="I296" s="3" t="s">
        <v>3108</v>
      </c>
      <c r="J296" s="3" t="s">
        <v>71</v>
      </c>
      <c r="K296" s="4"/>
      <c r="L296" s="4"/>
      <c r="M296" s="5" t="s">
        <v>3109</v>
      </c>
      <c r="N296" s="3" t="s">
        <v>3110</v>
      </c>
      <c r="O296" s="3" t="s">
        <v>223</v>
      </c>
      <c r="P296" s="3" t="s">
        <v>40</v>
      </c>
      <c r="Q296" s="3">
        <v>5020000.0</v>
      </c>
      <c r="R296" s="3" t="s">
        <v>40</v>
      </c>
      <c r="S296" s="3" t="s">
        <v>40</v>
      </c>
      <c r="T296" s="3" t="s">
        <v>41</v>
      </c>
      <c r="U296" s="3" t="s">
        <v>3111</v>
      </c>
      <c r="V296" s="3" t="s">
        <v>3112</v>
      </c>
      <c r="W296" s="3" t="s">
        <v>3113</v>
      </c>
      <c r="X296" s="3" t="s">
        <v>3114</v>
      </c>
      <c r="Y296" s="3" t="s">
        <v>3115</v>
      </c>
      <c r="Z296" s="3" t="s">
        <v>523</v>
      </c>
      <c r="AA296" s="3" t="s">
        <v>32</v>
      </c>
      <c r="AB296" s="3" t="s">
        <v>32</v>
      </c>
      <c r="AC296" s="3" t="s">
        <v>40</v>
      </c>
      <c r="AD296" s="3" t="s">
        <v>80</v>
      </c>
    </row>
    <row r="297">
      <c r="A297" s="3" t="s">
        <v>3116</v>
      </c>
      <c r="B297" s="3" t="s">
        <v>30</v>
      </c>
      <c r="C297" s="3" t="s">
        <v>119</v>
      </c>
      <c r="D297" s="3">
        <v>1985.0</v>
      </c>
      <c r="E297" s="3">
        <v>700.0</v>
      </c>
      <c r="F297" s="3" t="s">
        <v>32</v>
      </c>
      <c r="G297" s="3">
        <v>5.1106748E8</v>
      </c>
      <c r="H297" s="3" t="s">
        <v>3117</v>
      </c>
      <c r="I297" s="3" t="s">
        <v>3118</v>
      </c>
      <c r="J297" s="3" t="s">
        <v>157</v>
      </c>
      <c r="K297" s="4"/>
      <c r="L297" s="4"/>
      <c r="M297" s="5" t="s">
        <v>3119</v>
      </c>
      <c r="N297" s="3" t="s">
        <v>3120</v>
      </c>
      <c r="O297" s="3" t="s">
        <v>3121</v>
      </c>
      <c r="P297" s="3" t="s">
        <v>40</v>
      </c>
      <c r="Q297" s="3">
        <v>9905415.0</v>
      </c>
      <c r="R297" s="3" t="s">
        <v>40</v>
      </c>
      <c r="S297" s="3" t="s">
        <v>40</v>
      </c>
      <c r="T297" s="3" t="s">
        <v>41</v>
      </c>
      <c r="U297" s="3" t="s">
        <v>3122</v>
      </c>
      <c r="V297" s="3" t="s">
        <v>40</v>
      </c>
      <c r="W297" s="3" t="s">
        <v>3122</v>
      </c>
      <c r="X297" s="3" t="s">
        <v>3123</v>
      </c>
      <c r="Y297" s="3" t="s">
        <v>3124</v>
      </c>
      <c r="Z297" s="3" t="s">
        <v>239</v>
      </c>
      <c r="AA297" s="3" t="s">
        <v>32</v>
      </c>
      <c r="AB297" s="3" t="s">
        <v>32</v>
      </c>
      <c r="AC297" s="3" t="s">
        <v>40</v>
      </c>
      <c r="AD297" s="3" t="s">
        <v>80</v>
      </c>
    </row>
    <row r="298">
      <c r="A298" s="6" t="s">
        <v>3125</v>
      </c>
      <c r="B298" s="6" t="s">
        <v>50</v>
      </c>
      <c r="C298" s="6" t="s">
        <v>119</v>
      </c>
      <c r="D298" s="6">
        <v>1993.0</v>
      </c>
      <c r="E298" s="6">
        <v>7000.0</v>
      </c>
      <c r="F298" s="6" t="s">
        <v>47</v>
      </c>
      <c r="G298" s="6">
        <v>5.20042821E8</v>
      </c>
      <c r="H298" s="6" t="s">
        <v>3126</v>
      </c>
      <c r="I298" s="6" t="s">
        <v>3127</v>
      </c>
      <c r="J298" s="6" t="s">
        <v>71</v>
      </c>
      <c r="K298" s="6" t="s">
        <v>3128</v>
      </c>
      <c r="L298" s="4"/>
      <c r="M298" s="7" t="s">
        <v>3129</v>
      </c>
      <c r="N298" s="6" t="s">
        <v>3130</v>
      </c>
      <c r="O298" s="6" t="s">
        <v>75</v>
      </c>
      <c r="P298" s="6" t="s">
        <v>40</v>
      </c>
      <c r="Q298" s="6">
        <v>6789159.0</v>
      </c>
      <c r="R298" s="6" t="s">
        <v>40</v>
      </c>
      <c r="S298" s="6" t="s">
        <v>40</v>
      </c>
      <c r="T298" s="6" t="s">
        <v>41</v>
      </c>
      <c r="U298" s="6" t="s">
        <v>3131</v>
      </c>
      <c r="V298" s="6" t="s">
        <v>3132</v>
      </c>
      <c r="W298" s="6" t="s">
        <v>3131</v>
      </c>
      <c r="X298" s="6" t="s">
        <v>3133</v>
      </c>
      <c r="Y298" s="6" t="s">
        <v>3134</v>
      </c>
      <c r="Z298" s="6" t="s">
        <v>3135</v>
      </c>
      <c r="AA298" s="6" t="s">
        <v>47</v>
      </c>
      <c r="AB298" s="6" t="s">
        <v>47</v>
      </c>
      <c r="AC298" s="6">
        <v>2000.4</v>
      </c>
      <c r="AD298" s="6" t="s">
        <v>80</v>
      </c>
    </row>
    <row r="299">
      <c r="A299" s="3" t="s">
        <v>3136</v>
      </c>
      <c r="B299" s="3" t="s">
        <v>351</v>
      </c>
      <c r="C299" s="3" t="s">
        <v>51</v>
      </c>
      <c r="D299" s="3">
        <v>2015.0</v>
      </c>
      <c r="E299" s="3">
        <v>72.0</v>
      </c>
      <c r="F299" s="3" t="s">
        <v>32</v>
      </c>
      <c r="G299" s="3">
        <v>5.15312304E8</v>
      </c>
      <c r="H299" s="3" t="s">
        <v>3137</v>
      </c>
      <c r="I299" s="3" t="s">
        <v>3138</v>
      </c>
      <c r="J299" s="3" t="s">
        <v>71</v>
      </c>
      <c r="K299" s="3" t="s">
        <v>3139</v>
      </c>
      <c r="L299" s="4"/>
      <c r="M299" s="5" t="s">
        <v>3140</v>
      </c>
      <c r="N299" s="3" t="s">
        <v>3141</v>
      </c>
      <c r="O299" s="3" t="s">
        <v>311</v>
      </c>
      <c r="P299" s="3" t="s">
        <v>40</v>
      </c>
      <c r="Q299" s="3">
        <v>2069206.0</v>
      </c>
      <c r="R299" s="3" t="s">
        <v>40</v>
      </c>
      <c r="S299" s="3" t="s">
        <v>40</v>
      </c>
      <c r="T299" s="3" t="s">
        <v>41</v>
      </c>
      <c r="U299" s="3" t="s">
        <v>3142</v>
      </c>
      <c r="V299" s="3" t="s">
        <v>3143</v>
      </c>
      <c r="W299" s="3" t="s">
        <v>3142</v>
      </c>
      <c r="X299" s="3" t="s">
        <v>3144</v>
      </c>
      <c r="Y299" s="3" t="s">
        <v>3145</v>
      </c>
      <c r="Z299" s="3" t="s">
        <v>3146</v>
      </c>
      <c r="AA299" s="3" t="s">
        <v>47</v>
      </c>
      <c r="AB299" s="3" t="s">
        <v>32</v>
      </c>
      <c r="AC299" s="3">
        <v>84.0</v>
      </c>
      <c r="AD299" s="3" t="s">
        <v>80</v>
      </c>
    </row>
    <row r="300">
      <c r="A300" s="8" t="s">
        <v>3147</v>
      </c>
      <c r="B300" s="8" t="s">
        <v>82</v>
      </c>
      <c r="C300" s="8" t="s">
        <v>51</v>
      </c>
      <c r="D300" s="8">
        <v>2015.0</v>
      </c>
      <c r="E300" s="8">
        <v>72.0</v>
      </c>
      <c r="F300" s="8" t="s">
        <v>47</v>
      </c>
      <c r="G300" s="8">
        <v>5.20036062E8</v>
      </c>
      <c r="H300" s="8" t="s">
        <v>3148</v>
      </c>
      <c r="I300" s="8" t="s">
        <v>3149</v>
      </c>
      <c r="J300" s="8" t="s">
        <v>35</v>
      </c>
      <c r="K300" s="15"/>
      <c r="L300" s="4"/>
      <c r="M300" s="9" t="s">
        <v>3150</v>
      </c>
      <c r="N300" s="8" t="s">
        <v>3151</v>
      </c>
      <c r="O300" s="8" t="s">
        <v>1037</v>
      </c>
      <c r="P300" s="8" t="s">
        <v>40</v>
      </c>
      <c r="Q300" s="8">
        <v>7403648.0</v>
      </c>
      <c r="R300" s="8" t="s">
        <v>40</v>
      </c>
      <c r="S300" s="8" t="s">
        <v>40</v>
      </c>
      <c r="T300" s="8" t="s">
        <v>41</v>
      </c>
      <c r="U300" s="8" t="s">
        <v>3152</v>
      </c>
      <c r="V300" s="8" t="s">
        <v>3153</v>
      </c>
      <c r="W300" s="8" t="s">
        <v>3152</v>
      </c>
      <c r="X300" s="8" t="s">
        <v>3154</v>
      </c>
      <c r="Y300" s="8" t="s">
        <v>3155</v>
      </c>
      <c r="Z300" s="8" t="s">
        <v>3156</v>
      </c>
      <c r="AA300" s="8" t="s">
        <v>47</v>
      </c>
      <c r="AB300" s="8" t="s">
        <v>47</v>
      </c>
      <c r="AC300" s="8">
        <v>29.4</v>
      </c>
      <c r="AD300" s="8" t="s">
        <v>80</v>
      </c>
    </row>
    <row r="301">
      <c r="A301" s="3" t="s">
        <v>3157</v>
      </c>
      <c r="B301" s="3" t="s">
        <v>154</v>
      </c>
      <c r="C301" s="3" t="s">
        <v>119</v>
      </c>
      <c r="D301" s="3">
        <v>1997.0</v>
      </c>
      <c r="E301" s="3">
        <v>73.0</v>
      </c>
      <c r="F301" s="3" t="s">
        <v>32</v>
      </c>
      <c r="G301" s="3">
        <v>5.12464785E8</v>
      </c>
      <c r="H301" s="3" t="s">
        <v>3158</v>
      </c>
      <c r="I301" s="3" t="s">
        <v>3159</v>
      </c>
      <c r="J301" s="3" t="s">
        <v>54</v>
      </c>
      <c r="K301" s="3" t="s">
        <v>3160</v>
      </c>
      <c r="L301" s="4"/>
      <c r="M301" s="5" t="s">
        <v>3161</v>
      </c>
      <c r="N301" s="3" t="s">
        <v>3162</v>
      </c>
      <c r="O301" s="3" t="s">
        <v>3163</v>
      </c>
      <c r="P301" s="3" t="s">
        <v>40</v>
      </c>
      <c r="Q301" s="3">
        <v>11375.0</v>
      </c>
      <c r="R301" s="3" t="s">
        <v>507</v>
      </c>
      <c r="S301" s="3" t="s">
        <v>40</v>
      </c>
      <c r="T301" s="3" t="s">
        <v>60</v>
      </c>
      <c r="U301" s="3" t="s">
        <v>3164</v>
      </c>
      <c r="V301" s="3" t="s">
        <v>3165</v>
      </c>
      <c r="W301" s="3" t="s">
        <v>3166</v>
      </c>
      <c r="X301" s="3" t="s">
        <v>3167</v>
      </c>
      <c r="Y301" s="3" t="s">
        <v>3168</v>
      </c>
      <c r="Z301" s="3" t="s">
        <v>3169</v>
      </c>
      <c r="AA301" s="3" t="s">
        <v>47</v>
      </c>
      <c r="AB301" s="3" t="s">
        <v>32</v>
      </c>
      <c r="AC301" s="3">
        <v>4.4</v>
      </c>
      <c r="AD301" s="3" t="s">
        <v>80</v>
      </c>
    </row>
    <row r="302">
      <c r="A302" s="3" t="s">
        <v>3170</v>
      </c>
      <c r="B302" s="3" t="s">
        <v>50</v>
      </c>
      <c r="C302" s="3" t="s">
        <v>51</v>
      </c>
      <c r="D302" s="3">
        <v>1997.0</v>
      </c>
      <c r="E302" s="3">
        <v>75.0</v>
      </c>
      <c r="F302" s="3" t="s">
        <v>32</v>
      </c>
      <c r="G302" s="3">
        <v>5.12489667E8</v>
      </c>
      <c r="H302" s="3" t="s">
        <v>3171</v>
      </c>
      <c r="I302" s="3" t="s">
        <v>3172</v>
      </c>
      <c r="J302" s="3" t="s">
        <v>157</v>
      </c>
      <c r="K302" s="3" t="s">
        <v>3173</v>
      </c>
      <c r="L302" s="4"/>
      <c r="M302" s="5" t="s">
        <v>3174</v>
      </c>
      <c r="N302" s="3" t="s">
        <v>3175</v>
      </c>
      <c r="O302" s="3" t="s">
        <v>40</v>
      </c>
      <c r="P302" s="3" t="s">
        <v>40</v>
      </c>
      <c r="Q302" s="3">
        <v>27262.0</v>
      </c>
      <c r="R302" s="3" t="s">
        <v>3176</v>
      </c>
      <c r="S302" s="3" t="s">
        <v>40</v>
      </c>
      <c r="T302" s="3" t="s">
        <v>60</v>
      </c>
      <c r="U302" s="3" t="s">
        <v>3177</v>
      </c>
      <c r="V302" s="3" t="s">
        <v>3178</v>
      </c>
      <c r="W302" s="3" t="s">
        <v>3177</v>
      </c>
      <c r="X302" s="3" t="s">
        <v>3179</v>
      </c>
      <c r="Y302" s="3" t="s">
        <v>3180</v>
      </c>
      <c r="Z302" s="3" t="s">
        <v>1683</v>
      </c>
      <c r="AA302" s="3" t="s">
        <v>47</v>
      </c>
      <c r="AB302" s="3" t="s">
        <v>47</v>
      </c>
      <c r="AC302" s="3" t="s">
        <v>40</v>
      </c>
      <c r="AD302" s="3" t="s">
        <v>80</v>
      </c>
    </row>
    <row r="303">
      <c r="A303" s="3" t="s">
        <v>3181</v>
      </c>
      <c r="B303" s="3" t="s">
        <v>154</v>
      </c>
      <c r="C303" s="3" t="s">
        <v>119</v>
      </c>
      <c r="D303" s="3">
        <v>1998.0</v>
      </c>
      <c r="E303" s="3">
        <v>75.0</v>
      </c>
      <c r="F303" s="3" t="s">
        <v>32</v>
      </c>
      <c r="G303" s="3">
        <v>5.12690959E8</v>
      </c>
      <c r="H303" s="3" t="s">
        <v>3182</v>
      </c>
      <c r="I303" s="3" t="s">
        <v>40</v>
      </c>
      <c r="J303" s="3" t="s">
        <v>40</v>
      </c>
      <c r="K303" s="3" t="s">
        <v>40</v>
      </c>
      <c r="L303" s="4"/>
      <c r="M303" s="5" t="s">
        <v>3183</v>
      </c>
      <c r="N303" s="3" t="s">
        <v>3184</v>
      </c>
      <c r="O303" s="3" t="s">
        <v>530</v>
      </c>
      <c r="P303" s="3">
        <v>643.0</v>
      </c>
      <c r="Q303" s="3">
        <v>81104.0</v>
      </c>
      <c r="R303" s="3" t="s">
        <v>40</v>
      </c>
      <c r="S303" s="3" t="s">
        <v>40</v>
      </c>
      <c r="T303" s="3" t="s">
        <v>41</v>
      </c>
      <c r="U303" s="3" t="s">
        <v>3185</v>
      </c>
      <c r="V303" s="3" t="s">
        <v>3186</v>
      </c>
      <c r="W303" s="3" t="s">
        <v>3185</v>
      </c>
      <c r="X303" s="3" t="s">
        <v>3187</v>
      </c>
      <c r="Y303" s="3" t="s">
        <v>3188</v>
      </c>
      <c r="Z303" s="3" t="s">
        <v>66</v>
      </c>
      <c r="AA303" s="3" t="s">
        <v>32</v>
      </c>
      <c r="AB303" s="3" t="s">
        <v>32</v>
      </c>
      <c r="AC303" s="3" t="s">
        <v>40</v>
      </c>
      <c r="AD303" s="3" t="s">
        <v>40</v>
      </c>
    </row>
    <row r="304">
      <c r="A304" s="3" t="s">
        <v>3189</v>
      </c>
      <c r="B304" s="3" t="s">
        <v>82</v>
      </c>
      <c r="C304" s="3" t="s">
        <v>119</v>
      </c>
      <c r="D304" s="3">
        <v>1985.0</v>
      </c>
      <c r="E304" s="3">
        <v>750.0</v>
      </c>
      <c r="F304" s="3" t="s">
        <v>32</v>
      </c>
      <c r="G304" s="3">
        <v>5.13768341E8</v>
      </c>
      <c r="H304" s="3" t="s">
        <v>3190</v>
      </c>
      <c r="I304" s="3" t="s">
        <v>3191</v>
      </c>
      <c r="J304" s="3" t="s">
        <v>71</v>
      </c>
      <c r="K304" s="3" t="s">
        <v>3192</v>
      </c>
      <c r="L304" s="4"/>
      <c r="M304" s="5" t="s">
        <v>3193</v>
      </c>
      <c r="N304" s="3" t="s">
        <v>3194</v>
      </c>
      <c r="O304" s="3" t="s">
        <v>3195</v>
      </c>
      <c r="P304" s="3" t="s">
        <v>40</v>
      </c>
      <c r="Q304" s="3">
        <v>1387000.0</v>
      </c>
      <c r="R304" s="3" t="s">
        <v>40</v>
      </c>
      <c r="S304" s="3" t="s">
        <v>40</v>
      </c>
      <c r="T304" s="3" t="s">
        <v>41</v>
      </c>
      <c r="U304" s="3" t="s">
        <v>3196</v>
      </c>
      <c r="V304" s="3" t="s">
        <v>3197</v>
      </c>
      <c r="W304" s="3" t="s">
        <v>3198</v>
      </c>
      <c r="X304" s="3" t="s">
        <v>3199</v>
      </c>
      <c r="Y304" s="3" t="s">
        <v>3200</v>
      </c>
      <c r="Z304" s="3" t="s">
        <v>457</v>
      </c>
      <c r="AA304" s="3" t="s">
        <v>47</v>
      </c>
      <c r="AB304" s="3" t="s">
        <v>32</v>
      </c>
      <c r="AC304" s="3" t="s">
        <v>40</v>
      </c>
      <c r="AD304" s="3" t="s">
        <v>80</v>
      </c>
    </row>
    <row r="305">
      <c r="A305" s="3" t="s">
        <v>3201</v>
      </c>
      <c r="B305" s="3" t="s">
        <v>82</v>
      </c>
      <c r="C305" s="3" t="s">
        <v>119</v>
      </c>
      <c r="D305" s="3">
        <v>2013.0</v>
      </c>
      <c r="E305" s="3">
        <v>78.0</v>
      </c>
      <c r="F305" s="3" t="s">
        <v>32</v>
      </c>
      <c r="G305" s="3">
        <v>5.60029704E8</v>
      </c>
      <c r="H305" s="3" t="s">
        <v>3202</v>
      </c>
      <c r="I305" s="3" t="s">
        <v>3203</v>
      </c>
      <c r="J305" s="3" t="s">
        <v>71</v>
      </c>
      <c r="K305" s="3" t="s">
        <v>3204</v>
      </c>
      <c r="L305" s="4"/>
      <c r="M305" s="5" t="s">
        <v>3205</v>
      </c>
      <c r="N305" s="3" t="s">
        <v>3206</v>
      </c>
      <c r="O305" s="3" t="s">
        <v>3207</v>
      </c>
      <c r="P305" s="3" t="s">
        <v>3208</v>
      </c>
      <c r="Q305" s="3">
        <v>31104.0</v>
      </c>
      <c r="R305" s="3" t="s">
        <v>40</v>
      </c>
      <c r="S305" s="3" t="s">
        <v>40</v>
      </c>
      <c r="T305" s="3" t="s">
        <v>3209</v>
      </c>
      <c r="U305" s="3" t="s">
        <v>3210</v>
      </c>
      <c r="V305" s="3" t="s">
        <v>3211</v>
      </c>
      <c r="W305" s="3" t="s">
        <v>3210</v>
      </c>
      <c r="X305" s="3" t="s">
        <v>3212</v>
      </c>
      <c r="Y305" s="3" t="s">
        <v>3213</v>
      </c>
      <c r="Z305" s="3" t="s">
        <v>66</v>
      </c>
      <c r="AA305" s="3" t="s">
        <v>32</v>
      </c>
      <c r="AB305" s="3" t="s">
        <v>32</v>
      </c>
      <c r="AC305" s="3" t="s">
        <v>40</v>
      </c>
      <c r="AD305" s="3" t="s">
        <v>80</v>
      </c>
    </row>
    <row r="306">
      <c r="A306" s="6" t="s">
        <v>3214</v>
      </c>
      <c r="B306" s="6" t="s">
        <v>30</v>
      </c>
      <c r="C306" s="6" t="s">
        <v>31</v>
      </c>
      <c r="D306" s="6">
        <v>2021.0</v>
      </c>
      <c r="E306" s="6">
        <v>8.0</v>
      </c>
      <c r="F306" s="6" t="s">
        <v>32</v>
      </c>
      <c r="G306" s="6">
        <v>5.16487154E8</v>
      </c>
      <c r="H306" s="6" t="s">
        <v>3215</v>
      </c>
      <c r="I306" s="6" t="s">
        <v>3216</v>
      </c>
      <c r="J306" s="6" t="s">
        <v>35</v>
      </c>
      <c r="K306" s="6" t="s">
        <v>3217</v>
      </c>
      <c r="L306" s="4"/>
      <c r="M306" s="7" t="s">
        <v>3218</v>
      </c>
      <c r="N306" s="6" t="s">
        <v>3219</v>
      </c>
      <c r="O306" s="6" t="s">
        <v>722</v>
      </c>
      <c r="P306" s="6" t="s">
        <v>40</v>
      </c>
      <c r="Q306" s="6">
        <v>4927784.0</v>
      </c>
      <c r="R306" s="6" t="s">
        <v>40</v>
      </c>
      <c r="S306" s="6" t="s">
        <v>40</v>
      </c>
      <c r="T306" s="6" t="s">
        <v>41</v>
      </c>
      <c r="U306" s="6" t="s">
        <v>40</v>
      </c>
      <c r="V306" s="6" t="s">
        <v>3220</v>
      </c>
      <c r="W306" s="6" t="s">
        <v>40</v>
      </c>
      <c r="X306" s="6" t="s">
        <v>3221</v>
      </c>
      <c r="Y306" s="6" t="s">
        <v>3222</v>
      </c>
      <c r="Z306" s="6" t="s">
        <v>66</v>
      </c>
      <c r="AA306" s="6" t="s">
        <v>47</v>
      </c>
      <c r="AB306" s="6" t="s">
        <v>32</v>
      </c>
      <c r="AC306" s="6">
        <v>1.05</v>
      </c>
      <c r="AD306" s="6" t="s">
        <v>80</v>
      </c>
    </row>
    <row r="307">
      <c r="A307" s="3" t="s">
        <v>3223</v>
      </c>
      <c r="B307" s="3" t="s">
        <v>82</v>
      </c>
      <c r="C307" s="3" t="s">
        <v>31</v>
      </c>
      <c r="D307" s="3">
        <v>2020.0</v>
      </c>
      <c r="E307" s="3">
        <v>8.0</v>
      </c>
      <c r="F307" s="3" t="s">
        <v>32</v>
      </c>
      <c r="G307" s="3">
        <v>5.1642635E8</v>
      </c>
      <c r="H307" s="3" t="s">
        <v>3224</v>
      </c>
      <c r="I307" s="3" t="s">
        <v>3225</v>
      </c>
      <c r="J307" s="3" t="s">
        <v>35</v>
      </c>
      <c r="K307" s="3" t="s">
        <v>3226</v>
      </c>
      <c r="L307" s="4"/>
      <c r="M307" s="5" t="s">
        <v>3227</v>
      </c>
      <c r="N307" s="3" t="s">
        <v>3228</v>
      </c>
      <c r="O307" s="3" t="s">
        <v>1622</v>
      </c>
      <c r="P307" s="3" t="s">
        <v>40</v>
      </c>
      <c r="Q307" s="3">
        <v>5323307.0</v>
      </c>
      <c r="R307" s="3" t="s">
        <v>40</v>
      </c>
      <c r="S307" s="3" t="s">
        <v>40</v>
      </c>
      <c r="T307" s="3" t="s">
        <v>41</v>
      </c>
      <c r="U307" s="3" t="s">
        <v>40</v>
      </c>
      <c r="V307" s="3" t="s">
        <v>3229</v>
      </c>
      <c r="W307" s="3" t="s">
        <v>40</v>
      </c>
      <c r="X307" s="3" t="s">
        <v>1546</v>
      </c>
      <c r="Y307" s="3" t="s">
        <v>3230</v>
      </c>
      <c r="Z307" s="3" t="s">
        <v>291</v>
      </c>
      <c r="AA307" s="3" t="s">
        <v>47</v>
      </c>
      <c r="AB307" s="3" t="s">
        <v>47</v>
      </c>
      <c r="AC307" s="3" t="s">
        <v>40</v>
      </c>
      <c r="AD307" s="3" t="s">
        <v>80</v>
      </c>
    </row>
    <row r="308">
      <c r="A308" s="6" t="s">
        <v>3231</v>
      </c>
      <c r="B308" s="6" t="s">
        <v>154</v>
      </c>
      <c r="C308" s="6" t="s">
        <v>51</v>
      </c>
      <c r="D308" s="6">
        <v>2019.0</v>
      </c>
      <c r="E308" s="6">
        <v>8.0</v>
      </c>
      <c r="F308" s="6" t="s">
        <v>32</v>
      </c>
      <c r="G308" s="6">
        <v>5.15984631E8</v>
      </c>
      <c r="H308" s="6" t="s">
        <v>3232</v>
      </c>
      <c r="I308" s="6" t="s">
        <v>3233</v>
      </c>
      <c r="J308" s="6" t="s">
        <v>35</v>
      </c>
      <c r="K308" s="6" t="s">
        <v>3234</v>
      </c>
      <c r="L308" s="4"/>
      <c r="M308" s="7" t="s">
        <v>3235</v>
      </c>
      <c r="N308" s="6" t="s">
        <v>3236</v>
      </c>
      <c r="O308" s="6" t="s">
        <v>75</v>
      </c>
      <c r="P308" s="6" t="s">
        <v>40</v>
      </c>
      <c r="Q308" s="6">
        <v>6492105.0</v>
      </c>
      <c r="R308" s="6" t="s">
        <v>40</v>
      </c>
      <c r="S308" s="6" t="s">
        <v>40</v>
      </c>
      <c r="T308" s="6" t="s">
        <v>41</v>
      </c>
      <c r="U308" s="6" t="s">
        <v>3237</v>
      </c>
      <c r="V308" s="6" t="s">
        <v>3238</v>
      </c>
      <c r="W308" s="6" t="s">
        <v>3237</v>
      </c>
      <c r="X308" s="6" t="s">
        <v>3239</v>
      </c>
      <c r="Y308" s="6" t="s">
        <v>3240</v>
      </c>
      <c r="Z308" s="6" t="s">
        <v>3241</v>
      </c>
      <c r="AA308" s="6" t="s">
        <v>47</v>
      </c>
      <c r="AB308" s="6" t="s">
        <v>32</v>
      </c>
      <c r="AC308" s="6">
        <v>1.0</v>
      </c>
      <c r="AD308" s="6" t="s">
        <v>80</v>
      </c>
    </row>
    <row r="309">
      <c r="A309" s="3" t="s">
        <v>3242</v>
      </c>
      <c r="B309" s="3" t="s">
        <v>68</v>
      </c>
      <c r="C309" s="3" t="s">
        <v>51</v>
      </c>
      <c r="D309" s="3">
        <v>2014.0</v>
      </c>
      <c r="E309" s="3">
        <v>8.0</v>
      </c>
      <c r="F309" s="3" t="s">
        <v>32</v>
      </c>
      <c r="G309" s="3">
        <v>5.15143394E8</v>
      </c>
      <c r="H309" s="3" t="s">
        <v>3243</v>
      </c>
      <c r="I309" s="3" t="s">
        <v>3244</v>
      </c>
      <c r="J309" s="3" t="s">
        <v>54</v>
      </c>
      <c r="K309" s="3" t="s">
        <v>3245</v>
      </c>
      <c r="L309" s="4"/>
      <c r="M309" s="5" t="s">
        <v>3246</v>
      </c>
      <c r="N309" s="3" t="s">
        <v>3247</v>
      </c>
      <c r="O309" s="3" t="s">
        <v>485</v>
      </c>
      <c r="P309" s="3" t="s">
        <v>40</v>
      </c>
      <c r="Q309" s="3">
        <v>3556852.0</v>
      </c>
      <c r="R309" s="3" t="s">
        <v>40</v>
      </c>
      <c r="S309" s="3" t="s">
        <v>40</v>
      </c>
      <c r="T309" s="3" t="s">
        <v>41</v>
      </c>
      <c r="U309" s="3" t="s">
        <v>3248</v>
      </c>
      <c r="V309" s="3" t="s">
        <v>3249</v>
      </c>
      <c r="W309" s="3" t="s">
        <v>40</v>
      </c>
      <c r="X309" s="3" t="s">
        <v>3250</v>
      </c>
      <c r="Y309" s="3" t="s">
        <v>3251</v>
      </c>
      <c r="Z309" s="3" t="s">
        <v>3252</v>
      </c>
      <c r="AA309" s="3" t="s">
        <v>47</v>
      </c>
      <c r="AB309" s="3" t="s">
        <v>47</v>
      </c>
      <c r="AC309" s="3">
        <v>15.0</v>
      </c>
      <c r="AD309" s="3" t="s">
        <v>80</v>
      </c>
    </row>
    <row r="310">
      <c r="A310" s="6" t="s">
        <v>3253</v>
      </c>
      <c r="B310" s="6" t="s">
        <v>50</v>
      </c>
      <c r="C310" s="6" t="s">
        <v>31</v>
      </c>
      <c r="D310" s="6">
        <v>2018.0</v>
      </c>
      <c r="E310" s="6">
        <v>8.0</v>
      </c>
      <c r="F310" s="6" t="s">
        <v>32</v>
      </c>
      <c r="G310" s="6">
        <v>5.15898567E8</v>
      </c>
      <c r="H310" s="6" t="s">
        <v>3254</v>
      </c>
      <c r="I310" s="6" t="s">
        <v>3255</v>
      </c>
      <c r="J310" s="6" t="s">
        <v>35</v>
      </c>
      <c r="K310" s="6" t="s">
        <v>3256</v>
      </c>
      <c r="L310" s="4"/>
      <c r="M310" s="7" t="s">
        <v>3257</v>
      </c>
      <c r="N310" s="6" t="s">
        <v>3258</v>
      </c>
      <c r="O310" s="6" t="s">
        <v>552</v>
      </c>
      <c r="P310" s="6" t="s">
        <v>40</v>
      </c>
      <c r="Q310" s="6">
        <v>4658132.0</v>
      </c>
      <c r="R310" s="6" t="s">
        <v>40</v>
      </c>
      <c r="S310" s="6" t="s">
        <v>40</v>
      </c>
      <c r="T310" s="6" t="s">
        <v>41</v>
      </c>
      <c r="U310" s="6" t="s">
        <v>3259</v>
      </c>
      <c r="V310" s="6" t="s">
        <v>3260</v>
      </c>
      <c r="W310" s="6" t="s">
        <v>3259</v>
      </c>
      <c r="X310" s="6" t="s">
        <v>3261</v>
      </c>
      <c r="Y310" s="6" t="s">
        <v>3262</v>
      </c>
      <c r="Z310" s="6" t="s">
        <v>1177</v>
      </c>
      <c r="AA310" s="6" t="s">
        <v>47</v>
      </c>
      <c r="AB310" s="6" t="s">
        <v>47</v>
      </c>
      <c r="AC310" s="6">
        <v>0.1</v>
      </c>
      <c r="AD310" s="6" t="s">
        <v>48</v>
      </c>
    </row>
    <row r="311">
      <c r="A311" s="3" t="s">
        <v>3263</v>
      </c>
      <c r="B311" s="3" t="s">
        <v>3264</v>
      </c>
      <c r="C311" s="3" t="s">
        <v>51</v>
      </c>
      <c r="D311" s="3">
        <v>2010.0</v>
      </c>
      <c r="E311" s="3">
        <v>8.0</v>
      </c>
      <c r="F311" s="3" t="s">
        <v>32</v>
      </c>
      <c r="G311" s="3">
        <v>5.14869734E8</v>
      </c>
      <c r="H311" s="3" t="s">
        <v>3265</v>
      </c>
      <c r="I311" s="3" t="s">
        <v>40</v>
      </c>
      <c r="J311" s="3" t="s">
        <v>40</v>
      </c>
      <c r="K311" s="3" t="s">
        <v>40</v>
      </c>
      <c r="L311" s="4"/>
      <c r="M311" s="5" t="s">
        <v>3266</v>
      </c>
      <c r="N311" s="3" t="s">
        <v>3267</v>
      </c>
      <c r="O311" s="3" t="s">
        <v>616</v>
      </c>
      <c r="P311" s="3" t="s">
        <v>40</v>
      </c>
      <c r="Q311" s="3">
        <v>5259303.0</v>
      </c>
      <c r="R311" s="3" t="s">
        <v>40</v>
      </c>
      <c r="S311" s="3" t="s">
        <v>40</v>
      </c>
      <c r="T311" s="3" t="s">
        <v>41</v>
      </c>
      <c r="U311" s="3" t="s">
        <v>40</v>
      </c>
      <c r="V311" s="3" t="s">
        <v>3268</v>
      </c>
      <c r="W311" s="3" t="s">
        <v>3269</v>
      </c>
      <c r="X311" s="3" t="s">
        <v>3270</v>
      </c>
      <c r="Y311" s="3" t="s">
        <v>40</v>
      </c>
      <c r="Z311" s="3" t="s">
        <v>66</v>
      </c>
      <c r="AA311" s="3" t="s">
        <v>32</v>
      </c>
      <c r="AB311" s="3" t="s">
        <v>32</v>
      </c>
      <c r="AC311" s="3" t="s">
        <v>40</v>
      </c>
      <c r="AD311" s="3" t="s">
        <v>40</v>
      </c>
    </row>
    <row r="312">
      <c r="A312" s="3" t="s">
        <v>3271</v>
      </c>
      <c r="B312" s="3" t="s">
        <v>82</v>
      </c>
      <c r="C312" s="3" t="s">
        <v>31</v>
      </c>
      <c r="D312" s="3">
        <v>2020.0</v>
      </c>
      <c r="E312" s="3">
        <v>8.0</v>
      </c>
      <c r="F312" s="3" t="s">
        <v>32</v>
      </c>
      <c r="G312" s="3">
        <v>5.16187481E8</v>
      </c>
      <c r="H312" s="3" t="s">
        <v>3272</v>
      </c>
      <c r="I312" s="3" t="s">
        <v>3273</v>
      </c>
      <c r="J312" s="3" t="s">
        <v>35</v>
      </c>
      <c r="K312" s="3" t="s">
        <v>3274</v>
      </c>
      <c r="L312" s="4"/>
      <c r="M312" s="5" t="s">
        <v>3275</v>
      </c>
      <c r="N312" s="3" t="s">
        <v>3276</v>
      </c>
      <c r="O312" s="3" t="s">
        <v>75</v>
      </c>
      <c r="P312" s="3" t="s">
        <v>40</v>
      </c>
      <c r="Q312" s="3">
        <v>6971924.0</v>
      </c>
      <c r="R312" s="3" t="s">
        <v>40</v>
      </c>
      <c r="S312" s="3" t="s">
        <v>40</v>
      </c>
      <c r="T312" s="3" t="s">
        <v>41</v>
      </c>
      <c r="U312" s="3" t="s">
        <v>3277</v>
      </c>
      <c r="V312" s="3" t="s">
        <v>40</v>
      </c>
      <c r="W312" s="3" t="s">
        <v>3277</v>
      </c>
      <c r="X312" s="3" t="s">
        <v>3278</v>
      </c>
      <c r="Y312" s="3" t="s">
        <v>3279</v>
      </c>
      <c r="Z312" s="3" t="s">
        <v>3280</v>
      </c>
      <c r="AA312" s="3" t="s">
        <v>47</v>
      </c>
      <c r="AB312" s="3" t="s">
        <v>32</v>
      </c>
      <c r="AC312" s="3" t="s">
        <v>40</v>
      </c>
      <c r="AD312" s="3" t="s">
        <v>80</v>
      </c>
    </row>
    <row r="313">
      <c r="A313" s="3" t="s">
        <v>3281</v>
      </c>
      <c r="B313" s="3" t="s">
        <v>154</v>
      </c>
      <c r="C313" s="3" t="s">
        <v>31</v>
      </c>
      <c r="D313" s="3">
        <v>2015.0</v>
      </c>
      <c r="E313" s="3">
        <v>8.0</v>
      </c>
      <c r="F313" s="3" t="s">
        <v>32</v>
      </c>
      <c r="G313" s="3" t="s">
        <v>40</v>
      </c>
      <c r="H313" s="3" t="s">
        <v>3282</v>
      </c>
      <c r="I313" s="3" t="s">
        <v>3283</v>
      </c>
      <c r="J313" s="3" t="s">
        <v>54</v>
      </c>
      <c r="K313" s="3" t="s">
        <v>3284</v>
      </c>
      <c r="L313" s="4"/>
      <c r="M313" s="5" t="s">
        <v>3285</v>
      </c>
      <c r="N313" s="3" t="s">
        <v>3286</v>
      </c>
      <c r="O313" s="3" t="s">
        <v>40</v>
      </c>
      <c r="P313" s="3" t="s">
        <v>40</v>
      </c>
      <c r="Q313" s="3">
        <v>97531.0</v>
      </c>
      <c r="R313" s="3" t="s">
        <v>40</v>
      </c>
      <c r="S313" s="3" t="s">
        <v>40</v>
      </c>
      <c r="T313" s="3" t="s">
        <v>465</v>
      </c>
      <c r="U313" s="3" t="s">
        <v>40</v>
      </c>
      <c r="V313" s="3" t="s">
        <v>40</v>
      </c>
      <c r="W313" s="3" t="s">
        <v>40</v>
      </c>
      <c r="X313" s="3" t="s">
        <v>3287</v>
      </c>
      <c r="Y313" s="3" t="s">
        <v>3288</v>
      </c>
      <c r="Z313" s="3" t="s">
        <v>46</v>
      </c>
      <c r="AA313" s="3" t="s">
        <v>47</v>
      </c>
      <c r="AB313" s="3" t="s">
        <v>32</v>
      </c>
      <c r="AC313" s="3" t="s">
        <v>40</v>
      </c>
      <c r="AD313" s="3" t="s">
        <v>80</v>
      </c>
    </row>
    <row r="314">
      <c r="A314" s="3" t="s">
        <v>3289</v>
      </c>
      <c r="B314" s="3" t="s">
        <v>82</v>
      </c>
      <c r="C314" s="3" t="s">
        <v>51</v>
      </c>
      <c r="D314" s="3">
        <v>2021.0</v>
      </c>
      <c r="E314" s="3">
        <v>8.0</v>
      </c>
      <c r="F314" s="3" t="s">
        <v>32</v>
      </c>
      <c r="G314" s="3">
        <v>5.16441052E8</v>
      </c>
      <c r="H314" s="3" t="s">
        <v>3290</v>
      </c>
      <c r="I314" s="3" t="s">
        <v>3291</v>
      </c>
      <c r="J314" s="3" t="s">
        <v>3292</v>
      </c>
      <c r="K314" s="3" t="s">
        <v>3293</v>
      </c>
      <c r="L314" s="4"/>
      <c r="M314" s="5" t="s">
        <v>3294</v>
      </c>
      <c r="N314" s="3" t="s">
        <v>3295</v>
      </c>
      <c r="O314" s="3" t="s">
        <v>552</v>
      </c>
      <c r="P314" s="3" t="s">
        <v>40</v>
      </c>
      <c r="Q314" s="3">
        <v>4673332.0</v>
      </c>
      <c r="R314" s="3" t="s">
        <v>40</v>
      </c>
      <c r="S314" s="3" t="s">
        <v>40</v>
      </c>
      <c r="T314" s="3" t="s">
        <v>41</v>
      </c>
      <c r="U314" s="3" t="s">
        <v>3296</v>
      </c>
      <c r="V314" s="3" t="s">
        <v>3297</v>
      </c>
      <c r="W314" s="3" t="s">
        <v>3296</v>
      </c>
      <c r="X314" s="3" t="s">
        <v>3298</v>
      </c>
      <c r="Y314" s="3" t="s">
        <v>3299</v>
      </c>
      <c r="Z314" s="3" t="s">
        <v>66</v>
      </c>
      <c r="AA314" s="3" t="s">
        <v>47</v>
      </c>
      <c r="AB314" s="3" t="s">
        <v>47</v>
      </c>
      <c r="AC314" s="3">
        <v>2.8</v>
      </c>
      <c r="AD314" s="3" t="s">
        <v>80</v>
      </c>
    </row>
    <row r="315">
      <c r="A315" s="3" t="s">
        <v>3300</v>
      </c>
      <c r="B315" s="3" t="s">
        <v>82</v>
      </c>
      <c r="C315" s="3" t="s">
        <v>51</v>
      </c>
      <c r="D315" s="3">
        <v>2006.0</v>
      </c>
      <c r="E315" s="3">
        <v>8.0</v>
      </c>
      <c r="F315" s="3" t="s">
        <v>32</v>
      </c>
      <c r="G315" s="3">
        <v>5.1389083E8</v>
      </c>
      <c r="H315" s="3" t="s">
        <v>3301</v>
      </c>
      <c r="I315" s="3" t="s">
        <v>3302</v>
      </c>
      <c r="J315" s="3" t="s">
        <v>71</v>
      </c>
      <c r="K315" s="3" t="s">
        <v>3303</v>
      </c>
      <c r="L315" s="4"/>
      <c r="M315" s="5" t="s">
        <v>3304</v>
      </c>
      <c r="N315" s="3" t="s">
        <v>40</v>
      </c>
      <c r="O315" s="3" t="s">
        <v>75</v>
      </c>
      <c r="P315" s="3" t="s">
        <v>40</v>
      </c>
      <c r="Q315" s="3" t="s">
        <v>40</v>
      </c>
      <c r="R315" s="3" t="s">
        <v>40</v>
      </c>
      <c r="S315" s="3" t="s">
        <v>40</v>
      </c>
      <c r="T315" s="3" t="s">
        <v>41</v>
      </c>
      <c r="U315" s="3" t="s">
        <v>3305</v>
      </c>
      <c r="V315" s="3" t="s">
        <v>3306</v>
      </c>
      <c r="W315" s="3" t="s">
        <v>3305</v>
      </c>
      <c r="X315" s="3" t="s">
        <v>3307</v>
      </c>
      <c r="Y315" s="3" t="s">
        <v>3308</v>
      </c>
      <c r="Z315" s="3" t="s">
        <v>104</v>
      </c>
      <c r="AA315" s="3" t="s">
        <v>47</v>
      </c>
      <c r="AB315" s="3" t="s">
        <v>32</v>
      </c>
      <c r="AC315" s="3" t="s">
        <v>40</v>
      </c>
      <c r="AD315" s="3" t="s">
        <v>80</v>
      </c>
    </row>
    <row r="316">
      <c r="A316" s="3" t="s">
        <v>3309</v>
      </c>
      <c r="B316" s="3" t="s">
        <v>50</v>
      </c>
      <c r="C316" s="3" t="s">
        <v>31</v>
      </c>
      <c r="D316" s="3">
        <v>2021.0</v>
      </c>
      <c r="E316" s="3">
        <v>8.0</v>
      </c>
      <c r="F316" s="3" t="s">
        <v>32</v>
      </c>
      <c r="G316" s="3">
        <v>5.16317831E8</v>
      </c>
      <c r="H316" s="3" t="s">
        <v>3310</v>
      </c>
      <c r="I316" s="3" t="s">
        <v>3311</v>
      </c>
      <c r="J316" s="3" t="s">
        <v>35</v>
      </c>
      <c r="K316" s="4"/>
      <c r="L316" s="4"/>
      <c r="M316" s="5" t="s">
        <v>3312</v>
      </c>
      <c r="N316" s="3" t="s">
        <v>3313</v>
      </c>
      <c r="O316" s="3" t="s">
        <v>485</v>
      </c>
      <c r="P316" s="3" t="s">
        <v>40</v>
      </c>
      <c r="Q316" s="3">
        <v>3508409.0</v>
      </c>
      <c r="R316" s="3" t="s">
        <v>40</v>
      </c>
      <c r="S316" s="3" t="s">
        <v>40</v>
      </c>
      <c r="T316" s="3" t="s">
        <v>41</v>
      </c>
      <c r="U316" s="3" t="s">
        <v>3314</v>
      </c>
      <c r="V316" s="3" t="s">
        <v>40</v>
      </c>
      <c r="W316" s="3" t="s">
        <v>3314</v>
      </c>
      <c r="X316" s="3" t="s">
        <v>3315</v>
      </c>
      <c r="Y316" s="3" t="s">
        <v>3316</v>
      </c>
      <c r="Z316" s="3" t="s">
        <v>2054</v>
      </c>
      <c r="AA316" s="3" t="s">
        <v>47</v>
      </c>
      <c r="AB316" s="3" t="s">
        <v>32</v>
      </c>
      <c r="AC316" s="3">
        <v>1.7</v>
      </c>
      <c r="AD316" s="3" t="s">
        <v>48</v>
      </c>
    </row>
    <row r="317">
      <c r="A317" s="3" t="s">
        <v>3317</v>
      </c>
      <c r="B317" s="3" t="s">
        <v>30</v>
      </c>
      <c r="C317" s="3" t="s">
        <v>31</v>
      </c>
      <c r="D317" s="3">
        <v>2021.0</v>
      </c>
      <c r="E317" s="3">
        <v>8.0</v>
      </c>
      <c r="F317" s="3" t="s">
        <v>32</v>
      </c>
      <c r="G317" s="3">
        <v>5.16316304E8</v>
      </c>
      <c r="H317" s="3" t="s">
        <v>3318</v>
      </c>
      <c r="I317" s="3" t="s">
        <v>3319</v>
      </c>
      <c r="J317" s="3" t="s">
        <v>265</v>
      </c>
      <c r="K317" s="4"/>
      <c r="L317" s="4"/>
      <c r="M317" s="5" t="s">
        <v>3320</v>
      </c>
      <c r="N317" s="3" t="s">
        <v>3321</v>
      </c>
      <c r="O317" s="3" t="s">
        <v>3322</v>
      </c>
      <c r="P317" s="3" t="s">
        <v>40</v>
      </c>
      <c r="Q317" s="3">
        <v>4994500.0</v>
      </c>
      <c r="R317" s="3" t="s">
        <v>40</v>
      </c>
      <c r="S317" s="3" t="s">
        <v>40</v>
      </c>
      <c r="T317" s="3" t="s">
        <v>41</v>
      </c>
      <c r="U317" s="3" t="s">
        <v>3323</v>
      </c>
      <c r="V317" s="3" t="s">
        <v>3324</v>
      </c>
      <c r="W317" s="3" t="s">
        <v>3323</v>
      </c>
      <c r="X317" s="3" t="s">
        <v>3325</v>
      </c>
      <c r="Y317" s="3" t="s">
        <v>290</v>
      </c>
      <c r="Z317" s="3" t="s">
        <v>66</v>
      </c>
      <c r="AA317" s="3" t="s">
        <v>32</v>
      </c>
      <c r="AB317" s="3" t="s">
        <v>32</v>
      </c>
      <c r="AC317" s="3" t="s">
        <v>40</v>
      </c>
      <c r="AD317" s="3" t="s">
        <v>216</v>
      </c>
    </row>
    <row r="318">
      <c r="A318" s="3" t="s">
        <v>3326</v>
      </c>
      <c r="B318" s="3" t="s">
        <v>82</v>
      </c>
      <c r="C318" s="3" t="s">
        <v>51</v>
      </c>
      <c r="D318" s="3">
        <v>2015.0</v>
      </c>
      <c r="E318" s="3">
        <v>80.0</v>
      </c>
      <c r="F318" s="3" t="s">
        <v>32</v>
      </c>
      <c r="G318" s="3">
        <v>5.14092758E8</v>
      </c>
      <c r="H318" s="3" t="s">
        <v>3327</v>
      </c>
      <c r="I318" s="3" t="s">
        <v>3328</v>
      </c>
      <c r="J318" s="3" t="s">
        <v>35</v>
      </c>
      <c r="K318" s="4"/>
      <c r="L318" s="4"/>
      <c r="M318" s="5" t="s">
        <v>3329</v>
      </c>
      <c r="N318" s="3" t="s">
        <v>3330</v>
      </c>
      <c r="O318" s="3" t="s">
        <v>1037</v>
      </c>
      <c r="P318" s="3" t="s">
        <v>40</v>
      </c>
      <c r="Q318" s="3">
        <v>7403649.0</v>
      </c>
      <c r="R318" s="3" t="s">
        <v>40</v>
      </c>
      <c r="S318" s="3" t="s">
        <v>40</v>
      </c>
      <c r="T318" s="3" t="s">
        <v>41</v>
      </c>
      <c r="U318" s="3" t="s">
        <v>3331</v>
      </c>
      <c r="V318" s="3" t="s">
        <v>3332</v>
      </c>
      <c r="W318" s="3" t="s">
        <v>3331</v>
      </c>
      <c r="X318" s="3" t="s">
        <v>3333</v>
      </c>
      <c r="Y318" s="3" t="s">
        <v>3334</v>
      </c>
      <c r="Z318" s="3" t="s">
        <v>685</v>
      </c>
      <c r="AA318" s="3" t="s">
        <v>47</v>
      </c>
      <c r="AB318" s="3" t="s">
        <v>47</v>
      </c>
      <c r="AC318" s="3">
        <v>57.0</v>
      </c>
      <c r="AD318" s="3" t="s">
        <v>216</v>
      </c>
    </row>
    <row r="319">
      <c r="A319" s="3" t="s">
        <v>3335</v>
      </c>
      <c r="B319" s="3" t="s">
        <v>30</v>
      </c>
      <c r="C319" s="3" t="s">
        <v>119</v>
      </c>
      <c r="D319" s="3">
        <v>2012.0</v>
      </c>
      <c r="E319" s="3">
        <v>83.0</v>
      </c>
      <c r="F319" s="3" t="s">
        <v>32</v>
      </c>
      <c r="G319" s="3">
        <v>5.14820117E8</v>
      </c>
      <c r="H319" s="3" t="s">
        <v>3336</v>
      </c>
      <c r="I319" s="3" t="s">
        <v>3337</v>
      </c>
      <c r="J319" s="3" t="s">
        <v>35</v>
      </c>
      <c r="K319" s="3" t="s">
        <v>3338</v>
      </c>
      <c r="L319" s="4"/>
      <c r="M319" s="5" t="s">
        <v>3339</v>
      </c>
      <c r="N319" s="3" t="s">
        <v>3340</v>
      </c>
      <c r="O319" s="3" t="s">
        <v>552</v>
      </c>
      <c r="P319" s="3">
        <v>12194.0</v>
      </c>
      <c r="Q319" s="3">
        <v>4672503.0</v>
      </c>
      <c r="R319" s="3" t="s">
        <v>40</v>
      </c>
      <c r="S319" s="3" t="s">
        <v>40</v>
      </c>
      <c r="T319" s="3" t="s">
        <v>41</v>
      </c>
      <c r="U319" s="3" t="s">
        <v>3341</v>
      </c>
      <c r="V319" s="3" t="s">
        <v>3342</v>
      </c>
      <c r="W319" s="3" t="s">
        <v>3341</v>
      </c>
      <c r="X319" s="3" t="s">
        <v>3343</v>
      </c>
      <c r="Y319" s="3" t="s">
        <v>3344</v>
      </c>
      <c r="Z319" s="3" t="s">
        <v>1900</v>
      </c>
      <c r="AA319" s="3" t="s">
        <v>47</v>
      </c>
      <c r="AB319" s="3" t="s">
        <v>47</v>
      </c>
      <c r="AC319" s="3">
        <v>218.0</v>
      </c>
      <c r="AD319" s="3" t="s">
        <v>48</v>
      </c>
    </row>
    <row r="320">
      <c r="A320" s="3" t="s">
        <v>3345</v>
      </c>
      <c r="B320" s="3" t="s">
        <v>68</v>
      </c>
      <c r="C320" s="3" t="s">
        <v>119</v>
      </c>
      <c r="D320" s="3">
        <v>2007.0</v>
      </c>
      <c r="E320" s="3">
        <v>84.0</v>
      </c>
      <c r="F320" s="3" t="s">
        <v>32</v>
      </c>
      <c r="G320" s="3">
        <v>5.14020015E8</v>
      </c>
      <c r="H320" s="3" t="s">
        <v>3346</v>
      </c>
      <c r="I320" s="3" t="s">
        <v>3255</v>
      </c>
      <c r="J320" s="3" t="s">
        <v>71</v>
      </c>
      <c r="K320" s="4"/>
      <c r="L320" s="4"/>
      <c r="M320" s="5" t="s">
        <v>3347</v>
      </c>
      <c r="N320" s="3" t="s">
        <v>3348</v>
      </c>
      <c r="O320" s="3" t="s">
        <v>722</v>
      </c>
      <c r="P320" s="3" t="s">
        <v>40</v>
      </c>
      <c r="Q320" s="3">
        <v>4959504.0</v>
      </c>
      <c r="R320" s="3" t="s">
        <v>40</v>
      </c>
      <c r="S320" s="3" t="s">
        <v>40</v>
      </c>
      <c r="T320" s="3" t="s">
        <v>41</v>
      </c>
      <c r="U320" s="3" t="s">
        <v>3349</v>
      </c>
      <c r="V320" s="3" t="s">
        <v>3350</v>
      </c>
      <c r="W320" s="3" t="s">
        <v>3349</v>
      </c>
      <c r="X320" s="3" t="s">
        <v>3351</v>
      </c>
      <c r="Y320" s="3" t="s">
        <v>3352</v>
      </c>
      <c r="Z320" s="3" t="s">
        <v>523</v>
      </c>
      <c r="AA320" s="3" t="s">
        <v>47</v>
      </c>
      <c r="AB320" s="3" t="s">
        <v>32</v>
      </c>
      <c r="AC320" s="3" t="s">
        <v>40</v>
      </c>
      <c r="AD320" s="3" t="s">
        <v>80</v>
      </c>
    </row>
    <row r="321">
      <c r="A321" s="3" t="s">
        <v>3353</v>
      </c>
      <c r="B321" s="3" t="s">
        <v>68</v>
      </c>
      <c r="C321" s="3" t="s">
        <v>119</v>
      </c>
      <c r="D321" s="3">
        <v>2010.0</v>
      </c>
      <c r="E321" s="3">
        <v>875.0</v>
      </c>
      <c r="F321" s="3" t="s">
        <v>32</v>
      </c>
      <c r="G321" s="3">
        <v>5.14593573E8</v>
      </c>
      <c r="H321" s="3" t="s">
        <v>3354</v>
      </c>
      <c r="I321" s="3" t="s">
        <v>3355</v>
      </c>
      <c r="J321" s="3" t="s">
        <v>71</v>
      </c>
      <c r="K321" s="3" t="s">
        <v>3356</v>
      </c>
      <c r="L321" s="4"/>
      <c r="M321" s="5" t="s">
        <v>3357</v>
      </c>
      <c r="N321" s="3" t="s">
        <v>3358</v>
      </c>
      <c r="O321" s="3" t="s">
        <v>75</v>
      </c>
      <c r="P321" s="3" t="s">
        <v>40</v>
      </c>
      <c r="Q321" s="3">
        <v>6971029.0</v>
      </c>
      <c r="R321" s="3" t="s">
        <v>40</v>
      </c>
      <c r="S321" s="3" t="s">
        <v>40</v>
      </c>
      <c r="T321" s="3" t="s">
        <v>41</v>
      </c>
      <c r="U321" s="3" t="s">
        <v>3359</v>
      </c>
      <c r="V321" s="3" t="s">
        <v>3360</v>
      </c>
      <c r="W321" s="3" t="s">
        <v>3359</v>
      </c>
      <c r="X321" s="3" t="s">
        <v>3361</v>
      </c>
      <c r="Y321" s="3" t="s">
        <v>3362</v>
      </c>
      <c r="Z321" s="3" t="s">
        <v>3363</v>
      </c>
      <c r="AA321" s="3" t="s">
        <v>47</v>
      </c>
      <c r="AB321" s="3" t="s">
        <v>32</v>
      </c>
      <c r="AC321" s="3">
        <v>877.5</v>
      </c>
      <c r="AD321" s="3" t="s">
        <v>80</v>
      </c>
    </row>
    <row r="322">
      <c r="A322" s="3" t="s">
        <v>3364</v>
      </c>
      <c r="B322" s="3" t="s">
        <v>82</v>
      </c>
      <c r="C322" s="3" t="s">
        <v>31</v>
      </c>
      <c r="D322" s="3">
        <v>2018.0</v>
      </c>
      <c r="E322" s="3">
        <v>9.0</v>
      </c>
      <c r="F322" s="3" t="s">
        <v>32</v>
      </c>
      <c r="G322" s="3">
        <v>5.15877884E8</v>
      </c>
      <c r="H322" s="3" t="s">
        <v>3365</v>
      </c>
      <c r="I322" s="3" t="s">
        <v>3366</v>
      </c>
      <c r="J322" s="3" t="s">
        <v>35</v>
      </c>
      <c r="K322" s="3" t="s">
        <v>3367</v>
      </c>
      <c r="L322" s="4"/>
      <c r="M322" s="5" t="s">
        <v>3368</v>
      </c>
      <c r="N322" s="3" t="s">
        <v>3369</v>
      </c>
      <c r="O322" s="3" t="s">
        <v>616</v>
      </c>
      <c r="P322" s="3" t="s">
        <v>40</v>
      </c>
      <c r="Q322" s="3">
        <v>5252204.0</v>
      </c>
      <c r="R322" s="3" t="s">
        <v>40</v>
      </c>
      <c r="S322" s="3" t="s">
        <v>40</v>
      </c>
      <c r="T322" s="3" t="s">
        <v>41</v>
      </c>
      <c r="U322" s="3" t="s">
        <v>3370</v>
      </c>
      <c r="V322" s="3" t="s">
        <v>3371</v>
      </c>
      <c r="W322" s="3" t="s">
        <v>3370</v>
      </c>
      <c r="X322" s="3" t="s">
        <v>3372</v>
      </c>
      <c r="Y322" s="3" t="s">
        <v>3373</v>
      </c>
      <c r="Z322" s="3" t="s">
        <v>291</v>
      </c>
      <c r="AA322" s="3" t="s">
        <v>47</v>
      </c>
      <c r="AB322" s="3" t="s">
        <v>32</v>
      </c>
      <c r="AC322" s="3">
        <v>2.3</v>
      </c>
      <c r="AD322" s="3" t="s">
        <v>80</v>
      </c>
    </row>
    <row r="323">
      <c r="A323" s="3" t="s">
        <v>3374</v>
      </c>
      <c r="B323" s="3" t="s">
        <v>82</v>
      </c>
      <c r="C323" s="3" t="s">
        <v>119</v>
      </c>
      <c r="D323" s="3">
        <v>2015.0</v>
      </c>
      <c r="E323" s="3">
        <v>90.0</v>
      </c>
      <c r="F323" s="3" t="s">
        <v>32</v>
      </c>
      <c r="G323" s="3">
        <v>5.15378289E8</v>
      </c>
      <c r="H323" s="3" t="s">
        <v>3375</v>
      </c>
      <c r="I323" s="3" t="s">
        <v>3376</v>
      </c>
      <c r="J323" s="3" t="s">
        <v>35</v>
      </c>
      <c r="K323" s="4"/>
      <c r="L323" s="4"/>
      <c r="M323" s="5" t="s">
        <v>3377</v>
      </c>
      <c r="N323" s="3" t="s">
        <v>3378</v>
      </c>
      <c r="O323" s="3" t="s">
        <v>75</v>
      </c>
      <c r="P323" s="3" t="s">
        <v>40</v>
      </c>
      <c r="Q323" s="3">
        <v>5252141.0</v>
      </c>
      <c r="R323" s="3" t="s">
        <v>40</v>
      </c>
      <c r="S323" s="3" t="s">
        <v>40</v>
      </c>
      <c r="T323" s="3" t="s">
        <v>41</v>
      </c>
      <c r="U323" s="3" t="s">
        <v>3379</v>
      </c>
      <c r="V323" s="3" t="s">
        <v>3380</v>
      </c>
      <c r="W323" s="3" t="s">
        <v>3379</v>
      </c>
      <c r="X323" s="3" t="s">
        <v>3381</v>
      </c>
      <c r="Y323" s="3" t="s">
        <v>3382</v>
      </c>
      <c r="Z323" s="3" t="s">
        <v>3383</v>
      </c>
      <c r="AA323" s="3" t="s">
        <v>47</v>
      </c>
      <c r="AB323" s="3" t="s">
        <v>47</v>
      </c>
      <c r="AC323" s="3">
        <v>83.0</v>
      </c>
      <c r="AD323" s="3" t="s">
        <v>80</v>
      </c>
    </row>
    <row r="324">
      <c r="A324" s="3" t="s">
        <v>3384</v>
      </c>
      <c r="B324" s="3" t="s">
        <v>68</v>
      </c>
      <c r="C324" s="3" t="s">
        <v>119</v>
      </c>
      <c r="D324" s="3">
        <v>2013.0</v>
      </c>
      <c r="E324" s="3">
        <v>95.0</v>
      </c>
      <c r="F324" s="3" t="s">
        <v>32</v>
      </c>
      <c r="G324" s="3">
        <v>5.14911205E8</v>
      </c>
      <c r="H324" s="3" t="s">
        <v>3385</v>
      </c>
      <c r="I324" s="3" t="s">
        <v>3386</v>
      </c>
      <c r="J324" s="3" t="s">
        <v>71</v>
      </c>
      <c r="K324" s="3" t="s">
        <v>3387</v>
      </c>
      <c r="L324" s="4"/>
      <c r="M324" s="5" t="s">
        <v>3388</v>
      </c>
      <c r="N324" s="3" t="s">
        <v>3389</v>
      </c>
      <c r="O324" s="3" t="s">
        <v>616</v>
      </c>
      <c r="P324" s="3" t="s">
        <v>40</v>
      </c>
      <c r="Q324" s="3">
        <v>5252141.0</v>
      </c>
      <c r="R324" s="3" t="s">
        <v>40</v>
      </c>
      <c r="S324" s="3" t="s">
        <v>40</v>
      </c>
      <c r="T324" s="3" t="s">
        <v>41</v>
      </c>
      <c r="U324" s="3" t="s">
        <v>3390</v>
      </c>
      <c r="V324" s="3" t="s">
        <v>3391</v>
      </c>
      <c r="W324" s="3" t="s">
        <v>3390</v>
      </c>
      <c r="X324" s="3" t="s">
        <v>3392</v>
      </c>
      <c r="Y324" s="3" t="s">
        <v>3393</v>
      </c>
      <c r="Z324" s="3" t="s">
        <v>3394</v>
      </c>
      <c r="AA324" s="3" t="s">
        <v>47</v>
      </c>
      <c r="AB324" s="3" t="s">
        <v>47</v>
      </c>
      <c r="AC324" s="3">
        <v>18.5</v>
      </c>
      <c r="AD324" s="3" t="s">
        <v>80</v>
      </c>
    </row>
    <row r="325">
      <c r="A325" s="3" t="s">
        <v>3395</v>
      </c>
      <c r="B325" s="3" t="s">
        <v>154</v>
      </c>
      <c r="C325" s="3" t="s">
        <v>119</v>
      </c>
      <c r="D325" s="3">
        <v>1986.0</v>
      </c>
      <c r="E325" s="3">
        <v>950.0</v>
      </c>
      <c r="F325" s="3" t="s">
        <v>32</v>
      </c>
      <c r="G325" s="3">
        <v>5.13989608E8</v>
      </c>
      <c r="H325" s="3" t="s">
        <v>3396</v>
      </c>
      <c r="I325" s="3" t="s">
        <v>3397</v>
      </c>
      <c r="J325" s="3" t="s">
        <v>71</v>
      </c>
      <c r="K325" s="3" t="s">
        <v>3398</v>
      </c>
      <c r="L325" s="4"/>
      <c r="M325" s="5" t="s">
        <v>3399</v>
      </c>
      <c r="N325" s="3" t="s">
        <v>40</v>
      </c>
      <c r="O325" s="3" t="s">
        <v>3400</v>
      </c>
      <c r="P325" s="3" t="s">
        <v>40</v>
      </c>
      <c r="Q325" s="3" t="s">
        <v>40</v>
      </c>
      <c r="R325" s="3" t="s">
        <v>1431</v>
      </c>
      <c r="S325" s="3" t="s">
        <v>40</v>
      </c>
      <c r="T325" s="3" t="s">
        <v>60</v>
      </c>
      <c r="U325" s="3" t="s">
        <v>40</v>
      </c>
      <c r="V325" s="3" t="s">
        <v>40</v>
      </c>
      <c r="W325" s="3" t="s">
        <v>3401</v>
      </c>
      <c r="X325" s="3" t="s">
        <v>3402</v>
      </c>
      <c r="Y325" s="3" t="s">
        <v>3403</v>
      </c>
      <c r="Z325" s="3" t="s">
        <v>3404</v>
      </c>
      <c r="AA325" s="3" t="s">
        <v>47</v>
      </c>
      <c r="AB325" s="3" t="s">
        <v>47</v>
      </c>
      <c r="AC325" s="3">
        <v>95.1</v>
      </c>
      <c r="AD325" s="3" t="s">
        <v>80</v>
      </c>
    </row>
    <row r="326">
      <c r="A326" s="25" t="s">
        <v>3405</v>
      </c>
      <c r="B326" s="25" t="s">
        <v>30</v>
      </c>
      <c r="C326" s="25" t="s">
        <v>51</v>
      </c>
      <c r="D326" s="25">
        <v>2017.0</v>
      </c>
      <c r="E326" s="25">
        <v>98.0</v>
      </c>
      <c r="F326" s="25" t="s">
        <v>32</v>
      </c>
      <c r="G326" s="25">
        <v>5.15771194E8</v>
      </c>
      <c r="H326" s="25" t="s">
        <v>3406</v>
      </c>
      <c r="I326" s="25" t="s">
        <v>3407</v>
      </c>
      <c r="J326" s="25" t="s">
        <v>35</v>
      </c>
      <c r="K326" s="25" t="s">
        <v>3408</v>
      </c>
      <c r="L326" s="26"/>
      <c r="M326" s="27" t="s">
        <v>3409</v>
      </c>
      <c r="N326" s="25" t="s">
        <v>3410</v>
      </c>
      <c r="O326" s="25" t="s">
        <v>287</v>
      </c>
      <c r="P326" s="25" t="s">
        <v>40</v>
      </c>
      <c r="Q326" s="25" t="s">
        <v>3411</v>
      </c>
      <c r="R326" s="25" t="s">
        <v>40</v>
      </c>
      <c r="S326" s="25" t="s">
        <v>40</v>
      </c>
      <c r="T326" s="25" t="s">
        <v>211</v>
      </c>
      <c r="U326" s="25" t="s">
        <v>3412</v>
      </c>
      <c r="V326" s="25" t="s">
        <v>40</v>
      </c>
      <c r="W326" s="25" t="s">
        <v>3412</v>
      </c>
      <c r="X326" s="25" t="s">
        <v>3413</v>
      </c>
      <c r="Y326" s="25" t="s">
        <v>3414</v>
      </c>
      <c r="Z326" s="25" t="s">
        <v>3415</v>
      </c>
      <c r="AA326" s="25" t="s">
        <v>47</v>
      </c>
      <c r="AB326" s="25" t="s">
        <v>47</v>
      </c>
      <c r="AC326" s="25">
        <v>74.0</v>
      </c>
      <c r="AD326" s="25" t="s">
        <v>48</v>
      </c>
    </row>
    <row r="330">
      <c r="S330" s="28" t="s">
        <v>3416</v>
      </c>
    </row>
  </sheetData>
  <autoFilter ref="$A$1:$AD$326"/>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A63"/>
    <hyperlink r:id="rId63" ref="M63"/>
    <hyperlink r:id="rId64" ref="M64"/>
    <hyperlink r:id="rId65" ref="M65"/>
    <hyperlink r:id="rId66" ref="A66"/>
    <hyperlink r:id="rId67" ref="M66"/>
    <hyperlink r:id="rId68" ref="M67"/>
    <hyperlink r:id="rId69" ref="M68"/>
    <hyperlink r:id="rId70" ref="M69"/>
    <hyperlink r:id="rId71" ref="M70"/>
    <hyperlink r:id="rId72" ref="M71"/>
    <hyperlink r:id="rId73" ref="M72"/>
    <hyperlink r:id="rId74" ref="M73"/>
    <hyperlink r:id="rId75" ref="M74"/>
    <hyperlink r:id="rId76" ref="M75"/>
    <hyperlink r:id="rId77" ref="M76"/>
    <hyperlink r:id="rId78" ref="M77"/>
    <hyperlink r:id="rId79" ref="M78"/>
    <hyperlink r:id="rId80" ref="M79"/>
    <hyperlink r:id="rId81" ref="M80"/>
    <hyperlink r:id="rId82" ref="M81"/>
    <hyperlink r:id="rId83" ref="M82"/>
    <hyperlink r:id="rId84" ref="M83"/>
    <hyperlink r:id="rId85" ref="M84"/>
    <hyperlink r:id="rId86" ref="M85"/>
    <hyperlink r:id="rId87" ref="M86"/>
    <hyperlink r:id="rId88" ref="M87"/>
    <hyperlink r:id="rId89" ref="M88"/>
    <hyperlink r:id="rId90" ref="M89"/>
    <hyperlink r:id="rId91" ref="M90"/>
    <hyperlink r:id="rId92" ref="M91"/>
    <hyperlink r:id="rId93" ref="M92"/>
    <hyperlink r:id="rId94" ref="M93"/>
    <hyperlink r:id="rId95" ref="M94"/>
    <hyperlink r:id="rId96" ref="M95"/>
    <hyperlink r:id="rId97" ref="M96"/>
    <hyperlink r:id="rId98" ref="M97"/>
    <hyperlink r:id="rId99" ref="M98"/>
    <hyperlink r:id="rId100" ref="M99"/>
    <hyperlink r:id="rId101" ref="M100"/>
    <hyperlink r:id="rId102" ref="M101"/>
    <hyperlink r:id="rId103" ref="M102"/>
    <hyperlink r:id="rId104" ref="M103"/>
    <hyperlink r:id="rId105" ref="M104"/>
    <hyperlink r:id="rId106" ref="M105"/>
    <hyperlink r:id="rId107" ref="M106"/>
    <hyperlink r:id="rId108" ref="M107"/>
    <hyperlink r:id="rId109" ref="M108"/>
    <hyperlink r:id="rId110" ref="M109"/>
    <hyperlink r:id="rId111" ref="M110"/>
    <hyperlink r:id="rId112" ref="M111"/>
    <hyperlink r:id="rId113" ref="M112"/>
    <hyperlink r:id="rId114" ref="M113"/>
    <hyperlink r:id="rId115" ref="M114"/>
    <hyperlink r:id="rId116" ref="M115"/>
    <hyperlink r:id="rId117" ref="M116"/>
    <hyperlink r:id="rId118" ref="M117"/>
    <hyperlink r:id="rId119" ref="M118"/>
    <hyperlink r:id="rId120" ref="M119"/>
    <hyperlink r:id="rId121" ref="M120"/>
    <hyperlink r:id="rId122" ref="M121"/>
    <hyperlink r:id="rId123" ref="A122"/>
    <hyperlink r:id="rId124" ref="M122"/>
    <hyperlink r:id="rId125" ref="M123"/>
    <hyperlink r:id="rId126" ref="M124"/>
    <hyperlink r:id="rId127" ref="M125"/>
    <hyperlink r:id="rId128" ref="M126"/>
    <hyperlink r:id="rId129" ref="M127"/>
    <hyperlink r:id="rId130" ref="M128"/>
    <hyperlink r:id="rId131" ref="M129"/>
    <hyperlink r:id="rId132" ref="M130"/>
    <hyperlink r:id="rId133" ref="M131"/>
    <hyperlink r:id="rId134" ref="M132"/>
    <hyperlink r:id="rId135" ref="M133"/>
    <hyperlink r:id="rId136" ref="M134"/>
    <hyperlink r:id="rId137" ref="M135"/>
    <hyperlink r:id="rId138" ref="M136"/>
    <hyperlink r:id="rId139" ref="M137"/>
    <hyperlink r:id="rId140" ref="M138"/>
    <hyperlink r:id="rId141" ref="M139"/>
    <hyperlink r:id="rId142" ref="M140"/>
    <hyperlink r:id="rId143" ref="M141"/>
    <hyperlink r:id="rId144" ref="M142"/>
    <hyperlink r:id="rId145" ref="M143"/>
    <hyperlink r:id="rId146" ref="M144"/>
    <hyperlink r:id="rId147" ref="M145"/>
    <hyperlink r:id="rId148" ref="M146"/>
    <hyperlink r:id="rId149" ref="M147"/>
    <hyperlink r:id="rId150" ref="M148"/>
    <hyperlink r:id="rId151" ref="M149"/>
    <hyperlink r:id="rId152" ref="M150"/>
    <hyperlink r:id="rId153" ref="M151"/>
    <hyperlink r:id="rId154" ref="M152"/>
    <hyperlink r:id="rId155" ref="M153"/>
    <hyperlink r:id="rId156" ref="M154"/>
    <hyperlink r:id="rId157" ref="M155"/>
    <hyperlink r:id="rId158" ref="M156"/>
    <hyperlink r:id="rId159" ref="M157"/>
    <hyperlink r:id="rId160" ref="M158"/>
    <hyperlink r:id="rId161" ref="M159"/>
    <hyperlink r:id="rId162" ref="M160"/>
    <hyperlink r:id="rId163" ref="M161"/>
    <hyperlink r:id="rId164" ref="M162"/>
    <hyperlink r:id="rId165" ref="M163"/>
    <hyperlink r:id="rId166" ref="M164"/>
    <hyperlink r:id="rId167" ref="M165"/>
    <hyperlink r:id="rId168" ref="M166"/>
    <hyperlink r:id="rId169" ref="M167"/>
    <hyperlink r:id="rId170" ref="M168"/>
    <hyperlink r:id="rId171" ref="M169"/>
    <hyperlink r:id="rId172" ref="M170"/>
    <hyperlink r:id="rId173" ref="M171"/>
    <hyperlink r:id="rId174" ref="M172"/>
    <hyperlink r:id="rId175" ref="M173"/>
    <hyperlink r:id="rId176" ref="M174"/>
    <hyperlink r:id="rId177" ref="M175"/>
    <hyperlink r:id="rId178" ref="M176"/>
    <hyperlink r:id="rId179" ref="M177"/>
    <hyperlink r:id="rId180" ref="M178"/>
    <hyperlink r:id="rId181" ref="M179"/>
    <hyperlink r:id="rId182" ref="M180"/>
    <hyperlink r:id="rId183" ref="M181"/>
    <hyperlink r:id="rId184" ref="M182"/>
    <hyperlink r:id="rId185" ref="M183"/>
    <hyperlink r:id="rId186" ref="M184"/>
    <hyperlink r:id="rId187" ref="M185"/>
    <hyperlink r:id="rId188" ref="M186"/>
    <hyperlink r:id="rId189" ref="M187"/>
    <hyperlink r:id="rId190" ref="M188"/>
    <hyperlink r:id="rId191" ref="M189"/>
    <hyperlink r:id="rId192" ref="M190"/>
    <hyperlink r:id="rId193" ref="M191"/>
    <hyperlink r:id="rId194" ref="M192"/>
    <hyperlink r:id="rId195" ref="M193"/>
    <hyperlink r:id="rId196" ref="M194"/>
    <hyperlink r:id="rId197" ref="M195"/>
    <hyperlink r:id="rId198" ref="M196"/>
    <hyperlink r:id="rId199" ref="A197"/>
    <hyperlink r:id="rId200" ref="M197"/>
    <hyperlink r:id="rId201" ref="M198"/>
    <hyperlink r:id="rId202" ref="M199"/>
    <hyperlink r:id="rId203" ref="M200"/>
    <hyperlink r:id="rId204" ref="M201"/>
    <hyperlink r:id="rId205" ref="M202"/>
    <hyperlink r:id="rId206" ref="M203"/>
    <hyperlink r:id="rId207" ref="M204"/>
    <hyperlink r:id="rId208" ref="M205"/>
    <hyperlink r:id="rId209" ref="A206"/>
    <hyperlink r:id="rId210" ref="M206"/>
    <hyperlink r:id="rId211" ref="M207"/>
    <hyperlink r:id="rId212" ref="M208"/>
    <hyperlink r:id="rId213" ref="M209"/>
    <hyperlink r:id="rId214" ref="M210"/>
    <hyperlink r:id="rId215" ref="M211"/>
    <hyperlink r:id="rId216" ref="M212"/>
    <hyperlink r:id="rId217" ref="M213"/>
    <hyperlink r:id="rId218" ref="M214"/>
    <hyperlink r:id="rId219" ref="M215"/>
    <hyperlink r:id="rId220" ref="M216"/>
    <hyperlink r:id="rId221" ref="M217"/>
    <hyperlink r:id="rId222" ref="M218"/>
    <hyperlink r:id="rId223" ref="M219"/>
    <hyperlink r:id="rId224" ref="M220"/>
    <hyperlink r:id="rId225" ref="M221"/>
    <hyperlink r:id="rId226" ref="M222"/>
    <hyperlink r:id="rId227" ref="M223"/>
    <hyperlink r:id="rId228" ref="M224"/>
    <hyperlink r:id="rId229" ref="M226"/>
    <hyperlink r:id="rId230" ref="M227"/>
    <hyperlink r:id="rId231" ref="M228"/>
    <hyperlink r:id="rId232" ref="M229"/>
    <hyperlink r:id="rId233" ref="M231"/>
    <hyperlink r:id="rId234" ref="M232"/>
    <hyperlink r:id="rId235" ref="M233"/>
    <hyperlink r:id="rId236" ref="M234"/>
    <hyperlink r:id="rId237" ref="M235"/>
    <hyperlink r:id="rId238" ref="M236"/>
    <hyperlink r:id="rId239" ref="M237"/>
    <hyperlink r:id="rId240" ref="M238"/>
    <hyperlink r:id="rId241" ref="M239"/>
    <hyperlink r:id="rId242" ref="M240"/>
    <hyperlink r:id="rId243" ref="M241"/>
    <hyperlink r:id="rId244" ref="M242"/>
    <hyperlink r:id="rId245" ref="A243"/>
    <hyperlink r:id="rId246" ref="M243"/>
    <hyperlink r:id="rId247" ref="M244"/>
    <hyperlink r:id="rId248" ref="M246"/>
    <hyperlink r:id="rId249" ref="M247"/>
    <hyperlink r:id="rId250" ref="M248"/>
    <hyperlink r:id="rId251" ref="M249"/>
    <hyperlink r:id="rId252" ref="M250"/>
    <hyperlink r:id="rId253" ref="M251"/>
    <hyperlink r:id="rId254" ref="M252"/>
    <hyperlink r:id="rId255" ref="M253"/>
    <hyperlink r:id="rId256" ref="M254"/>
    <hyperlink r:id="rId257" ref="M255"/>
    <hyperlink r:id="rId258" ref="M256"/>
    <hyperlink r:id="rId259" ref="M257"/>
    <hyperlink r:id="rId260" ref="M258"/>
    <hyperlink r:id="rId261" ref="M259"/>
    <hyperlink r:id="rId262" ref="M260"/>
    <hyperlink r:id="rId263" ref="M261"/>
    <hyperlink r:id="rId264" ref="M262"/>
    <hyperlink r:id="rId265" ref="A263"/>
    <hyperlink r:id="rId266" ref="M263"/>
    <hyperlink r:id="rId267" ref="M264"/>
    <hyperlink r:id="rId268" ref="M265"/>
    <hyperlink r:id="rId269" ref="M266"/>
    <hyperlink r:id="rId270" ref="M267"/>
    <hyperlink r:id="rId271" ref="M268"/>
    <hyperlink r:id="rId272" ref="M269"/>
    <hyperlink r:id="rId273" ref="M270"/>
    <hyperlink r:id="rId274" ref="M271"/>
    <hyperlink r:id="rId275" ref="M272"/>
    <hyperlink r:id="rId276" ref="M273"/>
    <hyperlink r:id="rId277" ref="M274"/>
    <hyperlink r:id="rId278" ref="M275"/>
    <hyperlink r:id="rId279" ref="M276"/>
    <hyperlink r:id="rId280" ref="M277"/>
    <hyperlink r:id="rId281" ref="M278"/>
    <hyperlink r:id="rId282" ref="M279"/>
    <hyperlink r:id="rId283" ref="M280"/>
    <hyperlink r:id="rId284" ref="M281"/>
    <hyperlink r:id="rId285" ref="M282"/>
    <hyperlink r:id="rId286" ref="M283"/>
    <hyperlink r:id="rId287" ref="M284"/>
    <hyperlink r:id="rId288" ref="M285"/>
    <hyperlink r:id="rId289" ref="M286"/>
    <hyperlink r:id="rId290" ref="M287"/>
    <hyperlink r:id="rId291" ref="M288"/>
    <hyperlink r:id="rId292" ref="M289"/>
    <hyperlink r:id="rId293" ref="M290"/>
    <hyperlink r:id="rId294" ref="M291"/>
    <hyperlink r:id="rId295" ref="M292"/>
    <hyperlink r:id="rId296" ref="M293"/>
    <hyperlink r:id="rId297" ref="M294"/>
    <hyperlink r:id="rId298" ref="M295"/>
    <hyperlink r:id="rId299" ref="M296"/>
    <hyperlink r:id="rId300" ref="M297"/>
    <hyperlink r:id="rId301" ref="M298"/>
    <hyperlink r:id="rId302" ref="M299"/>
    <hyperlink r:id="rId303" ref="M300"/>
    <hyperlink r:id="rId304" ref="M301"/>
    <hyperlink r:id="rId305" ref="M302"/>
    <hyperlink r:id="rId306" ref="M303"/>
    <hyperlink r:id="rId307" ref="M304"/>
    <hyperlink r:id="rId308" ref="M305"/>
    <hyperlink r:id="rId309" ref="M306"/>
    <hyperlink r:id="rId310" ref="M307"/>
    <hyperlink r:id="rId311" ref="M308"/>
    <hyperlink r:id="rId312" ref="M309"/>
    <hyperlink r:id="rId313" ref="M310"/>
    <hyperlink r:id="rId314" ref="M311"/>
    <hyperlink r:id="rId315" ref="M312"/>
    <hyperlink r:id="rId316" ref="M313"/>
    <hyperlink r:id="rId317" ref="M314"/>
    <hyperlink r:id="rId318" ref="M315"/>
    <hyperlink r:id="rId319" ref="M316"/>
    <hyperlink r:id="rId320" ref="M317"/>
    <hyperlink r:id="rId321" ref="M318"/>
    <hyperlink r:id="rId322" ref="M319"/>
    <hyperlink r:id="rId323" ref="M320"/>
    <hyperlink r:id="rId324" ref="M321"/>
    <hyperlink r:id="rId325" ref="M322"/>
    <hyperlink r:id="rId326" ref="M323"/>
    <hyperlink r:id="rId327" ref="M324"/>
    <hyperlink r:id="rId328" ref="M325"/>
    <hyperlink r:id="rId329" ref="M326"/>
  </hyperlinks>
  <drawing r:id="rId3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63"/>
    <col customWidth="1" min="3" max="3" width="15.25"/>
    <col customWidth="1" min="4" max="4" width="18.5"/>
    <col customWidth="1" min="5" max="5" width="16.13"/>
    <col customWidth="1" min="6" max="6" width="35.0"/>
    <col customWidth="1" min="7" max="7" width="52.5"/>
    <col customWidth="1" min="8" max="8" width="25.0"/>
    <col customWidth="1" min="9" max="9" width="24.5"/>
    <col customWidth="1" min="10" max="10" width="24.88"/>
    <col customWidth="1" min="11" max="11" width="89.5"/>
    <col customWidth="1" min="12" max="12" width="96.38"/>
    <col customWidth="1" min="13" max="13" width="188.0"/>
  </cols>
  <sheetData>
    <row r="2">
      <c r="A2" s="29" t="s">
        <v>3417</v>
      </c>
      <c r="B2" s="30" t="s">
        <v>3418</v>
      </c>
    </row>
    <row r="3">
      <c r="A3" s="31" t="s">
        <v>3419</v>
      </c>
      <c r="B3" s="31" t="s">
        <v>3420</v>
      </c>
      <c r="C3" s="31" t="s">
        <v>3421</v>
      </c>
      <c r="D3" s="31" t="s">
        <v>3422</v>
      </c>
      <c r="E3" s="31" t="s">
        <v>3423</v>
      </c>
      <c r="F3" s="31" t="s">
        <v>3424</v>
      </c>
      <c r="G3" s="31" t="s">
        <v>3425</v>
      </c>
      <c r="H3" s="31" t="s">
        <v>3426</v>
      </c>
      <c r="I3" s="31" t="s">
        <v>3427</v>
      </c>
      <c r="J3" s="31" t="s">
        <v>3428</v>
      </c>
      <c r="K3" s="31" t="s">
        <v>3429</v>
      </c>
      <c r="L3" s="31" t="s">
        <v>3430</v>
      </c>
      <c r="M3" s="31" t="s">
        <v>3431</v>
      </c>
      <c r="N3" s="31" t="s">
        <v>3432</v>
      </c>
      <c r="O3" s="31" t="s">
        <v>3433</v>
      </c>
      <c r="P3" s="31"/>
      <c r="R3" s="31" t="s">
        <v>3434</v>
      </c>
      <c r="S3" s="31" t="s">
        <v>3435</v>
      </c>
      <c r="T3" s="31" t="s">
        <v>3436</v>
      </c>
      <c r="U3" s="31" t="s">
        <v>11</v>
      </c>
      <c r="V3" s="31" t="s">
        <v>3437</v>
      </c>
      <c r="W3" s="31" t="s">
        <v>3438</v>
      </c>
      <c r="X3" s="31" t="s">
        <v>3439</v>
      </c>
      <c r="Y3" s="31" t="s">
        <v>3440</v>
      </c>
      <c r="Z3" s="31" t="s">
        <v>3441</v>
      </c>
      <c r="AA3" s="31" t="s">
        <v>3442</v>
      </c>
      <c r="AB3" s="31" t="s">
        <v>3443</v>
      </c>
      <c r="AC3" s="31" t="s">
        <v>3444</v>
      </c>
      <c r="AD3" s="31" t="s">
        <v>3445</v>
      </c>
      <c r="AE3" s="31" t="s">
        <v>3446</v>
      </c>
      <c r="AF3" s="31" t="s">
        <v>3447</v>
      </c>
      <c r="AG3" s="31" t="s">
        <v>3448</v>
      </c>
      <c r="AH3" s="31" t="s">
        <v>3449</v>
      </c>
      <c r="AI3" s="31" t="s">
        <v>3450</v>
      </c>
      <c r="AJ3" s="31" t="s">
        <v>3451</v>
      </c>
      <c r="AK3" s="31" t="s">
        <v>3452</v>
      </c>
      <c r="AL3" s="31" t="s">
        <v>3453</v>
      </c>
      <c r="AM3" s="31" t="s">
        <v>3454</v>
      </c>
      <c r="AN3" s="31" t="s">
        <v>3455</v>
      </c>
      <c r="AO3" s="31" t="s">
        <v>3456</v>
      </c>
      <c r="AP3" s="31" t="s">
        <v>3457</v>
      </c>
      <c r="AQ3" s="31" t="s">
        <v>3458</v>
      </c>
      <c r="AR3" s="31" t="s">
        <v>3459</v>
      </c>
      <c r="AS3" s="31" t="s">
        <v>3460</v>
      </c>
      <c r="AT3" s="31" t="s">
        <v>3461</v>
      </c>
      <c r="AU3" s="31" t="s">
        <v>3462</v>
      </c>
      <c r="AV3" s="31" t="s">
        <v>3463</v>
      </c>
      <c r="AW3" s="31" t="s">
        <v>13</v>
      </c>
      <c r="AX3" s="31" t="s">
        <v>3464</v>
      </c>
      <c r="AY3" s="31" t="s">
        <v>3465</v>
      </c>
      <c r="AZ3" s="31" t="s">
        <v>3466</v>
      </c>
      <c r="BA3" s="31" t="s">
        <v>20</v>
      </c>
      <c r="BB3" s="31" t="s">
        <v>3467</v>
      </c>
      <c r="BC3" s="31" t="s">
        <v>3468</v>
      </c>
      <c r="BD3" s="31" t="s">
        <v>3469</v>
      </c>
      <c r="BE3" s="31" t="s">
        <v>3470</v>
      </c>
      <c r="BF3" s="31" t="s">
        <v>3471</v>
      </c>
      <c r="BG3" s="31" t="s">
        <v>3472</v>
      </c>
      <c r="BH3" s="31" t="s">
        <v>3473</v>
      </c>
      <c r="BI3" s="31" t="s">
        <v>3474</v>
      </c>
      <c r="BJ3" s="31" t="s">
        <v>3475</v>
      </c>
      <c r="BK3" s="31" t="s">
        <v>3476</v>
      </c>
      <c r="BL3" s="31" t="s">
        <v>3477</v>
      </c>
      <c r="BM3" s="31" t="s">
        <v>3478</v>
      </c>
      <c r="BN3" s="31" t="s">
        <v>3479</v>
      </c>
      <c r="BO3" s="31" t="s">
        <v>3480</v>
      </c>
      <c r="BP3" s="31" t="s">
        <v>3481</v>
      </c>
      <c r="BQ3" s="31" t="s">
        <v>3482</v>
      </c>
      <c r="BR3" s="31" t="s">
        <v>3483</v>
      </c>
      <c r="BS3" s="31" t="s">
        <v>3484</v>
      </c>
      <c r="BT3" s="31" t="s">
        <v>3485</v>
      </c>
      <c r="BU3" s="31" t="s">
        <v>3486</v>
      </c>
      <c r="BV3" s="31" t="s">
        <v>3487</v>
      </c>
      <c r="BW3" s="31" t="s">
        <v>3488</v>
      </c>
      <c r="BX3" s="31" t="s">
        <v>3489</v>
      </c>
      <c r="BY3" s="31" t="s">
        <v>3490</v>
      </c>
      <c r="BZ3" s="31" t="s">
        <v>3491</v>
      </c>
      <c r="CA3" s="31" t="s">
        <v>3492</v>
      </c>
      <c r="CB3" s="31" t="s">
        <v>3493</v>
      </c>
      <c r="CC3" s="31" t="s">
        <v>3494</v>
      </c>
      <c r="CD3" s="31" t="s">
        <v>3495</v>
      </c>
      <c r="CE3" s="31" t="s">
        <v>3496</v>
      </c>
      <c r="CF3" s="31" t="s">
        <v>3497</v>
      </c>
      <c r="CG3" s="31" t="s">
        <v>3498</v>
      </c>
      <c r="CH3" s="31" t="s">
        <v>3499</v>
      </c>
      <c r="CI3" s="31" t="s">
        <v>3500</v>
      </c>
      <c r="CJ3" s="31" t="s">
        <v>3501</v>
      </c>
      <c r="CK3" s="31" t="s">
        <v>3502</v>
      </c>
      <c r="CL3" s="31" t="s">
        <v>3503</v>
      </c>
      <c r="CM3" s="31" t="s">
        <v>3504</v>
      </c>
      <c r="CN3" s="31" t="s">
        <v>3505</v>
      </c>
      <c r="CO3" s="31" t="s">
        <v>3506</v>
      </c>
      <c r="CP3" s="31" t="s">
        <v>3507</v>
      </c>
      <c r="CQ3" s="31" t="s">
        <v>3508</v>
      </c>
      <c r="CR3" s="31" t="s">
        <v>3509</v>
      </c>
      <c r="CS3" s="31" t="s">
        <v>3510</v>
      </c>
      <c r="CT3" s="31" t="s">
        <v>3511</v>
      </c>
      <c r="CU3" s="31" t="s">
        <v>3512</v>
      </c>
      <c r="CV3" s="31" t="s">
        <v>3513</v>
      </c>
      <c r="CW3" s="31" t="s">
        <v>3514</v>
      </c>
      <c r="CX3" s="31" t="s">
        <v>3515</v>
      </c>
      <c r="CY3" s="31" t="s">
        <v>3516</v>
      </c>
      <c r="CZ3" s="31" t="s">
        <v>3517</v>
      </c>
      <c r="DA3" s="31" t="s">
        <v>3518</v>
      </c>
      <c r="DB3" s="31" t="s">
        <v>3519</v>
      </c>
      <c r="DC3" s="31" t="s">
        <v>3520</v>
      </c>
      <c r="DD3" s="31" t="s">
        <v>3521</v>
      </c>
      <c r="DE3" s="31" t="s">
        <v>3522</v>
      </c>
      <c r="DF3" s="31" t="s">
        <v>3523</v>
      </c>
      <c r="DG3" s="31" t="s">
        <v>3524</v>
      </c>
      <c r="DH3" s="31" t="s">
        <v>3525</v>
      </c>
      <c r="DI3" s="31" t="s">
        <v>3526</v>
      </c>
      <c r="DJ3" s="31" t="s">
        <v>3527</v>
      </c>
      <c r="DK3" s="31" t="s">
        <v>3528</v>
      </c>
      <c r="DL3" s="31" t="s">
        <v>3529</v>
      </c>
      <c r="DM3" s="31" t="s">
        <v>3530</v>
      </c>
      <c r="DN3" s="31" t="s">
        <v>3531</v>
      </c>
      <c r="DO3" s="31" t="s">
        <v>3532</v>
      </c>
      <c r="DP3" s="31" t="s">
        <v>3533</v>
      </c>
      <c r="DQ3" s="31" t="s">
        <v>3534</v>
      </c>
      <c r="DR3" s="31" t="s">
        <v>3535</v>
      </c>
      <c r="DS3" s="31" t="s">
        <v>3536</v>
      </c>
      <c r="DT3" s="31" t="s">
        <v>3537</v>
      </c>
      <c r="DU3" s="31" t="s">
        <v>3538</v>
      </c>
      <c r="DV3" s="31" t="s">
        <v>3539</v>
      </c>
      <c r="DW3" s="31" t="s">
        <v>3540</v>
      </c>
      <c r="DX3" s="31" t="s">
        <v>3541</v>
      </c>
      <c r="DY3" s="31" t="s">
        <v>3542</v>
      </c>
      <c r="DZ3" s="31" t="s">
        <v>3543</v>
      </c>
      <c r="EA3" s="31" t="s">
        <v>3544</v>
      </c>
      <c r="EB3" s="31" t="s">
        <v>3545</v>
      </c>
      <c r="EC3" s="31" t="s">
        <v>3546</v>
      </c>
      <c r="ED3" s="31" t="s">
        <v>3547</v>
      </c>
      <c r="EE3" s="31" t="s">
        <v>3548</v>
      </c>
      <c r="EF3" s="31" t="s">
        <v>3549</v>
      </c>
      <c r="EG3" s="31" t="s">
        <v>3550</v>
      </c>
      <c r="EH3" s="31" t="s">
        <v>3551</v>
      </c>
      <c r="EI3" s="31" t="s">
        <v>3552</v>
      </c>
      <c r="EJ3" s="31" t="s">
        <v>3553</v>
      </c>
      <c r="EK3" s="31" t="s">
        <v>3554</v>
      </c>
      <c r="EL3" s="31" t="s">
        <v>3555</v>
      </c>
      <c r="EM3" s="31" t="s">
        <v>3556</v>
      </c>
      <c r="EN3" s="31" t="s">
        <v>3557</v>
      </c>
      <c r="EO3" s="31" t="s">
        <v>3558</v>
      </c>
      <c r="EP3" s="31" t="s">
        <v>3559</v>
      </c>
    </row>
    <row r="4">
      <c r="A4" s="32">
        <v>14.57</v>
      </c>
      <c r="B4" s="33" t="s">
        <v>3560</v>
      </c>
      <c r="C4" s="34"/>
      <c r="D4" s="34"/>
      <c r="E4" s="35" t="s">
        <v>3561</v>
      </c>
      <c r="F4" s="34"/>
      <c r="G4" s="35" t="s">
        <v>3562</v>
      </c>
      <c r="H4" s="35" t="s">
        <v>3563</v>
      </c>
      <c r="I4" s="35" t="s">
        <v>3564</v>
      </c>
      <c r="J4" s="35" t="s">
        <v>3565</v>
      </c>
      <c r="K4" s="35" t="s">
        <v>3566</v>
      </c>
      <c r="L4" s="35" t="s">
        <v>3567</v>
      </c>
      <c r="M4" s="35" t="s">
        <v>3568</v>
      </c>
      <c r="N4" s="35" t="s">
        <v>3569</v>
      </c>
      <c r="O4" s="35" t="s">
        <v>3570</v>
      </c>
      <c r="P4" s="35"/>
      <c r="R4" s="35" t="s">
        <v>3571</v>
      </c>
      <c r="S4" s="35" t="s">
        <v>3572</v>
      </c>
      <c r="T4" s="35" t="s">
        <v>3573</v>
      </c>
      <c r="U4" s="36" t="s">
        <v>3574</v>
      </c>
      <c r="V4" s="36" t="s">
        <v>3575</v>
      </c>
      <c r="W4" s="32">
        <v>33.0</v>
      </c>
      <c r="X4" s="35" t="s">
        <v>3576</v>
      </c>
      <c r="Y4" s="34"/>
      <c r="Z4" s="34"/>
      <c r="AA4" s="32">
        <v>2016.0</v>
      </c>
      <c r="AB4" s="34"/>
      <c r="AC4" s="34"/>
      <c r="AD4" s="34"/>
      <c r="AE4" s="37"/>
      <c r="AF4" s="37"/>
      <c r="AG4" s="37"/>
      <c r="AH4" s="37"/>
      <c r="AI4" s="37"/>
      <c r="AJ4" s="37"/>
      <c r="AK4" s="37"/>
      <c r="AL4" s="37"/>
      <c r="AM4" s="37"/>
      <c r="AN4" s="37"/>
      <c r="AO4" s="35" t="s">
        <v>3577</v>
      </c>
      <c r="AP4" s="35" t="s">
        <v>3578</v>
      </c>
      <c r="AQ4" s="35" t="s">
        <v>3579</v>
      </c>
      <c r="AR4" s="35" t="s">
        <v>3580</v>
      </c>
      <c r="AS4" s="34" t="str">
        <f>+1 (917) 417-5266</f>
        <v>#ERROR!</v>
      </c>
      <c r="AT4" s="35" t="s">
        <v>3581</v>
      </c>
      <c r="AU4" s="35" t="s">
        <v>3582</v>
      </c>
      <c r="AV4" s="34"/>
      <c r="AW4" s="35" t="s">
        <v>75</v>
      </c>
      <c r="AX4" s="34"/>
      <c r="AY4" s="37"/>
      <c r="AZ4" s="35" t="s">
        <v>41</v>
      </c>
      <c r="BA4" s="37" t="str">
        <f>+972 (0)58 670 1528</f>
        <v>#ERROR!</v>
      </c>
      <c r="BB4" s="37"/>
      <c r="BC4" s="35" t="s">
        <v>3583</v>
      </c>
      <c r="BD4" s="35" t="s">
        <v>3584</v>
      </c>
      <c r="BE4" s="35" t="s">
        <v>3584</v>
      </c>
      <c r="BF4" s="35" t="s">
        <v>3585</v>
      </c>
      <c r="BG4" s="35" t="s">
        <v>3586</v>
      </c>
      <c r="BH4" s="32">
        <v>9.0</v>
      </c>
      <c r="BI4" s="34"/>
      <c r="BJ4" s="34"/>
      <c r="BK4" s="34"/>
      <c r="BL4" s="35" t="s">
        <v>3587</v>
      </c>
      <c r="BM4" s="34"/>
      <c r="BN4" s="34"/>
      <c r="BO4" s="34"/>
      <c r="BP4" s="34"/>
      <c r="BQ4" s="38" t="s">
        <v>3588</v>
      </c>
      <c r="BR4" s="37"/>
      <c r="BS4" s="34"/>
      <c r="BT4" s="37"/>
      <c r="BU4" s="34"/>
      <c r="BV4" s="35" t="s">
        <v>3589</v>
      </c>
      <c r="BW4" s="34"/>
      <c r="BX4" s="34"/>
      <c r="BY4" s="35" t="s">
        <v>3590</v>
      </c>
      <c r="BZ4" s="34"/>
      <c r="CA4" s="35" t="s">
        <v>3591</v>
      </c>
      <c r="CB4" s="38" t="s">
        <v>3592</v>
      </c>
      <c r="CC4" s="32">
        <v>14.0</v>
      </c>
      <c r="CD4" s="35" t="s">
        <v>3593</v>
      </c>
      <c r="CE4" s="32">
        <v>44.05</v>
      </c>
      <c r="CF4" s="35" t="s">
        <v>3593</v>
      </c>
      <c r="CG4" s="35" t="s">
        <v>3594</v>
      </c>
      <c r="CH4" s="35" t="s">
        <v>3595</v>
      </c>
      <c r="CI4" s="34"/>
      <c r="CJ4" s="35" t="s">
        <v>3573</v>
      </c>
      <c r="CK4" s="38" t="s">
        <v>3592</v>
      </c>
      <c r="CL4" s="32">
        <v>2.99</v>
      </c>
      <c r="CM4" s="35" t="s">
        <v>3596</v>
      </c>
      <c r="CN4" s="35" t="s">
        <v>3591</v>
      </c>
      <c r="CO4" s="39">
        <v>0.0051</v>
      </c>
      <c r="CP4" s="32">
        <v>93.0</v>
      </c>
      <c r="CQ4" s="39">
        <v>0.0</v>
      </c>
      <c r="CR4" s="39">
        <v>0.0</v>
      </c>
      <c r="CS4" s="39">
        <v>0.0072</v>
      </c>
      <c r="CT4" s="32">
        <v>96.0</v>
      </c>
      <c r="CU4" s="37"/>
      <c r="CV4" s="37"/>
      <c r="CW4" s="39">
        <v>0.0072</v>
      </c>
      <c r="CX4" s="32">
        <v>96.0</v>
      </c>
      <c r="CY4" s="32" t="s">
        <v>3597</v>
      </c>
      <c r="CZ4" s="32">
        <v>83.0</v>
      </c>
      <c r="DA4" s="32" t="s">
        <v>3598</v>
      </c>
      <c r="DB4" s="39">
        <v>0.0</v>
      </c>
      <c r="DC4" s="32" t="s">
        <v>3599</v>
      </c>
      <c r="DD4" s="32">
        <v>94.0</v>
      </c>
      <c r="DE4" s="37"/>
      <c r="DF4" s="37"/>
      <c r="DG4" s="32" t="s">
        <v>3599</v>
      </c>
      <c r="DH4" s="32">
        <v>93.0</v>
      </c>
      <c r="DI4" s="37"/>
      <c r="DJ4" s="37"/>
      <c r="DK4" s="37"/>
      <c r="DL4" s="32">
        <v>304.0</v>
      </c>
      <c r="DM4" s="32">
        <v>2.0</v>
      </c>
      <c r="DN4" s="39">
        <v>0.0066</v>
      </c>
      <c r="DO4" s="32" t="s">
        <v>3600</v>
      </c>
      <c r="DP4" s="38" t="s">
        <v>3601</v>
      </c>
      <c r="DQ4" s="37"/>
      <c r="DR4" s="37"/>
      <c r="DS4" s="37"/>
      <c r="DT4" s="37"/>
      <c r="DU4" s="37"/>
      <c r="DV4" s="37"/>
      <c r="DW4" s="34"/>
      <c r="DX4" s="32">
        <v>98.0</v>
      </c>
      <c r="DY4" s="35" t="s">
        <v>3602</v>
      </c>
      <c r="DZ4" s="39">
        <v>0.96</v>
      </c>
      <c r="EA4" s="39">
        <v>0.04</v>
      </c>
      <c r="EB4" s="35" t="s">
        <v>3603</v>
      </c>
      <c r="EC4" s="39">
        <v>0.01</v>
      </c>
      <c r="ED4" s="39">
        <v>0.95</v>
      </c>
      <c r="EE4" s="32">
        <v>44.05</v>
      </c>
      <c r="EF4" s="38" t="s">
        <v>3592</v>
      </c>
      <c r="EG4" s="35" t="s">
        <v>3594</v>
      </c>
      <c r="EH4" s="37"/>
      <c r="EI4" s="37"/>
      <c r="EJ4" s="37"/>
      <c r="EK4" s="34"/>
      <c r="EL4" s="37"/>
      <c r="EM4" s="37"/>
      <c r="EN4" s="37"/>
      <c r="EO4" s="37"/>
      <c r="EP4" s="40" t="s">
        <v>3559</v>
      </c>
    </row>
    <row r="5">
      <c r="A5" s="41">
        <v>17.94</v>
      </c>
      <c r="B5" s="42" t="s">
        <v>3604</v>
      </c>
      <c r="C5" s="42" t="s">
        <v>3605</v>
      </c>
      <c r="D5" s="43"/>
      <c r="E5" s="42" t="s">
        <v>3606</v>
      </c>
      <c r="F5" s="42" t="s">
        <v>3607</v>
      </c>
      <c r="G5" s="42" t="s">
        <v>3608</v>
      </c>
      <c r="H5" s="42" t="s">
        <v>3563</v>
      </c>
      <c r="I5" s="42" t="s">
        <v>3609</v>
      </c>
      <c r="J5" s="42" t="s">
        <v>3610</v>
      </c>
      <c r="K5" s="42" t="s">
        <v>3611</v>
      </c>
      <c r="L5" s="42" t="s">
        <v>3612</v>
      </c>
      <c r="M5" s="42" t="s">
        <v>3613</v>
      </c>
      <c r="N5" s="42" t="s">
        <v>3569</v>
      </c>
      <c r="O5" s="42" t="s">
        <v>3614</v>
      </c>
      <c r="P5" s="42"/>
      <c r="R5" s="42" t="s">
        <v>3571</v>
      </c>
      <c r="S5" s="42" t="s">
        <v>3572</v>
      </c>
      <c r="T5" s="42" t="s">
        <v>3573</v>
      </c>
      <c r="U5" s="44" t="s">
        <v>3615</v>
      </c>
      <c r="V5" s="44" t="s">
        <v>3616</v>
      </c>
      <c r="W5" s="41">
        <v>29.0</v>
      </c>
      <c r="X5" s="42" t="s">
        <v>3617</v>
      </c>
      <c r="Y5" s="43"/>
      <c r="Z5" s="43"/>
      <c r="AA5" s="41">
        <v>2016.0</v>
      </c>
      <c r="AB5" s="43"/>
      <c r="AC5" s="43"/>
      <c r="AD5" s="43"/>
      <c r="AE5" s="45"/>
      <c r="AF5" s="45"/>
      <c r="AG5" s="45"/>
      <c r="AH5" s="45"/>
      <c r="AI5" s="45"/>
      <c r="AJ5" s="45"/>
      <c r="AK5" s="45"/>
      <c r="AL5" s="45"/>
      <c r="AM5" s="45"/>
      <c r="AN5" s="45"/>
      <c r="AO5" s="42" t="s">
        <v>3618</v>
      </c>
      <c r="AP5" s="42" t="s">
        <v>3619</v>
      </c>
      <c r="AQ5" s="42" t="s">
        <v>3620</v>
      </c>
      <c r="AR5" s="42" t="s">
        <v>3621</v>
      </c>
      <c r="AS5" s="43" t="str">
        <f>+972 (0)52 627 3392</f>
        <v>#ERROR!</v>
      </c>
      <c r="AT5" s="42" t="s">
        <v>3622</v>
      </c>
      <c r="AU5" s="42" t="s">
        <v>3623</v>
      </c>
      <c r="AV5" s="42" t="s">
        <v>3624</v>
      </c>
      <c r="AW5" s="42" t="s">
        <v>3625</v>
      </c>
      <c r="AX5" s="42" t="s">
        <v>3626</v>
      </c>
      <c r="AY5" s="41">
        <v>3079504.0</v>
      </c>
      <c r="AZ5" s="42" t="s">
        <v>41</v>
      </c>
      <c r="BA5" s="45" t="str">
        <f>+972 (0)4 770 7700</f>
        <v>#ERROR!</v>
      </c>
      <c r="BB5" s="45" t="str">
        <f>+972 (0)4 627 0666</f>
        <v>#ERROR!</v>
      </c>
      <c r="BC5" s="42" t="s">
        <v>3627</v>
      </c>
      <c r="BD5" s="42" t="s">
        <v>3584</v>
      </c>
      <c r="BE5" s="42" t="s">
        <v>3584</v>
      </c>
      <c r="BF5" s="42" t="s">
        <v>3628</v>
      </c>
      <c r="BG5" s="42" t="s">
        <v>3629</v>
      </c>
      <c r="BH5" s="41">
        <v>15.0</v>
      </c>
      <c r="BI5" s="43"/>
      <c r="BJ5" s="42" t="s">
        <v>3630</v>
      </c>
      <c r="BK5" s="43"/>
      <c r="BL5" s="42" t="s">
        <v>3631</v>
      </c>
      <c r="BM5" s="43"/>
      <c r="BN5" s="43"/>
      <c r="BO5" s="42" t="s">
        <v>3632</v>
      </c>
      <c r="BP5" s="42" t="s">
        <v>3633</v>
      </c>
      <c r="BQ5" s="45"/>
      <c r="BR5" s="45"/>
      <c r="BS5" s="43"/>
      <c r="BT5" s="45"/>
      <c r="BU5" s="43"/>
      <c r="BV5" s="42" t="s">
        <v>3589</v>
      </c>
      <c r="BW5" s="43"/>
      <c r="BX5" s="43"/>
      <c r="BY5" s="42" t="s">
        <v>3590</v>
      </c>
      <c r="BZ5" s="43"/>
      <c r="CA5" s="42" t="s">
        <v>3591</v>
      </c>
      <c r="CB5" s="46" t="s">
        <v>3634</v>
      </c>
      <c r="CC5" s="41">
        <v>2.7</v>
      </c>
      <c r="CD5" s="42" t="s">
        <v>3593</v>
      </c>
      <c r="CE5" s="45"/>
      <c r="CF5" s="43"/>
      <c r="CG5" s="42" t="s">
        <v>3594</v>
      </c>
      <c r="CH5" s="43"/>
      <c r="CI5" s="43"/>
      <c r="CJ5" s="42" t="s">
        <v>3573</v>
      </c>
      <c r="CK5" s="45"/>
      <c r="CL5" s="45"/>
      <c r="CM5" s="43"/>
      <c r="CN5" s="42" t="s">
        <v>3591</v>
      </c>
      <c r="CO5" s="47">
        <v>0.0089</v>
      </c>
      <c r="CP5" s="41">
        <v>96.0</v>
      </c>
      <c r="CQ5" s="47">
        <v>0.0</v>
      </c>
      <c r="CR5" s="47">
        <v>0.0</v>
      </c>
      <c r="CS5" s="47">
        <v>0.0089</v>
      </c>
      <c r="CT5" s="41">
        <v>97.0</v>
      </c>
      <c r="CU5" s="45"/>
      <c r="CV5" s="45"/>
      <c r="CW5" s="47">
        <v>0.0089</v>
      </c>
      <c r="CX5" s="41">
        <v>97.0</v>
      </c>
      <c r="CY5" s="41" t="s">
        <v>3635</v>
      </c>
      <c r="CZ5" s="41">
        <v>84.0</v>
      </c>
      <c r="DA5" s="41" t="s">
        <v>3598</v>
      </c>
      <c r="DB5" s="47">
        <v>0.0</v>
      </c>
      <c r="DC5" s="41" t="s">
        <v>3635</v>
      </c>
      <c r="DD5" s="41">
        <v>83.0</v>
      </c>
      <c r="DE5" s="45"/>
      <c r="DF5" s="45"/>
      <c r="DG5" s="41" t="s">
        <v>3635</v>
      </c>
      <c r="DH5" s="41">
        <v>80.0</v>
      </c>
      <c r="DI5" s="45"/>
      <c r="DJ5" s="45"/>
      <c r="DK5" s="45"/>
      <c r="DL5" s="41">
        <v>146.0</v>
      </c>
      <c r="DM5" s="41">
        <v>1.0</v>
      </c>
      <c r="DN5" s="47">
        <v>0.0069</v>
      </c>
      <c r="DO5" s="41" t="s">
        <v>3600</v>
      </c>
      <c r="DP5" s="46" t="s">
        <v>3636</v>
      </c>
      <c r="DQ5" s="41">
        <v>19.0</v>
      </c>
      <c r="DR5" s="41">
        <v>6.0</v>
      </c>
      <c r="DS5" s="41">
        <v>15.0</v>
      </c>
      <c r="DT5" s="41">
        <v>2.0</v>
      </c>
      <c r="DU5" s="45"/>
      <c r="DV5" s="41">
        <v>2.0</v>
      </c>
      <c r="DW5" s="42" t="s">
        <v>3637</v>
      </c>
      <c r="DX5" s="41">
        <v>60.0</v>
      </c>
      <c r="DY5" s="42" t="s">
        <v>3602</v>
      </c>
      <c r="DZ5" s="47">
        <v>0.93</v>
      </c>
      <c r="EA5" s="47">
        <v>0.07</v>
      </c>
      <c r="EB5" s="42" t="s">
        <v>3603</v>
      </c>
      <c r="EC5" s="47">
        <v>0.04</v>
      </c>
      <c r="ED5" s="47">
        <v>0.89</v>
      </c>
      <c r="EE5" s="41">
        <v>53.0</v>
      </c>
      <c r="EF5" s="46" t="s">
        <v>3638</v>
      </c>
      <c r="EG5" s="42" t="s">
        <v>3594</v>
      </c>
      <c r="EH5" s="45"/>
      <c r="EI5" s="45"/>
      <c r="EJ5" s="45"/>
      <c r="EK5" s="43"/>
      <c r="EL5" s="45"/>
      <c r="EM5" s="45"/>
      <c r="EN5" s="45"/>
      <c r="EO5" s="41">
        <v>6.19</v>
      </c>
      <c r="EP5" s="48" t="s">
        <v>3559</v>
      </c>
    </row>
    <row r="6">
      <c r="A6" s="32">
        <v>18.7</v>
      </c>
      <c r="B6" s="35" t="s">
        <v>2012</v>
      </c>
      <c r="C6" s="34"/>
      <c r="D6" s="34"/>
      <c r="E6" s="35" t="s">
        <v>3639</v>
      </c>
      <c r="F6" s="35" t="s">
        <v>3640</v>
      </c>
      <c r="G6" s="35" t="s">
        <v>3641</v>
      </c>
      <c r="H6" s="35" t="s">
        <v>3563</v>
      </c>
      <c r="I6" s="35" t="s">
        <v>3564</v>
      </c>
      <c r="J6" s="35" t="s">
        <v>3642</v>
      </c>
      <c r="K6" s="35" t="s">
        <v>3643</v>
      </c>
      <c r="L6" s="35" t="s">
        <v>3644</v>
      </c>
      <c r="M6" s="35" t="s">
        <v>3645</v>
      </c>
      <c r="N6" s="35" t="s">
        <v>3569</v>
      </c>
      <c r="O6" s="35" t="s">
        <v>3646</v>
      </c>
      <c r="P6" s="35"/>
      <c r="R6" s="35" t="s">
        <v>3571</v>
      </c>
      <c r="S6" s="35" t="s">
        <v>3572</v>
      </c>
      <c r="T6" s="35" t="s">
        <v>3573</v>
      </c>
      <c r="U6" s="36" t="s">
        <v>3647</v>
      </c>
      <c r="V6" s="36" t="s">
        <v>3648</v>
      </c>
      <c r="W6" s="32">
        <v>38.0</v>
      </c>
      <c r="X6" s="35" t="s">
        <v>3649</v>
      </c>
      <c r="Y6" s="34"/>
      <c r="Z6" s="34"/>
      <c r="AA6" s="32">
        <v>2016.0</v>
      </c>
      <c r="AB6" s="34"/>
      <c r="AC6" s="34"/>
      <c r="AD6" s="34"/>
      <c r="AE6" s="37"/>
      <c r="AF6" s="37"/>
      <c r="AG6" s="37"/>
      <c r="AH6" s="37"/>
      <c r="AI6" s="37"/>
      <c r="AJ6" s="37"/>
      <c r="AK6" s="37"/>
      <c r="AL6" s="37"/>
      <c r="AM6" s="37"/>
      <c r="AN6" s="37"/>
      <c r="AO6" s="35" t="s">
        <v>3650</v>
      </c>
      <c r="AP6" s="35" t="s">
        <v>3651</v>
      </c>
      <c r="AQ6" s="35" t="s">
        <v>3652</v>
      </c>
      <c r="AR6" s="35" t="s">
        <v>3653</v>
      </c>
      <c r="AS6" s="34" t="str">
        <f>+972 (0)52 783 1638</f>
        <v>#ERROR!</v>
      </c>
      <c r="AT6" s="35" t="s">
        <v>3654</v>
      </c>
      <c r="AU6" s="35" t="s">
        <v>3655</v>
      </c>
      <c r="AV6" s="35" t="s">
        <v>3656</v>
      </c>
      <c r="AW6" s="35" t="s">
        <v>147</v>
      </c>
      <c r="AX6" s="34"/>
      <c r="AY6" s="32">
        <v>9777516.0</v>
      </c>
      <c r="AZ6" s="35" t="s">
        <v>41</v>
      </c>
      <c r="BA6" s="37" t="str">
        <f>+972 (0)52 783 1638</f>
        <v>#ERROR!</v>
      </c>
      <c r="BB6" s="37"/>
      <c r="BC6" s="35" t="s">
        <v>2018</v>
      </c>
      <c r="BD6" s="35" t="s">
        <v>3584</v>
      </c>
      <c r="BE6" s="35" t="s">
        <v>3584</v>
      </c>
      <c r="BF6" s="35" t="s">
        <v>3657</v>
      </c>
      <c r="BG6" s="35" t="s">
        <v>3658</v>
      </c>
      <c r="BH6" s="32">
        <v>10.0</v>
      </c>
      <c r="BI6" s="34"/>
      <c r="BJ6" s="34"/>
      <c r="BK6" s="34"/>
      <c r="BL6" s="35" t="s">
        <v>3659</v>
      </c>
      <c r="BM6" s="34"/>
      <c r="BN6" s="34"/>
      <c r="BO6" s="34"/>
      <c r="BP6" s="35" t="s">
        <v>3660</v>
      </c>
      <c r="BQ6" s="38" t="s">
        <v>3661</v>
      </c>
      <c r="BR6" s="37"/>
      <c r="BS6" s="34"/>
      <c r="BT6" s="37"/>
      <c r="BU6" s="34"/>
      <c r="BV6" s="35" t="s">
        <v>3662</v>
      </c>
      <c r="BW6" s="34"/>
      <c r="BX6" s="34"/>
      <c r="BY6" s="35" t="s">
        <v>3663</v>
      </c>
      <c r="BZ6" s="34"/>
      <c r="CA6" s="35" t="s">
        <v>3591</v>
      </c>
      <c r="CB6" s="38" t="s">
        <v>3664</v>
      </c>
      <c r="CC6" s="37"/>
      <c r="CD6" s="34"/>
      <c r="CE6" s="37"/>
      <c r="CF6" s="34"/>
      <c r="CG6" s="35" t="s">
        <v>3594</v>
      </c>
      <c r="CH6" s="34"/>
      <c r="CI6" s="34"/>
      <c r="CJ6" s="35" t="s">
        <v>3573</v>
      </c>
      <c r="CK6" s="38" t="s">
        <v>3665</v>
      </c>
      <c r="CL6" s="32">
        <v>2.6</v>
      </c>
      <c r="CM6" s="34"/>
      <c r="CN6" s="35" t="s">
        <v>3591</v>
      </c>
      <c r="CO6" s="39">
        <v>0.0162</v>
      </c>
      <c r="CP6" s="32">
        <v>98.0</v>
      </c>
      <c r="CQ6" s="39">
        <v>0.0</v>
      </c>
      <c r="CR6" s="39">
        <v>0.0</v>
      </c>
      <c r="CS6" s="39">
        <v>0.0162</v>
      </c>
      <c r="CT6" s="32">
        <v>99.0</v>
      </c>
      <c r="CU6" s="37"/>
      <c r="CV6" s="37"/>
      <c r="CW6" s="39">
        <v>0.0162</v>
      </c>
      <c r="CX6" s="32">
        <v>99.0</v>
      </c>
      <c r="CY6" s="32" t="s">
        <v>3666</v>
      </c>
      <c r="CZ6" s="32">
        <v>90.0</v>
      </c>
      <c r="DA6" s="32" t="s">
        <v>3598</v>
      </c>
      <c r="DB6" s="39">
        <v>0.0</v>
      </c>
      <c r="DC6" s="32" t="s">
        <v>3666</v>
      </c>
      <c r="DD6" s="32">
        <v>90.0</v>
      </c>
      <c r="DE6" s="37"/>
      <c r="DF6" s="37"/>
      <c r="DG6" s="32" t="s">
        <v>3666</v>
      </c>
      <c r="DH6" s="32">
        <v>88.0</v>
      </c>
      <c r="DI6" s="37"/>
      <c r="DJ6" s="37"/>
      <c r="DK6" s="37"/>
      <c r="DL6" s="32">
        <v>207.0</v>
      </c>
      <c r="DM6" s="32">
        <v>3.0</v>
      </c>
      <c r="DN6" s="39">
        <v>0.0147</v>
      </c>
      <c r="DO6" s="32" t="s">
        <v>3600</v>
      </c>
      <c r="DP6" s="38" t="s">
        <v>3667</v>
      </c>
      <c r="DQ6" s="32">
        <v>44.0</v>
      </c>
      <c r="DR6" s="32">
        <v>13.0</v>
      </c>
      <c r="DS6" s="32">
        <v>25.0</v>
      </c>
      <c r="DT6" s="32">
        <v>8.0</v>
      </c>
      <c r="DU6" s="32">
        <v>3.0</v>
      </c>
      <c r="DV6" s="32">
        <v>11.0</v>
      </c>
      <c r="DW6" s="35" t="s">
        <v>3668</v>
      </c>
      <c r="DX6" s="32">
        <v>81.0</v>
      </c>
      <c r="DY6" s="35" t="s">
        <v>3602</v>
      </c>
      <c r="DZ6" s="39">
        <v>0.89</v>
      </c>
      <c r="EA6" s="39">
        <v>0.11</v>
      </c>
      <c r="EB6" s="35" t="s">
        <v>3603</v>
      </c>
      <c r="EC6" s="39">
        <v>0.01</v>
      </c>
      <c r="ED6" s="39">
        <v>0.88</v>
      </c>
      <c r="EE6" s="32">
        <v>22.43</v>
      </c>
      <c r="EF6" s="38" t="s">
        <v>3665</v>
      </c>
      <c r="EG6" s="35" t="s">
        <v>3669</v>
      </c>
      <c r="EH6" s="37"/>
      <c r="EI6" s="37"/>
      <c r="EJ6" s="37"/>
      <c r="EK6" s="35" t="s">
        <v>3670</v>
      </c>
      <c r="EL6" s="37"/>
      <c r="EM6" s="37"/>
      <c r="EN6" s="37"/>
      <c r="EO6" s="32">
        <v>1.07</v>
      </c>
      <c r="EP6" s="40" t="s">
        <v>3559</v>
      </c>
    </row>
    <row r="7">
      <c r="A7" s="41">
        <v>97.1</v>
      </c>
      <c r="B7" s="42" t="s">
        <v>3671</v>
      </c>
      <c r="C7" s="43"/>
      <c r="D7" s="42" t="s">
        <v>3672</v>
      </c>
      <c r="E7" s="42" t="s">
        <v>3673</v>
      </c>
      <c r="F7" s="42" t="s">
        <v>3674</v>
      </c>
      <c r="G7" s="42" t="s">
        <v>3675</v>
      </c>
      <c r="H7" s="42" t="s">
        <v>3563</v>
      </c>
      <c r="I7" s="42" t="s">
        <v>3564</v>
      </c>
      <c r="J7" s="42" t="s">
        <v>3565</v>
      </c>
      <c r="K7" s="42" t="s">
        <v>3676</v>
      </c>
      <c r="L7" s="42" t="s">
        <v>3677</v>
      </c>
      <c r="M7" s="42" t="s">
        <v>3678</v>
      </c>
      <c r="N7" s="42" t="s">
        <v>3569</v>
      </c>
      <c r="O7" s="42" t="s">
        <v>3679</v>
      </c>
      <c r="P7" s="42"/>
      <c r="R7" s="42" t="s">
        <v>3571</v>
      </c>
      <c r="S7" s="42" t="s">
        <v>3572</v>
      </c>
      <c r="T7" s="42" t="s">
        <v>3573</v>
      </c>
      <c r="U7" s="44" t="s">
        <v>3680</v>
      </c>
      <c r="V7" s="44" t="s">
        <v>3681</v>
      </c>
      <c r="W7" s="41">
        <v>56.0</v>
      </c>
      <c r="X7" s="42" t="s">
        <v>3682</v>
      </c>
      <c r="Y7" s="43"/>
      <c r="Z7" s="43"/>
      <c r="AA7" s="41">
        <v>2016.0</v>
      </c>
      <c r="AB7" s="43"/>
      <c r="AC7" s="43"/>
      <c r="AD7" s="43"/>
      <c r="AE7" s="45"/>
      <c r="AF7" s="45"/>
      <c r="AG7" s="45"/>
      <c r="AH7" s="45"/>
      <c r="AI7" s="45"/>
      <c r="AJ7" s="45"/>
      <c r="AK7" s="45"/>
      <c r="AL7" s="45"/>
      <c r="AM7" s="45"/>
      <c r="AN7" s="45"/>
      <c r="AO7" s="42" t="s">
        <v>3683</v>
      </c>
      <c r="AP7" s="42" t="s">
        <v>3684</v>
      </c>
      <c r="AQ7" s="42" t="s">
        <v>3685</v>
      </c>
      <c r="AR7" s="42" t="s">
        <v>3686</v>
      </c>
      <c r="AS7" s="43"/>
      <c r="AT7" s="42" t="s">
        <v>3581</v>
      </c>
      <c r="AU7" s="42" t="s">
        <v>3687</v>
      </c>
      <c r="AV7" s="42" t="s">
        <v>3688</v>
      </c>
      <c r="AW7" s="42" t="s">
        <v>75</v>
      </c>
      <c r="AX7" s="43"/>
      <c r="AY7" s="41">
        <v>6578403.0</v>
      </c>
      <c r="AZ7" s="42" t="s">
        <v>41</v>
      </c>
      <c r="BA7" s="45"/>
      <c r="BB7" s="45"/>
      <c r="BC7" s="42" t="s">
        <v>3689</v>
      </c>
      <c r="BD7" s="42" t="s">
        <v>3584</v>
      </c>
      <c r="BE7" s="42" t="s">
        <v>3584</v>
      </c>
      <c r="BF7" s="42" t="s">
        <v>3690</v>
      </c>
      <c r="BG7" s="42" t="s">
        <v>3691</v>
      </c>
      <c r="BH7" s="41">
        <v>26.0</v>
      </c>
      <c r="BI7" s="43"/>
      <c r="BJ7" s="42" t="s">
        <v>3692</v>
      </c>
      <c r="BK7" s="43"/>
      <c r="BL7" s="42" t="s">
        <v>3693</v>
      </c>
      <c r="BM7" s="42" t="s">
        <v>3694</v>
      </c>
      <c r="BN7" s="43"/>
      <c r="BO7" s="43"/>
      <c r="BP7" s="42" t="s">
        <v>3695</v>
      </c>
      <c r="BQ7" s="46" t="s">
        <v>3696</v>
      </c>
      <c r="BR7" s="41">
        <v>2.7</v>
      </c>
      <c r="BS7" s="42" t="s">
        <v>3593</v>
      </c>
      <c r="BT7" s="41">
        <v>6.93</v>
      </c>
      <c r="BU7" s="42" t="s">
        <v>3697</v>
      </c>
      <c r="BV7" s="42" t="s">
        <v>3698</v>
      </c>
      <c r="BW7" s="42" t="s">
        <v>3698</v>
      </c>
      <c r="BX7" s="43"/>
      <c r="BY7" s="42" t="s">
        <v>3573</v>
      </c>
      <c r="BZ7" s="43"/>
      <c r="CA7" s="42" t="s">
        <v>3591</v>
      </c>
      <c r="CB7" s="46" t="s">
        <v>3699</v>
      </c>
      <c r="CC7" s="45"/>
      <c r="CD7" s="43"/>
      <c r="CE7" s="45"/>
      <c r="CF7" s="43"/>
      <c r="CG7" s="42" t="s">
        <v>3589</v>
      </c>
      <c r="CH7" s="43"/>
      <c r="CI7" s="43"/>
      <c r="CJ7" s="42" t="s">
        <v>3590</v>
      </c>
      <c r="CK7" s="45"/>
      <c r="CL7" s="45"/>
      <c r="CM7" s="43"/>
      <c r="CN7" s="42" t="s">
        <v>3591</v>
      </c>
      <c r="CO7" s="47">
        <v>-0.0014</v>
      </c>
      <c r="CP7" s="41">
        <v>12.0</v>
      </c>
      <c r="CQ7" s="47">
        <v>0.0</v>
      </c>
      <c r="CR7" s="47">
        <v>0.0</v>
      </c>
      <c r="CS7" s="47">
        <v>0.0014</v>
      </c>
      <c r="CT7" s="41">
        <v>89.0</v>
      </c>
      <c r="CU7" s="45"/>
      <c r="CV7" s="45"/>
      <c r="CW7" s="47">
        <v>0.0014</v>
      </c>
      <c r="CX7" s="41">
        <v>89.0</v>
      </c>
      <c r="CY7" s="41" t="s">
        <v>3700</v>
      </c>
      <c r="CZ7" s="41">
        <v>93.0</v>
      </c>
      <c r="DA7" s="41" t="s">
        <v>3598</v>
      </c>
      <c r="DB7" s="47">
        <v>0.0</v>
      </c>
      <c r="DC7" s="41" t="s">
        <v>3701</v>
      </c>
      <c r="DD7" s="41">
        <v>96.0</v>
      </c>
      <c r="DE7" s="45"/>
      <c r="DF7" s="45"/>
      <c r="DG7" s="41" t="s">
        <v>3701</v>
      </c>
      <c r="DH7" s="41">
        <v>96.0</v>
      </c>
      <c r="DI7" s="45"/>
      <c r="DJ7" s="45"/>
      <c r="DK7" s="45"/>
      <c r="DL7" s="41">
        <v>435.0</v>
      </c>
      <c r="DM7" s="41">
        <v>1.0</v>
      </c>
      <c r="DN7" s="47">
        <v>0.0023</v>
      </c>
      <c r="DO7" s="41" t="s">
        <v>3600</v>
      </c>
      <c r="DP7" s="46" t="s">
        <v>3702</v>
      </c>
      <c r="DQ7" s="41">
        <v>96.0</v>
      </c>
      <c r="DR7" s="41">
        <v>15.0</v>
      </c>
      <c r="DS7" s="41">
        <v>29.0</v>
      </c>
      <c r="DT7" s="41">
        <v>12.0</v>
      </c>
      <c r="DU7" s="45"/>
      <c r="DV7" s="41">
        <v>55.0</v>
      </c>
      <c r="DW7" s="42" t="s">
        <v>3703</v>
      </c>
      <c r="DX7" s="41">
        <v>86.0</v>
      </c>
      <c r="DY7" s="42" t="s">
        <v>3602</v>
      </c>
      <c r="DZ7" s="47">
        <v>0.98</v>
      </c>
      <c r="EA7" s="47">
        <v>0.02</v>
      </c>
      <c r="EB7" s="42" t="s">
        <v>3603</v>
      </c>
      <c r="EC7" s="47">
        <v>0.11</v>
      </c>
      <c r="ED7" s="47">
        <v>0.87</v>
      </c>
      <c r="EE7" s="41">
        <v>75.54</v>
      </c>
      <c r="EF7" s="46" t="s">
        <v>3704</v>
      </c>
      <c r="EG7" s="42" t="s">
        <v>3669</v>
      </c>
      <c r="EH7" s="45"/>
      <c r="EI7" s="45"/>
      <c r="EJ7" s="45"/>
      <c r="EK7" s="42" t="s">
        <v>3705</v>
      </c>
      <c r="EL7" s="45"/>
      <c r="EM7" s="45"/>
      <c r="EN7" s="45"/>
      <c r="EO7" s="41">
        <v>3.47</v>
      </c>
      <c r="EP7" s="48" t="s">
        <v>3559</v>
      </c>
    </row>
    <row r="8">
      <c r="A8" s="32">
        <v>105.15</v>
      </c>
      <c r="B8" s="35" t="s">
        <v>809</v>
      </c>
      <c r="C8" s="34"/>
      <c r="D8" s="34"/>
      <c r="E8" s="35" t="s">
        <v>3706</v>
      </c>
      <c r="F8" s="35" t="s">
        <v>3707</v>
      </c>
      <c r="G8" s="35" t="s">
        <v>3708</v>
      </c>
      <c r="H8" s="35" t="s">
        <v>3563</v>
      </c>
      <c r="I8" s="35" t="s">
        <v>3564</v>
      </c>
      <c r="J8" s="35" t="s">
        <v>3642</v>
      </c>
      <c r="K8" s="35" t="s">
        <v>3709</v>
      </c>
      <c r="L8" s="35" t="s">
        <v>3710</v>
      </c>
      <c r="M8" s="35" t="s">
        <v>3711</v>
      </c>
      <c r="N8" s="35" t="s">
        <v>3569</v>
      </c>
      <c r="O8" s="35" t="s">
        <v>3712</v>
      </c>
      <c r="P8" s="35"/>
      <c r="R8" s="35" t="s">
        <v>3571</v>
      </c>
      <c r="S8" s="35" t="s">
        <v>3572</v>
      </c>
      <c r="T8" s="35" t="s">
        <v>3573</v>
      </c>
      <c r="U8" s="36" t="s">
        <v>3713</v>
      </c>
      <c r="V8" s="36" t="s">
        <v>3714</v>
      </c>
      <c r="W8" s="32">
        <v>152.0</v>
      </c>
      <c r="X8" s="35" t="s">
        <v>3715</v>
      </c>
      <c r="Y8" s="34"/>
      <c r="Z8" s="34"/>
      <c r="AA8" s="32">
        <v>2017.0</v>
      </c>
      <c r="AB8" s="34"/>
      <c r="AC8" s="34"/>
      <c r="AD8" s="34"/>
      <c r="AE8" s="32">
        <v>28.4</v>
      </c>
      <c r="AF8" s="37"/>
      <c r="AG8" s="37"/>
      <c r="AH8" s="37"/>
      <c r="AI8" s="37"/>
      <c r="AJ8" s="37"/>
      <c r="AK8" s="37"/>
      <c r="AL8" s="37"/>
      <c r="AM8" s="37"/>
      <c r="AN8" s="32" t="s">
        <v>3716</v>
      </c>
      <c r="AO8" s="35" t="s">
        <v>3717</v>
      </c>
      <c r="AP8" s="35" t="s">
        <v>811</v>
      </c>
      <c r="AQ8" s="35" t="s">
        <v>3579</v>
      </c>
      <c r="AR8" s="35" t="s">
        <v>812</v>
      </c>
      <c r="AS8" s="34" t="str">
        <f>+972 (0)54 667 3769</f>
        <v>#ERROR!</v>
      </c>
      <c r="AT8" s="35" t="s">
        <v>3718</v>
      </c>
      <c r="AU8" s="35" t="s">
        <v>3719</v>
      </c>
      <c r="AV8" s="35" t="s">
        <v>3720</v>
      </c>
      <c r="AW8" s="35" t="s">
        <v>552</v>
      </c>
      <c r="AX8" s="34"/>
      <c r="AY8" s="32">
        <v>4685211.0</v>
      </c>
      <c r="AZ8" s="35" t="s">
        <v>41</v>
      </c>
      <c r="BA8" s="37"/>
      <c r="BB8" s="37"/>
      <c r="BC8" s="35" t="s">
        <v>817</v>
      </c>
      <c r="BD8" s="35" t="s">
        <v>3584</v>
      </c>
      <c r="BE8" s="35" t="s">
        <v>3584</v>
      </c>
      <c r="BF8" s="35" t="s">
        <v>3721</v>
      </c>
      <c r="BG8" s="35" t="s">
        <v>3722</v>
      </c>
      <c r="BH8" s="32">
        <v>22.0</v>
      </c>
      <c r="BI8" s="34"/>
      <c r="BJ8" s="35" t="s">
        <v>3723</v>
      </c>
      <c r="BK8" s="34"/>
      <c r="BL8" s="35" t="s">
        <v>3724</v>
      </c>
      <c r="BM8" s="34"/>
      <c r="BN8" s="34"/>
      <c r="BO8" s="34"/>
      <c r="BP8" s="35" t="s">
        <v>3725</v>
      </c>
      <c r="BQ8" s="37"/>
      <c r="BR8" s="37"/>
      <c r="BS8" s="34"/>
      <c r="BT8" s="37"/>
      <c r="BU8" s="34"/>
      <c r="BV8" s="35" t="s">
        <v>3589</v>
      </c>
      <c r="BW8" s="34"/>
      <c r="BX8" s="34"/>
      <c r="BY8" s="35" t="s">
        <v>3590</v>
      </c>
      <c r="BZ8" s="34"/>
      <c r="CA8" s="35" t="s">
        <v>3591</v>
      </c>
      <c r="CB8" s="38" t="s">
        <v>3726</v>
      </c>
      <c r="CC8" s="37"/>
      <c r="CD8" s="34"/>
      <c r="CE8" s="37"/>
      <c r="CF8" s="34"/>
      <c r="CG8" s="35" t="s">
        <v>3589</v>
      </c>
      <c r="CH8" s="34"/>
      <c r="CI8" s="34"/>
      <c r="CJ8" s="35" t="s">
        <v>3590</v>
      </c>
      <c r="CK8" s="38" t="s">
        <v>3727</v>
      </c>
      <c r="CL8" s="32">
        <v>12.01</v>
      </c>
      <c r="CM8" s="34"/>
      <c r="CN8" s="35" t="s">
        <v>3591</v>
      </c>
      <c r="CO8" s="39">
        <v>-6.0E-4</v>
      </c>
      <c r="CP8" s="32">
        <v>13.0</v>
      </c>
      <c r="CQ8" s="39">
        <v>0.0</v>
      </c>
      <c r="CR8" s="39">
        <v>0.0</v>
      </c>
      <c r="CS8" s="39">
        <v>-6.0E-4</v>
      </c>
      <c r="CT8" s="32">
        <v>12.0</v>
      </c>
      <c r="CU8" s="37"/>
      <c r="CV8" s="37"/>
      <c r="CW8" s="39">
        <v>-6.0E-4</v>
      </c>
      <c r="CX8" s="32">
        <v>12.0</v>
      </c>
      <c r="CY8" s="32" t="s">
        <v>3728</v>
      </c>
      <c r="CZ8" s="32">
        <v>98.0</v>
      </c>
      <c r="DA8" s="32" t="s">
        <v>3598</v>
      </c>
      <c r="DB8" s="39">
        <v>0.0</v>
      </c>
      <c r="DC8" s="32" t="s">
        <v>3728</v>
      </c>
      <c r="DD8" s="32">
        <v>98.0</v>
      </c>
      <c r="DE8" s="37"/>
      <c r="DF8" s="37"/>
      <c r="DG8" s="32" t="s">
        <v>3728</v>
      </c>
      <c r="DH8" s="32">
        <v>98.0</v>
      </c>
      <c r="DI8" s="37"/>
      <c r="DJ8" s="37"/>
      <c r="DK8" s="37"/>
      <c r="DL8" s="32">
        <v>825.0</v>
      </c>
      <c r="DM8" s="32">
        <v>0.0</v>
      </c>
      <c r="DN8" s="39">
        <v>0.0</v>
      </c>
      <c r="DO8" s="32" t="s">
        <v>3600</v>
      </c>
      <c r="DP8" s="38" t="s">
        <v>3729</v>
      </c>
      <c r="DQ8" s="32">
        <v>21.0</v>
      </c>
      <c r="DR8" s="32">
        <v>8.0</v>
      </c>
      <c r="DS8" s="32">
        <v>18.0</v>
      </c>
      <c r="DT8" s="37"/>
      <c r="DU8" s="37"/>
      <c r="DV8" s="32">
        <v>3.0</v>
      </c>
      <c r="DW8" s="35" t="s">
        <v>3730</v>
      </c>
      <c r="DX8" s="32">
        <v>65.0</v>
      </c>
      <c r="DY8" s="35" t="s">
        <v>3602</v>
      </c>
      <c r="DZ8" s="39">
        <v>0.97</v>
      </c>
      <c r="EA8" s="39">
        <v>0.03</v>
      </c>
      <c r="EB8" s="35" t="s">
        <v>3603</v>
      </c>
      <c r="EC8" s="39">
        <v>0.1</v>
      </c>
      <c r="ED8" s="39">
        <v>0.87</v>
      </c>
      <c r="EE8" s="32">
        <v>304.53</v>
      </c>
      <c r="EF8" s="38" t="s">
        <v>3727</v>
      </c>
      <c r="EG8" s="35" t="s">
        <v>3594</v>
      </c>
      <c r="EH8" s="37"/>
      <c r="EI8" s="37"/>
      <c r="EJ8" s="37"/>
      <c r="EK8" s="34"/>
      <c r="EL8" s="37"/>
      <c r="EM8" s="37"/>
      <c r="EN8" s="37"/>
      <c r="EO8" s="32">
        <v>2.7</v>
      </c>
      <c r="EP8" s="40" t="s">
        <v>3559</v>
      </c>
    </row>
    <row r="9">
      <c r="A9" s="41">
        <v>27.8</v>
      </c>
      <c r="B9" s="42" t="s">
        <v>1934</v>
      </c>
      <c r="C9" s="43"/>
      <c r="D9" s="43"/>
      <c r="E9" s="42" t="s">
        <v>3731</v>
      </c>
      <c r="F9" s="42" t="s">
        <v>3732</v>
      </c>
      <c r="G9" s="42" t="s">
        <v>3733</v>
      </c>
      <c r="H9" s="42" t="s">
        <v>3563</v>
      </c>
      <c r="I9" s="42" t="s">
        <v>3564</v>
      </c>
      <c r="J9" s="42" t="s">
        <v>3565</v>
      </c>
      <c r="K9" s="42" t="s">
        <v>3734</v>
      </c>
      <c r="L9" s="42" t="s">
        <v>3735</v>
      </c>
      <c r="M9" s="42" t="s">
        <v>3736</v>
      </c>
      <c r="N9" s="42" t="s">
        <v>3569</v>
      </c>
      <c r="O9" s="42" t="s">
        <v>3737</v>
      </c>
      <c r="P9" s="42"/>
      <c r="R9" s="42" t="s">
        <v>3571</v>
      </c>
      <c r="S9" s="42" t="s">
        <v>3572</v>
      </c>
      <c r="T9" s="42" t="s">
        <v>3738</v>
      </c>
      <c r="U9" s="44" t="s">
        <v>3739</v>
      </c>
      <c r="V9" s="44" t="s">
        <v>3740</v>
      </c>
      <c r="W9" s="41">
        <v>52.0</v>
      </c>
      <c r="X9" s="42" t="s">
        <v>3741</v>
      </c>
      <c r="Y9" s="43"/>
      <c r="Z9" s="43"/>
      <c r="AA9" s="41">
        <v>2016.0</v>
      </c>
      <c r="AB9" s="43"/>
      <c r="AC9" s="43"/>
      <c r="AD9" s="43"/>
      <c r="AE9" s="45"/>
      <c r="AF9" s="45"/>
      <c r="AG9" s="45"/>
      <c r="AH9" s="45"/>
      <c r="AI9" s="45"/>
      <c r="AJ9" s="45"/>
      <c r="AK9" s="45"/>
      <c r="AL9" s="45"/>
      <c r="AM9" s="45"/>
      <c r="AN9" s="45"/>
      <c r="AO9" s="42" t="s">
        <v>3742</v>
      </c>
      <c r="AP9" s="42" t="s">
        <v>3743</v>
      </c>
      <c r="AQ9" s="42" t="s">
        <v>3579</v>
      </c>
      <c r="AR9" s="42" t="s">
        <v>1937</v>
      </c>
      <c r="AS9" s="43"/>
      <c r="AT9" s="42" t="s">
        <v>3744</v>
      </c>
      <c r="AU9" s="42" t="s">
        <v>3745</v>
      </c>
      <c r="AV9" s="43"/>
      <c r="AW9" s="42" t="s">
        <v>183</v>
      </c>
      <c r="AX9" s="43"/>
      <c r="AY9" s="41">
        <v>7670202.0</v>
      </c>
      <c r="AZ9" s="42" t="s">
        <v>41</v>
      </c>
      <c r="BA9" s="45"/>
      <c r="BB9" s="45"/>
      <c r="BC9" s="43"/>
      <c r="BD9" s="42" t="s">
        <v>3584</v>
      </c>
      <c r="BE9" s="42" t="s">
        <v>3584</v>
      </c>
      <c r="BF9" s="42" t="s">
        <v>3746</v>
      </c>
      <c r="BG9" s="42" t="s">
        <v>3747</v>
      </c>
      <c r="BH9" s="41">
        <v>10.0</v>
      </c>
      <c r="BI9" s="43"/>
      <c r="BJ9" s="43"/>
      <c r="BK9" s="43"/>
      <c r="BL9" s="42" t="s">
        <v>3748</v>
      </c>
      <c r="BM9" s="43"/>
      <c r="BN9" s="43"/>
      <c r="BO9" s="43"/>
      <c r="BP9" s="42" t="s">
        <v>3749</v>
      </c>
      <c r="BQ9" s="45"/>
      <c r="BR9" s="45"/>
      <c r="BS9" s="43"/>
      <c r="BT9" s="45"/>
      <c r="BU9" s="43"/>
      <c r="BV9" s="42" t="s">
        <v>3589</v>
      </c>
      <c r="BW9" s="43"/>
      <c r="BX9" s="43"/>
      <c r="BY9" s="42" t="s">
        <v>3590</v>
      </c>
      <c r="BZ9" s="43"/>
      <c r="CA9" s="42" t="s">
        <v>3591</v>
      </c>
      <c r="CB9" s="46" t="s">
        <v>3750</v>
      </c>
      <c r="CC9" s="41">
        <v>4.3</v>
      </c>
      <c r="CD9" s="42" t="s">
        <v>3593</v>
      </c>
      <c r="CE9" s="45"/>
      <c r="CF9" s="43"/>
      <c r="CG9" s="42" t="s">
        <v>3594</v>
      </c>
      <c r="CH9" s="43"/>
      <c r="CI9" s="43"/>
      <c r="CJ9" s="42" t="s">
        <v>3573</v>
      </c>
      <c r="CK9" s="46" t="s">
        <v>3751</v>
      </c>
      <c r="CL9" s="45"/>
      <c r="CM9" s="43"/>
      <c r="CN9" s="42" t="s">
        <v>3591</v>
      </c>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1" t="s">
        <v>3600</v>
      </c>
      <c r="DP9" s="46" t="s">
        <v>3752</v>
      </c>
      <c r="DQ9" s="41">
        <v>55.0</v>
      </c>
      <c r="DR9" s="41">
        <v>14.0</v>
      </c>
      <c r="DS9" s="41">
        <v>31.0</v>
      </c>
      <c r="DT9" s="41">
        <v>7.0</v>
      </c>
      <c r="DU9" s="45"/>
      <c r="DV9" s="41">
        <v>17.0</v>
      </c>
      <c r="DW9" s="42" t="s">
        <v>3753</v>
      </c>
      <c r="DX9" s="41">
        <v>77.0</v>
      </c>
      <c r="DY9" s="42" t="s">
        <v>3602</v>
      </c>
      <c r="DZ9" s="47">
        <v>0.86</v>
      </c>
      <c r="EA9" s="47">
        <v>0.14</v>
      </c>
      <c r="EB9" s="42" t="s">
        <v>3603</v>
      </c>
      <c r="EC9" s="47">
        <v>0.01</v>
      </c>
      <c r="ED9" s="47">
        <v>0.85</v>
      </c>
      <c r="EE9" s="41">
        <v>35.73</v>
      </c>
      <c r="EF9" s="46" t="s">
        <v>3754</v>
      </c>
      <c r="EG9" s="42" t="s">
        <v>3669</v>
      </c>
      <c r="EH9" s="45"/>
      <c r="EI9" s="45"/>
      <c r="EJ9" s="45"/>
      <c r="EK9" s="42" t="s">
        <v>3755</v>
      </c>
      <c r="EL9" s="45"/>
      <c r="EM9" s="45"/>
      <c r="EN9" s="45"/>
      <c r="EO9" s="41">
        <v>0.83</v>
      </c>
      <c r="EP9" s="48" t="s">
        <v>3559</v>
      </c>
    </row>
    <row r="10">
      <c r="A10" s="32">
        <v>80.91</v>
      </c>
      <c r="B10" s="35" t="s">
        <v>788</v>
      </c>
      <c r="C10" s="34"/>
      <c r="D10" s="34"/>
      <c r="E10" s="35" t="s">
        <v>3756</v>
      </c>
      <c r="F10" s="35" t="s">
        <v>3757</v>
      </c>
      <c r="G10" s="35" t="s">
        <v>3758</v>
      </c>
      <c r="H10" s="35" t="s">
        <v>3563</v>
      </c>
      <c r="I10" s="35" t="s">
        <v>3564</v>
      </c>
      <c r="J10" s="35" t="s">
        <v>3565</v>
      </c>
      <c r="K10" s="35" t="s">
        <v>3759</v>
      </c>
      <c r="L10" s="35" t="s">
        <v>3760</v>
      </c>
      <c r="M10" s="35" t="s">
        <v>3761</v>
      </c>
      <c r="N10" s="35" t="s">
        <v>3569</v>
      </c>
      <c r="O10" s="35" t="s">
        <v>3762</v>
      </c>
      <c r="P10" s="35"/>
      <c r="R10" s="35" t="s">
        <v>3571</v>
      </c>
      <c r="S10" s="35" t="s">
        <v>3572</v>
      </c>
      <c r="T10" s="35" t="s">
        <v>3573</v>
      </c>
      <c r="U10" s="36" t="s">
        <v>3763</v>
      </c>
      <c r="V10" s="36" t="s">
        <v>3764</v>
      </c>
      <c r="W10" s="32">
        <v>158.0</v>
      </c>
      <c r="X10" s="35" t="s">
        <v>3765</v>
      </c>
      <c r="Y10" s="34"/>
      <c r="Z10" s="34"/>
      <c r="AA10" s="32">
        <v>2017.0</v>
      </c>
      <c r="AB10" s="34"/>
      <c r="AC10" s="34"/>
      <c r="AD10" s="34"/>
      <c r="AE10" s="37"/>
      <c r="AF10" s="37"/>
      <c r="AG10" s="37"/>
      <c r="AH10" s="37"/>
      <c r="AI10" s="37"/>
      <c r="AJ10" s="37"/>
      <c r="AK10" s="37"/>
      <c r="AL10" s="37"/>
      <c r="AM10" s="37"/>
      <c r="AN10" s="37"/>
      <c r="AO10" s="35" t="s">
        <v>3766</v>
      </c>
      <c r="AP10" s="35" t="s">
        <v>3767</v>
      </c>
      <c r="AQ10" s="35" t="s">
        <v>3768</v>
      </c>
      <c r="AR10" s="35" t="s">
        <v>3769</v>
      </c>
      <c r="AS10" s="34"/>
      <c r="AT10" s="35" t="s">
        <v>3581</v>
      </c>
      <c r="AU10" s="35" t="s">
        <v>3770</v>
      </c>
      <c r="AV10" s="34"/>
      <c r="AW10" s="35" t="s">
        <v>75</v>
      </c>
      <c r="AX10" s="34"/>
      <c r="AY10" s="32">
        <v>6706206.0</v>
      </c>
      <c r="AZ10" s="35" t="s">
        <v>41</v>
      </c>
      <c r="BA10" s="37"/>
      <c r="BB10" s="37"/>
      <c r="BC10" s="35" t="s">
        <v>795</v>
      </c>
      <c r="BD10" s="35" t="s">
        <v>3584</v>
      </c>
      <c r="BE10" s="35" t="s">
        <v>3584</v>
      </c>
      <c r="BF10" s="35" t="s">
        <v>3771</v>
      </c>
      <c r="BG10" s="35" t="s">
        <v>3772</v>
      </c>
      <c r="BH10" s="32">
        <v>26.0</v>
      </c>
      <c r="BI10" s="34"/>
      <c r="BJ10" s="35" t="s">
        <v>3773</v>
      </c>
      <c r="BK10" s="34"/>
      <c r="BL10" s="35" t="s">
        <v>3774</v>
      </c>
      <c r="BM10" s="35" t="s">
        <v>3775</v>
      </c>
      <c r="BN10" s="34"/>
      <c r="BO10" s="34"/>
      <c r="BP10" s="35" t="s">
        <v>3776</v>
      </c>
      <c r="BQ10" s="37"/>
      <c r="BR10" s="37"/>
      <c r="BS10" s="34"/>
      <c r="BT10" s="37"/>
      <c r="BU10" s="34"/>
      <c r="BV10" s="35" t="s">
        <v>3589</v>
      </c>
      <c r="BW10" s="34"/>
      <c r="BX10" s="34"/>
      <c r="BY10" s="35" t="s">
        <v>3590</v>
      </c>
      <c r="BZ10" s="34"/>
      <c r="CA10" s="35" t="s">
        <v>3591</v>
      </c>
      <c r="CB10" s="38" t="s">
        <v>3777</v>
      </c>
      <c r="CC10" s="32">
        <v>20.0</v>
      </c>
      <c r="CD10" s="35" t="s">
        <v>3593</v>
      </c>
      <c r="CE10" s="32">
        <v>845.68</v>
      </c>
      <c r="CF10" s="35" t="s">
        <v>3593</v>
      </c>
      <c r="CG10" s="35" t="s">
        <v>3594</v>
      </c>
      <c r="CH10" s="34"/>
      <c r="CI10" s="34"/>
      <c r="CJ10" s="35" t="s">
        <v>3573</v>
      </c>
      <c r="CK10" s="38" t="s">
        <v>3778</v>
      </c>
      <c r="CL10" s="32">
        <v>0.35</v>
      </c>
      <c r="CM10" s="34"/>
      <c r="CN10" s="35" t="s">
        <v>3591</v>
      </c>
      <c r="CO10" s="39">
        <v>0.0164</v>
      </c>
      <c r="CP10" s="32">
        <v>98.0</v>
      </c>
      <c r="CQ10" s="39">
        <v>-0.0041</v>
      </c>
      <c r="CR10" s="39">
        <v>-0.2013</v>
      </c>
      <c r="CS10" s="39">
        <v>0.0271</v>
      </c>
      <c r="CT10" s="32">
        <v>99.0</v>
      </c>
      <c r="CU10" s="39">
        <v>0.0167</v>
      </c>
      <c r="CV10" s="32">
        <v>95.0</v>
      </c>
      <c r="CW10" s="39">
        <v>0.0374</v>
      </c>
      <c r="CX10" s="32">
        <v>100.0</v>
      </c>
      <c r="CY10" s="32" t="s">
        <v>3779</v>
      </c>
      <c r="CZ10" s="32">
        <v>94.0</v>
      </c>
      <c r="DA10" s="32" t="s">
        <v>3598</v>
      </c>
      <c r="DB10" s="39">
        <v>0.0</v>
      </c>
      <c r="DC10" s="32" t="s">
        <v>3780</v>
      </c>
      <c r="DD10" s="32">
        <v>90.0</v>
      </c>
      <c r="DE10" s="32" t="s">
        <v>3781</v>
      </c>
      <c r="DF10" s="32">
        <v>87.0</v>
      </c>
      <c r="DG10" s="32" t="s">
        <v>3782</v>
      </c>
      <c r="DH10" s="32">
        <v>82.0</v>
      </c>
      <c r="DI10" s="49">
        <v>1242.0</v>
      </c>
      <c r="DJ10" s="32">
        <v>134.0</v>
      </c>
      <c r="DK10" s="39">
        <v>0.1209</v>
      </c>
      <c r="DL10" s="32">
        <v>153.0</v>
      </c>
      <c r="DM10" s="32">
        <v>1.0</v>
      </c>
      <c r="DN10" s="39">
        <v>0.0066</v>
      </c>
      <c r="DO10" s="32" t="s">
        <v>3600</v>
      </c>
      <c r="DP10" s="38" t="s">
        <v>3783</v>
      </c>
      <c r="DQ10" s="32">
        <v>25.0</v>
      </c>
      <c r="DR10" s="32">
        <v>3.0</v>
      </c>
      <c r="DS10" s="32">
        <v>13.0</v>
      </c>
      <c r="DT10" s="32">
        <v>6.0</v>
      </c>
      <c r="DU10" s="37"/>
      <c r="DV10" s="32">
        <v>6.0</v>
      </c>
      <c r="DW10" s="35" t="s">
        <v>3784</v>
      </c>
      <c r="DX10" s="32">
        <v>59.0</v>
      </c>
      <c r="DY10" s="35" t="s">
        <v>3602</v>
      </c>
      <c r="DZ10" s="39">
        <v>0.91</v>
      </c>
      <c r="EA10" s="39">
        <v>0.09</v>
      </c>
      <c r="EB10" s="35" t="s">
        <v>3603</v>
      </c>
      <c r="EC10" s="39">
        <v>0.06</v>
      </c>
      <c r="ED10" s="39">
        <v>0.85</v>
      </c>
      <c r="EE10" s="32">
        <v>845.68</v>
      </c>
      <c r="EF10" s="38" t="s">
        <v>3777</v>
      </c>
      <c r="EG10" s="35" t="s">
        <v>3594</v>
      </c>
      <c r="EH10" s="37"/>
      <c r="EI10" s="37"/>
      <c r="EJ10" s="37"/>
      <c r="EK10" s="34"/>
      <c r="EL10" s="37"/>
      <c r="EM10" s="37"/>
      <c r="EN10" s="37"/>
      <c r="EO10" s="32">
        <v>9.87</v>
      </c>
      <c r="EP10" s="40" t="s">
        <v>3559</v>
      </c>
    </row>
    <row r="11">
      <c r="A11" s="45"/>
      <c r="B11" s="42" t="s">
        <v>3785</v>
      </c>
      <c r="C11" s="43"/>
      <c r="D11" s="43"/>
      <c r="E11" s="42" t="s">
        <v>3786</v>
      </c>
      <c r="F11" s="43"/>
      <c r="G11" s="42" t="s">
        <v>3787</v>
      </c>
      <c r="H11" s="42" t="s">
        <v>3563</v>
      </c>
      <c r="I11" s="42" t="s">
        <v>3564</v>
      </c>
      <c r="J11" s="42" t="s">
        <v>3565</v>
      </c>
      <c r="K11" s="42" t="s">
        <v>3788</v>
      </c>
      <c r="L11" s="42" t="s">
        <v>3789</v>
      </c>
      <c r="M11" s="42" t="s">
        <v>3790</v>
      </c>
      <c r="N11" s="42" t="s">
        <v>3569</v>
      </c>
      <c r="O11" s="42" t="s">
        <v>3791</v>
      </c>
      <c r="P11" s="42"/>
      <c r="R11" s="42" t="s">
        <v>3571</v>
      </c>
      <c r="S11" s="42" t="s">
        <v>3572</v>
      </c>
      <c r="T11" s="42" t="s">
        <v>3573</v>
      </c>
      <c r="U11" s="44" t="s">
        <v>3792</v>
      </c>
      <c r="V11" s="44" t="s">
        <v>3793</v>
      </c>
      <c r="W11" s="41">
        <v>38.0</v>
      </c>
      <c r="X11" s="42" t="s">
        <v>3794</v>
      </c>
      <c r="Y11" s="43"/>
      <c r="Z11" s="43"/>
      <c r="AA11" s="41">
        <v>2018.0</v>
      </c>
      <c r="AB11" s="43"/>
      <c r="AC11" s="43"/>
      <c r="AD11" s="43"/>
      <c r="AE11" s="45"/>
      <c r="AF11" s="45"/>
      <c r="AG11" s="45"/>
      <c r="AH11" s="45"/>
      <c r="AI11" s="45"/>
      <c r="AJ11" s="45"/>
      <c r="AK11" s="45"/>
      <c r="AL11" s="45"/>
      <c r="AM11" s="45"/>
      <c r="AN11" s="45"/>
      <c r="AO11" s="42" t="s">
        <v>3795</v>
      </c>
      <c r="AP11" s="42" t="s">
        <v>1686</v>
      </c>
      <c r="AQ11" s="42" t="s">
        <v>3685</v>
      </c>
      <c r="AR11" s="42" t="s">
        <v>1687</v>
      </c>
      <c r="AS11" s="43" t="str">
        <f>+972 (0)54 454 0368</f>
        <v>#ERROR!</v>
      </c>
      <c r="AT11" s="42" t="s">
        <v>3581</v>
      </c>
      <c r="AU11" s="42" t="s">
        <v>3796</v>
      </c>
      <c r="AV11" s="43"/>
      <c r="AW11" s="42" t="s">
        <v>75</v>
      </c>
      <c r="AX11" s="42" t="s">
        <v>3797</v>
      </c>
      <c r="AY11" s="41">
        <v>6971068.0</v>
      </c>
      <c r="AZ11" s="42" t="s">
        <v>41</v>
      </c>
      <c r="BA11" s="45" t="str">
        <f>+972 (0)54 454 0368</f>
        <v>#ERROR!</v>
      </c>
      <c r="BB11" s="45"/>
      <c r="BC11" s="42" t="s">
        <v>1690</v>
      </c>
      <c r="BD11" s="42" t="s">
        <v>3584</v>
      </c>
      <c r="BE11" s="42" t="s">
        <v>3584</v>
      </c>
      <c r="BF11" s="42" t="s">
        <v>3798</v>
      </c>
      <c r="BG11" s="42" t="s">
        <v>3799</v>
      </c>
      <c r="BH11" s="41">
        <v>7.0</v>
      </c>
      <c r="BI11" s="43"/>
      <c r="BJ11" s="43"/>
      <c r="BK11" s="43"/>
      <c r="BL11" s="42" t="s">
        <v>3800</v>
      </c>
      <c r="BM11" s="43"/>
      <c r="BN11" s="43"/>
      <c r="BO11" s="43"/>
      <c r="BP11" s="42" t="s">
        <v>3801</v>
      </c>
      <c r="BQ11" s="45"/>
      <c r="BR11" s="45"/>
      <c r="BS11" s="43"/>
      <c r="BT11" s="45"/>
      <c r="BU11" s="43"/>
      <c r="BV11" s="42" t="s">
        <v>3802</v>
      </c>
      <c r="BW11" s="42" t="s">
        <v>3802</v>
      </c>
      <c r="BX11" s="43"/>
      <c r="BY11" s="42" t="s">
        <v>3803</v>
      </c>
      <c r="BZ11" s="43"/>
      <c r="CA11" s="42" t="s">
        <v>3591</v>
      </c>
      <c r="CB11" s="46" t="s">
        <v>3804</v>
      </c>
      <c r="CC11" s="45"/>
      <c r="CD11" s="43"/>
      <c r="CE11" s="45"/>
      <c r="CF11" s="43"/>
      <c r="CG11" s="42" t="s">
        <v>3594</v>
      </c>
      <c r="CH11" s="43"/>
      <c r="CI11" s="43"/>
      <c r="CJ11" s="42" t="s">
        <v>3573</v>
      </c>
      <c r="CK11" s="45"/>
      <c r="CL11" s="45"/>
      <c r="CM11" s="43"/>
      <c r="CN11" s="42" t="s">
        <v>3591</v>
      </c>
      <c r="CO11" s="47">
        <v>0.0</v>
      </c>
      <c r="CP11" s="41">
        <v>14.0</v>
      </c>
      <c r="CQ11" s="47">
        <v>0.0</v>
      </c>
      <c r="CR11" s="47">
        <v>0.0</v>
      </c>
      <c r="CS11" s="47">
        <v>0.0</v>
      </c>
      <c r="CT11" s="41">
        <v>12.0</v>
      </c>
      <c r="CU11" s="47">
        <v>0.0</v>
      </c>
      <c r="CV11" s="41">
        <v>10.0</v>
      </c>
      <c r="CW11" s="47">
        <v>0.0</v>
      </c>
      <c r="CX11" s="41">
        <v>12.0</v>
      </c>
      <c r="CY11" s="41" t="s">
        <v>3805</v>
      </c>
      <c r="CZ11" s="41">
        <v>66.0</v>
      </c>
      <c r="DA11" s="41" t="s">
        <v>3598</v>
      </c>
      <c r="DB11" s="47">
        <v>0.0</v>
      </c>
      <c r="DC11" s="41" t="s">
        <v>3805</v>
      </c>
      <c r="DD11" s="41">
        <v>68.0</v>
      </c>
      <c r="DE11" s="41" t="s">
        <v>3806</v>
      </c>
      <c r="DF11" s="41">
        <v>20.0</v>
      </c>
      <c r="DG11" s="41" t="s">
        <v>3807</v>
      </c>
      <c r="DH11" s="41">
        <v>75.0</v>
      </c>
      <c r="DI11" s="41">
        <v>0.0</v>
      </c>
      <c r="DJ11" s="41">
        <v>0.0</v>
      </c>
      <c r="DK11" s="47">
        <v>0.0</v>
      </c>
      <c r="DL11" s="41">
        <v>84.0</v>
      </c>
      <c r="DM11" s="41">
        <v>2.0</v>
      </c>
      <c r="DN11" s="47">
        <v>0.0244</v>
      </c>
      <c r="DO11" s="41" t="s">
        <v>3600</v>
      </c>
      <c r="DP11" s="46" t="s">
        <v>3808</v>
      </c>
      <c r="DQ11" s="45"/>
      <c r="DR11" s="45"/>
      <c r="DS11" s="45"/>
      <c r="DT11" s="45"/>
      <c r="DU11" s="45"/>
      <c r="DV11" s="45"/>
      <c r="DW11" s="43"/>
      <c r="DX11" s="41">
        <v>94.0</v>
      </c>
      <c r="DY11" s="42" t="s">
        <v>3602</v>
      </c>
      <c r="DZ11" s="47">
        <v>0.86</v>
      </c>
      <c r="EA11" s="47">
        <v>0.14</v>
      </c>
      <c r="EB11" s="42" t="s">
        <v>3603</v>
      </c>
      <c r="EC11" s="47">
        <v>0.02</v>
      </c>
      <c r="ED11" s="47">
        <v>0.84</v>
      </c>
      <c r="EE11" s="45"/>
      <c r="EF11" s="45"/>
      <c r="EG11" s="43"/>
      <c r="EH11" s="45"/>
      <c r="EI11" s="45"/>
      <c r="EJ11" s="45"/>
      <c r="EK11" s="43"/>
      <c r="EL11" s="45"/>
      <c r="EM11" s="45"/>
      <c r="EN11" s="45"/>
      <c r="EO11" s="45"/>
      <c r="EP11" s="48" t="s">
        <v>3559</v>
      </c>
    </row>
    <row r="12">
      <c r="A12" s="32">
        <v>49.0</v>
      </c>
      <c r="B12" s="35" t="s">
        <v>2212</v>
      </c>
      <c r="C12" s="34"/>
      <c r="D12" s="34"/>
      <c r="E12" s="35" t="s">
        <v>3809</v>
      </c>
      <c r="F12" s="34"/>
      <c r="G12" s="35" t="s">
        <v>3810</v>
      </c>
      <c r="H12" s="35" t="s">
        <v>3563</v>
      </c>
      <c r="I12" s="35" t="s">
        <v>3564</v>
      </c>
      <c r="J12" s="35" t="s">
        <v>3565</v>
      </c>
      <c r="K12" s="35" t="s">
        <v>3734</v>
      </c>
      <c r="L12" s="35" t="s">
        <v>3811</v>
      </c>
      <c r="M12" s="35" t="s">
        <v>3812</v>
      </c>
      <c r="N12" s="35" t="s">
        <v>3569</v>
      </c>
      <c r="O12" s="35" t="s">
        <v>3813</v>
      </c>
      <c r="P12" s="35"/>
      <c r="R12" s="35" t="s">
        <v>3571</v>
      </c>
      <c r="S12" s="35" t="s">
        <v>3572</v>
      </c>
      <c r="T12" s="35" t="s">
        <v>3573</v>
      </c>
      <c r="U12" s="36" t="s">
        <v>3814</v>
      </c>
      <c r="V12" s="36" t="s">
        <v>3815</v>
      </c>
      <c r="W12" s="32">
        <v>34.0</v>
      </c>
      <c r="X12" s="35" t="s">
        <v>3816</v>
      </c>
      <c r="Y12" s="34"/>
      <c r="Z12" s="34"/>
      <c r="AA12" s="32">
        <v>2018.0</v>
      </c>
      <c r="AB12" s="34"/>
      <c r="AC12" s="34"/>
      <c r="AD12" s="34"/>
      <c r="AE12" s="37"/>
      <c r="AF12" s="37"/>
      <c r="AG12" s="37"/>
      <c r="AH12" s="37"/>
      <c r="AI12" s="37"/>
      <c r="AJ12" s="37"/>
      <c r="AK12" s="37"/>
      <c r="AL12" s="37"/>
      <c r="AM12" s="37"/>
      <c r="AN12" s="37"/>
      <c r="AO12" s="35" t="s">
        <v>3817</v>
      </c>
      <c r="AP12" s="35" t="s">
        <v>3818</v>
      </c>
      <c r="AQ12" s="35" t="s">
        <v>3819</v>
      </c>
      <c r="AR12" s="35" t="s">
        <v>3820</v>
      </c>
      <c r="AS12" s="34" t="str">
        <f>+972 (0)52 233 0857</f>
        <v>#ERROR!</v>
      </c>
      <c r="AT12" s="35" t="s">
        <v>3581</v>
      </c>
      <c r="AU12" s="35" t="s">
        <v>3821</v>
      </c>
      <c r="AV12" s="34"/>
      <c r="AW12" s="35" t="s">
        <v>75</v>
      </c>
      <c r="AX12" s="34"/>
      <c r="AY12" s="32">
        <v>6721502.0</v>
      </c>
      <c r="AZ12" s="35" t="s">
        <v>41</v>
      </c>
      <c r="BA12" s="37" t="str">
        <f>+972 (0)52 233 0857</f>
        <v>#ERROR!</v>
      </c>
      <c r="BB12" s="37"/>
      <c r="BC12" s="35" t="s">
        <v>2217</v>
      </c>
      <c r="BD12" s="35" t="s">
        <v>3584</v>
      </c>
      <c r="BE12" s="35" t="s">
        <v>3584</v>
      </c>
      <c r="BF12" s="35" t="s">
        <v>3822</v>
      </c>
      <c r="BG12" s="35" t="s">
        <v>3823</v>
      </c>
      <c r="BH12" s="32">
        <v>15.0</v>
      </c>
      <c r="BI12" s="34"/>
      <c r="BJ12" s="35" t="s">
        <v>3824</v>
      </c>
      <c r="BK12" s="34"/>
      <c r="BL12" s="35" t="s">
        <v>3825</v>
      </c>
      <c r="BM12" s="35" t="s">
        <v>3826</v>
      </c>
      <c r="BN12" s="34"/>
      <c r="BO12" s="35" t="s">
        <v>3827</v>
      </c>
      <c r="BP12" s="34"/>
      <c r="BQ12" s="38" t="s">
        <v>3828</v>
      </c>
      <c r="BR12" s="32">
        <v>3.0</v>
      </c>
      <c r="BS12" s="35" t="s">
        <v>3593</v>
      </c>
      <c r="BT12" s="32">
        <v>6.07</v>
      </c>
      <c r="BU12" s="35" t="s">
        <v>3593</v>
      </c>
      <c r="BV12" s="35" t="s">
        <v>3698</v>
      </c>
      <c r="BW12" s="35" t="s">
        <v>3698</v>
      </c>
      <c r="BX12" s="34"/>
      <c r="BY12" s="35" t="s">
        <v>3573</v>
      </c>
      <c r="BZ12" s="35" t="s">
        <v>3829</v>
      </c>
      <c r="CA12" s="35" t="s">
        <v>3591</v>
      </c>
      <c r="CB12" s="37"/>
      <c r="CC12" s="37"/>
      <c r="CD12" s="34"/>
      <c r="CE12" s="37"/>
      <c r="CF12" s="34"/>
      <c r="CG12" s="35" t="s">
        <v>3830</v>
      </c>
      <c r="CH12" s="34"/>
      <c r="CI12" s="34"/>
      <c r="CJ12" s="35" t="s">
        <v>3573</v>
      </c>
      <c r="CK12" s="38" t="s">
        <v>3831</v>
      </c>
      <c r="CL12" s="32">
        <v>2.65</v>
      </c>
      <c r="CM12" s="34"/>
      <c r="CN12" s="35" t="s">
        <v>3591</v>
      </c>
      <c r="CO12" s="39">
        <v>-0.0036</v>
      </c>
      <c r="CP12" s="32">
        <v>9.0</v>
      </c>
      <c r="CQ12" s="39">
        <v>0.0</v>
      </c>
      <c r="CR12" s="39">
        <v>0.0</v>
      </c>
      <c r="CS12" s="37"/>
      <c r="CT12" s="37"/>
      <c r="CU12" s="37"/>
      <c r="CV12" s="37"/>
      <c r="CW12" s="37"/>
      <c r="CX12" s="37"/>
      <c r="CY12" s="32" t="s">
        <v>3832</v>
      </c>
      <c r="CZ12" s="32">
        <v>78.0</v>
      </c>
      <c r="DA12" s="32" t="s">
        <v>3598</v>
      </c>
      <c r="DB12" s="39">
        <v>0.0</v>
      </c>
      <c r="DC12" s="37"/>
      <c r="DD12" s="37"/>
      <c r="DE12" s="37"/>
      <c r="DF12" s="37"/>
      <c r="DG12" s="37"/>
      <c r="DH12" s="37"/>
      <c r="DI12" s="37"/>
      <c r="DJ12" s="37"/>
      <c r="DK12" s="37"/>
      <c r="DL12" s="37"/>
      <c r="DM12" s="37"/>
      <c r="DN12" s="37"/>
      <c r="DO12" s="32" t="s">
        <v>3600</v>
      </c>
      <c r="DP12" s="38" t="s">
        <v>3833</v>
      </c>
      <c r="DQ12" s="32">
        <v>29.0</v>
      </c>
      <c r="DR12" s="32">
        <v>13.0</v>
      </c>
      <c r="DS12" s="32">
        <v>25.0</v>
      </c>
      <c r="DT12" s="32">
        <v>4.0</v>
      </c>
      <c r="DU12" s="37"/>
      <c r="DV12" s="37"/>
      <c r="DW12" s="35" t="s">
        <v>3834</v>
      </c>
      <c r="DX12" s="32">
        <v>92.0</v>
      </c>
      <c r="DY12" s="35" t="s">
        <v>3602</v>
      </c>
      <c r="DZ12" s="39">
        <v>0.84</v>
      </c>
      <c r="EA12" s="39">
        <v>0.16</v>
      </c>
      <c r="EB12" s="35" t="s">
        <v>3603</v>
      </c>
      <c r="EC12" s="39">
        <v>0.02</v>
      </c>
      <c r="ED12" s="39">
        <v>0.82</v>
      </c>
      <c r="EE12" s="32">
        <v>64.15</v>
      </c>
      <c r="EF12" s="38" t="s">
        <v>3835</v>
      </c>
      <c r="EG12" s="35" t="s">
        <v>3669</v>
      </c>
      <c r="EH12" s="37"/>
      <c r="EI12" s="37"/>
      <c r="EJ12" s="37"/>
      <c r="EK12" s="34"/>
      <c r="EL12" s="37"/>
      <c r="EM12" s="37"/>
      <c r="EN12" s="37"/>
      <c r="EO12" s="32">
        <v>2.95</v>
      </c>
      <c r="EP12" s="40" t="s">
        <v>3559</v>
      </c>
    </row>
    <row r="13">
      <c r="A13" s="41">
        <v>5.93</v>
      </c>
      <c r="B13" s="42" t="s">
        <v>3836</v>
      </c>
      <c r="C13" s="43"/>
      <c r="D13" s="43"/>
      <c r="E13" s="42" t="s">
        <v>3837</v>
      </c>
      <c r="F13" s="42" t="s">
        <v>3838</v>
      </c>
      <c r="G13" s="42" t="s">
        <v>3839</v>
      </c>
      <c r="H13" s="42" t="s">
        <v>3563</v>
      </c>
      <c r="I13" s="42" t="s">
        <v>3564</v>
      </c>
      <c r="J13" s="42" t="s">
        <v>3565</v>
      </c>
      <c r="K13" s="42" t="s">
        <v>3840</v>
      </c>
      <c r="L13" s="42" t="s">
        <v>3841</v>
      </c>
      <c r="M13" s="42" t="s">
        <v>3842</v>
      </c>
      <c r="N13" s="42" t="s">
        <v>3569</v>
      </c>
      <c r="O13" s="42" t="s">
        <v>3843</v>
      </c>
      <c r="P13" s="42"/>
      <c r="R13" s="42" t="s">
        <v>3571</v>
      </c>
      <c r="S13" s="42" t="s">
        <v>3572</v>
      </c>
      <c r="T13" s="42" t="s">
        <v>3573</v>
      </c>
      <c r="U13" s="44" t="s">
        <v>3844</v>
      </c>
      <c r="V13" s="44" t="s">
        <v>3845</v>
      </c>
      <c r="W13" s="41">
        <v>27.0</v>
      </c>
      <c r="X13" s="42" t="s">
        <v>3846</v>
      </c>
      <c r="Y13" s="43"/>
      <c r="Z13" s="43"/>
      <c r="AA13" s="41">
        <v>2019.0</v>
      </c>
      <c r="AB13" s="43"/>
      <c r="AC13" s="43"/>
      <c r="AD13" s="43"/>
      <c r="AE13" s="45"/>
      <c r="AF13" s="45"/>
      <c r="AG13" s="45"/>
      <c r="AH13" s="45"/>
      <c r="AI13" s="45"/>
      <c r="AJ13" s="45"/>
      <c r="AK13" s="45"/>
      <c r="AL13" s="45"/>
      <c r="AM13" s="45"/>
      <c r="AN13" s="45"/>
      <c r="AO13" s="42" t="s">
        <v>3847</v>
      </c>
      <c r="AP13" s="42" t="s">
        <v>3848</v>
      </c>
      <c r="AQ13" s="42" t="s">
        <v>3849</v>
      </c>
      <c r="AR13" s="42" t="s">
        <v>3850</v>
      </c>
      <c r="AS13" s="43"/>
      <c r="AT13" s="42" t="s">
        <v>3851</v>
      </c>
      <c r="AU13" s="42" t="s">
        <v>3852</v>
      </c>
      <c r="AV13" s="43"/>
      <c r="AW13" s="42" t="s">
        <v>616</v>
      </c>
      <c r="AX13" s="43"/>
      <c r="AY13" s="45"/>
      <c r="AZ13" s="42" t="s">
        <v>41</v>
      </c>
      <c r="BA13" s="45"/>
      <c r="BB13" s="45"/>
      <c r="BC13" s="42" t="s">
        <v>3853</v>
      </c>
      <c r="BD13" s="42" t="s">
        <v>3584</v>
      </c>
      <c r="BE13" s="42" t="s">
        <v>3584</v>
      </c>
      <c r="BF13" s="42" t="s">
        <v>3854</v>
      </c>
      <c r="BG13" s="42" t="s">
        <v>3855</v>
      </c>
      <c r="BH13" s="41">
        <v>19.0</v>
      </c>
      <c r="BI13" s="43"/>
      <c r="BJ13" s="43"/>
      <c r="BK13" s="43"/>
      <c r="BL13" s="42" t="s">
        <v>3856</v>
      </c>
      <c r="BM13" s="43"/>
      <c r="BN13" s="43"/>
      <c r="BO13" s="43"/>
      <c r="BP13" s="43"/>
      <c r="BQ13" s="46" t="s">
        <v>3857</v>
      </c>
      <c r="BR13" s="45"/>
      <c r="BS13" s="43"/>
      <c r="BT13" s="45"/>
      <c r="BU13" s="43"/>
      <c r="BV13" s="42" t="s">
        <v>3589</v>
      </c>
      <c r="BW13" s="43"/>
      <c r="BX13" s="43"/>
      <c r="BY13" s="42" t="s">
        <v>3590</v>
      </c>
      <c r="BZ13" s="43"/>
      <c r="CA13" s="42" t="s">
        <v>3591</v>
      </c>
      <c r="CB13" s="46" t="s">
        <v>3858</v>
      </c>
      <c r="CC13" s="45"/>
      <c r="CD13" s="43"/>
      <c r="CE13" s="45"/>
      <c r="CF13" s="43"/>
      <c r="CG13" s="42" t="s">
        <v>3589</v>
      </c>
      <c r="CH13" s="43"/>
      <c r="CI13" s="43"/>
      <c r="CJ13" s="42" t="s">
        <v>3590</v>
      </c>
      <c r="CK13" s="45"/>
      <c r="CL13" s="45"/>
      <c r="CM13" s="43"/>
      <c r="CN13" s="42" t="s">
        <v>3591</v>
      </c>
      <c r="CO13" s="47">
        <v>0.0</v>
      </c>
      <c r="CP13" s="41">
        <v>14.0</v>
      </c>
      <c r="CQ13" s="47">
        <v>0.0</v>
      </c>
      <c r="CR13" s="47">
        <v>0.0</v>
      </c>
      <c r="CS13" s="47">
        <v>0.0</v>
      </c>
      <c r="CT13" s="41">
        <v>12.0</v>
      </c>
      <c r="CU13" s="47">
        <v>0.0</v>
      </c>
      <c r="CV13" s="41">
        <v>10.0</v>
      </c>
      <c r="CW13" s="47">
        <v>0.0</v>
      </c>
      <c r="CX13" s="41">
        <v>12.0</v>
      </c>
      <c r="CY13" s="41" t="s">
        <v>3859</v>
      </c>
      <c r="CZ13" s="41">
        <v>60.0</v>
      </c>
      <c r="DA13" s="41" t="s">
        <v>3598</v>
      </c>
      <c r="DB13" s="47">
        <v>0.0</v>
      </c>
      <c r="DC13" s="41" t="s">
        <v>3859</v>
      </c>
      <c r="DD13" s="41">
        <v>62.0</v>
      </c>
      <c r="DE13" s="41" t="s">
        <v>3860</v>
      </c>
      <c r="DF13" s="41">
        <v>51.0</v>
      </c>
      <c r="DG13" s="41" t="s">
        <v>3861</v>
      </c>
      <c r="DH13" s="41">
        <v>67.0</v>
      </c>
      <c r="DI13" s="41">
        <v>102.0</v>
      </c>
      <c r="DJ13" s="41">
        <v>20.0</v>
      </c>
      <c r="DK13" s="47">
        <v>0.2439</v>
      </c>
      <c r="DL13" s="41">
        <v>43.0</v>
      </c>
      <c r="DM13" s="41">
        <v>0.0</v>
      </c>
      <c r="DN13" s="47">
        <v>0.0</v>
      </c>
      <c r="DO13" s="41" t="s">
        <v>3600</v>
      </c>
      <c r="DP13" s="46" t="s">
        <v>3862</v>
      </c>
      <c r="DQ13" s="45"/>
      <c r="DR13" s="45"/>
      <c r="DS13" s="45"/>
      <c r="DT13" s="45"/>
      <c r="DU13" s="45"/>
      <c r="DV13" s="45"/>
      <c r="DW13" s="43"/>
      <c r="DX13" s="41">
        <v>91.0</v>
      </c>
      <c r="DY13" s="42" t="s">
        <v>3602</v>
      </c>
      <c r="DZ13" s="47">
        <v>0.82</v>
      </c>
      <c r="EA13" s="47">
        <v>0.18</v>
      </c>
      <c r="EB13" s="42" t="s">
        <v>3603</v>
      </c>
      <c r="EC13" s="47">
        <v>0.01</v>
      </c>
      <c r="ED13" s="47">
        <v>0.81</v>
      </c>
      <c r="EE13" s="41">
        <v>15.0</v>
      </c>
      <c r="EF13" s="46" t="s">
        <v>3863</v>
      </c>
      <c r="EG13" s="42" t="s">
        <v>3669</v>
      </c>
      <c r="EH13" s="45"/>
      <c r="EI13" s="45"/>
      <c r="EJ13" s="45"/>
      <c r="EK13" s="43"/>
      <c r="EL13" s="45"/>
      <c r="EM13" s="45"/>
      <c r="EN13" s="45"/>
      <c r="EO13" s="45"/>
      <c r="EP13" s="48" t="s">
        <v>3559</v>
      </c>
    </row>
    <row r="14">
      <c r="A14" s="32">
        <v>33.36</v>
      </c>
      <c r="B14" s="35" t="s">
        <v>1817</v>
      </c>
      <c r="C14" s="34"/>
      <c r="D14" s="34"/>
      <c r="E14" s="35" t="s">
        <v>3864</v>
      </c>
      <c r="F14" s="35" t="s">
        <v>3865</v>
      </c>
      <c r="G14" s="35" t="s">
        <v>3866</v>
      </c>
      <c r="H14" s="35" t="s">
        <v>3867</v>
      </c>
      <c r="I14" s="35" t="s">
        <v>3868</v>
      </c>
      <c r="J14" s="35" t="s">
        <v>3869</v>
      </c>
      <c r="K14" s="35" t="s">
        <v>3870</v>
      </c>
      <c r="L14" s="35" t="s">
        <v>3871</v>
      </c>
      <c r="M14" s="35" t="s">
        <v>3872</v>
      </c>
      <c r="N14" s="35" t="s">
        <v>3569</v>
      </c>
      <c r="O14" s="35" t="s">
        <v>3873</v>
      </c>
      <c r="P14" s="35"/>
      <c r="R14" s="35" t="s">
        <v>3571</v>
      </c>
      <c r="S14" s="35" t="s">
        <v>3572</v>
      </c>
      <c r="T14" s="35" t="s">
        <v>3573</v>
      </c>
      <c r="U14" s="36" t="s">
        <v>3874</v>
      </c>
      <c r="V14" s="36" t="s">
        <v>3875</v>
      </c>
      <c r="W14" s="32">
        <v>27.0</v>
      </c>
      <c r="X14" s="35" t="s">
        <v>3876</v>
      </c>
      <c r="Y14" s="34"/>
      <c r="Z14" s="34"/>
      <c r="AA14" s="32">
        <v>2013.0</v>
      </c>
      <c r="AB14" s="34"/>
      <c r="AC14" s="34"/>
      <c r="AD14" s="34"/>
      <c r="AE14" s="37"/>
      <c r="AF14" s="37"/>
      <c r="AG14" s="37"/>
      <c r="AH14" s="37"/>
      <c r="AI14" s="37"/>
      <c r="AJ14" s="37"/>
      <c r="AK14" s="37"/>
      <c r="AL14" s="37"/>
      <c r="AM14" s="37"/>
      <c r="AN14" s="37"/>
      <c r="AO14" s="35" t="s">
        <v>3877</v>
      </c>
      <c r="AP14" s="35" t="s">
        <v>3878</v>
      </c>
      <c r="AQ14" s="35" t="s">
        <v>3685</v>
      </c>
      <c r="AR14" s="35" t="s">
        <v>3879</v>
      </c>
      <c r="AS14" s="34"/>
      <c r="AT14" s="35" t="s">
        <v>3581</v>
      </c>
      <c r="AU14" s="35" t="s">
        <v>3880</v>
      </c>
      <c r="AV14" s="35" t="s">
        <v>3881</v>
      </c>
      <c r="AW14" s="35" t="s">
        <v>75</v>
      </c>
      <c r="AX14" s="34"/>
      <c r="AY14" s="32">
        <v>6655613.0</v>
      </c>
      <c r="AZ14" s="35" t="s">
        <v>41</v>
      </c>
      <c r="BA14" s="37"/>
      <c r="BB14" s="37"/>
      <c r="BC14" s="35" t="s">
        <v>1822</v>
      </c>
      <c r="BD14" s="35" t="s">
        <v>3584</v>
      </c>
      <c r="BE14" s="35" t="s">
        <v>3584</v>
      </c>
      <c r="BF14" s="35" t="s">
        <v>3882</v>
      </c>
      <c r="BG14" s="35" t="s">
        <v>3883</v>
      </c>
      <c r="BH14" s="32">
        <v>15.0</v>
      </c>
      <c r="BI14" s="34"/>
      <c r="BJ14" s="35" t="s">
        <v>3884</v>
      </c>
      <c r="BK14" s="34"/>
      <c r="BL14" s="35" t="s">
        <v>3885</v>
      </c>
      <c r="BM14" s="35" t="s">
        <v>3886</v>
      </c>
      <c r="BN14" s="34"/>
      <c r="BO14" s="34"/>
      <c r="BP14" s="35" t="s">
        <v>3725</v>
      </c>
      <c r="BQ14" s="37"/>
      <c r="BR14" s="37"/>
      <c r="BS14" s="34"/>
      <c r="BT14" s="37"/>
      <c r="BU14" s="34"/>
      <c r="BV14" s="35" t="s">
        <v>3589</v>
      </c>
      <c r="BW14" s="34"/>
      <c r="BX14" s="34"/>
      <c r="BY14" s="35" t="s">
        <v>3590</v>
      </c>
      <c r="BZ14" s="34"/>
      <c r="CA14" s="35" t="s">
        <v>3591</v>
      </c>
      <c r="CB14" s="38" t="s">
        <v>3887</v>
      </c>
      <c r="CC14" s="37"/>
      <c r="CD14" s="34"/>
      <c r="CE14" s="37"/>
      <c r="CF14" s="34"/>
      <c r="CG14" s="35" t="s">
        <v>3589</v>
      </c>
      <c r="CH14" s="34"/>
      <c r="CI14" s="34"/>
      <c r="CJ14" s="35" t="s">
        <v>3590</v>
      </c>
      <c r="CK14" s="38" t="s">
        <v>3888</v>
      </c>
      <c r="CL14" s="32">
        <v>6.72</v>
      </c>
      <c r="CM14" s="34"/>
      <c r="CN14" s="35" t="s">
        <v>3591</v>
      </c>
      <c r="CO14" s="39">
        <v>0.0</v>
      </c>
      <c r="CP14" s="32">
        <v>14.0</v>
      </c>
      <c r="CQ14" s="39">
        <v>0.0025</v>
      </c>
      <c r="CR14" s="39">
        <v>1.0198</v>
      </c>
      <c r="CS14" s="39">
        <v>0.0</v>
      </c>
      <c r="CT14" s="32">
        <v>12.0</v>
      </c>
      <c r="CU14" s="37"/>
      <c r="CV14" s="37"/>
      <c r="CW14" s="39">
        <v>0.0</v>
      </c>
      <c r="CX14" s="32">
        <v>12.0</v>
      </c>
      <c r="CY14" s="32" t="s">
        <v>3889</v>
      </c>
      <c r="CZ14" s="32">
        <v>92.0</v>
      </c>
      <c r="DA14" s="32" t="s">
        <v>3598</v>
      </c>
      <c r="DB14" s="39">
        <v>0.0</v>
      </c>
      <c r="DC14" s="32" t="s">
        <v>3889</v>
      </c>
      <c r="DD14" s="32">
        <v>92.0</v>
      </c>
      <c r="DE14" s="37"/>
      <c r="DF14" s="37"/>
      <c r="DG14" s="32" t="s">
        <v>3889</v>
      </c>
      <c r="DH14" s="32">
        <v>91.0</v>
      </c>
      <c r="DI14" s="37"/>
      <c r="DJ14" s="37"/>
      <c r="DK14" s="37"/>
      <c r="DL14" s="32">
        <v>246.0</v>
      </c>
      <c r="DM14" s="32">
        <v>2.0</v>
      </c>
      <c r="DN14" s="39">
        <v>0.0082</v>
      </c>
      <c r="DO14" s="32" t="s">
        <v>3600</v>
      </c>
      <c r="DP14" s="38" t="s">
        <v>3890</v>
      </c>
      <c r="DQ14" s="32">
        <v>37.0</v>
      </c>
      <c r="DR14" s="32">
        <v>9.0</v>
      </c>
      <c r="DS14" s="32">
        <v>16.0</v>
      </c>
      <c r="DT14" s="32">
        <v>3.0</v>
      </c>
      <c r="DU14" s="37"/>
      <c r="DV14" s="32">
        <v>18.0</v>
      </c>
      <c r="DW14" s="35" t="s">
        <v>3891</v>
      </c>
      <c r="DX14" s="32">
        <v>52.0</v>
      </c>
      <c r="DY14" s="35" t="s">
        <v>3602</v>
      </c>
      <c r="DZ14" s="39">
        <v>0.84</v>
      </c>
      <c r="EA14" s="39">
        <v>0.16</v>
      </c>
      <c r="EB14" s="35" t="s">
        <v>3603</v>
      </c>
      <c r="EC14" s="39">
        <v>0.04</v>
      </c>
      <c r="ED14" s="39">
        <v>0.8</v>
      </c>
      <c r="EE14" s="32">
        <v>42.9</v>
      </c>
      <c r="EF14" s="38" t="s">
        <v>3888</v>
      </c>
      <c r="EG14" s="35" t="s">
        <v>3594</v>
      </c>
      <c r="EH14" s="37"/>
      <c r="EI14" s="37"/>
      <c r="EJ14" s="37"/>
      <c r="EK14" s="34"/>
      <c r="EL14" s="37"/>
      <c r="EM14" s="37"/>
      <c r="EN14" s="32">
        <v>0.99</v>
      </c>
      <c r="EO14" s="32">
        <v>0.99</v>
      </c>
      <c r="EP14" s="40" t="s">
        <v>3559</v>
      </c>
    </row>
    <row r="15">
      <c r="A15" s="41">
        <v>28.5</v>
      </c>
      <c r="B15" s="42" t="s">
        <v>3892</v>
      </c>
      <c r="C15" s="42" t="s">
        <v>3893</v>
      </c>
      <c r="D15" s="43"/>
      <c r="E15" s="42" t="s">
        <v>3894</v>
      </c>
      <c r="F15" s="42" t="s">
        <v>3895</v>
      </c>
      <c r="G15" s="42" t="s">
        <v>3896</v>
      </c>
      <c r="H15" s="42" t="s">
        <v>3867</v>
      </c>
      <c r="I15" s="42" t="s">
        <v>3897</v>
      </c>
      <c r="J15" s="42" t="s">
        <v>3898</v>
      </c>
      <c r="K15" s="42" t="s">
        <v>3899</v>
      </c>
      <c r="L15" s="42" t="s">
        <v>3900</v>
      </c>
      <c r="M15" s="42" t="s">
        <v>3901</v>
      </c>
      <c r="N15" s="42" t="s">
        <v>3569</v>
      </c>
      <c r="O15" s="42" t="s">
        <v>3902</v>
      </c>
      <c r="P15" s="42"/>
      <c r="R15" s="42" t="s">
        <v>3571</v>
      </c>
      <c r="S15" s="42" t="s">
        <v>3572</v>
      </c>
      <c r="T15" s="42" t="s">
        <v>3573</v>
      </c>
      <c r="U15" s="44" t="s">
        <v>3903</v>
      </c>
      <c r="V15" s="44" t="s">
        <v>3904</v>
      </c>
      <c r="W15" s="41">
        <v>40.0</v>
      </c>
      <c r="X15" s="42" t="s">
        <v>3905</v>
      </c>
      <c r="Y15" s="43"/>
      <c r="Z15" s="43"/>
      <c r="AA15" s="41">
        <v>2021.0</v>
      </c>
      <c r="AB15" s="43"/>
      <c r="AC15" s="43"/>
      <c r="AD15" s="43"/>
      <c r="AE15" s="45"/>
      <c r="AF15" s="45"/>
      <c r="AG15" s="45"/>
      <c r="AH15" s="45"/>
      <c r="AI15" s="45"/>
      <c r="AJ15" s="45"/>
      <c r="AK15" s="45"/>
      <c r="AL15" s="45"/>
      <c r="AM15" s="45"/>
      <c r="AN15" s="45"/>
      <c r="AO15" s="42" t="s">
        <v>3906</v>
      </c>
      <c r="AP15" s="42" t="s">
        <v>3907</v>
      </c>
      <c r="AQ15" s="42" t="s">
        <v>3908</v>
      </c>
      <c r="AR15" s="42" t="s">
        <v>3909</v>
      </c>
      <c r="AS15" s="43"/>
      <c r="AT15" s="42" t="s">
        <v>3581</v>
      </c>
      <c r="AU15" s="42" t="s">
        <v>3910</v>
      </c>
      <c r="AV15" s="43"/>
      <c r="AW15" s="42" t="s">
        <v>75</v>
      </c>
      <c r="AX15" s="43"/>
      <c r="AY15" s="45"/>
      <c r="AZ15" s="42" t="s">
        <v>41</v>
      </c>
      <c r="BA15" s="45"/>
      <c r="BB15" s="45"/>
      <c r="BC15" s="42" t="s">
        <v>3911</v>
      </c>
      <c r="BD15" s="42" t="s">
        <v>3584</v>
      </c>
      <c r="BE15" s="42" t="s">
        <v>3584</v>
      </c>
      <c r="BF15" s="42" t="s">
        <v>3912</v>
      </c>
      <c r="BG15" s="42" t="s">
        <v>3913</v>
      </c>
      <c r="BH15" s="41">
        <v>6.0</v>
      </c>
      <c r="BI15" s="43"/>
      <c r="BJ15" s="43"/>
      <c r="BK15" s="43"/>
      <c r="BL15" s="42" t="s">
        <v>3914</v>
      </c>
      <c r="BM15" s="43"/>
      <c r="BN15" s="43"/>
      <c r="BO15" s="43"/>
      <c r="BP15" s="43"/>
      <c r="BQ15" s="46" t="s">
        <v>3915</v>
      </c>
      <c r="BR15" s="45"/>
      <c r="BS15" s="43"/>
      <c r="BT15" s="45"/>
      <c r="BU15" s="43"/>
      <c r="BV15" s="42" t="s">
        <v>3589</v>
      </c>
      <c r="BW15" s="43"/>
      <c r="BX15" s="43"/>
      <c r="BY15" s="42" t="s">
        <v>3590</v>
      </c>
      <c r="BZ15" s="43"/>
      <c r="CA15" s="42" t="s">
        <v>3591</v>
      </c>
      <c r="CB15" s="46" t="s">
        <v>3916</v>
      </c>
      <c r="CC15" s="41">
        <v>6.0</v>
      </c>
      <c r="CD15" s="42" t="s">
        <v>3593</v>
      </c>
      <c r="CE15" s="45"/>
      <c r="CF15" s="43"/>
      <c r="CG15" s="42" t="s">
        <v>3669</v>
      </c>
      <c r="CH15" s="43"/>
      <c r="CI15" s="43"/>
      <c r="CJ15" s="42" t="s">
        <v>3573</v>
      </c>
      <c r="CK15" s="45"/>
      <c r="CL15" s="45"/>
      <c r="CM15" s="43"/>
      <c r="CN15" s="42" t="s">
        <v>3591</v>
      </c>
      <c r="CO15" s="47">
        <v>-0.003</v>
      </c>
      <c r="CP15" s="41">
        <v>10.0</v>
      </c>
      <c r="CQ15" s="47">
        <v>0.0</v>
      </c>
      <c r="CR15" s="47">
        <v>0.0</v>
      </c>
      <c r="CS15" s="47">
        <v>0.0</v>
      </c>
      <c r="CT15" s="41">
        <v>12.0</v>
      </c>
      <c r="CU15" s="45"/>
      <c r="CV15" s="45"/>
      <c r="CW15" s="47">
        <v>0.0</v>
      </c>
      <c r="CX15" s="41">
        <v>12.0</v>
      </c>
      <c r="CY15" s="41" t="s">
        <v>3917</v>
      </c>
      <c r="CZ15" s="41">
        <v>74.0</v>
      </c>
      <c r="DA15" s="41" t="s">
        <v>3598</v>
      </c>
      <c r="DB15" s="47">
        <v>0.0</v>
      </c>
      <c r="DC15" s="41" t="s">
        <v>3918</v>
      </c>
      <c r="DD15" s="41">
        <v>67.0</v>
      </c>
      <c r="DE15" s="45"/>
      <c r="DF15" s="45"/>
      <c r="DG15" s="41" t="s">
        <v>3918</v>
      </c>
      <c r="DH15" s="41">
        <v>66.0</v>
      </c>
      <c r="DI15" s="41">
        <v>260.0</v>
      </c>
      <c r="DJ15" s="41">
        <v>-1.0</v>
      </c>
      <c r="DK15" s="47">
        <v>-0.0038</v>
      </c>
      <c r="DL15" s="41">
        <v>40.0</v>
      </c>
      <c r="DM15" s="41">
        <v>1.0</v>
      </c>
      <c r="DN15" s="47">
        <v>0.0256</v>
      </c>
      <c r="DO15" s="41" t="s">
        <v>3600</v>
      </c>
      <c r="DP15" s="46" t="s">
        <v>3919</v>
      </c>
      <c r="DQ15" s="41">
        <v>13.0</v>
      </c>
      <c r="DR15" s="41">
        <v>5.0</v>
      </c>
      <c r="DS15" s="41">
        <v>5.0</v>
      </c>
      <c r="DT15" s="41">
        <v>1.0</v>
      </c>
      <c r="DU15" s="41">
        <v>1.0</v>
      </c>
      <c r="DV15" s="41">
        <v>7.0</v>
      </c>
      <c r="DW15" s="42" t="s">
        <v>3920</v>
      </c>
      <c r="DX15" s="41">
        <v>91.0</v>
      </c>
      <c r="DY15" s="42" t="s">
        <v>3602</v>
      </c>
      <c r="DZ15" s="47">
        <v>0.82</v>
      </c>
      <c r="EA15" s="47">
        <v>0.18</v>
      </c>
      <c r="EB15" s="42" t="s">
        <v>3603</v>
      </c>
      <c r="EC15" s="47">
        <v>0.02</v>
      </c>
      <c r="ED15" s="47">
        <v>0.8</v>
      </c>
      <c r="EE15" s="45"/>
      <c r="EF15" s="45"/>
      <c r="EG15" s="43"/>
      <c r="EH15" s="45"/>
      <c r="EI15" s="45"/>
      <c r="EJ15" s="45"/>
      <c r="EK15" s="42" t="s">
        <v>3921</v>
      </c>
      <c r="EL15" s="45"/>
      <c r="EM15" s="45"/>
      <c r="EN15" s="45"/>
      <c r="EO15" s="45"/>
      <c r="EP15" s="48" t="s">
        <v>3559</v>
      </c>
    </row>
    <row r="16">
      <c r="A16" s="32">
        <v>246.63</v>
      </c>
      <c r="B16" s="35" t="s">
        <v>1878</v>
      </c>
      <c r="C16" s="34"/>
      <c r="D16" s="34"/>
      <c r="E16" s="35" t="s">
        <v>3922</v>
      </c>
      <c r="F16" s="35" t="s">
        <v>3923</v>
      </c>
      <c r="G16" s="35" t="s">
        <v>3924</v>
      </c>
      <c r="H16" s="35" t="s">
        <v>3867</v>
      </c>
      <c r="I16" s="35" t="s">
        <v>3868</v>
      </c>
      <c r="J16" s="35" t="s">
        <v>3869</v>
      </c>
      <c r="K16" s="35" t="s">
        <v>3925</v>
      </c>
      <c r="L16" s="35" t="s">
        <v>3926</v>
      </c>
      <c r="M16" s="35" t="s">
        <v>3927</v>
      </c>
      <c r="N16" s="35" t="s">
        <v>3569</v>
      </c>
      <c r="O16" s="35" t="s">
        <v>3928</v>
      </c>
      <c r="P16" s="35"/>
      <c r="R16" s="35" t="s">
        <v>3571</v>
      </c>
      <c r="S16" s="35" t="s">
        <v>3572</v>
      </c>
      <c r="T16" s="35" t="s">
        <v>3573</v>
      </c>
      <c r="U16" s="36" t="s">
        <v>3929</v>
      </c>
      <c r="V16" s="36" t="s">
        <v>3930</v>
      </c>
      <c r="W16" s="32">
        <v>366.0</v>
      </c>
      <c r="X16" s="35" t="s">
        <v>3931</v>
      </c>
      <c r="Y16" s="34"/>
      <c r="Z16" s="34"/>
      <c r="AA16" s="32">
        <v>2014.0</v>
      </c>
      <c r="AB16" s="34"/>
      <c r="AC16" s="34"/>
      <c r="AD16" s="34"/>
      <c r="AE16" s="37"/>
      <c r="AF16" s="37"/>
      <c r="AG16" s="37"/>
      <c r="AH16" s="37"/>
      <c r="AI16" s="37"/>
      <c r="AJ16" s="37"/>
      <c r="AK16" s="37"/>
      <c r="AL16" s="37"/>
      <c r="AM16" s="37"/>
      <c r="AN16" s="32" t="s">
        <v>3932</v>
      </c>
      <c r="AO16" s="35" t="s">
        <v>3933</v>
      </c>
      <c r="AP16" s="35" t="s">
        <v>3934</v>
      </c>
      <c r="AQ16" s="35" t="s">
        <v>3579</v>
      </c>
      <c r="AR16" s="35" t="s">
        <v>3935</v>
      </c>
      <c r="AS16" s="34" t="str">
        <f>+972 (0)73 372 9586</f>
        <v>#ERROR!</v>
      </c>
      <c r="AT16" s="35" t="s">
        <v>3581</v>
      </c>
      <c r="AU16" s="35" t="s">
        <v>3936</v>
      </c>
      <c r="AV16" s="35" t="s">
        <v>3937</v>
      </c>
      <c r="AW16" s="35" t="s">
        <v>75</v>
      </c>
      <c r="AX16" s="34"/>
      <c r="AY16" s="32">
        <v>6473309.0</v>
      </c>
      <c r="AZ16" s="35" t="s">
        <v>41</v>
      </c>
      <c r="BA16" s="37" t="str">
        <f>+972 (0)73 372 9586</f>
        <v>#ERROR!</v>
      </c>
      <c r="BB16" s="37" t="str">
        <f>+972 (0)73 372 9591</f>
        <v>#ERROR!</v>
      </c>
      <c r="BC16" s="35" t="s">
        <v>1886</v>
      </c>
      <c r="BD16" s="35" t="s">
        <v>3584</v>
      </c>
      <c r="BE16" s="35" t="s">
        <v>3584</v>
      </c>
      <c r="BF16" s="35" t="s">
        <v>3938</v>
      </c>
      <c r="BG16" s="35" t="s">
        <v>3939</v>
      </c>
      <c r="BH16" s="32">
        <v>19.0</v>
      </c>
      <c r="BI16" s="34"/>
      <c r="BJ16" s="34"/>
      <c r="BK16" s="34"/>
      <c r="BL16" s="35" t="s">
        <v>3940</v>
      </c>
      <c r="BM16" s="34"/>
      <c r="BN16" s="34"/>
      <c r="BO16" s="34"/>
      <c r="BP16" s="35" t="s">
        <v>3695</v>
      </c>
      <c r="BQ16" s="38" t="s">
        <v>3941</v>
      </c>
      <c r="BR16" s="37"/>
      <c r="BS16" s="34"/>
      <c r="BT16" s="37"/>
      <c r="BU16" s="34"/>
      <c r="BV16" s="35" t="s">
        <v>3589</v>
      </c>
      <c r="BW16" s="34"/>
      <c r="BX16" s="34"/>
      <c r="BY16" s="35" t="s">
        <v>3590</v>
      </c>
      <c r="BZ16" s="34"/>
      <c r="CA16" s="35" t="s">
        <v>3591</v>
      </c>
      <c r="CB16" s="38" t="s">
        <v>3942</v>
      </c>
      <c r="CC16" s="32">
        <v>100.0</v>
      </c>
      <c r="CD16" s="35" t="s">
        <v>3593</v>
      </c>
      <c r="CE16" s="50">
        <v>1300.0</v>
      </c>
      <c r="CF16" s="35" t="s">
        <v>3593</v>
      </c>
      <c r="CG16" s="35" t="s">
        <v>3594</v>
      </c>
      <c r="CH16" s="35" t="s">
        <v>3943</v>
      </c>
      <c r="CI16" s="34"/>
      <c r="CJ16" s="35" t="s">
        <v>3573</v>
      </c>
      <c r="CK16" s="38" t="s">
        <v>3942</v>
      </c>
      <c r="CL16" s="32">
        <v>20.06</v>
      </c>
      <c r="CM16" s="35" t="s">
        <v>3944</v>
      </c>
      <c r="CN16" s="35" t="s">
        <v>3591</v>
      </c>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2" t="s">
        <v>3600</v>
      </c>
      <c r="DP16" s="38" t="s">
        <v>3945</v>
      </c>
      <c r="DQ16" s="32">
        <v>19.0</v>
      </c>
      <c r="DR16" s="32">
        <v>4.0</v>
      </c>
      <c r="DS16" s="37"/>
      <c r="DT16" s="37"/>
      <c r="DU16" s="37"/>
      <c r="DV16" s="32">
        <v>19.0</v>
      </c>
      <c r="DW16" s="34"/>
      <c r="DX16" s="32">
        <v>63.0</v>
      </c>
      <c r="DY16" s="35" t="s">
        <v>3602</v>
      </c>
      <c r="DZ16" s="39">
        <v>0.94</v>
      </c>
      <c r="EA16" s="39">
        <v>0.06</v>
      </c>
      <c r="EB16" s="35" t="s">
        <v>3603</v>
      </c>
      <c r="EC16" s="39">
        <v>0.15</v>
      </c>
      <c r="ED16" s="39">
        <v>0.79</v>
      </c>
      <c r="EE16" s="50">
        <v>1300.0</v>
      </c>
      <c r="EF16" s="38" t="s">
        <v>3942</v>
      </c>
      <c r="EG16" s="35" t="s">
        <v>3594</v>
      </c>
      <c r="EH16" s="37"/>
      <c r="EI16" s="37"/>
      <c r="EJ16" s="37"/>
      <c r="EK16" s="34"/>
      <c r="EL16" s="37"/>
      <c r="EM16" s="37"/>
      <c r="EN16" s="32">
        <v>3.46</v>
      </c>
      <c r="EO16" s="32">
        <v>3.46</v>
      </c>
      <c r="EP16" s="40" t="s">
        <v>3559</v>
      </c>
    </row>
    <row r="17">
      <c r="A17" s="41">
        <v>3.0</v>
      </c>
      <c r="B17" s="42" t="s">
        <v>3946</v>
      </c>
      <c r="C17" s="43"/>
      <c r="D17" s="42" t="s">
        <v>92</v>
      </c>
      <c r="E17" s="42" t="s">
        <v>3947</v>
      </c>
      <c r="F17" s="42" t="s">
        <v>3948</v>
      </c>
      <c r="G17" s="42" t="s">
        <v>3949</v>
      </c>
      <c r="H17" s="42" t="s">
        <v>3563</v>
      </c>
      <c r="I17" s="42" t="s">
        <v>3564</v>
      </c>
      <c r="J17" s="42" t="s">
        <v>3565</v>
      </c>
      <c r="K17" s="42" t="s">
        <v>3950</v>
      </c>
      <c r="L17" s="42" t="s">
        <v>3567</v>
      </c>
      <c r="M17" s="42" t="s">
        <v>3951</v>
      </c>
      <c r="N17" s="42" t="s">
        <v>3569</v>
      </c>
      <c r="O17" s="42" t="s">
        <v>3952</v>
      </c>
      <c r="P17" s="42"/>
      <c r="R17" s="42" t="s">
        <v>3571</v>
      </c>
      <c r="S17" s="42" t="s">
        <v>3572</v>
      </c>
      <c r="T17" s="42" t="s">
        <v>3573</v>
      </c>
      <c r="U17" s="44" t="s">
        <v>3953</v>
      </c>
      <c r="V17" s="44" t="s">
        <v>3954</v>
      </c>
      <c r="W17" s="41">
        <v>20.0</v>
      </c>
      <c r="X17" s="42" t="s">
        <v>3955</v>
      </c>
      <c r="Y17" s="43"/>
      <c r="Z17" s="43"/>
      <c r="AA17" s="41">
        <v>2013.0</v>
      </c>
      <c r="AB17" s="43"/>
      <c r="AC17" s="43"/>
      <c r="AD17" s="43"/>
      <c r="AE17" s="41">
        <v>2.0</v>
      </c>
      <c r="AF17" s="45"/>
      <c r="AG17" s="45"/>
      <c r="AH17" s="45"/>
      <c r="AI17" s="45"/>
      <c r="AJ17" s="45"/>
      <c r="AK17" s="45"/>
      <c r="AL17" s="45"/>
      <c r="AM17" s="47">
        <v>1.0</v>
      </c>
      <c r="AN17" s="41" t="s">
        <v>3716</v>
      </c>
      <c r="AO17" s="42" t="s">
        <v>3956</v>
      </c>
      <c r="AP17" s="42" t="s">
        <v>94</v>
      </c>
      <c r="AQ17" s="42" t="s">
        <v>3579</v>
      </c>
      <c r="AR17" s="42" t="s">
        <v>95</v>
      </c>
      <c r="AS17" s="43">
        <f>+ 571-5448299</f>
        <v>-5447728</v>
      </c>
      <c r="AT17" s="42" t="s">
        <v>3957</v>
      </c>
      <c r="AU17" s="42" t="s">
        <v>3958</v>
      </c>
      <c r="AV17" s="43"/>
      <c r="AW17" s="42" t="s">
        <v>137</v>
      </c>
      <c r="AX17" s="43"/>
      <c r="AY17" s="41">
        <v>4453001.0</v>
      </c>
      <c r="AZ17" s="42" t="s">
        <v>41</v>
      </c>
      <c r="BA17" s="45" t="str">
        <f>+972 (0)4 689 1247</f>
        <v>#ERROR!</v>
      </c>
      <c r="BB17" s="45"/>
      <c r="BC17" s="42" t="s">
        <v>99</v>
      </c>
      <c r="BD17" s="42" t="s">
        <v>3584</v>
      </c>
      <c r="BE17" s="42" t="s">
        <v>3584</v>
      </c>
      <c r="BF17" s="42" t="s">
        <v>3959</v>
      </c>
      <c r="BG17" s="42" t="s">
        <v>3960</v>
      </c>
      <c r="BH17" s="41">
        <v>7.0</v>
      </c>
      <c r="BI17" s="43"/>
      <c r="BJ17" s="42" t="s">
        <v>3961</v>
      </c>
      <c r="BK17" s="43"/>
      <c r="BL17" s="42" t="s">
        <v>3962</v>
      </c>
      <c r="BM17" s="42" t="s">
        <v>3963</v>
      </c>
      <c r="BN17" s="43"/>
      <c r="BO17" s="43"/>
      <c r="BP17" s="42" t="s">
        <v>3964</v>
      </c>
      <c r="BQ17" s="46" t="s">
        <v>3965</v>
      </c>
      <c r="BR17" s="45"/>
      <c r="BS17" s="43"/>
      <c r="BT17" s="45"/>
      <c r="BU17" s="43"/>
      <c r="BV17" s="42" t="s">
        <v>3589</v>
      </c>
      <c r="BW17" s="43"/>
      <c r="BX17" s="43"/>
      <c r="BY17" s="42" t="s">
        <v>3590</v>
      </c>
      <c r="BZ17" s="43"/>
      <c r="CA17" s="42" t="s">
        <v>3591</v>
      </c>
      <c r="CB17" s="45"/>
      <c r="CC17" s="45"/>
      <c r="CD17" s="43"/>
      <c r="CE17" s="45"/>
      <c r="CF17" s="43"/>
      <c r="CG17" s="42" t="s">
        <v>3594</v>
      </c>
      <c r="CH17" s="42" t="s">
        <v>3595</v>
      </c>
      <c r="CI17" s="43"/>
      <c r="CJ17" s="42" t="s">
        <v>3573</v>
      </c>
      <c r="CK17" s="45"/>
      <c r="CL17" s="45"/>
      <c r="CM17" s="43"/>
      <c r="CN17" s="42" t="s">
        <v>3966</v>
      </c>
      <c r="CO17" s="47">
        <v>0.0102</v>
      </c>
      <c r="CP17" s="41">
        <v>97.0</v>
      </c>
      <c r="CQ17" s="47">
        <v>0.0</v>
      </c>
      <c r="CR17" s="47">
        <v>0.0</v>
      </c>
      <c r="CS17" s="47">
        <v>0.0102</v>
      </c>
      <c r="CT17" s="41">
        <v>97.0</v>
      </c>
      <c r="CU17" s="45"/>
      <c r="CV17" s="45"/>
      <c r="CW17" s="47">
        <v>0.0102</v>
      </c>
      <c r="CX17" s="41">
        <v>98.0</v>
      </c>
      <c r="CY17" s="41" t="s">
        <v>3967</v>
      </c>
      <c r="CZ17" s="41">
        <v>90.0</v>
      </c>
      <c r="DA17" s="41" t="s">
        <v>3598</v>
      </c>
      <c r="DB17" s="47">
        <v>0.0</v>
      </c>
      <c r="DC17" s="41" t="s">
        <v>3967</v>
      </c>
      <c r="DD17" s="41">
        <v>90.0</v>
      </c>
      <c r="DE17" s="45"/>
      <c r="DF17" s="45"/>
      <c r="DG17" s="41" t="s">
        <v>3967</v>
      </c>
      <c r="DH17" s="41">
        <v>88.0</v>
      </c>
      <c r="DI17" s="45"/>
      <c r="DJ17" s="45"/>
      <c r="DK17" s="45"/>
      <c r="DL17" s="41">
        <v>205.0</v>
      </c>
      <c r="DM17" s="41">
        <v>2.0</v>
      </c>
      <c r="DN17" s="47">
        <v>0.0099</v>
      </c>
      <c r="DO17" s="41" t="s">
        <v>3600</v>
      </c>
      <c r="DP17" s="46" t="s">
        <v>3968</v>
      </c>
      <c r="DQ17" s="41">
        <v>1.0</v>
      </c>
      <c r="DR17" s="41">
        <v>1.0</v>
      </c>
      <c r="DS17" s="41">
        <v>1.0</v>
      </c>
      <c r="DT17" s="45"/>
      <c r="DU17" s="45"/>
      <c r="DV17" s="45"/>
      <c r="DW17" s="43"/>
      <c r="DX17" s="41">
        <v>87.0</v>
      </c>
      <c r="DY17" s="42" t="s">
        <v>3602</v>
      </c>
      <c r="DZ17" s="47">
        <v>0.78</v>
      </c>
      <c r="EA17" s="47">
        <v>0.22</v>
      </c>
      <c r="EB17" s="42" t="s">
        <v>3603</v>
      </c>
      <c r="EC17" s="47">
        <v>0.01</v>
      </c>
      <c r="ED17" s="47">
        <v>0.77</v>
      </c>
      <c r="EE17" s="45"/>
      <c r="EF17" s="45"/>
      <c r="EG17" s="43"/>
      <c r="EH17" s="45"/>
      <c r="EI17" s="45"/>
      <c r="EJ17" s="45"/>
      <c r="EK17" s="43"/>
      <c r="EL17" s="45"/>
      <c r="EM17" s="45"/>
      <c r="EN17" s="45"/>
      <c r="EO17" s="45"/>
      <c r="EP17" s="48" t="s">
        <v>3559</v>
      </c>
    </row>
    <row r="18">
      <c r="A18" s="32">
        <v>16.32</v>
      </c>
      <c r="B18" s="35" t="s">
        <v>3969</v>
      </c>
      <c r="C18" s="34"/>
      <c r="D18" s="34"/>
      <c r="E18" s="35" t="s">
        <v>3970</v>
      </c>
      <c r="F18" s="35" t="s">
        <v>3971</v>
      </c>
      <c r="G18" s="35" t="s">
        <v>3972</v>
      </c>
      <c r="H18" s="35" t="s">
        <v>3563</v>
      </c>
      <c r="I18" s="35" t="s">
        <v>3564</v>
      </c>
      <c r="J18" s="35" t="s">
        <v>3565</v>
      </c>
      <c r="K18" s="35" t="s">
        <v>3973</v>
      </c>
      <c r="L18" s="35" t="s">
        <v>3974</v>
      </c>
      <c r="M18" s="35" t="s">
        <v>3975</v>
      </c>
      <c r="N18" s="35" t="s">
        <v>3569</v>
      </c>
      <c r="O18" s="35" t="s">
        <v>3976</v>
      </c>
      <c r="P18" s="35"/>
      <c r="R18" s="35" t="s">
        <v>3571</v>
      </c>
      <c r="S18" s="35" t="s">
        <v>3572</v>
      </c>
      <c r="T18" s="35" t="s">
        <v>3573</v>
      </c>
      <c r="U18" s="36" t="s">
        <v>3977</v>
      </c>
      <c r="V18" s="36" t="s">
        <v>3978</v>
      </c>
      <c r="W18" s="32">
        <v>177.0</v>
      </c>
      <c r="X18" s="35" t="s">
        <v>3979</v>
      </c>
      <c r="Y18" s="34"/>
      <c r="Z18" s="34"/>
      <c r="AA18" s="32">
        <v>2003.0</v>
      </c>
      <c r="AB18" s="34"/>
      <c r="AC18" s="34"/>
      <c r="AD18" s="34"/>
      <c r="AE18" s="37"/>
      <c r="AF18" s="37"/>
      <c r="AG18" s="37"/>
      <c r="AH18" s="37"/>
      <c r="AI18" s="37"/>
      <c r="AJ18" s="37"/>
      <c r="AK18" s="37"/>
      <c r="AL18" s="37"/>
      <c r="AM18" s="37"/>
      <c r="AN18" s="37"/>
      <c r="AO18" s="35" t="s">
        <v>3980</v>
      </c>
      <c r="AP18" s="35" t="s">
        <v>3981</v>
      </c>
      <c r="AQ18" s="35" t="s">
        <v>3982</v>
      </c>
      <c r="AR18" s="35" t="s">
        <v>3983</v>
      </c>
      <c r="AS18" s="34" t="str">
        <f>+972 (0)3 900 9500</f>
        <v>#ERROR!</v>
      </c>
      <c r="AT18" s="35" t="s">
        <v>3984</v>
      </c>
      <c r="AU18" s="35" t="s">
        <v>3985</v>
      </c>
      <c r="AV18" s="34"/>
      <c r="AW18" s="35" t="s">
        <v>3986</v>
      </c>
      <c r="AX18" s="34"/>
      <c r="AY18" s="32">
        <v>4672519.0</v>
      </c>
      <c r="AZ18" s="35" t="s">
        <v>41</v>
      </c>
      <c r="BA18" s="37" t="str">
        <f>+972 (0)3 900 9500</f>
        <v>#ERROR!</v>
      </c>
      <c r="BB18" s="37"/>
      <c r="BC18" s="35" t="s">
        <v>774</v>
      </c>
      <c r="BD18" s="35" t="s">
        <v>3584</v>
      </c>
      <c r="BE18" s="35" t="s">
        <v>3584</v>
      </c>
      <c r="BF18" s="35" t="s">
        <v>3987</v>
      </c>
      <c r="BG18" s="35" t="s">
        <v>3988</v>
      </c>
      <c r="BH18" s="32">
        <v>3.0</v>
      </c>
      <c r="BI18" s="34"/>
      <c r="BJ18" s="34"/>
      <c r="BK18" s="34"/>
      <c r="BL18" s="35" t="s">
        <v>3989</v>
      </c>
      <c r="BM18" s="34"/>
      <c r="BN18" s="34"/>
      <c r="BO18" s="34"/>
      <c r="BP18" s="34"/>
      <c r="BQ18" s="38" t="s">
        <v>3990</v>
      </c>
      <c r="BR18" s="32">
        <v>4.32</v>
      </c>
      <c r="BS18" s="35" t="s">
        <v>3593</v>
      </c>
      <c r="BT18" s="32">
        <v>12.77</v>
      </c>
      <c r="BU18" s="35" t="s">
        <v>3593</v>
      </c>
      <c r="BV18" s="35" t="s">
        <v>3669</v>
      </c>
      <c r="BW18" s="34"/>
      <c r="BX18" s="34"/>
      <c r="BY18" s="35" t="s">
        <v>3573</v>
      </c>
      <c r="BZ18" s="34"/>
      <c r="CA18" s="35" t="s">
        <v>3591</v>
      </c>
      <c r="CB18" s="38" t="s">
        <v>3991</v>
      </c>
      <c r="CC18" s="37"/>
      <c r="CD18" s="34"/>
      <c r="CE18" s="37"/>
      <c r="CF18" s="34"/>
      <c r="CG18" s="35" t="s">
        <v>3594</v>
      </c>
      <c r="CH18" s="34"/>
      <c r="CI18" s="34"/>
      <c r="CJ18" s="35" t="s">
        <v>3573</v>
      </c>
      <c r="CK18" s="37"/>
      <c r="CL18" s="37"/>
      <c r="CM18" s="34"/>
      <c r="CN18" s="35" t="s">
        <v>3591</v>
      </c>
      <c r="CO18" s="39">
        <v>0.0</v>
      </c>
      <c r="CP18" s="32">
        <v>14.0</v>
      </c>
      <c r="CQ18" s="39">
        <v>0.0</v>
      </c>
      <c r="CR18" s="39">
        <v>0.0</v>
      </c>
      <c r="CS18" s="39">
        <v>0.0</v>
      </c>
      <c r="CT18" s="32">
        <v>12.0</v>
      </c>
      <c r="CU18" s="37"/>
      <c r="CV18" s="37"/>
      <c r="CW18" s="39">
        <v>0.0</v>
      </c>
      <c r="CX18" s="32">
        <v>12.0</v>
      </c>
      <c r="CY18" s="32" t="s">
        <v>3992</v>
      </c>
      <c r="CZ18" s="32">
        <v>69.0</v>
      </c>
      <c r="DA18" s="32" t="s">
        <v>3598</v>
      </c>
      <c r="DB18" s="39">
        <v>0.0</v>
      </c>
      <c r="DC18" s="32" t="s">
        <v>3992</v>
      </c>
      <c r="DD18" s="32">
        <v>71.0</v>
      </c>
      <c r="DE18" s="37"/>
      <c r="DF18" s="37"/>
      <c r="DG18" s="32" t="s">
        <v>3992</v>
      </c>
      <c r="DH18" s="32">
        <v>70.0</v>
      </c>
      <c r="DI18" s="32">
        <v>0.0</v>
      </c>
      <c r="DJ18" s="32">
        <v>0.0</v>
      </c>
      <c r="DK18" s="39">
        <v>0.0</v>
      </c>
      <c r="DL18" s="32">
        <v>52.0</v>
      </c>
      <c r="DM18" s="32">
        <v>2.0</v>
      </c>
      <c r="DN18" s="39">
        <v>0.04</v>
      </c>
      <c r="DO18" s="32" t="s">
        <v>3600</v>
      </c>
      <c r="DP18" s="38" t="s">
        <v>3783</v>
      </c>
      <c r="DQ18" s="32">
        <v>18.0</v>
      </c>
      <c r="DR18" s="32">
        <v>8.0</v>
      </c>
      <c r="DS18" s="32">
        <v>17.0</v>
      </c>
      <c r="DT18" s="37"/>
      <c r="DU18" s="37"/>
      <c r="DV18" s="32">
        <v>1.0</v>
      </c>
      <c r="DW18" s="35" t="s">
        <v>3993</v>
      </c>
      <c r="DX18" s="32">
        <v>67.0</v>
      </c>
      <c r="DY18" s="35" t="s">
        <v>3602</v>
      </c>
      <c r="DZ18" s="39">
        <v>0.8</v>
      </c>
      <c r="EA18" s="39">
        <v>0.2</v>
      </c>
      <c r="EB18" s="35" t="s">
        <v>3603</v>
      </c>
      <c r="EC18" s="39">
        <v>0.03</v>
      </c>
      <c r="ED18" s="39">
        <v>0.77</v>
      </c>
      <c r="EE18" s="32">
        <v>26.09</v>
      </c>
      <c r="EF18" s="38" t="s">
        <v>3994</v>
      </c>
      <c r="EG18" s="35" t="s">
        <v>3594</v>
      </c>
      <c r="EH18" s="37"/>
      <c r="EI18" s="37"/>
      <c r="EJ18" s="37"/>
      <c r="EK18" s="34"/>
      <c r="EL18" s="37"/>
      <c r="EM18" s="37"/>
      <c r="EN18" s="37"/>
      <c r="EO18" s="32">
        <v>1.1</v>
      </c>
      <c r="EP18" s="40" t="s">
        <v>3559</v>
      </c>
    </row>
    <row r="19">
      <c r="A19" s="41">
        <v>65.0</v>
      </c>
      <c r="B19" s="42" t="s">
        <v>3995</v>
      </c>
      <c r="C19" s="43"/>
      <c r="D19" s="43"/>
      <c r="E19" s="42" t="s">
        <v>3996</v>
      </c>
      <c r="F19" s="42" t="s">
        <v>3997</v>
      </c>
      <c r="G19" s="42" t="s">
        <v>3998</v>
      </c>
      <c r="H19" s="42" t="s">
        <v>3563</v>
      </c>
      <c r="I19" s="42" t="s">
        <v>3609</v>
      </c>
      <c r="J19" s="42" t="s">
        <v>3610</v>
      </c>
      <c r="K19" s="42" t="s">
        <v>3999</v>
      </c>
      <c r="L19" s="42" t="s">
        <v>4000</v>
      </c>
      <c r="M19" s="42" t="s">
        <v>4001</v>
      </c>
      <c r="N19" s="42" t="s">
        <v>3569</v>
      </c>
      <c r="O19" s="42" t="s">
        <v>4002</v>
      </c>
      <c r="P19" s="42"/>
      <c r="R19" s="42" t="s">
        <v>3571</v>
      </c>
      <c r="S19" s="42" t="s">
        <v>3572</v>
      </c>
      <c r="T19" s="42" t="s">
        <v>3573</v>
      </c>
      <c r="U19" s="44" t="s">
        <v>4003</v>
      </c>
      <c r="V19" s="44" t="s">
        <v>4004</v>
      </c>
      <c r="W19" s="41">
        <v>67.0</v>
      </c>
      <c r="X19" s="42" t="s">
        <v>4005</v>
      </c>
      <c r="Y19" s="43"/>
      <c r="Z19" s="43"/>
      <c r="AA19" s="41">
        <v>2016.0</v>
      </c>
      <c r="AB19" s="43"/>
      <c r="AC19" s="43"/>
      <c r="AD19" s="43"/>
      <c r="AE19" s="45"/>
      <c r="AF19" s="45"/>
      <c r="AG19" s="45"/>
      <c r="AH19" s="45"/>
      <c r="AI19" s="45"/>
      <c r="AJ19" s="45"/>
      <c r="AK19" s="45"/>
      <c r="AL19" s="45"/>
      <c r="AM19" s="45"/>
      <c r="AN19" s="45"/>
      <c r="AO19" s="42" t="s">
        <v>4006</v>
      </c>
      <c r="AP19" s="42" t="s">
        <v>4007</v>
      </c>
      <c r="AQ19" s="42" t="s">
        <v>4008</v>
      </c>
      <c r="AR19" s="43"/>
      <c r="AS19" s="43" t="str">
        <f>+972 (0)4 959 0963</f>
        <v>#ERROR!</v>
      </c>
      <c r="AT19" s="42" t="s">
        <v>4009</v>
      </c>
      <c r="AU19" s="42" t="s">
        <v>4010</v>
      </c>
      <c r="AV19" s="43"/>
      <c r="AW19" s="42" t="s">
        <v>4011</v>
      </c>
      <c r="AX19" s="43"/>
      <c r="AY19" s="41">
        <v>2069206.0</v>
      </c>
      <c r="AZ19" s="42" t="s">
        <v>41</v>
      </c>
      <c r="BA19" s="45" t="str">
        <f>+972 (0)77 251 8840</f>
        <v>#ERROR!</v>
      </c>
      <c r="BB19" s="45" t="str">
        <f>+972 (0)77 251 8841</f>
        <v>#ERROR!</v>
      </c>
      <c r="BC19" s="42" t="s">
        <v>3142</v>
      </c>
      <c r="BD19" s="42" t="s">
        <v>3584</v>
      </c>
      <c r="BE19" s="42" t="s">
        <v>3584</v>
      </c>
      <c r="BF19" s="42" t="s">
        <v>4012</v>
      </c>
      <c r="BG19" s="42" t="s">
        <v>4013</v>
      </c>
      <c r="BH19" s="41">
        <v>3.0</v>
      </c>
      <c r="BI19" s="43"/>
      <c r="BJ19" s="43"/>
      <c r="BK19" s="43"/>
      <c r="BL19" s="42" t="s">
        <v>4014</v>
      </c>
      <c r="BM19" s="43"/>
      <c r="BN19" s="43"/>
      <c r="BO19" s="43"/>
      <c r="BP19" s="42" t="s">
        <v>3725</v>
      </c>
      <c r="BQ19" s="46" t="s">
        <v>4015</v>
      </c>
      <c r="BR19" s="41">
        <v>20.0</v>
      </c>
      <c r="BS19" s="42" t="s">
        <v>3593</v>
      </c>
      <c r="BT19" s="45"/>
      <c r="BU19" s="43"/>
      <c r="BV19" s="42" t="s">
        <v>3669</v>
      </c>
      <c r="BW19" s="42" t="s">
        <v>3595</v>
      </c>
      <c r="BX19" s="43"/>
      <c r="BY19" s="42" t="s">
        <v>3573</v>
      </c>
      <c r="BZ19" s="43"/>
      <c r="CA19" s="42" t="s">
        <v>3591</v>
      </c>
      <c r="CB19" s="46" t="s">
        <v>4016</v>
      </c>
      <c r="CC19" s="41">
        <v>30.0</v>
      </c>
      <c r="CD19" s="42" t="s">
        <v>3593</v>
      </c>
      <c r="CE19" s="45"/>
      <c r="CF19" s="43"/>
      <c r="CG19" s="42" t="s">
        <v>3594</v>
      </c>
      <c r="CH19" s="42" t="s">
        <v>4017</v>
      </c>
      <c r="CI19" s="43"/>
      <c r="CJ19" s="42" t="s">
        <v>3573</v>
      </c>
      <c r="CK19" s="45"/>
      <c r="CL19" s="45"/>
      <c r="CM19" s="43"/>
      <c r="CN19" s="42" t="s">
        <v>3591</v>
      </c>
      <c r="CO19" s="47">
        <v>-8.0E-4</v>
      </c>
      <c r="CP19" s="41">
        <v>12.0</v>
      </c>
      <c r="CQ19" s="47">
        <v>0.0</v>
      </c>
      <c r="CR19" s="47">
        <v>0.0</v>
      </c>
      <c r="CS19" s="47">
        <v>-0.0016</v>
      </c>
      <c r="CT19" s="41">
        <v>10.0</v>
      </c>
      <c r="CU19" s="45"/>
      <c r="CV19" s="45"/>
      <c r="CW19" s="47">
        <v>-0.0016</v>
      </c>
      <c r="CX19" s="41">
        <v>10.0</v>
      </c>
      <c r="CY19" s="41" t="s">
        <v>4018</v>
      </c>
      <c r="CZ19" s="41">
        <v>87.0</v>
      </c>
      <c r="DA19" s="41" t="s">
        <v>3598</v>
      </c>
      <c r="DB19" s="47">
        <v>0.0</v>
      </c>
      <c r="DC19" s="41" t="s">
        <v>4019</v>
      </c>
      <c r="DD19" s="41">
        <v>83.0</v>
      </c>
      <c r="DE19" s="45"/>
      <c r="DF19" s="45"/>
      <c r="DG19" s="41" t="s">
        <v>4019</v>
      </c>
      <c r="DH19" s="41">
        <v>81.0</v>
      </c>
      <c r="DI19" s="45"/>
      <c r="DJ19" s="45"/>
      <c r="DK19" s="45"/>
      <c r="DL19" s="41">
        <v>147.0</v>
      </c>
      <c r="DM19" s="41">
        <v>1.0</v>
      </c>
      <c r="DN19" s="47">
        <v>0.0068</v>
      </c>
      <c r="DO19" s="41" t="s">
        <v>3600</v>
      </c>
      <c r="DP19" s="46" t="s">
        <v>4020</v>
      </c>
      <c r="DQ19" s="41">
        <v>68.0</v>
      </c>
      <c r="DR19" s="41">
        <v>23.0</v>
      </c>
      <c r="DS19" s="41">
        <v>47.0</v>
      </c>
      <c r="DT19" s="41">
        <v>8.0</v>
      </c>
      <c r="DU19" s="45"/>
      <c r="DV19" s="41">
        <v>13.0</v>
      </c>
      <c r="DW19" s="42" t="s">
        <v>4021</v>
      </c>
      <c r="DX19" s="41">
        <v>67.0</v>
      </c>
      <c r="DY19" s="42" t="s">
        <v>3602</v>
      </c>
      <c r="DZ19" s="47">
        <v>0.75</v>
      </c>
      <c r="EA19" s="47">
        <v>0.25</v>
      </c>
      <c r="EB19" s="42" t="s">
        <v>3603</v>
      </c>
      <c r="EC19" s="47">
        <v>0.01</v>
      </c>
      <c r="ED19" s="47">
        <v>0.74</v>
      </c>
      <c r="EE19" s="45"/>
      <c r="EF19" s="45"/>
      <c r="EG19" s="43"/>
      <c r="EH19" s="45"/>
      <c r="EI19" s="45"/>
      <c r="EJ19" s="45"/>
      <c r="EK19" s="43"/>
      <c r="EL19" s="45"/>
      <c r="EM19" s="45"/>
      <c r="EN19" s="45"/>
      <c r="EO19" s="45"/>
      <c r="EP19" s="48" t="s">
        <v>3559</v>
      </c>
    </row>
    <row r="20">
      <c r="A20" s="32">
        <v>4.58</v>
      </c>
      <c r="B20" s="35" t="s">
        <v>1413</v>
      </c>
      <c r="C20" s="34"/>
      <c r="D20" s="34"/>
      <c r="E20" s="35" t="s">
        <v>4022</v>
      </c>
      <c r="F20" s="34"/>
      <c r="G20" s="35" t="s">
        <v>4023</v>
      </c>
      <c r="H20" s="35" t="s">
        <v>3867</v>
      </c>
      <c r="I20" s="35" t="s">
        <v>3868</v>
      </c>
      <c r="J20" s="35" t="s">
        <v>3869</v>
      </c>
      <c r="K20" s="35" t="s">
        <v>4024</v>
      </c>
      <c r="L20" s="35" t="s">
        <v>4025</v>
      </c>
      <c r="M20" s="35" t="s">
        <v>4026</v>
      </c>
      <c r="N20" s="35" t="s">
        <v>3569</v>
      </c>
      <c r="O20" s="35" t="s">
        <v>4027</v>
      </c>
      <c r="P20" s="35"/>
      <c r="R20" s="35" t="s">
        <v>3571</v>
      </c>
      <c r="S20" s="35" t="s">
        <v>3572</v>
      </c>
      <c r="T20" s="35" t="s">
        <v>3573</v>
      </c>
      <c r="U20" s="36" t="s">
        <v>4028</v>
      </c>
      <c r="V20" s="36" t="s">
        <v>4029</v>
      </c>
      <c r="W20" s="32">
        <v>31.0</v>
      </c>
      <c r="X20" s="35" t="s">
        <v>4030</v>
      </c>
      <c r="Y20" s="34"/>
      <c r="Z20" s="34"/>
      <c r="AA20" s="32">
        <v>2019.0</v>
      </c>
      <c r="AB20" s="34"/>
      <c r="AC20" s="34"/>
      <c r="AD20" s="34"/>
      <c r="AE20" s="37"/>
      <c r="AF20" s="37"/>
      <c r="AG20" s="37"/>
      <c r="AH20" s="37"/>
      <c r="AI20" s="37"/>
      <c r="AJ20" s="37"/>
      <c r="AK20" s="37"/>
      <c r="AL20" s="37"/>
      <c r="AM20" s="37"/>
      <c r="AN20" s="37"/>
      <c r="AO20" s="35" t="s">
        <v>4031</v>
      </c>
      <c r="AP20" s="35" t="s">
        <v>4032</v>
      </c>
      <c r="AQ20" s="35" t="s">
        <v>4033</v>
      </c>
      <c r="AR20" s="35" t="s">
        <v>1416</v>
      </c>
      <c r="AS20" s="34" t="str">
        <f>+972 (0)52 811 3428</f>
        <v>#ERROR!</v>
      </c>
      <c r="AT20" s="35" t="s">
        <v>3957</v>
      </c>
      <c r="AU20" s="35" t="s">
        <v>4034</v>
      </c>
      <c r="AV20" s="34"/>
      <c r="AW20" s="35" t="s">
        <v>137</v>
      </c>
      <c r="AX20" s="34"/>
      <c r="AY20" s="32">
        <v>4442211.0</v>
      </c>
      <c r="AZ20" s="35" t="s">
        <v>41</v>
      </c>
      <c r="BA20" s="37"/>
      <c r="BB20" s="37"/>
      <c r="BC20" s="35" t="s">
        <v>1419</v>
      </c>
      <c r="BD20" s="35" t="s">
        <v>3584</v>
      </c>
      <c r="BE20" s="35" t="s">
        <v>3584</v>
      </c>
      <c r="BF20" s="35" t="s">
        <v>4035</v>
      </c>
      <c r="BG20" s="35" t="s">
        <v>4036</v>
      </c>
      <c r="BH20" s="32">
        <v>19.0</v>
      </c>
      <c r="BI20" s="34"/>
      <c r="BJ20" s="35" t="s">
        <v>4037</v>
      </c>
      <c r="BK20" s="34"/>
      <c r="BL20" s="35" t="s">
        <v>4038</v>
      </c>
      <c r="BM20" s="35" t="s">
        <v>4039</v>
      </c>
      <c r="BN20" s="34"/>
      <c r="BO20" s="34"/>
      <c r="BP20" s="34"/>
      <c r="BQ20" s="37"/>
      <c r="BR20" s="37"/>
      <c r="BS20" s="34"/>
      <c r="BT20" s="37"/>
      <c r="BU20" s="34"/>
      <c r="BV20" s="35" t="s">
        <v>3669</v>
      </c>
      <c r="BW20" s="34"/>
      <c r="BX20" s="34"/>
      <c r="BY20" s="35" t="s">
        <v>3573</v>
      </c>
      <c r="BZ20" s="34"/>
      <c r="CA20" s="35" t="s">
        <v>3591</v>
      </c>
      <c r="CB20" s="38" t="s">
        <v>4040</v>
      </c>
      <c r="CC20" s="37"/>
      <c r="CD20" s="34"/>
      <c r="CE20" s="37"/>
      <c r="CF20" s="34"/>
      <c r="CG20" s="35" t="s">
        <v>3594</v>
      </c>
      <c r="CH20" s="34"/>
      <c r="CI20" s="34"/>
      <c r="CJ20" s="35" t="s">
        <v>3573</v>
      </c>
      <c r="CK20" s="37"/>
      <c r="CL20" s="37"/>
      <c r="CM20" s="34"/>
      <c r="CN20" s="35" t="s">
        <v>3591</v>
      </c>
      <c r="CO20" s="39">
        <v>-0.061</v>
      </c>
      <c r="CP20" s="32">
        <v>1.0</v>
      </c>
      <c r="CQ20" s="39">
        <v>0.0</v>
      </c>
      <c r="CR20" s="39">
        <v>0.0</v>
      </c>
      <c r="CS20" s="39">
        <v>-0.061</v>
      </c>
      <c r="CT20" s="32">
        <v>1.0</v>
      </c>
      <c r="CU20" s="37"/>
      <c r="CV20" s="37"/>
      <c r="CW20" s="39">
        <v>-0.061</v>
      </c>
      <c r="CX20" s="32">
        <v>2.0</v>
      </c>
      <c r="CY20" s="32" t="s">
        <v>4041</v>
      </c>
      <c r="CZ20" s="32">
        <v>89.0</v>
      </c>
      <c r="DA20" s="32" t="s">
        <v>3598</v>
      </c>
      <c r="DB20" s="39">
        <v>0.0</v>
      </c>
      <c r="DC20" s="32" t="s">
        <v>4041</v>
      </c>
      <c r="DD20" s="32">
        <v>89.0</v>
      </c>
      <c r="DE20" s="37"/>
      <c r="DF20" s="37"/>
      <c r="DG20" s="32" t="s">
        <v>4041</v>
      </c>
      <c r="DH20" s="32">
        <v>88.0</v>
      </c>
      <c r="DI20" s="37"/>
      <c r="DJ20" s="37"/>
      <c r="DK20" s="37"/>
      <c r="DL20" s="32">
        <v>198.0</v>
      </c>
      <c r="DM20" s="32">
        <v>-8.0</v>
      </c>
      <c r="DN20" s="39">
        <v>-0.0388</v>
      </c>
      <c r="DO20" s="32" t="s">
        <v>3600</v>
      </c>
      <c r="DP20" s="38" t="s">
        <v>4042</v>
      </c>
      <c r="DQ20" s="32">
        <v>10.0</v>
      </c>
      <c r="DR20" s="32">
        <v>2.0</v>
      </c>
      <c r="DS20" s="32">
        <v>10.0</v>
      </c>
      <c r="DT20" s="37"/>
      <c r="DU20" s="37"/>
      <c r="DV20" s="37"/>
      <c r="DW20" s="35" t="s">
        <v>4043</v>
      </c>
      <c r="DX20" s="32">
        <v>90.0</v>
      </c>
      <c r="DY20" s="35" t="s">
        <v>3602</v>
      </c>
      <c r="DZ20" s="39">
        <v>0.79</v>
      </c>
      <c r="EA20" s="39">
        <v>0.21</v>
      </c>
      <c r="EB20" s="35" t="s">
        <v>3603</v>
      </c>
      <c r="EC20" s="39">
        <v>0.05</v>
      </c>
      <c r="ED20" s="39">
        <v>0.74</v>
      </c>
      <c r="EE20" s="32">
        <v>15.21</v>
      </c>
      <c r="EF20" s="38" t="s">
        <v>4044</v>
      </c>
      <c r="EG20" s="35" t="s">
        <v>3669</v>
      </c>
      <c r="EH20" s="37"/>
      <c r="EI20" s="37"/>
      <c r="EJ20" s="37"/>
      <c r="EK20" s="35" t="s">
        <v>4045</v>
      </c>
      <c r="EL20" s="37"/>
      <c r="EM20" s="37"/>
      <c r="EN20" s="37"/>
      <c r="EO20" s="37"/>
      <c r="EP20" s="40" t="s">
        <v>3559</v>
      </c>
    </row>
    <row r="21">
      <c r="A21" s="41">
        <v>86.94</v>
      </c>
      <c r="B21" s="42" t="s">
        <v>4046</v>
      </c>
      <c r="C21" s="43"/>
      <c r="D21" s="43"/>
      <c r="E21" s="42" t="s">
        <v>4047</v>
      </c>
      <c r="F21" s="42" t="s">
        <v>4048</v>
      </c>
      <c r="G21" s="42" t="s">
        <v>4049</v>
      </c>
      <c r="H21" s="42" t="s">
        <v>3563</v>
      </c>
      <c r="I21" s="42" t="s">
        <v>3609</v>
      </c>
      <c r="J21" s="42" t="s">
        <v>4050</v>
      </c>
      <c r="K21" s="42" t="s">
        <v>4051</v>
      </c>
      <c r="L21" s="42" t="s">
        <v>4052</v>
      </c>
      <c r="M21" s="42" t="s">
        <v>4053</v>
      </c>
      <c r="N21" s="42" t="s">
        <v>3569</v>
      </c>
      <c r="O21" s="42" t="s">
        <v>4054</v>
      </c>
      <c r="P21" s="42"/>
      <c r="R21" s="42" t="s">
        <v>3571</v>
      </c>
      <c r="S21" s="42" t="s">
        <v>3572</v>
      </c>
      <c r="T21" s="42" t="s">
        <v>3573</v>
      </c>
      <c r="U21" s="44" t="s">
        <v>4055</v>
      </c>
      <c r="V21" s="44" t="s">
        <v>4056</v>
      </c>
      <c r="W21" s="41">
        <v>183.0</v>
      </c>
      <c r="X21" s="42" t="s">
        <v>4057</v>
      </c>
      <c r="Y21" s="43"/>
      <c r="Z21" s="43"/>
      <c r="AA21" s="41">
        <v>2017.0</v>
      </c>
      <c r="AB21" s="43"/>
      <c r="AC21" s="43"/>
      <c r="AD21" s="43"/>
      <c r="AE21" s="45"/>
      <c r="AF21" s="45"/>
      <c r="AG21" s="45"/>
      <c r="AH21" s="45"/>
      <c r="AI21" s="45"/>
      <c r="AJ21" s="45"/>
      <c r="AK21" s="45"/>
      <c r="AL21" s="45"/>
      <c r="AM21" s="45"/>
      <c r="AN21" s="45"/>
      <c r="AO21" s="42" t="s">
        <v>4058</v>
      </c>
      <c r="AP21" s="42" t="s">
        <v>4059</v>
      </c>
      <c r="AQ21" s="42" t="s">
        <v>3579</v>
      </c>
      <c r="AR21" s="42" t="s">
        <v>4060</v>
      </c>
      <c r="AS21" s="43" t="str">
        <f>+972 (0)0 503 5614</f>
        <v>#ERROR!</v>
      </c>
      <c r="AT21" s="42" t="s">
        <v>3581</v>
      </c>
      <c r="AU21" s="42" t="s">
        <v>4061</v>
      </c>
      <c r="AV21" s="43"/>
      <c r="AW21" s="42" t="s">
        <v>75</v>
      </c>
      <c r="AX21" s="43"/>
      <c r="AY21" s="41">
        <v>6701310.0</v>
      </c>
      <c r="AZ21" s="42" t="s">
        <v>41</v>
      </c>
      <c r="BA21" s="45" t="str">
        <f>+972 (0)0 503 5614</f>
        <v>#ERROR!</v>
      </c>
      <c r="BB21" s="45"/>
      <c r="BC21" s="42" t="s">
        <v>4062</v>
      </c>
      <c r="BD21" s="42" t="s">
        <v>3584</v>
      </c>
      <c r="BE21" s="42" t="s">
        <v>3584</v>
      </c>
      <c r="BF21" s="42" t="s">
        <v>4063</v>
      </c>
      <c r="BG21" s="42" t="s">
        <v>4064</v>
      </c>
      <c r="BH21" s="41">
        <v>18.0</v>
      </c>
      <c r="BI21" s="43"/>
      <c r="BJ21" s="42" t="s">
        <v>4065</v>
      </c>
      <c r="BK21" s="43"/>
      <c r="BL21" s="42" t="s">
        <v>4066</v>
      </c>
      <c r="BM21" s="42" t="s">
        <v>4067</v>
      </c>
      <c r="BN21" s="43"/>
      <c r="BO21" s="43"/>
      <c r="BP21" s="42" t="s">
        <v>4068</v>
      </c>
      <c r="BQ21" s="46" t="s">
        <v>4069</v>
      </c>
      <c r="BR21" s="41">
        <v>1.5</v>
      </c>
      <c r="BS21" s="42" t="s">
        <v>3593</v>
      </c>
      <c r="BT21" s="41">
        <v>6.97</v>
      </c>
      <c r="BU21" s="42" t="s">
        <v>3593</v>
      </c>
      <c r="BV21" s="42" t="s">
        <v>3698</v>
      </c>
      <c r="BW21" s="42" t="s">
        <v>3698</v>
      </c>
      <c r="BX21" s="43"/>
      <c r="BY21" s="42" t="s">
        <v>3573</v>
      </c>
      <c r="BZ21" s="42" t="s">
        <v>4070</v>
      </c>
      <c r="CA21" s="42" t="s">
        <v>3591</v>
      </c>
      <c r="CB21" s="46" t="s">
        <v>4071</v>
      </c>
      <c r="CC21" s="41">
        <v>38.94</v>
      </c>
      <c r="CD21" s="42" t="s">
        <v>3593</v>
      </c>
      <c r="CE21" s="41">
        <v>186.58</v>
      </c>
      <c r="CF21" s="42" t="s">
        <v>3593</v>
      </c>
      <c r="CG21" s="42" t="s">
        <v>3594</v>
      </c>
      <c r="CH21" s="42" t="s">
        <v>4072</v>
      </c>
      <c r="CI21" s="43"/>
      <c r="CJ21" s="42" t="s">
        <v>3573</v>
      </c>
      <c r="CK21" s="46" t="s">
        <v>4073</v>
      </c>
      <c r="CL21" s="41">
        <v>2.0</v>
      </c>
      <c r="CM21" s="43"/>
      <c r="CN21" s="42" t="s">
        <v>3591</v>
      </c>
      <c r="CO21" s="47">
        <v>0.004</v>
      </c>
      <c r="CP21" s="41">
        <v>92.0</v>
      </c>
      <c r="CQ21" s="47">
        <v>0.0</v>
      </c>
      <c r="CR21" s="47">
        <v>0.0</v>
      </c>
      <c r="CS21" s="47">
        <v>0.0051</v>
      </c>
      <c r="CT21" s="41">
        <v>94.0</v>
      </c>
      <c r="CU21" s="47">
        <v>0.0</v>
      </c>
      <c r="CV21" s="41">
        <v>10.0</v>
      </c>
      <c r="CW21" s="47">
        <v>0.0103</v>
      </c>
      <c r="CX21" s="41">
        <v>98.0</v>
      </c>
      <c r="CY21" s="41" t="s">
        <v>4074</v>
      </c>
      <c r="CZ21" s="41">
        <v>94.0</v>
      </c>
      <c r="DA21" s="41" t="s">
        <v>3598</v>
      </c>
      <c r="DB21" s="47">
        <v>0.0</v>
      </c>
      <c r="DC21" s="41" t="s">
        <v>4075</v>
      </c>
      <c r="DD21" s="41">
        <v>82.0</v>
      </c>
      <c r="DE21" s="41" t="s">
        <v>4076</v>
      </c>
      <c r="DF21" s="41">
        <v>79.0</v>
      </c>
      <c r="DG21" s="41" t="s">
        <v>4077</v>
      </c>
      <c r="DH21" s="41">
        <v>86.0</v>
      </c>
      <c r="DI21" s="41">
        <v>494.0</v>
      </c>
      <c r="DJ21" s="41">
        <v>89.0</v>
      </c>
      <c r="DK21" s="47">
        <v>0.2198</v>
      </c>
      <c r="DL21" s="41">
        <v>179.0</v>
      </c>
      <c r="DM21" s="41">
        <v>2.0</v>
      </c>
      <c r="DN21" s="47">
        <v>0.0113</v>
      </c>
      <c r="DO21" s="41" t="s">
        <v>3600</v>
      </c>
      <c r="DP21" s="46" t="s">
        <v>3833</v>
      </c>
      <c r="DQ21" s="41">
        <v>12.0</v>
      </c>
      <c r="DR21" s="41">
        <v>6.0</v>
      </c>
      <c r="DS21" s="41">
        <v>10.0</v>
      </c>
      <c r="DT21" s="41">
        <v>2.0</v>
      </c>
      <c r="DU21" s="45"/>
      <c r="DV21" s="45"/>
      <c r="DW21" s="42" t="s">
        <v>4078</v>
      </c>
      <c r="DX21" s="41">
        <v>86.0</v>
      </c>
      <c r="DY21" s="42" t="s">
        <v>3602</v>
      </c>
      <c r="DZ21" s="47">
        <v>0.98</v>
      </c>
      <c r="EA21" s="47">
        <v>0.02</v>
      </c>
      <c r="EB21" s="42" t="s">
        <v>3603</v>
      </c>
      <c r="EC21" s="47">
        <v>0.28</v>
      </c>
      <c r="ED21" s="47">
        <v>0.7</v>
      </c>
      <c r="EE21" s="41">
        <v>186.58</v>
      </c>
      <c r="EF21" s="46" t="s">
        <v>4071</v>
      </c>
      <c r="EG21" s="42" t="s">
        <v>3594</v>
      </c>
      <c r="EH21" s="45"/>
      <c r="EI21" s="45"/>
      <c r="EJ21" s="45"/>
      <c r="EK21" s="43"/>
      <c r="EL21" s="45"/>
      <c r="EM21" s="45"/>
      <c r="EN21" s="41">
        <v>1.32</v>
      </c>
      <c r="EO21" s="41">
        <v>1.32</v>
      </c>
      <c r="EP21" s="48" t="s">
        <v>3559</v>
      </c>
    </row>
    <row r="22">
      <c r="A22" s="32">
        <v>81.55</v>
      </c>
      <c r="B22" s="35" t="s">
        <v>4079</v>
      </c>
      <c r="C22" s="34"/>
      <c r="D22" s="34"/>
      <c r="E22" s="35" t="s">
        <v>4080</v>
      </c>
      <c r="F22" s="35" t="s">
        <v>4081</v>
      </c>
      <c r="G22" s="35" t="s">
        <v>4082</v>
      </c>
      <c r="H22" s="35" t="s">
        <v>3563</v>
      </c>
      <c r="I22" s="35" t="s">
        <v>3609</v>
      </c>
      <c r="J22" s="35" t="s">
        <v>3610</v>
      </c>
      <c r="K22" s="35" t="s">
        <v>4083</v>
      </c>
      <c r="L22" s="35" t="s">
        <v>4084</v>
      </c>
      <c r="M22" s="35" t="s">
        <v>4085</v>
      </c>
      <c r="N22" s="35" t="s">
        <v>3569</v>
      </c>
      <c r="O22" s="35" t="s">
        <v>4086</v>
      </c>
      <c r="P22" s="35"/>
      <c r="R22" s="35" t="s">
        <v>3571</v>
      </c>
      <c r="S22" s="35" t="s">
        <v>3572</v>
      </c>
      <c r="T22" s="35" t="s">
        <v>3573</v>
      </c>
      <c r="U22" s="36" t="s">
        <v>4087</v>
      </c>
      <c r="V22" s="36" t="s">
        <v>4088</v>
      </c>
      <c r="W22" s="32">
        <v>97.0</v>
      </c>
      <c r="X22" s="35" t="s">
        <v>4089</v>
      </c>
      <c r="Y22" s="34"/>
      <c r="Z22" s="34"/>
      <c r="AA22" s="32">
        <v>2016.0</v>
      </c>
      <c r="AB22" s="34"/>
      <c r="AC22" s="34"/>
      <c r="AD22" s="35" t="s">
        <v>4090</v>
      </c>
      <c r="AE22" s="37"/>
      <c r="AF22" s="37"/>
      <c r="AG22" s="37"/>
      <c r="AH22" s="37"/>
      <c r="AI22" s="37"/>
      <c r="AJ22" s="37"/>
      <c r="AK22" s="37"/>
      <c r="AL22" s="37"/>
      <c r="AM22" s="37"/>
      <c r="AN22" s="37"/>
      <c r="AO22" s="35" t="s">
        <v>4091</v>
      </c>
      <c r="AP22" s="35" t="s">
        <v>4092</v>
      </c>
      <c r="AQ22" s="35" t="s">
        <v>4093</v>
      </c>
      <c r="AR22" s="35" t="s">
        <v>4094</v>
      </c>
      <c r="AS22" s="34" t="str">
        <f>+972 (0)52 281 3733</f>
        <v>#ERROR!</v>
      </c>
      <c r="AT22" s="35" t="s">
        <v>4095</v>
      </c>
      <c r="AU22" s="35" t="s">
        <v>4096</v>
      </c>
      <c r="AV22" s="35" t="s">
        <v>4097</v>
      </c>
      <c r="AW22" s="35" t="s">
        <v>323</v>
      </c>
      <c r="AX22" s="34"/>
      <c r="AY22" s="32">
        <v>5885825.0</v>
      </c>
      <c r="AZ22" s="35" t="s">
        <v>41</v>
      </c>
      <c r="BA22" s="37" t="str">
        <f>+972 (0)52 281 3733</f>
        <v>#ERROR!</v>
      </c>
      <c r="BB22" s="37"/>
      <c r="BC22" s="35" t="s">
        <v>324</v>
      </c>
      <c r="BD22" s="35" t="s">
        <v>3584</v>
      </c>
      <c r="BE22" s="35" t="s">
        <v>3584</v>
      </c>
      <c r="BF22" s="35" t="s">
        <v>4098</v>
      </c>
      <c r="BG22" s="35" t="s">
        <v>4099</v>
      </c>
      <c r="BH22" s="32">
        <v>6.0</v>
      </c>
      <c r="BI22" s="34"/>
      <c r="BJ22" s="34"/>
      <c r="BK22" s="34"/>
      <c r="BL22" s="35" t="s">
        <v>4100</v>
      </c>
      <c r="BM22" s="34"/>
      <c r="BN22" s="34"/>
      <c r="BO22" s="34"/>
      <c r="BP22" s="34"/>
      <c r="BQ22" s="38" t="s">
        <v>4101</v>
      </c>
      <c r="BR22" s="37"/>
      <c r="BS22" s="34"/>
      <c r="BT22" s="37"/>
      <c r="BU22" s="34"/>
      <c r="BV22" s="35" t="s">
        <v>4102</v>
      </c>
      <c r="BW22" s="34"/>
      <c r="BX22" s="34"/>
      <c r="BY22" s="35" t="s">
        <v>3590</v>
      </c>
      <c r="BZ22" s="34"/>
      <c r="CA22" s="35" t="s">
        <v>3591</v>
      </c>
      <c r="CB22" s="38" t="s">
        <v>4103</v>
      </c>
      <c r="CC22" s="32">
        <v>51.0</v>
      </c>
      <c r="CD22" s="35" t="s">
        <v>3593</v>
      </c>
      <c r="CE22" s="37"/>
      <c r="CF22" s="34"/>
      <c r="CG22" s="35" t="s">
        <v>3594</v>
      </c>
      <c r="CH22" s="35" t="s">
        <v>4072</v>
      </c>
      <c r="CI22" s="34"/>
      <c r="CJ22" s="35" t="s">
        <v>3573</v>
      </c>
      <c r="CK22" s="37"/>
      <c r="CL22" s="37"/>
      <c r="CM22" s="34"/>
      <c r="CN22" s="35" t="s">
        <v>3591</v>
      </c>
      <c r="CO22" s="39">
        <v>0.002</v>
      </c>
      <c r="CP22" s="32">
        <v>88.0</v>
      </c>
      <c r="CQ22" s="39">
        <v>0.0</v>
      </c>
      <c r="CR22" s="39">
        <v>0.0</v>
      </c>
      <c r="CS22" s="39">
        <v>0.0052</v>
      </c>
      <c r="CT22" s="32">
        <v>94.0</v>
      </c>
      <c r="CU22" s="37"/>
      <c r="CV22" s="37"/>
      <c r="CW22" s="39">
        <v>0.0052</v>
      </c>
      <c r="CX22" s="32">
        <v>94.0</v>
      </c>
      <c r="CY22" s="32" t="s">
        <v>4104</v>
      </c>
      <c r="CZ22" s="32">
        <v>92.0</v>
      </c>
      <c r="DA22" s="32" t="s">
        <v>3598</v>
      </c>
      <c r="DB22" s="39">
        <v>0.0</v>
      </c>
      <c r="DC22" s="32" t="s">
        <v>4105</v>
      </c>
      <c r="DD22" s="32">
        <v>91.0</v>
      </c>
      <c r="DE22" s="37"/>
      <c r="DF22" s="37"/>
      <c r="DG22" s="32" t="s">
        <v>4105</v>
      </c>
      <c r="DH22" s="32">
        <v>89.0</v>
      </c>
      <c r="DI22" s="37"/>
      <c r="DJ22" s="37"/>
      <c r="DK22" s="37"/>
      <c r="DL22" s="32">
        <v>221.0</v>
      </c>
      <c r="DM22" s="32">
        <v>2.0</v>
      </c>
      <c r="DN22" s="39">
        <v>0.0091</v>
      </c>
      <c r="DO22" s="32" t="s">
        <v>3600</v>
      </c>
      <c r="DP22" s="38" t="s">
        <v>4020</v>
      </c>
      <c r="DQ22" s="32">
        <v>147.0</v>
      </c>
      <c r="DR22" s="32">
        <v>20.0</v>
      </c>
      <c r="DS22" s="32">
        <v>67.0</v>
      </c>
      <c r="DT22" s="32">
        <v>43.0</v>
      </c>
      <c r="DU22" s="32">
        <v>1.0</v>
      </c>
      <c r="DV22" s="32">
        <v>37.0</v>
      </c>
      <c r="DW22" s="35" t="s">
        <v>4106</v>
      </c>
      <c r="DX22" s="32">
        <v>65.0</v>
      </c>
      <c r="DY22" s="35" t="s">
        <v>3602</v>
      </c>
      <c r="DZ22" s="39">
        <v>0.77</v>
      </c>
      <c r="EA22" s="39">
        <v>0.23</v>
      </c>
      <c r="EB22" s="35" t="s">
        <v>3603</v>
      </c>
      <c r="EC22" s="39">
        <v>0.07</v>
      </c>
      <c r="ED22" s="39">
        <v>0.7</v>
      </c>
      <c r="EE22" s="32">
        <v>65.76</v>
      </c>
      <c r="EF22" s="38" t="s">
        <v>4107</v>
      </c>
      <c r="EG22" s="35" t="s">
        <v>3669</v>
      </c>
      <c r="EH22" s="37"/>
      <c r="EI22" s="37"/>
      <c r="EJ22" s="37"/>
      <c r="EK22" s="35" t="s">
        <v>4108</v>
      </c>
      <c r="EL22" s="37"/>
      <c r="EM22" s="37"/>
      <c r="EN22" s="37"/>
      <c r="EO22" s="37"/>
      <c r="EP22" s="40" t="s">
        <v>3559</v>
      </c>
    </row>
    <row r="23">
      <c r="A23" s="41">
        <v>96.1</v>
      </c>
      <c r="B23" s="42" t="s">
        <v>372</v>
      </c>
      <c r="C23" s="43"/>
      <c r="D23" s="43"/>
      <c r="E23" s="42" t="s">
        <v>4109</v>
      </c>
      <c r="F23" s="43"/>
      <c r="G23" s="42" t="s">
        <v>4110</v>
      </c>
      <c r="H23" s="42" t="s">
        <v>3563</v>
      </c>
      <c r="I23" s="42" t="s">
        <v>351</v>
      </c>
      <c r="J23" s="42" t="s">
        <v>4111</v>
      </c>
      <c r="K23" s="42" t="s">
        <v>4112</v>
      </c>
      <c r="L23" s="42" t="s">
        <v>4113</v>
      </c>
      <c r="M23" s="42" t="s">
        <v>4114</v>
      </c>
      <c r="N23" s="42" t="s">
        <v>3569</v>
      </c>
      <c r="O23" s="42" t="s">
        <v>4115</v>
      </c>
      <c r="P23" s="42"/>
      <c r="R23" s="42" t="s">
        <v>3571</v>
      </c>
      <c r="S23" s="42" t="s">
        <v>3572</v>
      </c>
      <c r="T23" s="42" t="s">
        <v>3573</v>
      </c>
      <c r="U23" s="44" t="s">
        <v>4116</v>
      </c>
      <c r="V23" s="44" t="s">
        <v>4117</v>
      </c>
      <c r="W23" s="41">
        <v>98.0</v>
      </c>
      <c r="X23" s="42" t="s">
        <v>4118</v>
      </c>
      <c r="Y23" s="43"/>
      <c r="Z23" s="43"/>
      <c r="AA23" s="41">
        <v>2017.0</v>
      </c>
      <c r="AB23" s="43"/>
      <c r="AC23" s="43"/>
      <c r="AD23" s="43"/>
      <c r="AE23" s="45"/>
      <c r="AF23" s="45"/>
      <c r="AG23" s="45"/>
      <c r="AH23" s="45"/>
      <c r="AI23" s="45"/>
      <c r="AJ23" s="45"/>
      <c r="AK23" s="45"/>
      <c r="AL23" s="45"/>
      <c r="AM23" s="45"/>
      <c r="AN23" s="45"/>
      <c r="AO23" s="42" t="s">
        <v>4119</v>
      </c>
      <c r="AP23" s="42" t="s">
        <v>374</v>
      </c>
      <c r="AQ23" s="42" t="s">
        <v>3579</v>
      </c>
      <c r="AR23" s="42" t="s">
        <v>4120</v>
      </c>
      <c r="AS23" s="43"/>
      <c r="AT23" s="42" t="s">
        <v>3581</v>
      </c>
      <c r="AU23" s="42" t="s">
        <v>4121</v>
      </c>
      <c r="AV23" s="43"/>
      <c r="AW23" s="42" t="s">
        <v>75</v>
      </c>
      <c r="AX23" s="43"/>
      <c r="AY23" s="45"/>
      <c r="AZ23" s="42" t="s">
        <v>41</v>
      </c>
      <c r="BA23" s="45"/>
      <c r="BB23" s="45"/>
      <c r="BC23" s="42" t="s">
        <v>377</v>
      </c>
      <c r="BD23" s="42" t="s">
        <v>3584</v>
      </c>
      <c r="BE23" s="42" t="s">
        <v>3584</v>
      </c>
      <c r="BF23" s="42" t="s">
        <v>4122</v>
      </c>
      <c r="BG23" s="42" t="s">
        <v>4123</v>
      </c>
      <c r="BH23" s="41">
        <v>22.0</v>
      </c>
      <c r="BI23" s="43"/>
      <c r="BJ23" s="43"/>
      <c r="BK23" s="43"/>
      <c r="BL23" s="42" t="s">
        <v>4124</v>
      </c>
      <c r="BM23" s="43"/>
      <c r="BN23" s="43"/>
      <c r="BO23" s="43"/>
      <c r="BP23" s="42" t="s">
        <v>3725</v>
      </c>
      <c r="BQ23" s="46" t="s">
        <v>4125</v>
      </c>
      <c r="BR23" s="45"/>
      <c r="BS23" s="43"/>
      <c r="BT23" s="45"/>
      <c r="BU23" s="43"/>
      <c r="BV23" s="42" t="s">
        <v>3589</v>
      </c>
      <c r="BW23" s="43"/>
      <c r="BX23" s="43"/>
      <c r="BY23" s="42" t="s">
        <v>3590</v>
      </c>
      <c r="BZ23" s="43"/>
      <c r="CA23" s="42" t="s">
        <v>3591</v>
      </c>
      <c r="CB23" s="45"/>
      <c r="CC23" s="45"/>
      <c r="CD23" s="43"/>
      <c r="CE23" s="45"/>
      <c r="CF23" s="43"/>
      <c r="CG23" s="42" t="s">
        <v>3589</v>
      </c>
      <c r="CH23" s="43"/>
      <c r="CI23" s="43"/>
      <c r="CJ23" s="42" t="s">
        <v>3590</v>
      </c>
      <c r="CK23" s="45"/>
      <c r="CL23" s="45"/>
      <c r="CM23" s="43"/>
      <c r="CN23" s="42" t="s">
        <v>3591</v>
      </c>
      <c r="CO23" s="47">
        <v>-0.0048</v>
      </c>
      <c r="CP23" s="41">
        <v>8.0</v>
      </c>
      <c r="CQ23" s="47">
        <v>7.0E-4</v>
      </c>
      <c r="CR23" s="47">
        <v>0.1249</v>
      </c>
      <c r="CS23" s="47">
        <v>-0.0071</v>
      </c>
      <c r="CT23" s="41">
        <v>6.0</v>
      </c>
      <c r="CU23" s="45"/>
      <c r="CV23" s="45"/>
      <c r="CW23" s="47">
        <v>-0.0071</v>
      </c>
      <c r="CX23" s="41">
        <v>6.0</v>
      </c>
      <c r="CY23" s="41" t="s">
        <v>4126</v>
      </c>
      <c r="CZ23" s="41">
        <v>91.0</v>
      </c>
      <c r="DA23" s="41" t="s">
        <v>3598</v>
      </c>
      <c r="DB23" s="47">
        <v>0.0</v>
      </c>
      <c r="DC23" s="41" t="s">
        <v>4127</v>
      </c>
      <c r="DD23" s="41">
        <v>86.0</v>
      </c>
      <c r="DE23" s="45"/>
      <c r="DF23" s="45"/>
      <c r="DG23" s="41" t="s">
        <v>4127</v>
      </c>
      <c r="DH23" s="41">
        <v>84.0</v>
      </c>
      <c r="DI23" s="45"/>
      <c r="DJ23" s="45"/>
      <c r="DK23" s="45"/>
      <c r="DL23" s="41">
        <v>170.0</v>
      </c>
      <c r="DM23" s="41">
        <v>0.0</v>
      </c>
      <c r="DN23" s="47">
        <v>0.0</v>
      </c>
      <c r="DO23" s="41" t="s">
        <v>3600</v>
      </c>
      <c r="DP23" s="46" t="s">
        <v>4128</v>
      </c>
      <c r="DQ23" s="41">
        <v>119.0</v>
      </c>
      <c r="DR23" s="41">
        <v>26.0</v>
      </c>
      <c r="DS23" s="41">
        <v>65.0</v>
      </c>
      <c r="DT23" s="41">
        <v>35.0</v>
      </c>
      <c r="DU23" s="45"/>
      <c r="DV23" s="41">
        <v>19.0</v>
      </c>
      <c r="DW23" s="42" t="s">
        <v>4129</v>
      </c>
      <c r="DX23" s="41">
        <v>71.0</v>
      </c>
      <c r="DY23" s="42" t="s">
        <v>3602</v>
      </c>
      <c r="DZ23" s="47">
        <v>0.79</v>
      </c>
      <c r="EA23" s="47">
        <v>0.21</v>
      </c>
      <c r="EB23" s="42" t="s">
        <v>3603</v>
      </c>
      <c r="EC23" s="47">
        <v>0.09</v>
      </c>
      <c r="ED23" s="47">
        <v>0.7</v>
      </c>
      <c r="EE23" s="41">
        <v>8.9</v>
      </c>
      <c r="EF23" s="46" t="s">
        <v>4130</v>
      </c>
      <c r="EG23" s="42" t="s">
        <v>3698</v>
      </c>
      <c r="EH23" s="45"/>
      <c r="EI23" s="45"/>
      <c r="EJ23" s="45"/>
      <c r="EK23" s="43"/>
      <c r="EL23" s="45"/>
      <c r="EM23" s="45"/>
      <c r="EN23" s="45"/>
      <c r="EO23" s="45"/>
      <c r="EP23" s="48" t="s">
        <v>3559</v>
      </c>
    </row>
    <row r="24">
      <c r="A24" s="32">
        <v>37.0</v>
      </c>
      <c r="B24" s="35" t="s">
        <v>4131</v>
      </c>
      <c r="C24" s="34"/>
      <c r="D24" s="35" t="s">
        <v>2134</v>
      </c>
      <c r="E24" s="35" t="s">
        <v>4132</v>
      </c>
      <c r="F24" s="35" t="s">
        <v>4133</v>
      </c>
      <c r="G24" s="35" t="s">
        <v>4134</v>
      </c>
      <c r="H24" s="35" t="s">
        <v>3563</v>
      </c>
      <c r="I24" s="35" t="s">
        <v>3564</v>
      </c>
      <c r="J24" s="35" t="s">
        <v>3642</v>
      </c>
      <c r="K24" s="35" t="s">
        <v>4135</v>
      </c>
      <c r="L24" s="35" t="s">
        <v>4136</v>
      </c>
      <c r="M24" s="35" t="s">
        <v>4137</v>
      </c>
      <c r="N24" s="35" t="s">
        <v>3569</v>
      </c>
      <c r="O24" s="35" t="s">
        <v>4138</v>
      </c>
      <c r="P24" s="35"/>
      <c r="R24" s="35" t="s">
        <v>3571</v>
      </c>
      <c r="S24" s="35" t="s">
        <v>3572</v>
      </c>
      <c r="T24" s="35" t="s">
        <v>3738</v>
      </c>
      <c r="U24" s="36" t="s">
        <v>4139</v>
      </c>
      <c r="V24" s="36" t="s">
        <v>4140</v>
      </c>
      <c r="W24" s="32">
        <v>27.0</v>
      </c>
      <c r="X24" s="35" t="s">
        <v>4141</v>
      </c>
      <c r="Y24" s="34"/>
      <c r="Z24" s="34"/>
      <c r="AA24" s="32">
        <v>2015.0</v>
      </c>
      <c r="AB24" s="34"/>
      <c r="AC24" s="34"/>
      <c r="AD24" s="34"/>
      <c r="AE24" s="37"/>
      <c r="AF24" s="37"/>
      <c r="AG24" s="37"/>
      <c r="AH24" s="37"/>
      <c r="AI24" s="37"/>
      <c r="AJ24" s="37"/>
      <c r="AK24" s="37"/>
      <c r="AL24" s="37"/>
      <c r="AM24" s="37"/>
      <c r="AN24" s="37"/>
      <c r="AO24" s="35" t="s">
        <v>4142</v>
      </c>
      <c r="AP24" s="35" t="s">
        <v>4143</v>
      </c>
      <c r="AQ24" s="35" t="s">
        <v>4144</v>
      </c>
      <c r="AR24" s="35" t="s">
        <v>4145</v>
      </c>
      <c r="AS24" s="34" t="str">
        <f>+972 (0)9 886 6113</f>
        <v>#ERROR!</v>
      </c>
      <c r="AT24" s="35" t="s">
        <v>4146</v>
      </c>
      <c r="AU24" s="35" t="s">
        <v>4147</v>
      </c>
      <c r="AV24" s="34"/>
      <c r="AW24" s="35" t="s">
        <v>1247</v>
      </c>
      <c r="AX24" s="34"/>
      <c r="AY24" s="32">
        <v>4527713.0</v>
      </c>
      <c r="AZ24" s="35" t="s">
        <v>41</v>
      </c>
      <c r="BA24" s="37" t="str">
        <f>+972 (0)9 886 6113</f>
        <v>#ERROR!</v>
      </c>
      <c r="BB24" s="37"/>
      <c r="BC24" s="35" t="s">
        <v>2140</v>
      </c>
      <c r="BD24" s="35" t="s">
        <v>3584</v>
      </c>
      <c r="BE24" s="35" t="s">
        <v>3584</v>
      </c>
      <c r="BF24" s="35" t="s">
        <v>4148</v>
      </c>
      <c r="BG24" s="35" t="s">
        <v>4149</v>
      </c>
      <c r="BH24" s="32">
        <v>10.0</v>
      </c>
      <c r="BI24" s="34"/>
      <c r="BJ24" s="34"/>
      <c r="BK24" s="34"/>
      <c r="BL24" s="35" t="s">
        <v>4150</v>
      </c>
      <c r="BM24" s="34"/>
      <c r="BN24" s="34"/>
      <c r="BO24" s="35" t="s">
        <v>4151</v>
      </c>
      <c r="BP24" s="35" t="s">
        <v>4152</v>
      </c>
      <c r="BQ24" s="38" t="s">
        <v>4153</v>
      </c>
      <c r="BR24" s="32">
        <v>2.5</v>
      </c>
      <c r="BS24" s="35" t="s">
        <v>3593</v>
      </c>
      <c r="BT24" s="37"/>
      <c r="BU24" s="34"/>
      <c r="BV24" s="35" t="s">
        <v>3698</v>
      </c>
      <c r="BW24" s="35" t="s">
        <v>3698</v>
      </c>
      <c r="BX24" s="34"/>
      <c r="BY24" s="35" t="s">
        <v>3573</v>
      </c>
      <c r="BZ24" s="34"/>
      <c r="CA24" s="35" t="s">
        <v>3591</v>
      </c>
      <c r="CB24" s="38" t="s">
        <v>4154</v>
      </c>
      <c r="CC24" s="32">
        <v>22.0</v>
      </c>
      <c r="CD24" s="35" t="s">
        <v>3593</v>
      </c>
      <c r="CE24" s="37"/>
      <c r="CF24" s="34"/>
      <c r="CG24" s="35" t="s">
        <v>3594</v>
      </c>
      <c r="CH24" s="35" t="s">
        <v>4017</v>
      </c>
      <c r="CI24" s="34"/>
      <c r="CJ24" s="35" t="s">
        <v>3573</v>
      </c>
      <c r="CK24" s="38" t="s">
        <v>4155</v>
      </c>
      <c r="CL24" s="32">
        <v>10.0</v>
      </c>
      <c r="CM24" s="34"/>
      <c r="CN24" s="35" t="s">
        <v>3591</v>
      </c>
      <c r="CO24" s="39">
        <v>-4.0E-4</v>
      </c>
      <c r="CP24" s="32">
        <v>13.0</v>
      </c>
      <c r="CQ24" s="39">
        <v>-4.0E-4</v>
      </c>
      <c r="CR24" s="39">
        <v>-106.0474</v>
      </c>
      <c r="CS24" s="39">
        <v>-4.0E-4</v>
      </c>
      <c r="CT24" s="32">
        <v>12.0</v>
      </c>
      <c r="CU24" s="39">
        <v>0.0</v>
      </c>
      <c r="CV24" s="32">
        <v>10.0</v>
      </c>
      <c r="CW24" s="39">
        <v>-8.0E-4</v>
      </c>
      <c r="CX24" s="32">
        <v>11.0</v>
      </c>
      <c r="CY24" s="32" t="s">
        <v>4156</v>
      </c>
      <c r="CZ24" s="32">
        <v>94.0</v>
      </c>
      <c r="DA24" s="32" t="s">
        <v>3598</v>
      </c>
      <c r="DB24" s="39">
        <v>0.0</v>
      </c>
      <c r="DC24" s="32" t="s">
        <v>4156</v>
      </c>
      <c r="DD24" s="32">
        <v>94.0</v>
      </c>
      <c r="DE24" s="32" t="s">
        <v>4157</v>
      </c>
      <c r="DF24" s="32">
        <v>30.0</v>
      </c>
      <c r="DG24" s="32" t="s">
        <v>4158</v>
      </c>
      <c r="DH24" s="32">
        <v>97.0</v>
      </c>
      <c r="DI24" s="32">
        <v>0.0</v>
      </c>
      <c r="DJ24" s="32">
        <v>0.0</v>
      </c>
      <c r="DK24" s="39">
        <v>0.0</v>
      </c>
      <c r="DL24" s="32">
        <v>602.0</v>
      </c>
      <c r="DM24" s="32">
        <v>0.0</v>
      </c>
      <c r="DN24" s="39">
        <v>0.0</v>
      </c>
      <c r="DO24" s="32" t="s">
        <v>3600</v>
      </c>
      <c r="DP24" s="38" t="s">
        <v>4159</v>
      </c>
      <c r="DQ24" s="32">
        <v>102.0</v>
      </c>
      <c r="DR24" s="32">
        <v>16.0</v>
      </c>
      <c r="DS24" s="32">
        <v>61.0</v>
      </c>
      <c r="DT24" s="32">
        <v>3.0</v>
      </c>
      <c r="DU24" s="37"/>
      <c r="DV24" s="32">
        <v>38.0</v>
      </c>
      <c r="DW24" s="35" t="s">
        <v>4160</v>
      </c>
      <c r="DX24" s="32">
        <v>61.0</v>
      </c>
      <c r="DY24" s="35" t="s">
        <v>3602</v>
      </c>
      <c r="DZ24" s="39">
        <v>0.7</v>
      </c>
      <c r="EA24" s="39">
        <v>0.3</v>
      </c>
      <c r="EB24" s="35" t="s">
        <v>3603</v>
      </c>
      <c r="EC24" s="39">
        <v>0.01</v>
      </c>
      <c r="ED24" s="39">
        <v>0.69</v>
      </c>
      <c r="EE24" s="37"/>
      <c r="EF24" s="37"/>
      <c r="EG24" s="34"/>
      <c r="EH24" s="37"/>
      <c r="EI24" s="37"/>
      <c r="EJ24" s="37"/>
      <c r="EK24" s="35" t="s">
        <v>3670</v>
      </c>
      <c r="EL24" s="37"/>
      <c r="EM24" s="37"/>
      <c r="EN24" s="37"/>
      <c r="EO24" s="37"/>
      <c r="EP24" s="40" t="s">
        <v>3559</v>
      </c>
    </row>
    <row r="25">
      <c r="A25" s="41">
        <v>191.1</v>
      </c>
      <c r="B25" s="42" t="s">
        <v>4161</v>
      </c>
      <c r="C25" s="43"/>
      <c r="D25" s="43"/>
      <c r="E25" s="42" t="s">
        <v>4162</v>
      </c>
      <c r="F25" s="42" t="s">
        <v>4163</v>
      </c>
      <c r="G25" s="42" t="s">
        <v>4164</v>
      </c>
      <c r="H25" s="42" t="s">
        <v>3563</v>
      </c>
      <c r="I25" s="42" t="s">
        <v>3564</v>
      </c>
      <c r="J25" s="42" t="s">
        <v>3565</v>
      </c>
      <c r="K25" s="42" t="s">
        <v>4165</v>
      </c>
      <c r="L25" s="42" t="s">
        <v>4166</v>
      </c>
      <c r="M25" s="42" t="s">
        <v>4167</v>
      </c>
      <c r="N25" s="42" t="s">
        <v>3569</v>
      </c>
      <c r="O25" s="42" t="s">
        <v>4168</v>
      </c>
      <c r="P25" s="42"/>
      <c r="R25" s="42" t="s">
        <v>3571</v>
      </c>
      <c r="S25" s="42" t="s">
        <v>3572</v>
      </c>
      <c r="T25" s="42" t="s">
        <v>3573</v>
      </c>
      <c r="U25" s="44" t="s">
        <v>4169</v>
      </c>
      <c r="V25" s="44" t="s">
        <v>4170</v>
      </c>
      <c r="W25" s="41">
        <v>204.0</v>
      </c>
      <c r="X25" s="42" t="s">
        <v>4171</v>
      </c>
      <c r="Y25" s="43"/>
      <c r="Z25" s="43"/>
      <c r="AA25" s="41">
        <v>2013.0</v>
      </c>
      <c r="AB25" s="43"/>
      <c r="AC25" s="43"/>
      <c r="AD25" s="43"/>
      <c r="AE25" s="45"/>
      <c r="AF25" s="45"/>
      <c r="AG25" s="45"/>
      <c r="AH25" s="45"/>
      <c r="AI25" s="45"/>
      <c r="AJ25" s="45"/>
      <c r="AK25" s="45"/>
      <c r="AL25" s="45"/>
      <c r="AM25" s="45"/>
      <c r="AN25" s="45"/>
      <c r="AO25" s="42" t="s">
        <v>4172</v>
      </c>
      <c r="AP25" s="42" t="s">
        <v>4173</v>
      </c>
      <c r="AQ25" s="42" t="s">
        <v>4033</v>
      </c>
      <c r="AR25" s="42" t="s">
        <v>4174</v>
      </c>
      <c r="AS25" s="43"/>
      <c r="AT25" s="42" t="s">
        <v>3581</v>
      </c>
      <c r="AU25" s="42" t="s">
        <v>4175</v>
      </c>
      <c r="AV25" s="42" t="s">
        <v>4176</v>
      </c>
      <c r="AW25" s="42" t="s">
        <v>75</v>
      </c>
      <c r="AX25" s="43"/>
      <c r="AY25" s="41">
        <v>6701101.0</v>
      </c>
      <c r="AZ25" s="42" t="s">
        <v>41</v>
      </c>
      <c r="BA25" s="45"/>
      <c r="BB25" s="45"/>
      <c r="BC25" s="42" t="s">
        <v>4177</v>
      </c>
      <c r="BD25" s="42" t="s">
        <v>3584</v>
      </c>
      <c r="BE25" s="42" t="s">
        <v>3584</v>
      </c>
      <c r="BF25" s="42" t="s">
        <v>4178</v>
      </c>
      <c r="BG25" s="42" t="s">
        <v>4179</v>
      </c>
      <c r="BH25" s="41">
        <v>15.0</v>
      </c>
      <c r="BI25" s="43"/>
      <c r="BJ25" s="42" t="s">
        <v>4180</v>
      </c>
      <c r="BK25" s="43"/>
      <c r="BL25" s="42" t="s">
        <v>4181</v>
      </c>
      <c r="BM25" s="42" t="s">
        <v>4182</v>
      </c>
      <c r="BN25" s="43"/>
      <c r="BO25" s="42" t="s">
        <v>4183</v>
      </c>
      <c r="BP25" s="42" t="s">
        <v>4184</v>
      </c>
      <c r="BQ25" s="46" t="s">
        <v>4185</v>
      </c>
      <c r="BR25" s="41">
        <v>0.71</v>
      </c>
      <c r="BS25" s="42" t="s">
        <v>3697</v>
      </c>
      <c r="BT25" s="45"/>
      <c r="BU25" s="43"/>
      <c r="BV25" s="42" t="s">
        <v>3698</v>
      </c>
      <c r="BW25" s="42" t="s">
        <v>3698</v>
      </c>
      <c r="BX25" s="43"/>
      <c r="BY25" s="42" t="s">
        <v>3573</v>
      </c>
      <c r="BZ25" s="43"/>
      <c r="CA25" s="42" t="s">
        <v>3591</v>
      </c>
      <c r="CB25" s="46" t="s">
        <v>4186</v>
      </c>
      <c r="CC25" s="41">
        <v>100.0</v>
      </c>
      <c r="CD25" s="42" t="s">
        <v>3593</v>
      </c>
      <c r="CE25" s="51">
        <v>1000.0</v>
      </c>
      <c r="CF25" s="42" t="s">
        <v>3593</v>
      </c>
      <c r="CG25" s="42" t="s">
        <v>3594</v>
      </c>
      <c r="CH25" s="42" t="s">
        <v>4187</v>
      </c>
      <c r="CI25" s="43"/>
      <c r="CJ25" s="42" t="s">
        <v>3573</v>
      </c>
      <c r="CK25" s="45"/>
      <c r="CL25" s="45"/>
      <c r="CM25" s="43"/>
      <c r="CN25" s="42" t="s">
        <v>3591</v>
      </c>
      <c r="CO25" s="47">
        <v>0.0178</v>
      </c>
      <c r="CP25" s="41">
        <v>99.0</v>
      </c>
      <c r="CQ25" s="47">
        <v>-0.0046</v>
      </c>
      <c r="CR25" s="47">
        <v>-0.2044</v>
      </c>
      <c r="CS25" s="47">
        <v>0.0041</v>
      </c>
      <c r="CT25" s="41">
        <v>93.0</v>
      </c>
      <c r="CU25" s="47">
        <v>0.0114</v>
      </c>
      <c r="CV25" s="41">
        <v>94.0</v>
      </c>
      <c r="CW25" s="47">
        <v>-0.0032</v>
      </c>
      <c r="CX25" s="41">
        <v>9.0</v>
      </c>
      <c r="CY25" s="41" t="s">
        <v>4188</v>
      </c>
      <c r="CZ25" s="41">
        <v>97.0</v>
      </c>
      <c r="DA25" s="41" t="s">
        <v>4189</v>
      </c>
      <c r="DB25" s="47">
        <v>0.001</v>
      </c>
      <c r="DC25" s="41" t="s">
        <v>4190</v>
      </c>
      <c r="DD25" s="41">
        <v>99.0</v>
      </c>
      <c r="DE25" s="41" t="s">
        <v>4191</v>
      </c>
      <c r="DF25" s="41">
        <v>92.0</v>
      </c>
      <c r="DG25" s="41" t="s">
        <v>4192</v>
      </c>
      <c r="DH25" s="41">
        <v>100.0</v>
      </c>
      <c r="DI25" s="52">
        <v>3417.0</v>
      </c>
      <c r="DJ25" s="41">
        <v>257.0</v>
      </c>
      <c r="DK25" s="47">
        <v>0.0813</v>
      </c>
      <c r="DL25" s="52">
        <v>1600.0</v>
      </c>
      <c r="DM25" s="41">
        <v>-4.0</v>
      </c>
      <c r="DN25" s="47">
        <v>-0.0025</v>
      </c>
      <c r="DO25" s="41" t="s">
        <v>3600</v>
      </c>
      <c r="DP25" s="46" t="s">
        <v>4193</v>
      </c>
      <c r="DQ25" s="41">
        <v>19.0</v>
      </c>
      <c r="DR25" s="41">
        <v>4.0</v>
      </c>
      <c r="DS25" s="41">
        <v>2.0</v>
      </c>
      <c r="DT25" s="41">
        <v>9.0</v>
      </c>
      <c r="DU25" s="45"/>
      <c r="DV25" s="41">
        <v>8.0</v>
      </c>
      <c r="DW25" s="42" t="s">
        <v>4194</v>
      </c>
      <c r="DX25" s="41">
        <v>44.0</v>
      </c>
      <c r="DY25" s="42" t="s">
        <v>3602</v>
      </c>
      <c r="DZ25" s="47">
        <v>0.73</v>
      </c>
      <c r="EA25" s="47">
        <v>0.27</v>
      </c>
      <c r="EB25" s="42" t="s">
        <v>3603</v>
      </c>
      <c r="EC25" s="47">
        <v>0.05</v>
      </c>
      <c r="ED25" s="47">
        <v>0.68</v>
      </c>
      <c r="EE25" s="51">
        <v>1000.0</v>
      </c>
      <c r="EF25" s="46" t="s">
        <v>4186</v>
      </c>
      <c r="EG25" s="42" t="s">
        <v>3594</v>
      </c>
      <c r="EH25" s="45"/>
      <c r="EI25" s="45"/>
      <c r="EJ25" s="45"/>
      <c r="EK25" s="43"/>
      <c r="EL25" s="45"/>
      <c r="EM25" s="45"/>
      <c r="EN25" s="41">
        <v>3.73</v>
      </c>
      <c r="EO25" s="41">
        <v>3.73</v>
      </c>
      <c r="EP25" s="48" t="s">
        <v>3559</v>
      </c>
    </row>
    <row r="26">
      <c r="A26" s="32">
        <v>1.53</v>
      </c>
      <c r="B26" s="35" t="s">
        <v>4195</v>
      </c>
      <c r="C26" s="34"/>
      <c r="D26" s="35" t="s">
        <v>2170</v>
      </c>
      <c r="E26" s="35" t="s">
        <v>4196</v>
      </c>
      <c r="F26" s="35" t="s">
        <v>4197</v>
      </c>
      <c r="G26" s="35" t="s">
        <v>4198</v>
      </c>
      <c r="H26" s="35" t="s">
        <v>3867</v>
      </c>
      <c r="I26" s="35" t="s">
        <v>4199</v>
      </c>
      <c r="J26" s="35" t="s">
        <v>4200</v>
      </c>
      <c r="K26" s="35" t="s">
        <v>4201</v>
      </c>
      <c r="L26" s="35" t="s">
        <v>3612</v>
      </c>
      <c r="M26" s="35" t="s">
        <v>4202</v>
      </c>
      <c r="N26" s="35" t="s">
        <v>3569</v>
      </c>
      <c r="O26" s="35" t="s">
        <v>4203</v>
      </c>
      <c r="P26" s="35"/>
      <c r="R26" s="35" t="s">
        <v>3571</v>
      </c>
      <c r="S26" s="35" t="s">
        <v>3572</v>
      </c>
      <c r="T26" s="35" t="s">
        <v>3573</v>
      </c>
      <c r="U26" s="36" t="s">
        <v>4204</v>
      </c>
      <c r="V26" s="36" t="s">
        <v>4205</v>
      </c>
      <c r="W26" s="32">
        <v>50.0</v>
      </c>
      <c r="X26" s="35" t="s">
        <v>4206</v>
      </c>
      <c r="Y26" s="34"/>
      <c r="Z26" s="34"/>
      <c r="AA26" s="32">
        <v>2012.0</v>
      </c>
      <c r="AB26" s="34"/>
      <c r="AC26" s="34"/>
      <c r="AD26" s="34"/>
      <c r="AE26" s="37"/>
      <c r="AF26" s="37"/>
      <c r="AG26" s="37"/>
      <c r="AH26" s="37"/>
      <c r="AI26" s="37"/>
      <c r="AJ26" s="37"/>
      <c r="AK26" s="37"/>
      <c r="AL26" s="37"/>
      <c r="AM26" s="37"/>
      <c r="AN26" s="37"/>
      <c r="AO26" s="35" t="s">
        <v>4207</v>
      </c>
      <c r="AP26" s="35" t="s">
        <v>4208</v>
      </c>
      <c r="AQ26" s="35" t="s">
        <v>4209</v>
      </c>
      <c r="AR26" s="35" t="s">
        <v>4210</v>
      </c>
      <c r="AS26" s="34" t="str">
        <f>+972 (0)3 917 7055</f>
        <v>#ERROR!</v>
      </c>
      <c r="AT26" s="35" t="s">
        <v>4211</v>
      </c>
      <c r="AU26" s="35" t="s">
        <v>4212</v>
      </c>
      <c r="AV26" s="34"/>
      <c r="AW26" s="35" t="s">
        <v>4213</v>
      </c>
      <c r="AX26" s="35" t="s">
        <v>4214</v>
      </c>
      <c r="AY26" s="32">
        <v>4927189.0</v>
      </c>
      <c r="AZ26" s="35" t="s">
        <v>41</v>
      </c>
      <c r="BA26" s="37" t="str">
        <f>+972 (0)3 917 7055</f>
        <v>#ERROR!</v>
      </c>
      <c r="BB26" s="37"/>
      <c r="BC26" s="35" t="s">
        <v>2176</v>
      </c>
      <c r="BD26" s="35" t="s">
        <v>3584</v>
      </c>
      <c r="BE26" s="35" t="s">
        <v>3584</v>
      </c>
      <c r="BF26" s="35" t="s">
        <v>4215</v>
      </c>
      <c r="BG26" s="35" t="s">
        <v>4216</v>
      </c>
      <c r="BH26" s="32">
        <v>7.0</v>
      </c>
      <c r="BI26" s="34"/>
      <c r="BJ26" s="35" t="s">
        <v>4217</v>
      </c>
      <c r="BK26" s="34"/>
      <c r="BL26" s="35" t="s">
        <v>4218</v>
      </c>
      <c r="BM26" s="35" t="s">
        <v>4219</v>
      </c>
      <c r="BN26" s="34"/>
      <c r="BO26" s="34"/>
      <c r="BP26" s="34"/>
      <c r="BQ26" s="38" t="s">
        <v>4220</v>
      </c>
      <c r="BR26" s="37"/>
      <c r="BS26" s="34"/>
      <c r="BT26" s="37"/>
      <c r="BU26" s="34"/>
      <c r="BV26" s="35" t="s">
        <v>3589</v>
      </c>
      <c r="BW26" s="34"/>
      <c r="BX26" s="34"/>
      <c r="BY26" s="35" t="s">
        <v>3590</v>
      </c>
      <c r="BZ26" s="34"/>
      <c r="CA26" s="35" t="s">
        <v>3591</v>
      </c>
      <c r="CB26" s="38" t="s">
        <v>4221</v>
      </c>
      <c r="CC26" s="37"/>
      <c r="CD26" s="34"/>
      <c r="CE26" s="37"/>
      <c r="CF26" s="34"/>
      <c r="CG26" s="35" t="s">
        <v>3594</v>
      </c>
      <c r="CH26" s="35" t="s">
        <v>3595</v>
      </c>
      <c r="CI26" s="34"/>
      <c r="CJ26" s="35" t="s">
        <v>3573</v>
      </c>
      <c r="CK26" s="37"/>
      <c r="CL26" s="37"/>
      <c r="CM26" s="34"/>
      <c r="CN26" s="35" t="s">
        <v>3591</v>
      </c>
      <c r="CO26" s="39">
        <v>0.0039</v>
      </c>
      <c r="CP26" s="32">
        <v>91.0</v>
      </c>
      <c r="CQ26" s="39">
        <v>0.0</v>
      </c>
      <c r="CR26" s="39">
        <v>0.0</v>
      </c>
      <c r="CS26" s="39">
        <v>0.0</v>
      </c>
      <c r="CT26" s="32">
        <v>12.0</v>
      </c>
      <c r="CU26" s="37"/>
      <c r="CV26" s="37"/>
      <c r="CW26" s="39">
        <v>0.0</v>
      </c>
      <c r="CX26" s="32">
        <v>12.0</v>
      </c>
      <c r="CY26" s="32" t="s">
        <v>4222</v>
      </c>
      <c r="CZ26" s="32">
        <v>80.0</v>
      </c>
      <c r="DA26" s="32" t="s">
        <v>3598</v>
      </c>
      <c r="DB26" s="39">
        <v>0.0</v>
      </c>
      <c r="DC26" s="32" t="s">
        <v>4223</v>
      </c>
      <c r="DD26" s="32">
        <v>76.0</v>
      </c>
      <c r="DE26" s="37"/>
      <c r="DF26" s="37"/>
      <c r="DG26" s="32" t="s">
        <v>4223</v>
      </c>
      <c r="DH26" s="32">
        <v>75.0</v>
      </c>
      <c r="DI26" s="37"/>
      <c r="DJ26" s="37"/>
      <c r="DK26" s="37"/>
      <c r="DL26" s="32">
        <v>86.0</v>
      </c>
      <c r="DM26" s="32">
        <v>1.0</v>
      </c>
      <c r="DN26" s="39">
        <v>0.0118</v>
      </c>
      <c r="DO26" s="32" t="s">
        <v>3600</v>
      </c>
      <c r="DP26" s="38" t="s">
        <v>4224</v>
      </c>
      <c r="DQ26" s="32">
        <v>53.0</v>
      </c>
      <c r="DR26" s="32">
        <v>14.0</v>
      </c>
      <c r="DS26" s="32">
        <v>39.0</v>
      </c>
      <c r="DT26" s="32">
        <v>7.0</v>
      </c>
      <c r="DU26" s="32">
        <v>1.0</v>
      </c>
      <c r="DV26" s="32">
        <v>7.0</v>
      </c>
      <c r="DW26" s="35" t="s">
        <v>4225</v>
      </c>
      <c r="DX26" s="32">
        <v>75.0</v>
      </c>
      <c r="DY26" s="35" t="s">
        <v>3602</v>
      </c>
      <c r="DZ26" s="39">
        <v>0.67</v>
      </c>
      <c r="EA26" s="39">
        <v>0.33</v>
      </c>
      <c r="EB26" s="35" t="s">
        <v>3603</v>
      </c>
      <c r="EC26" s="39">
        <v>0.01</v>
      </c>
      <c r="ED26" s="39">
        <v>0.66</v>
      </c>
      <c r="EE26" s="37"/>
      <c r="EF26" s="37"/>
      <c r="EG26" s="34"/>
      <c r="EH26" s="37"/>
      <c r="EI26" s="37"/>
      <c r="EJ26" s="37"/>
      <c r="EK26" s="34"/>
      <c r="EL26" s="37"/>
      <c r="EM26" s="37"/>
      <c r="EN26" s="37"/>
      <c r="EO26" s="37"/>
      <c r="EP26" s="40" t="s">
        <v>3559</v>
      </c>
    </row>
    <row r="27">
      <c r="A27" s="41">
        <v>4.75</v>
      </c>
      <c r="B27" s="42" t="s">
        <v>4226</v>
      </c>
      <c r="C27" s="43"/>
      <c r="D27" s="43"/>
      <c r="E27" s="42" t="s">
        <v>4227</v>
      </c>
      <c r="F27" s="43"/>
      <c r="G27" s="42" t="s">
        <v>4228</v>
      </c>
      <c r="H27" s="42" t="s">
        <v>3563</v>
      </c>
      <c r="I27" s="42" t="s">
        <v>3564</v>
      </c>
      <c r="J27" s="42" t="s">
        <v>3642</v>
      </c>
      <c r="K27" s="42" t="s">
        <v>4229</v>
      </c>
      <c r="L27" s="42" t="s">
        <v>4230</v>
      </c>
      <c r="M27" s="42" t="s">
        <v>4231</v>
      </c>
      <c r="N27" s="42" t="s">
        <v>3569</v>
      </c>
      <c r="O27" s="42" t="s">
        <v>4232</v>
      </c>
      <c r="P27" s="42"/>
      <c r="R27" s="42" t="s">
        <v>3571</v>
      </c>
      <c r="S27" s="42" t="s">
        <v>3572</v>
      </c>
      <c r="T27" s="42" t="s">
        <v>3573</v>
      </c>
      <c r="U27" s="44" t="s">
        <v>4233</v>
      </c>
      <c r="V27" s="44" t="s">
        <v>4234</v>
      </c>
      <c r="W27" s="41">
        <v>12.0</v>
      </c>
      <c r="X27" s="42" t="s">
        <v>4235</v>
      </c>
      <c r="Y27" s="43"/>
      <c r="Z27" s="43"/>
      <c r="AA27" s="41">
        <v>2022.0</v>
      </c>
      <c r="AB27" s="43"/>
      <c r="AC27" s="43"/>
      <c r="AD27" s="43"/>
      <c r="AE27" s="45"/>
      <c r="AF27" s="45"/>
      <c r="AG27" s="45"/>
      <c r="AH27" s="45"/>
      <c r="AI27" s="45"/>
      <c r="AJ27" s="45"/>
      <c r="AK27" s="45"/>
      <c r="AL27" s="45"/>
      <c r="AM27" s="45"/>
      <c r="AN27" s="45"/>
      <c r="AO27" s="42" t="s">
        <v>4236</v>
      </c>
      <c r="AP27" s="42" t="s">
        <v>4237</v>
      </c>
      <c r="AQ27" s="42" t="s">
        <v>3579</v>
      </c>
      <c r="AR27" s="42" t="s">
        <v>4238</v>
      </c>
      <c r="AS27" s="43"/>
      <c r="AT27" s="42" t="s">
        <v>3581</v>
      </c>
      <c r="AU27" s="42" t="s">
        <v>4239</v>
      </c>
      <c r="AV27" s="43"/>
      <c r="AW27" s="42" t="s">
        <v>75</v>
      </c>
      <c r="AX27" s="43"/>
      <c r="AY27" s="41">
        <v>6578403.0</v>
      </c>
      <c r="AZ27" s="42" t="s">
        <v>41</v>
      </c>
      <c r="BA27" s="45"/>
      <c r="BB27" s="45"/>
      <c r="BC27" s="42" t="s">
        <v>4240</v>
      </c>
      <c r="BD27" s="42" t="s">
        <v>3584</v>
      </c>
      <c r="BE27" s="42" t="s">
        <v>3584</v>
      </c>
      <c r="BF27" s="42" t="s">
        <v>4241</v>
      </c>
      <c r="BG27" s="42" t="s">
        <v>4242</v>
      </c>
      <c r="BH27" s="41">
        <v>4.0</v>
      </c>
      <c r="BI27" s="43"/>
      <c r="BJ27" s="43"/>
      <c r="BK27" s="43"/>
      <c r="BL27" s="42" t="s">
        <v>4243</v>
      </c>
      <c r="BM27" s="43"/>
      <c r="BN27" s="43"/>
      <c r="BO27" s="43"/>
      <c r="BP27" s="43"/>
      <c r="BQ27" s="46" t="s">
        <v>4244</v>
      </c>
      <c r="BR27" s="41">
        <v>4.75</v>
      </c>
      <c r="BS27" s="42" t="s">
        <v>3593</v>
      </c>
      <c r="BT27" s="41">
        <v>10.3</v>
      </c>
      <c r="BU27" s="42" t="s">
        <v>3593</v>
      </c>
      <c r="BV27" s="42" t="s">
        <v>3698</v>
      </c>
      <c r="BW27" s="42" t="s">
        <v>3698</v>
      </c>
      <c r="BX27" s="43"/>
      <c r="BY27" s="42" t="s">
        <v>3573</v>
      </c>
      <c r="BZ27" s="43"/>
      <c r="CA27" s="42" t="s">
        <v>3591</v>
      </c>
      <c r="CB27" s="46" t="s">
        <v>4245</v>
      </c>
      <c r="CC27" s="45"/>
      <c r="CD27" s="43"/>
      <c r="CE27" s="45"/>
      <c r="CF27" s="43"/>
      <c r="CG27" s="42" t="s">
        <v>3589</v>
      </c>
      <c r="CH27" s="43"/>
      <c r="CI27" s="43"/>
      <c r="CJ27" s="42" t="s">
        <v>3590</v>
      </c>
      <c r="CK27" s="45"/>
      <c r="CL27" s="45"/>
      <c r="CM27" s="43"/>
      <c r="CN27" s="42" t="s">
        <v>3591</v>
      </c>
      <c r="CO27" s="47">
        <v>0.0</v>
      </c>
      <c r="CP27" s="41">
        <v>14.0</v>
      </c>
      <c r="CQ27" s="47">
        <v>0.0</v>
      </c>
      <c r="CR27" s="47">
        <v>0.0</v>
      </c>
      <c r="CS27" s="47">
        <v>0.0</v>
      </c>
      <c r="CT27" s="41">
        <v>12.0</v>
      </c>
      <c r="CU27" s="47">
        <v>0.0</v>
      </c>
      <c r="CV27" s="41">
        <v>10.0</v>
      </c>
      <c r="CW27" s="47">
        <v>0.0</v>
      </c>
      <c r="CX27" s="41">
        <v>12.0</v>
      </c>
      <c r="CY27" s="41" t="s">
        <v>4246</v>
      </c>
      <c r="CZ27" s="41">
        <v>46.0</v>
      </c>
      <c r="DA27" s="41" t="s">
        <v>3598</v>
      </c>
      <c r="DB27" s="47">
        <v>0.0</v>
      </c>
      <c r="DC27" s="41" t="s">
        <v>4246</v>
      </c>
      <c r="DD27" s="41">
        <v>49.0</v>
      </c>
      <c r="DE27" s="41" t="s">
        <v>3598</v>
      </c>
      <c r="DF27" s="41">
        <v>1.0</v>
      </c>
      <c r="DG27" s="41" t="s">
        <v>3805</v>
      </c>
      <c r="DH27" s="41">
        <v>67.0</v>
      </c>
      <c r="DI27" s="41">
        <v>11.0</v>
      </c>
      <c r="DJ27" s="41">
        <v>-27.0</v>
      </c>
      <c r="DK27" s="47">
        <v>-0.7105</v>
      </c>
      <c r="DL27" s="41">
        <v>42.0</v>
      </c>
      <c r="DM27" s="41">
        <v>0.0</v>
      </c>
      <c r="DN27" s="47">
        <v>0.0</v>
      </c>
      <c r="DO27" s="41" t="s">
        <v>3600</v>
      </c>
      <c r="DP27" s="46" t="s">
        <v>4247</v>
      </c>
      <c r="DQ27" s="45"/>
      <c r="DR27" s="45"/>
      <c r="DS27" s="45"/>
      <c r="DT27" s="45"/>
      <c r="DU27" s="45"/>
      <c r="DV27" s="45"/>
      <c r="DW27" s="43"/>
      <c r="DX27" s="41">
        <v>75.0</v>
      </c>
      <c r="DY27" s="42" t="s">
        <v>3602</v>
      </c>
      <c r="DZ27" s="47">
        <v>0.66</v>
      </c>
      <c r="EA27" s="47">
        <v>0.34</v>
      </c>
      <c r="EB27" s="42" t="s">
        <v>3603</v>
      </c>
      <c r="EC27" s="47">
        <v>0.01</v>
      </c>
      <c r="ED27" s="47">
        <v>0.65</v>
      </c>
      <c r="EE27" s="41">
        <v>10.3</v>
      </c>
      <c r="EF27" s="46" t="s">
        <v>4244</v>
      </c>
      <c r="EG27" s="42" t="s">
        <v>3698</v>
      </c>
      <c r="EH27" s="45"/>
      <c r="EI27" s="45"/>
      <c r="EJ27" s="45"/>
      <c r="EK27" s="42" t="s">
        <v>4248</v>
      </c>
      <c r="EL27" s="45"/>
      <c r="EM27" s="45"/>
      <c r="EN27" s="45"/>
      <c r="EO27" s="45"/>
      <c r="EP27" s="48" t="s">
        <v>3559</v>
      </c>
    </row>
    <row r="28">
      <c r="A28" s="32">
        <v>13.56</v>
      </c>
      <c r="B28" s="35" t="s">
        <v>1264</v>
      </c>
      <c r="C28" s="34"/>
      <c r="D28" s="34"/>
      <c r="E28" s="35" t="s">
        <v>4249</v>
      </c>
      <c r="F28" s="35" t="s">
        <v>4250</v>
      </c>
      <c r="G28" s="35" t="s">
        <v>4251</v>
      </c>
      <c r="H28" s="35" t="s">
        <v>3563</v>
      </c>
      <c r="I28" s="35" t="s">
        <v>3564</v>
      </c>
      <c r="J28" s="35" t="s">
        <v>3565</v>
      </c>
      <c r="K28" s="35" t="s">
        <v>4252</v>
      </c>
      <c r="L28" s="35" t="s">
        <v>4253</v>
      </c>
      <c r="M28" s="35" t="s">
        <v>4254</v>
      </c>
      <c r="N28" s="35" t="s">
        <v>3569</v>
      </c>
      <c r="O28" s="35" t="s">
        <v>4255</v>
      </c>
      <c r="P28" s="35"/>
      <c r="R28" s="35" t="s">
        <v>3571</v>
      </c>
      <c r="S28" s="35" t="s">
        <v>3572</v>
      </c>
      <c r="T28" s="35" t="s">
        <v>3573</v>
      </c>
      <c r="U28" s="36" t="s">
        <v>4256</v>
      </c>
      <c r="V28" s="36" t="s">
        <v>4257</v>
      </c>
      <c r="W28" s="32">
        <v>33.0</v>
      </c>
      <c r="X28" s="35" t="s">
        <v>4258</v>
      </c>
      <c r="Y28" s="34"/>
      <c r="Z28" s="34"/>
      <c r="AA28" s="32">
        <v>2019.0</v>
      </c>
      <c r="AB28" s="34"/>
      <c r="AC28" s="34"/>
      <c r="AD28" s="34"/>
      <c r="AE28" s="37"/>
      <c r="AF28" s="37"/>
      <c r="AG28" s="37"/>
      <c r="AH28" s="37"/>
      <c r="AI28" s="37"/>
      <c r="AJ28" s="37"/>
      <c r="AK28" s="37"/>
      <c r="AL28" s="37"/>
      <c r="AM28" s="37"/>
      <c r="AN28" s="37"/>
      <c r="AO28" s="35" t="s">
        <v>4259</v>
      </c>
      <c r="AP28" s="35" t="s">
        <v>4260</v>
      </c>
      <c r="AQ28" s="35" t="s">
        <v>3685</v>
      </c>
      <c r="AR28" s="35" t="s">
        <v>1267</v>
      </c>
      <c r="AS28" s="34"/>
      <c r="AT28" s="35" t="s">
        <v>3581</v>
      </c>
      <c r="AU28" s="35" t="s">
        <v>4261</v>
      </c>
      <c r="AV28" s="34"/>
      <c r="AW28" s="35" t="s">
        <v>75</v>
      </c>
      <c r="AX28" s="34"/>
      <c r="AY28" s="37"/>
      <c r="AZ28" s="35" t="s">
        <v>41</v>
      </c>
      <c r="BA28" s="37"/>
      <c r="BB28" s="37"/>
      <c r="BC28" s="35" t="s">
        <v>1271</v>
      </c>
      <c r="BD28" s="35" t="s">
        <v>3584</v>
      </c>
      <c r="BE28" s="35" t="s">
        <v>3584</v>
      </c>
      <c r="BF28" s="35" t="s">
        <v>4262</v>
      </c>
      <c r="BG28" s="35" t="s">
        <v>4263</v>
      </c>
      <c r="BH28" s="32">
        <v>19.0</v>
      </c>
      <c r="BI28" s="34"/>
      <c r="BJ28" s="34"/>
      <c r="BK28" s="34"/>
      <c r="BL28" s="35" t="s">
        <v>4264</v>
      </c>
      <c r="BM28" s="34"/>
      <c r="BN28" s="34"/>
      <c r="BO28" s="34"/>
      <c r="BP28" s="34"/>
      <c r="BQ28" s="38" t="s">
        <v>4265</v>
      </c>
      <c r="BR28" s="32">
        <v>2.0</v>
      </c>
      <c r="BS28" s="35" t="s">
        <v>3593</v>
      </c>
      <c r="BT28" s="32">
        <v>5.56</v>
      </c>
      <c r="BU28" s="35" t="s">
        <v>3593</v>
      </c>
      <c r="BV28" s="35" t="s">
        <v>3698</v>
      </c>
      <c r="BW28" s="35" t="s">
        <v>3698</v>
      </c>
      <c r="BX28" s="34"/>
      <c r="BY28" s="35" t="s">
        <v>3573</v>
      </c>
      <c r="BZ28" s="34"/>
      <c r="CA28" s="35" t="s">
        <v>3591</v>
      </c>
      <c r="CB28" s="38" t="s">
        <v>4266</v>
      </c>
      <c r="CC28" s="32">
        <v>10.0</v>
      </c>
      <c r="CD28" s="35" t="s">
        <v>3593</v>
      </c>
      <c r="CE28" s="32">
        <v>28.41</v>
      </c>
      <c r="CF28" s="35" t="s">
        <v>3593</v>
      </c>
      <c r="CG28" s="35" t="s">
        <v>3594</v>
      </c>
      <c r="CH28" s="35" t="s">
        <v>3595</v>
      </c>
      <c r="CI28" s="34"/>
      <c r="CJ28" s="35" t="s">
        <v>3573</v>
      </c>
      <c r="CK28" s="37"/>
      <c r="CL28" s="37"/>
      <c r="CM28" s="34"/>
      <c r="CN28" s="35" t="s">
        <v>3591</v>
      </c>
      <c r="CO28" s="39">
        <v>0.0028</v>
      </c>
      <c r="CP28" s="32">
        <v>90.0</v>
      </c>
      <c r="CQ28" s="39">
        <v>0.0</v>
      </c>
      <c r="CR28" s="39">
        <v>0.0</v>
      </c>
      <c r="CS28" s="39">
        <v>0.0016</v>
      </c>
      <c r="CT28" s="32">
        <v>89.0</v>
      </c>
      <c r="CU28" s="37"/>
      <c r="CV28" s="37"/>
      <c r="CW28" s="39">
        <v>0.0016</v>
      </c>
      <c r="CX28" s="32">
        <v>89.0</v>
      </c>
      <c r="CY28" s="32" t="s">
        <v>4267</v>
      </c>
      <c r="CZ28" s="32">
        <v>94.0</v>
      </c>
      <c r="DA28" s="32" t="s">
        <v>3598</v>
      </c>
      <c r="DB28" s="39">
        <v>0.0</v>
      </c>
      <c r="DC28" s="32" t="s">
        <v>4268</v>
      </c>
      <c r="DD28" s="32">
        <v>97.0</v>
      </c>
      <c r="DE28" s="37"/>
      <c r="DF28" s="37"/>
      <c r="DG28" s="32" t="s">
        <v>4268</v>
      </c>
      <c r="DH28" s="32">
        <v>97.0</v>
      </c>
      <c r="DI28" s="37"/>
      <c r="DJ28" s="37"/>
      <c r="DK28" s="37"/>
      <c r="DL28" s="32">
        <v>547.0</v>
      </c>
      <c r="DM28" s="32">
        <v>2.0</v>
      </c>
      <c r="DN28" s="39">
        <v>0.0037</v>
      </c>
      <c r="DO28" s="32" t="s">
        <v>3600</v>
      </c>
      <c r="DP28" s="38" t="s">
        <v>4269</v>
      </c>
      <c r="DQ28" s="32">
        <v>8.0</v>
      </c>
      <c r="DR28" s="32">
        <v>2.0</v>
      </c>
      <c r="DS28" s="32">
        <v>4.0</v>
      </c>
      <c r="DT28" s="32">
        <v>2.0</v>
      </c>
      <c r="DU28" s="37"/>
      <c r="DV28" s="32">
        <v>2.0</v>
      </c>
      <c r="DW28" s="35" t="s">
        <v>4270</v>
      </c>
      <c r="DX28" s="32">
        <v>73.0</v>
      </c>
      <c r="DY28" s="35" t="s">
        <v>3602</v>
      </c>
      <c r="DZ28" s="39">
        <v>0.65</v>
      </c>
      <c r="EA28" s="39">
        <v>0.35</v>
      </c>
      <c r="EB28" s="35" t="s">
        <v>3603</v>
      </c>
      <c r="EC28" s="39">
        <v>0.01</v>
      </c>
      <c r="ED28" s="39">
        <v>0.64</v>
      </c>
      <c r="EE28" s="32">
        <v>28.41</v>
      </c>
      <c r="EF28" s="38" t="s">
        <v>4266</v>
      </c>
      <c r="EG28" s="35" t="s">
        <v>3594</v>
      </c>
      <c r="EH28" s="37"/>
      <c r="EI28" s="37"/>
      <c r="EJ28" s="37"/>
      <c r="EK28" s="34"/>
      <c r="EL28" s="37"/>
      <c r="EM28" s="37"/>
      <c r="EN28" s="32">
        <v>1.59</v>
      </c>
      <c r="EO28" s="32">
        <v>1.59</v>
      </c>
      <c r="EP28" s="40" t="s">
        <v>3559</v>
      </c>
    </row>
    <row r="29">
      <c r="A29" s="41">
        <v>22.3</v>
      </c>
      <c r="B29" s="42" t="s">
        <v>4271</v>
      </c>
      <c r="C29" s="43"/>
      <c r="D29" s="43"/>
      <c r="E29" s="42" t="s">
        <v>4272</v>
      </c>
      <c r="F29" s="42" t="s">
        <v>4273</v>
      </c>
      <c r="G29" s="42" t="s">
        <v>4274</v>
      </c>
      <c r="H29" s="42" t="s">
        <v>3563</v>
      </c>
      <c r="I29" s="42" t="s">
        <v>3564</v>
      </c>
      <c r="J29" s="42" t="s">
        <v>3565</v>
      </c>
      <c r="K29" s="42" t="s">
        <v>4275</v>
      </c>
      <c r="L29" s="42" t="s">
        <v>4276</v>
      </c>
      <c r="M29" s="42" t="s">
        <v>4277</v>
      </c>
      <c r="N29" s="42" t="s">
        <v>3569</v>
      </c>
      <c r="O29" s="42" t="s">
        <v>4278</v>
      </c>
      <c r="P29" s="42"/>
      <c r="R29" s="42" t="s">
        <v>3571</v>
      </c>
      <c r="S29" s="42" t="s">
        <v>3572</v>
      </c>
      <c r="T29" s="42" t="s">
        <v>3573</v>
      </c>
      <c r="U29" s="44" t="s">
        <v>4279</v>
      </c>
      <c r="V29" s="44" t="s">
        <v>4280</v>
      </c>
      <c r="W29" s="41">
        <v>47.0</v>
      </c>
      <c r="X29" s="42" t="s">
        <v>4281</v>
      </c>
      <c r="Y29" s="43"/>
      <c r="Z29" s="43"/>
      <c r="AA29" s="41">
        <v>2016.0</v>
      </c>
      <c r="AB29" s="43"/>
      <c r="AC29" s="43"/>
      <c r="AD29" s="43"/>
      <c r="AE29" s="45"/>
      <c r="AF29" s="45"/>
      <c r="AG29" s="45"/>
      <c r="AH29" s="45"/>
      <c r="AI29" s="45"/>
      <c r="AJ29" s="45"/>
      <c r="AK29" s="45"/>
      <c r="AL29" s="45"/>
      <c r="AM29" s="45"/>
      <c r="AN29" s="45"/>
      <c r="AO29" s="42" t="s">
        <v>4282</v>
      </c>
      <c r="AP29" s="42" t="s">
        <v>4283</v>
      </c>
      <c r="AQ29" s="42" t="s">
        <v>4284</v>
      </c>
      <c r="AR29" s="42" t="s">
        <v>4285</v>
      </c>
      <c r="AS29" s="43"/>
      <c r="AT29" s="42" t="s">
        <v>3718</v>
      </c>
      <c r="AU29" s="42" t="s">
        <v>4286</v>
      </c>
      <c r="AV29" s="43"/>
      <c r="AW29" s="42" t="s">
        <v>552</v>
      </c>
      <c r="AX29" s="43"/>
      <c r="AY29" s="41">
        <v>4676670.0</v>
      </c>
      <c r="AZ29" s="42" t="s">
        <v>41</v>
      </c>
      <c r="BA29" s="45"/>
      <c r="BB29" s="45"/>
      <c r="BC29" s="42" t="s">
        <v>4287</v>
      </c>
      <c r="BD29" s="42" t="s">
        <v>3584</v>
      </c>
      <c r="BE29" s="42" t="s">
        <v>3584</v>
      </c>
      <c r="BF29" s="42" t="s">
        <v>4288</v>
      </c>
      <c r="BG29" s="42" t="s">
        <v>4289</v>
      </c>
      <c r="BH29" s="41">
        <v>19.0</v>
      </c>
      <c r="BI29" s="43"/>
      <c r="BJ29" s="42" t="s">
        <v>4290</v>
      </c>
      <c r="BK29" s="43"/>
      <c r="BL29" s="42" t="s">
        <v>4291</v>
      </c>
      <c r="BM29" s="42" t="s">
        <v>4292</v>
      </c>
      <c r="BN29" s="43"/>
      <c r="BO29" s="43"/>
      <c r="BP29" s="43"/>
      <c r="BQ29" s="46" t="s">
        <v>4293</v>
      </c>
      <c r="BR29" s="41">
        <v>4.5</v>
      </c>
      <c r="BS29" s="42" t="s">
        <v>3593</v>
      </c>
      <c r="BT29" s="45"/>
      <c r="BU29" s="43"/>
      <c r="BV29" s="42" t="s">
        <v>3802</v>
      </c>
      <c r="BW29" s="42" t="s">
        <v>3802</v>
      </c>
      <c r="BX29" s="43"/>
      <c r="BY29" s="42" t="s">
        <v>3803</v>
      </c>
      <c r="BZ29" s="43"/>
      <c r="CA29" s="42" t="s">
        <v>3591</v>
      </c>
      <c r="CB29" s="46" t="s">
        <v>3858</v>
      </c>
      <c r="CC29" s="45"/>
      <c r="CD29" s="43"/>
      <c r="CE29" s="45"/>
      <c r="CF29" s="43"/>
      <c r="CG29" s="42" t="s">
        <v>3594</v>
      </c>
      <c r="CH29" s="42" t="s">
        <v>3595</v>
      </c>
      <c r="CI29" s="43"/>
      <c r="CJ29" s="42" t="s">
        <v>3573</v>
      </c>
      <c r="CK29" s="46" t="s">
        <v>4294</v>
      </c>
      <c r="CL29" s="45"/>
      <c r="CM29" s="43"/>
      <c r="CN29" s="42" t="s">
        <v>3591</v>
      </c>
      <c r="CO29" s="47">
        <v>-8.0E-4</v>
      </c>
      <c r="CP29" s="41">
        <v>12.0</v>
      </c>
      <c r="CQ29" s="47">
        <v>8.0E-4</v>
      </c>
      <c r="CR29" s="47">
        <v>0.5</v>
      </c>
      <c r="CS29" s="47">
        <v>-8.0E-4</v>
      </c>
      <c r="CT29" s="41">
        <v>11.0</v>
      </c>
      <c r="CU29" s="45"/>
      <c r="CV29" s="45"/>
      <c r="CW29" s="47">
        <v>-8.0E-4</v>
      </c>
      <c r="CX29" s="41">
        <v>11.0</v>
      </c>
      <c r="CY29" s="41" t="s">
        <v>4295</v>
      </c>
      <c r="CZ29" s="41">
        <v>94.0</v>
      </c>
      <c r="DA29" s="41" t="s">
        <v>3598</v>
      </c>
      <c r="DB29" s="47">
        <v>0.0</v>
      </c>
      <c r="DC29" s="41" t="s">
        <v>4295</v>
      </c>
      <c r="DD29" s="41">
        <v>94.0</v>
      </c>
      <c r="DE29" s="45"/>
      <c r="DF29" s="45"/>
      <c r="DG29" s="41" t="s">
        <v>4295</v>
      </c>
      <c r="DH29" s="41">
        <v>94.0</v>
      </c>
      <c r="DI29" s="45"/>
      <c r="DJ29" s="45"/>
      <c r="DK29" s="45"/>
      <c r="DL29" s="41">
        <v>316.0</v>
      </c>
      <c r="DM29" s="41">
        <v>0.0</v>
      </c>
      <c r="DN29" s="47">
        <v>0.0</v>
      </c>
      <c r="DO29" s="41" t="s">
        <v>3600</v>
      </c>
      <c r="DP29" s="46" t="s">
        <v>4296</v>
      </c>
      <c r="DQ29" s="41">
        <v>12.0</v>
      </c>
      <c r="DR29" s="41">
        <v>3.0</v>
      </c>
      <c r="DS29" s="41">
        <v>6.0</v>
      </c>
      <c r="DT29" s="41">
        <v>1.0</v>
      </c>
      <c r="DU29" s="45"/>
      <c r="DV29" s="41">
        <v>5.0</v>
      </c>
      <c r="DW29" s="42" t="s">
        <v>4297</v>
      </c>
      <c r="DX29" s="41">
        <v>36.0</v>
      </c>
      <c r="DY29" s="42" t="s">
        <v>3602</v>
      </c>
      <c r="DZ29" s="47">
        <v>0.64</v>
      </c>
      <c r="EA29" s="47">
        <v>0.36</v>
      </c>
      <c r="EB29" s="42" t="s">
        <v>3603</v>
      </c>
      <c r="EC29" s="47">
        <v>0.01</v>
      </c>
      <c r="ED29" s="47">
        <v>0.63</v>
      </c>
      <c r="EE29" s="45"/>
      <c r="EF29" s="45"/>
      <c r="EG29" s="43"/>
      <c r="EH29" s="45"/>
      <c r="EI29" s="45"/>
      <c r="EJ29" s="45"/>
      <c r="EK29" s="42" t="s">
        <v>4298</v>
      </c>
      <c r="EL29" s="45"/>
      <c r="EM29" s="45"/>
      <c r="EN29" s="45"/>
      <c r="EO29" s="45"/>
      <c r="EP29" s="48" t="s">
        <v>3559</v>
      </c>
    </row>
    <row r="30">
      <c r="A30" s="32">
        <v>6.86</v>
      </c>
      <c r="B30" s="35" t="s">
        <v>413</v>
      </c>
      <c r="C30" s="34"/>
      <c r="D30" s="35" t="s">
        <v>4299</v>
      </c>
      <c r="E30" s="35" t="s">
        <v>4300</v>
      </c>
      <c r="F30" s="35" t="s">
        <v>4301</v>
      </c>
      <c r="G30" s="35" t="s">
        <v>4302</v>
      </c>
      <c r="H30" s="35" t="s">
        <v>3563</v>
      </c>
      <c r="I30" s="35" t="s">
        <v>3564</v>
      </c>
      <c r="J30" s="35" t="s">
        <v>3565</v>
      </c>
      <c r="K30" s="35" t="s">
        <v>4303</v>
      </c>
      <c r="L30" s="35" t="s">
        <v>4304</v>
      </c>
      <c r="M30" s="35" t="s">
        <v>4305</v>
      </c>
      <c r="N30" s="35" t="s">
        <v>3569</v>
      </c>
      <c r="O30" s="35" t="s">
        <v>4306</v>
      </c>
      <c r="P30" s="35"/>
      <c r="R30" s="35" t="s">
        <v>3571</v>
      </c>
      <c r="S30" s="35" t="s">
        <v>3572</v>
      </c>
      <c r="T30" s="35" t="s">
        <v>3573</v>
      </c>
      <c r="U30" s="36" t="s">
        <v>4307</v>
      </c>
      <c r="V30" s="36" t="s">
        <v>4308</v>
      </c>
      <c r="W30" s="32">
        <v>14.0</v>
      </c>
      <c r="X30" s="35" t="s">
        <v>4309</v>
      </c>
      <c r="Y30" s="34"/>
      <c r="Z30" s="34"/>
      <c r="AA30" s="32">
        <v>2017.0</v>
      </c>
      <c r="AB30" s="34"/>
      <c r="AC30" s="34"/>
      <c r="AD30" s="34"/>
      <c r="AE30" s="32">
        <v>1.3</v>
      </c>
      <c r="AF30" s="37"/>
      <c r="AG30" s="37"/>
      <c r="AH30" s="37"/>
      <c r="AI30" s="37"/>
      <c r="AJ30" s="37"/>
      <c r="AK30" s="37"/>
      <c r="AL30" s="37"/>
      <c r="AM30" s="39">
        <v>5.5</v>
      </c>
      <c r="AN30" s="32" t="s">
        <v>3716</v>
      </c>
      <c r="AO30" s="35" t="s">
        <v>4310</v>
      </c>
      <c r="AP30" s="35" t="s">
        <v>4311</v>
      </c>
      <c r="AQ30" s="35" t="s">
        <v>4312</v>
      </c>
      <c r="AR30" s="35" t="s">
        <v>4313</v>
      </c>
      <c r="AS30" s="34" t="str">
        <f>+972 (0)52 347 6647</f>
        <v>#ERROR!</v>
      </c>
      <c r="AT30" s="35" t="s">
        <v>3581</v>
      </c>
      <c r="AU30" s="35" t="s">
        <v>4314</v>
      </c>
      <c r="AV30" s="35" t="s">
        <v>4315</v>
      </c>
      <c r="AW30" s="35" t="s">
        <v>75</v>
      </c>
      <c r="AX30" s="34"/>
      <c r="AY30" s="37"/>
      <c r="AZ30" s="35" t="s">
        <v>41</v>
      </c>
      <c r="BA30" s="37" t="str">
        <f>+972 (0)54 774 5401</f>
        <v>#ERROR!</v>
      </c>
      <c r="BB30" s="37"/>
      <c r="BC30" s="35" t="s">
        <v>419</v>
      </c>
      <c r="BD30" s="35" t="s">
        <v>3584</v>
      </c>
      <c r="BE30" s="35" t="s">
        <v>3584</v>
      </c>
      <c r="BF30" s="35" t="s">
        <v>4316</v>
      </c>
      <c r="BG30" s="35" t="s">
        <v>4317</v>
      </c>
      <c r="BH30" s="32">
        <v>17.0</v>
      </c>
      <c r="BI30" s="34"/>
      <c r="BJ30" s="34"/>
      <c r="BK30" s="34"/>
      <c r="BL30" s="35" t="s">
        <v>4318</v>
      </c>
      <c r="BM30" s="34"/>
      <c r="BN30" s="34"/>
      <c r="BO30" s="35" t="s">
        <v>4319</v>
      </c>
      <c r="BP30" s="34"/>
      <c r="BQ30" s="38" t="s">
        <v>4320</v>
      </c>
      <c r="BR30" s="32">
        <v>0.02</v>
      </c>
      <c r="BS30" s="35" t="s">
        <v>3593</v>
      </c>
      <c r="BT30" s="32">
        <v>0.27</v>
      </c>
      <c r="BU30" s="35" t="s">
        <v>3593</v>
      </c>
      <c r="BV30" s="35" t="s">
        <v>3589</v>
      </c>
      <c r="BW30" s="34"/>
      <c r="BX30" s="34"/>
      <c r="BY30" s="35" t="s">
        <v>3590</v>
      </c>
      <c r="BZ30" s="34"/>
      <c r="CA30" s="35" t="s">
        <v>3591</v>
      </c>
      <c r="CB30" s="37"/>
      <c r="CC30" s="32">
        <v>1.0</v>
      </c>
      <c r="CD30" s="35" t="s">
        <v>3593</v>
      </c>
      <c r="CE30" s="37"/>
      <c r="CF30" s="34"/>
      <c r="CG30" s="35" t="s">
        <v>3594</v>
      </c>
      <c r="CH30" s="34"/>
      <c r="CI30" s="34"/>
      <c r="CJ30" s="35" t="s">
        <v>3573</v>
      </c>
      <c r="CK30" s="37"/>
      <c r="CL30" s="37"/>
      <c r="CM30" s="34"/>
      <c r="CN30" s="35" t="s">
        <v>4321</v>
      </c>
      <c r="CO30" s="39">
        <v>0.002</v>
      </c>
      <c r="CP30" s="32">
        <v>88.0</v>
      </c>
      <c r="CQ30" s="39">
        <v>0.0</v>
      </c>
      <c r="CR30" s="39">
        <v>0.0</v>
      </c>
      <c r="CS30" s="39">
        <v>0.002</v>
      </c>
      <c r="CT30" s="32">
        <v>90.0</v>
      </c>
      <c r="CU30" s="37"/>
      <c r="CV30" s="37"/>
      <c r="CW30" s="39">
        <v>0.002</v>
      </c>
      <c r="CX30" s="32">
        <v>90.0</v>
      </c>
      <c r="CY30" s="32" t="s">
        <v>4322</v>
      </c>
      <c r="CZ30" s="32">
        <v>92.0</v>
      </c>
      <c r="DA30" s="32" t="s">
        <v>3598</v>
      </c>
      <c r="DB30" s="39">
        <v>0.0</v>
      </c>
      <c r="DC30" s="32" t="s">
        <v>4322</v>
      </c>
      <c r="DD30" s="32">
        <v>92.0</v>
      </c>
      <c r="DE30" s="37"/>
      <c r="DF30" s="37"/>
      <c r="DG30" s="32" t="s">
        <v>4322</v>
      </c>
      <c r="DH30" s="32">
        <v>91.0</v>
      </c>
      <c r="DI30" s="37"/>
      <c r="DJ30" s="37"/>
      <c r="DK30" s="37"/>
      <c r="DL30" s="32">
        <v>251.0</v>
      </c>
      <c r="DM30" s="32">
        <v>1.0</v>
      </c>
      <c r="DN30" s="39">
        <v>0.004</v>
      </c>
      <c r="DO30" s="32" t="s">
        <v>3600</v>
      </c>
      <c r="DP30" s="38" t="s">
        <v>4323</v>
      </c>
      <c r="DQ30" s="32">
        <v>4.0</v>
      </c>
      <c r="DR30" s="32">
        <v>1.0</v>
      </c>
      <c r="DS30" s="37"/>
      <c r="DT30" s="32">
        <v>2.0</v>
      </c>
      <c r="DU30" s="37"/>
      <c r="DV30" s="32">
        <v>2.0</v>
      </c>
      <c r="DW30" s="35" t="s">
        <v>4324</v>
      </c>
      <c r="DX30" s="32">
        <v>72.0</v>
      </c>
      <c r="DY30" s="35" t="s">
        <v>3602</v>
      </c>
      <c r="DZ30" s="39">
        <v>0.64</v>
      </c>
      <c r="EA30" s="39">
        <v>0.36</v>
      </c>
      <c r="EB30" s="35" t="s">
        <v>3603</v>
      </c>
      <c r="EC30" s="39">
        <v>0.01</v>
      </c>
      <c r="ED30" s="39">
        <v>0.63</v>
      </c>
      <c r="EE30" s="32">
        <v>7.71</v>
      </c>
      <c r="EF30" s="38" t="s">
        <v>4325</v>
      </c>
      <c r="EG30" s="35" t="s">
        <v>3594</v>
      </c>
      <c r="EH30" s="37"/>
      <c r="EI30" s="37"/>
      <c r="EJ30" s="37"/>
      <c r="EK30" s="34"/>
      <c r="EL30" s="37"/>
      <c r="EM30" s="37"/>
      <c r="EN30" s="37"/>
      <c r="EO30" s="37"/>
      <c r="EP30" s="40" t="s">
        <v>3559</v>
      </c>
    </row>
    <row r="31">
      <c r="A31" s="41">
        <v>31.13</v>
      </c>
      <c r="B31" s="42" t="s">
        <v>4326</v>
      </c>
      <c r="C31" s="43"/>
      <c r="D31" s="43"/>
      <c r="E31" s="42" t="s">
        <v>4327</v>
      </c>
      <c r="F31" s="43"/>
      <c r="G31" s="42" t="s">
        <v>4328</v>
      </c>
      <c r="H31" s="42" t="s">
        <v>3867</v>
      </c>
      <c r="I31" s="42" t="s">
        <v>4199</v>
      </c>
      <c r="J31" s="42" t="s">
        <v>4329</v>
      </c>
      <c r="K31" s="42" t="s">
        <v>4330</v>
      </c>
      <c r="L31" s="42" t="s">
        <v>3612</v>
      </c>
      <c r="M31" s="42" t="s">
        <v>4331</v>
      </c>
      <c r="N31" s="42" t="s">
        <v>3569</v>
      </c>
      <c r="O31" s="42" t="s">
        <v>4332</v>
      </c>
      <c r="P31" s="42"/>
      <c r="R31" s="42" t="s">
        <v>3571</v>
      </c>
      <c r="S31" s="42" t="s">
        <v>3572</v>
      </c>
      <c r="T31" s="42" t="s">
        <v>3573</v>
      </c>
      <c r="U31" s="44" t="s">
        <v>4333</v>
      </c>
      <c r="V31" s="44" t="s">
        <v>4334</v>
      </c>
      <c r="W31" s="41">
        <v>16.0</v>
      </c>
      <c r="X31" s="42" t="s">
        <v>4335</v>
      </c>
      <c r="Y31" s="43"/>
      <c r="Z31" s="43"/>
      <c r="AA31" s="41">
        <v>2011.0</v>
      </c>
      <c r="AB31" s="43"/>
      <c r="AC31" s="43"/>
      <c r="AD31" s="43"/>
      <c r="AE31" s="45"/>
      <c r="AF31" s="45"/>
      <c r="AG31" s="45"/>
      <c r="AH31" s="45"/>
      <c r="AI31" s="45"/>
      <c r="AJ31" s="45"/>
      <c r="AK31" s="45"/>
      <c r="AL31" s="45"/>
      <c r="AM31" s="45"/>
      <c r="AN31" s="45"/>
      <c r="AO31" s="42" t="s">
        <v>4336</v>
      </c>
      <c r="AP31" s="42" t="s">
        <v>4337</v>
      </c>
      <c r="AQ31" s="42" t="s">
        <v>4338</v>
      </c>
      <c r="AR31" s="42" t="s">
        <v>4339</v>
      </c>
      <c r="AS31" s="43" t="str">
        <f>+972 (0)53 433 9019</f>
        <v>#ERROR!</v>
      </c>
      <c r="AT31" s="42" t="s">
        <v>3622</v>
      </c>
      <c r="AU31" s="42" t="s">
        <v>4340</v>
      </c>
      <c r="AV31" s="43"/>
      <c r="AW31" s="42" t="s">
        <v>3625</v>
      </c>
      <c r="AX31" s="43"/>
      <c r="AY31" s="41">
        <v>3079533.0</v>
      </c>
      <c r="AZ31" s="42" t="s">
        <v>41</v>
      </c>
      <c r="BA31" s="45"/>
      <c r="BB31" s="45" t="str">
        <f>+972 (0)2 500 2047</f>
        <v>#ERROR!</v>
      </c>
      <c r="BC31" s="42" t="s">
        <v>4341</v>
      </c>
      <c r="BD31" s="42" t="s">
        <v>3584</v>
      </c>
      <c r="BE31" s="42" t="s">
        <v>3584</v>
      </c>
      <c r="BF31" s="42" t="s">
        <v>4342</v>
      </c>
      <c r="BG31" s="42" t="s">
        <v>4343</v>
      </c>
      <c r="BH31" s="41">
        <v>7.0</v>
      </c>
      <c r="BI31" s="43"/>
      <c r="BJ31" s="43"/>
      <c r="BK31" s="43"/>
      <c r="BL31" s="42" t="s">
        <v>4344</v>
      </c>
      <c r="BM31" s="43"/>
      <c r="BN31" s="43"/>
      <c r="BO31" s="42" t="s">
        <v>4345</v>
      </c>
      <c r="BP31" s="43"/>
      <c r="BQ31" s="46" t="s">
        <v>4346</v>
      </c>
      <c r="BR31" s="41">
        <v>0.5</v>
      </c>
      <c r="BS31" s="42" t="s">
        <v>3593</v>
      </c>
      <c r="BT31" s="41">
        <v>2.0</v>
      </c>
      <c r="BU31" s="42" t="s">
        <v>3593</v>
      </c>
      <c r="BV31" s="42" t="s">
        <v>3669</v>
      </c>
      <c r="BW31" s="43"/>
      <c r="BX31" s="43"/>
      <c r="BY31" s="42" t="s">
        <v>3573</v>
      </c>
      <c r="BZ31" s="43"/>
      <c r="CA31" s="42" t="s">
        <v>3591</v>
      </c>
      <c r="CB31" s="46" t="s">
        <v>4347</v>
      </c>
      <c r="CC31" s="45"/>
      <c r="CD31" s="43"/>
      <c r="CE31" s="45"/>
      <c r="CF31" s="43"/>
      <c r="CG31" s="42" t="s">
        <v>3594</v>
      </c>
      <c r="CH31" s="43"/>
      <c r="CI31" s="43"/>
      <c r="CJ31" s="42" t="s">
        <v>3573</v>
      </c>
      <c r="CK31" s="45"/>
      <c r="CL31" s="45"/>
      <c r="CM31" s="43"/>
      <c r="CN31" s="42" t="s">
        <v>3591</v>
      </c>
      <c r="CO31" s="47">
        <v>-0.0037</v>
      </c>
      <c r="CP31" s="41">
        <v>9.0</v>
      </c>
      <c r="CQ31" s="47">
        <v>0.0</v>
      </c>
      <c r="CR31" s="47">
        <v>0.0</v>
      </c>
      <c r="CS31" s="47">
        <v>0.0</v>
      </c>
      <c r="CT31" s="41">
        <v>12.0</v>
      </c>
      <c r="CU31" s="45"/>
      <c r="CV31" s="45"/>
      <c r="CW31" s="47">
        <v>0.0</v>
      </c>
      <c r="CX31" s="41">
        <v>12.0</v>
      </c>
      <c r="CY31" s="41" t="s">
        <v>4348</v>
      </c>
      <c r="CZ31" s="41">
        <v>70.0</v>
      </c>
      <c r="DA31" s="41" t="s">
        <v>3598</v>
      </c>
      <c r="DB31" s="47">
        <v>0.0</v>
      </c>
      <c r="DC31" s="41" t="s">
        <v>4349</v>
      </c>
      <c r="DD31" s="41">
        <v>73.0</v>
      </c>
      <c r="DE31" s="45"/>
      <c r="DF31" s="45"/>
      <c r="DG31" s="41" t="s">
        <v>4349</v>
      </c>
      <c r="DH31" s="41">
        <v>73.0</v>
      </c>
      <c r="DI31" s="45"/>
      <c r="DJ31" s="45"/>
      <c r="DK31" s="45"/>
      <c r="DL31" s="41">
        <v>66.0</v>
      </c>
      <c r="DM31" s="41">
        <v>1.0</v>
      </c>
      <c r="DN31" s="47">
        <v>0.0154</v>
      </c>
      <c r="DO31" s="41" t="s">
        <v>3600</v>
      </c>
      <c r="DP31" s="46" t="s">
        <v>4350</v>
      </c>
      <c r="DQ31" s="41">
        <v>45.0</v>
      </c>
      <c r="DR31" s="41">
        <v>5.0</v>
      </c>
      <c r="DS31" s="41">
        <v>34.0</v>
      </c>
      <c r="DT31" s="41">
        <v>4.0</v>
      </c>
      <c r="DU31" s="45"/>
      <c r="DV31" s="41">
        <v>7.0</v>
      </c>
      <c r="DW31" s="42" t="s">
        <v>4351</v>
      </c>
      <c r="DX31" s="41">
        <v>53.0</v>
      </c>
      <c r="DY31" s="42" t="s">
        <v>3602</v>
      </c>
      <c r="DZ31" s="47">
        <v>0.66</v>
      </c>
      <c r="EA31" s="47">
        <v>0.34</v>
      </c>
      <c r="EB31" s="42" t="s">
        <v>3603</v>
      </c>
      <c r="EC31" s="47">
        <v>0.06</v>
      </c>
      <c r="ED31" s="47">
        <v>0.6</v>
      </c>
      <c r="EE31" s="41">
        <v>58.14</v>
      </c>
      <c r="EF31" s="46" t="s">
        <v>4352</v>
      </c>
      <c r="EG31" s="42" t="s">
        <v>3594</v>
      </c>
      <c r="EH31" s="45"/>
      <c r="EI31" s="45"/>
      <c r="EJ31" s="45"/>
      <c r="EK31" s="43"/>
      <c r="EL31" s="45"/>
      <c r="EM31" s="45"/>
      <c r="EN31" s="45"/>
      <c r="EO31" s="41">
        <v>7.06</v>
      </c>
      <c r="EP31" s="48" t="s">
        <v>3559</v>
      </c>
    </row>
    <row r="32">
      <c r="A32" s="32">
        <v>7.1</v>
      </c>
      <c r="B32" s="35" t="s">
        <v>1746</v>
      </c>
      <c r="C32" s="34"/>
      <c r="D32" s="34"/>
      <c r="E32" s="35" t="s">
        <v>4353</v>
      </c>
      <c r="F32" s="35" t="s">
        <v>4354</v>
      </c>
      <c r="G32" s="35" t="s">
        <v>4355</v>
      </c>
      <c r="H32" s="35" t="s">
        <v>3563</v>
      </c>
      <c r="I32" s="35" t="s">
        <v>3564</v>
      </c>
      <c r="J32" s="35" t="s">
        <v>4356</v>
      </c>
      <c r="K32" s="35" t="s">
        <v>4357</v>
      </c>
      <c r="L32" s="35" t="s">
        <v>4358</v>
      </c>
      <c r="M32" s="35" t="s">
        <v>4359</v>
      </c>
      <c r="N32" s="35" t="s">
        <v>3569</v>
      </c>
      <c r="O32" s="35" t="s">
        <v>4360</v>
      </c>
      <c r="P32" s="35"/>
      <c r="R32" s="35" t="s">
        <v>3571</v>
      </c>
      <c r="S32" s="35" t="s">
        <v>3572</v>
      </c>
      <c r="T32" s="35" t="s">
        <v>3573</v>
      </c>
      <c r="U32" s="36" t="s">
        <v>4361</v>
      </c>
      <c r="V32" s="36" t="s">
        <v>4362</v>
      </c>
      <c r="W32" s="32">
        <v>27.0</v>
      </c>
      <c r="X32" s="35" t="s">
        <v>4363</v>
      </c>
      <c r="Y32" s="34"/>
      <c r="Z32" s="34"/>
      <c r="AA32" s="32">
        <v>2018.0</v>
      </c>
      <c r="AB32" s="34"/>
      <c r="AC32" s="34"/>
      <c r="AD32" s="34"/>
      <c r="AE32" s="32">
        <v>0.16</v>
      </c>
      <c r="AF32" s="37"/>
      <c r="AG32" s="37"/>
      <c r="AH32" s="37"/>
      <c r="AI32" s="37"/>
      <c r="AJ32" s="37"/>
      <c r="AK32" s="37"/>
      <c r="AL32" s="37"/>
      <c r="AM32" s="39">
        <v>1.4179</v>
      </c>
      <c r="AN32" s="32" t="s">
        <v>3716</v>
      </c>
      <c r="AO32" s="35" t="s">
        <v>4364</v>
      </c>
      <c r="AP32" s="35" t="s">
        <v>4365</v>
      </c>
      <c r="AQ32" s="35" t="s">
        <v>4366</v>
      </c>
      <c r="AR32" s="35" t="s">
        <v>4367</v>
      </c>
      <c r="AS32" s="34" t="str">
        <f>+972 (0)5 282 0911 9</f>
        <v>#ERROR!</v>
      </c>
      <c r="AT32" s="35" t="s">
        <v>4368</v>
      </c>
      <c r="AU32" s="35" t="s">
        <v>4369</v>
      </c>
      <c r="AV32" s="35" t="s">
        <v>4370</v>
      </c>
      <c r="AW32" s="35" t="s">
        <v>1037</v>
      </c>
      <c r="AX32" s="35" t="s">
        <v>1037</v>
      </c>
      <c r="AY32" s="37"/>
      <c r="AZ32" s="35" t="s">
        <v>41</v>
      </c>
      <c r="BA32" s="37" t="str">
        <f>+972 (0)74 774 5744</f>
        <v>#ERROR!</v>
      </c>
      <c r="BB32" s="37" t="str">
        <f>+972 (0)77 970 9031</f>
        <v>#ERROR!</v>
      </c>
      <c r="BC32" s="35" t="s">
        <v>1751</v>
      </c>
      <c r="BD32" s="35" t="s">
        <v>3584</v>
      </c>
      <c r="BE32" s="35" t="s">
        <v>3584</v>
      </c>
      <c r="BF32" s="35" t="s">
        <v>4371</v>
      </c>
      <c r="BG32" s="35" t="s">
        <v>4372</v>
      </c>
      <c r="BH32" s="32">
        <v>1.0</v>
      </c>
      <c r="BI32" s="34"/>
      <c r="BJ32" s="34"/>
      <c r="BK32" s="34"/>
      <c r="BL32" s="35" t="s">
        <v>4373</v>
      </c>
      <c r="BM32" s="34"/>
      <c r="BN32" s="34"/>
      <c r="BO32" s="35" t="s">
        <v>4374</v>
      </c>
      <c r="BP32" s="34"/>
      <c r="BQ32" s="38" t="s">
        <v>4375</v>
      </c>
      <c r="BR32" s="37"/>
      <c r="BS32" s="34"/>
      <c r="BT32" s="37"/>
      <c r="BU32" s="34"/>
      <c r="BV32" s="35" t="s">
        <v>3589</v>
      </c>
      <c r="BW32" s="34"/>
      <c r="BX32" s="34"/>
      <c r="BY32" s="35" t="s">
        <v>3590</v>
      </c>
      <c r="BZ32" s="34"/>
      <c r="CA32" s="35" t="s">
        <v>3591</v>
      </c>
      <c r="CB32" s="37"/>
      <c r="CC32" s="32">
        <v>5.0</v>
      </c>
      <c r="CD32" s="35" t="s">
        <v>3697</v>
      </c>
      <c r="CE32" s="37"/>
      <c r="CF32" s="34"/>
      <c r="CG32" s="35" t="s">
        <v>3594</v>
      </c>
      <c r="CH32" s="34"/>
      <c r="CI32" s="34"/>
      <c r="CJ32" s="35" t="s">
        <v>3573</v>
      </c>
      <c r="CK32" s="37"/>
      <c r="CL32" s="37"/>
      <c r="CM32" s="34"/>
      <c r="CN32" s="35" t="s">
        <v>3591</v>
      </c>
      <c r="CO32" s="39">
        <v>0.0</v>
      </c>
      <c r="CP32" s="32">
        <v>14.0</v>
      </c>
      <c r="CQ32" s="39">
        <v>0.0</v>
      </c>
      <c r="CR32" s="39">
        <v>0.0</v>
      </c>
      <c r="CS32" s="39">
        <v>0.0</v>
      </c>
      <c r="CT32" s="32">
        <v>12.0</v>
      </c>
      <c r="CU32" s="37"/>
      <c r="CV32" s="37"/>
      <c r="CW32" s="39">
        <v>0.0</v>
      </c>
      <c r="CX32" s="32">
        <v>12.0</v>
      </c>
      <c r="CY32" s="32" t="s">
        <v>4376</v>
      </c>
      <c r="CZ32" s="32">
        <v>71.0</v>
      </c>
      <c r="DA32" s="32" t="s">
        <v>3598</v>
      </c>
      <c r="DB32" s="39">
        <v>0.0</v>
      </c>
      <c r="DC32" s="32" t="s">
        <v>4376</v>
      </c>
      <c r="DD32" s="32">
        <v>72.0</v>
      </c>
      <c r="DE32" s="37"/>
      <c r="DF32" s="37"/>
      <c r="DG32" s="32" t="s">
        <v>4376</v>
      </c>
      <c r="DH32" s="32">
        <v>71.0</v>
      </c>
      <c r="DI32" s="32">
        <v>0.0</v>
      </c>
      <c r="DJ32" s="32">
        <v>0.0</v>
      </c>
      <c r="DK32" s="39">
        <v>0.0</v>
      </c>
      <c r="DL32" s="32">
        <v>59.0</v>
      </c>
      <c r="DM32" s="32">
        <v>0.0</v>
      </c>
      <c r="DN32" s="39">
        <v>0.0</v>
      </c>
      <c r="DO32" s="32" t="s">
        <v>3600</v>
      </c>
      <c r="DP32" s="38" t="s">
        <v>4377</v>
      </c>
      <c r="DQ32" s="32">
        <v>13.0</v>
      </c>
      <c r="DR32" s="32">
        <v>5.0</v>
      </c>
      <c r="DS32" s="32">
        <v>2.0</v>
      </c>
      <c r="DT32" s="32">
        <v>6.0</v>
      </c>
      <c r="DU32" s="37"/>
      <c r="DV32" s="32">
        <v>5.0</v>
      </c>
      <c r="DW32" s="35" t="s">
        <v>4378</v>
      </c>
      <c r="DX32" s="32">
        <v>42.0</v>
      </c>
      <c r="DY32" s="35" t="s">
        <v>4379</v>
      </c>
      <c r="DZ32" s="39">
        <v>0.5</v>
      </c>
      <c r="EA32" s="39">
        <v>0.5</v>
      </c>
      <c r="EB32" s="35" t="s">
        <v>4379</v>
      </c>
      <c r="EC32" s="39">
        <v>0.02</v>
      </c>
      <c r="ED32" s="39">
        <v>0.48</v>
      </c>
      <c r="EE32" s="32">
        <v>45.0</v>
      </c>
      <c r="EF32" s="38" t="s">
        <v>4380</v>
      </c>
      <c r="EG32" s="35" t="s">
        <v>3669</v>
      </c>
      <c r="EH32" s="37"/>
      <c r="EI32" s="37"/>
      <c r="EJ32" s="37"/>
      <c r="EK32" s="35" t="s">
        <v>4381</v>
      </c>
      <c r="EL32" s="37"/>
      <c r="EM32" s="37"/>
      <c r="EN32" s="37"/>
      <c r="EO32" s="37"/>
      <c r="EP32" s="40" t="s">
        <v>3559</v>
      </c>
    </row>
    <row r="33">
      <c r="A33" s="41">
        <v>150.45</v>
      </c>
      <c r="B33" s="42" t="s">
        <v>4382</v>
      </c>
      <c r="C33" s="42" t="s">
        <v>4383</v>
      </c>
      <c r="D33" s="43"/>
      <c r="E33" s="42" t="s">
        <v>4384</v>
      </c>
      <c r="F33" s="42" t="s">
        <v>4385</v>
      </c>
      <c r="G33" s="42" t="s">
        <v>4386</v>
      </c>
      <c r="H33" s="42" t="s">
        <v>3563</v>
      </c>
      <c r="I33" s="42" t="s">
        <v>3564</v>
      </c>
      <c r="J33" s="42" t="s">
        <v>3565</v>
      </c>
      <c r="K33" s="42" t="s">
        <v>3734</v>
      </c>
      <c r="L33" s="42" t="s">
        <v>4387</v>
      </c>
      <c r="M33" s="42" t="s">
        <v>4388</v>
      </c>
      <c r="N33" s="42" t="s">
        <v>4389</v>
      </c>
      <c r="O33" s="42" t="s">
        <v>4390</v>
      </c>
      <c r="P33" s="42"/>
      <c r="R33" s="42" t="s">
        <v>3571</v>
      </c>
      <c r="S33" s="42" t="s">
        <v>3572</v>
      </c>
      <c r="T33" s="42" t="s">
        <v>4391</v>
      </c>
      <c r="U33" s="44" t="s">
        <v>4392</v>
      </c>
      <c r="V33" s="44" t="s">
        <v>4393</v>
      </c>
      <c r="W33" s="41">
        <v>113.0</v>
      </c>
      <c r="X33" s="42" t="s">
        <v>4394</v>
      </c>
      <c r="Y33" s="43"/>
      <c r="Z33" s="43"/>
      <c r="AA33" s="41">
        <v>2019.0</v>
      </c>
      <c r="AB33" s="43"/>
      <c r="AC33" s="43"/>
      <c r="AD33" s="43"/>
      <c r="AE33" s="45"/>
      <c r="AF33" s="45"/>
      <c r="AG33" s="45"/>
      <c r="AH33" s="45"/>
      <c r="AI33" s="45"/>
      <c r="AJ33" s="45"/>
      <c r="AK33" s="45"/>
      <c r="AL33" s="45"/>
      <c r="AM33" s="45"/>
      <c r="AN33" s="45"/>
      <c r="AO33" s="42" t="s">
        <v>4395</v>
      </c>
      <c r="AP33" s="42" t="s">
        <v>4396</v>
      </c>
      <c r="AQ33" s="42" t="s">
        <v>4397</v>
      </c>
      <c r="AR33" s="42" t="s">
        <v>4398</v>
      </c>
      <c r="AS33" s="43" t="str">
        <f>+972 (0)3 540 3293</f>
        <v>#ERROR!</v>
      </c>
      <c r="AT33" s="42" t="s">
        <v>3581</v>
      </c>
      <c r="AU33" s="42" t="s">
        <v>4399</v>
      </c>
      <c r="AV33" s="43"/>
      <c r="AW33" s="42" t="s">
        <v>75</v>
      </c>
      <c r="AX33" s="43"/>
      <c r="AY33" s="41">
        <v>6713701.0</v>
      </c>
      <c r="AZ33" s="42" t="s">
        <v>41</v>
      </c>
      <c r="BA33" s="45"/>
      <c r="BB33" s="45"/>
      <c r="BC33" s="42" t="s">
        <v>368</v>
      </c>
      <c r="BD33" s="42" t="s">
        <v>3584</v>
      </c>
      <c r="BE33" s="42" t="s">
        <v>3584</v>
      </c>
      <c r="BF33" s="42" t="s">
        <v>4400</v>
      </c>
      <c r="BG33" s="42" t="s">
        <v>4401</v>
      </c>
      <c r="BH33" s="41">
        <v>15.0</v>
      </c>
      <c r="BI33" s="43"/>
      <c r="BJ33" s="42" t="s">
        <v>4402</v>
      </c>
      <c r="BK33" s="43"/>
      <c r="BL33" s="42" t="s">
        <v>4403</v>
      </c>
      <c r="BM33" s="42" t="s">
        <v>4404</v>
      </c>
      <c r="BN33" s="43"/>
      <c r="BO33" s="43"/>
      <c r="BP33" s="42" t="s">
        <v>4405</v>
      </c>
      <c r="BQ33" s="46" t="s">
        <v>3857</v>
      </c>
      <c r="BR33" s="45"/>
      <c r="BS33" s="43"/>
      <c r="BT33" s="45"/>
      <c r="BU33" s="43"/>
      <c r="BV33" s="42" t="s">
        <v>4406</v>
      </c>
      <c r="BW33" s="43"/>
      <c r="BX33" s="43"/>
      <c r="BY33" s="42" t="s">
        <v>3663</v>
      </c>
      <c r="BZ33" s="43"/>
      <c r="CA33" s="42" t="s">
        <v>3591</v>
      </c>
      <c r="CB33" s="46" t="s">
        <v>4407</v>
      </c>
      <c r="CC33" s="45"/>
      <c r="CD33" s="43"/>
      <c r="CE33" s="45"/>
      <c r="CF33" s="43"/>
      <c r="CG33" s="42" t="s">
        <v>3830</v>
      </c>
      <c r="CH33" s="43"/>
      <c r="CI33" s="43"/>
      <c r="CJ33" s="42" t="s">
        <v>3590</v>
      </c>
      <c r="CK33" s="45"/>
      <c r="CL33" s="45"/>
      <c r="CM33" s="43"/>
      <c r="CN33" s="42" t="s">
        <v>3591</v>
      </c>
      <c r="CO33" s="47">
        <v>-0.0064</v>
      </c>
      <c r="CP33" s="41">
        <v>7.0</v>
      </c>
      <c r="CQ33" s="47">
        <v>0.0</v>
      </c>
      <c r="CR33" s="47">
        <v>0.0</v>
      </c>
      <c r="CS33" s="45"/>
      <c r="CT33" s="45"/>
      <c r="CU33" s="45"/>
      <c r="CV33" s="45"/>
      <c r="CW33" s="45"/>
      <c r="CX33" s="45"/>
      <c r="CY33" s="41" t="s">
        <v>4408</v>
      </c>
      <c r="CZ33" s="41">
        <v>94.0</v>
      </c>
      <c r="DA33" s="41" t="s">
        <v>3598</v>
      </c>
      <c r="DB33" s="47">
        <v>0.0</v>
      </c>
      <c r="DC33" s="45"/>
      <c r="DD33" s="45"/>
      <c r="DE33" s="45"/>
      <c r="DF33" s="45"/>
      <c r="DG33" s="45"/>
      <c r="DH33" s="45"/>
      <c r="DI33" s="41">
        <v>1.0</v>
      </c>
      <c r="DJ33" s="41">
        <v>-10.0</v>
      </c>
      <c r="DK33" s="47">
        <v>-0.9091</v>
      </c>
      <c r="DL33" s="45"/>
      <c r="DM33" s="45"/>
      <c r="DN33" s="45"/>
      <c r="DO33" s="41" t="s">
        <v>3600</v>
      </c>
      <c r="DP33" s="46" t="s">
        <v>3833</v>
      </c>
      <c r="DQ33" s="41">
        <v>293.0</v>
      </c>
      <c r="DR33" s="41">
        <v>151.0</v>
      </c>
      <c r="DS33" s="41">
        <v>162.0</v>
      </c>
      <c r="DT33" s="41">
        <v>103.0</v>
      </c>
      <c r="DU33" s="45"/>
      <c r="DV33" s="41">
        <v>28.0</v>
      </c>
      <c r="DW33" s="42" t="s">
        <v>4409</v>
      </c>
      <c r="DX33" s="41">
        <v>46.0</v>
      </c>
      <c r="DY33" s="42" t="s">
        <v>3602</v>
      </c>
      <c r="DZ33" s="47">
        <v>0.74</v>
      </c>
      <c r="EA33" s="47">
        <v>0.26</v>
      </c>
      <c r="EB33" s="42" t="s">
        <v>3603</v>
      </c>
      <c r="EC33" s="47">
        <v>0.27</v>
      </c>
      <c r="ED33" s="47">
        <v>0.47</v>
      </c>
      <c r="EE33" s="41">
        <v>387.45</v>
      </c>
      <c r="EF33" s="46" t="s">
        <v>4410</v>
      </c>
      <c r="EG33" s="42" t="s">
        <v>3594</v>
      </c>
      <c r="EH33" s="45"/>
      <c r="EI33" s="45"/>
      <c r="EJ33" s="45"/>
      <c r="EK33" s="43"/>
      <c r="EL33" s="45"/>
      <c r="EM33" s="45"/>
      <c r="EN33" s="41">
        <v>2.67</v>
      </c>
      <c r="EO33" s="41">
        <v>2.67</v>
      </c>
      <c r="EP33" s="48" t="s">
        <v>3559</v>
      </c>
    </row>
    <row r="34">
      <c r="A34" s="32">
        <v>35.95</v>
      </c>
      <c r="B34" s="35" t="s">
        <v>4411</v>
      </c>
      <c r="C34" s="34"/>
      <c r="D34" s="34"/>
      <c r="E34" s="35" t="s">
        <v>4412</v>
      </c>
      <c r="F34" s="34"/>
      <c r="G34" s="35" t="s">
        <v>4413</v>
      </c>
      <c r="H34" s="35" t="s">
        <v>3867</v>
      </c>
      <c r="I34" s="35" t="s">
        <v>4199</v>
      </c>
      <c r="J34" s="35" t="s">
        <v>4414</v>
      </c>
      <c r="K34" s="35" t="s">
        <v>4415</v>
      </c>
      <c r="L34" s="35" t="s">
        <v>4416</v>
      </c>
      <c r="M34" s="35" t="s">
        <v>4417</v>
      </c>
      <c r="N34" s="35" t="s">
        <v>3569</v>
      </c>
      <c r="O34" s="35" t="s">
        <v>4418</v>
      </c>
      <c r="P34" s="35"/>
      <c r="R34" s="35" t="s">
        <v>3571</v>
      </c>
      <c r="S34" s="35" t="s">
        <v>3572</v>
      </c>
      <c r="T34" s="35" t="s">
        <v>3573</v>
      </c>
      <c r="U34" s="36" t="s">
        <v>4419</v>
      </c>
      <c r="V34" s="36" t="s">
        <v>4420</v>
      </c>
      <c r="W34" s="32">
        <v>60.0</v>
      </c>
      <c r="X34" s="35" t="s">
        <v>4421</v>
      </c>
      <c r="Y34" s="34"/>
      <c r="Z34" s="34"/>
      <c r="AA34" s="32">
        <v>2017.0</v>
      </c>
      <c r="AB34" s="34"/>
      <c r="AC34" s="34"/>
      <c r="AD34" s="34"/>
      <c r="AE34" s="32">
        <v>1.0</v>
      </c>
      <c r="AF34" s="37"/>
      <c r="AG34" s="37"/>
      <c r="AH34" s="37"/>
      <c r="AI34" s="37"/>
      <c r="AJ34" s="37"/>
      <c r="AK34" s="37"/>
      <c r="AL34" s="37"/>
      <c r="AM34" s="37"/>
      <c r="AN34" s="32" t="s">
        <v>3932</v>
      </c>
      <c r="AO34" s="35" t="s">
        <v>4422</v>
      </c>
      <c r="AP34" s="35" t="s">
        <v>2899</v>
      </c>
      <c r="AQ34" s="35" t="s">
        <v>3579</v>
      </c>
      <c r="AR34" s="35" t="s">
        <v>4423</v>
      </c>
      <c r="AS34" s="34" t="str">
        <f>+972 (0)54 522 4044</f>
        <v>#ERROR!</v>
      </c>
      <c r="AT34" s="35" t="s">
        <v>4424</v>
      </c>
      <c r="AU34" s="35" t="s">
        <v>4425</v>
      </c>
      <c r="AV34" s="35" t="s">
        <v>4426</v>
      </c>
      <c r="AW34" s="35" t="s">
        <v>4427</v>
      </c>
      <c r="AX34" s="34"/>
      <c r="AY34" s="32">
        <v>3701042.0</v>
      </c>
      <c r="AZ34" s="35" t="s">
        <v>41</v>
      </c>
      <c r="BA34" s="37"/>
      <c r="BB34" s="37"/>
      <c r="BC34" s="35" t="s">
        <v>2903</v>
      </c>
      <c r="BD34" s="35" t="s">
        <v>3584</v>
      </c>
      <c r="BE34" s="35" t="s">
        <v>3584</v>
      </c>
      <c r="BF34" s="35" t="s">
        <v>4428</v>
      </c>
      <c r="BG34" s="35" t="s">
        <v>4429</v>
      </c>
      <c r="BH34" s="32">
        <v>5.0</v>
      </c>
      <c r="BI34" s="34"/>
      <c r="BJ34" s="34"/>
      <c r="BK34" s="34"/>
      <c r="BL34" s="35" t="s">
        <v>4430</v>
      </c>
      <c r="BM34" s="34"/>
      <c r="BN34" s="34"/>
      <c r="BO34" s="34"/>
      <c r="BP34" s="34"/>
      <c r="BQ34" s="38" t="s">
        <v>4431</v>
      </c>
      <c r="BR34" s="37"/>
      <c r="BS34" s="34"/>
      <c r="BT34" s="37"/>
      <c r="BU34" s="34"/>
      <c r="BV34" s="35" t="s">
        <v>3698</v>
      </c>
      <c r="BW34" s="35" t="s">
        <v>3698</v>
      </c>
      <c r="BX34" s="34"/>
      <c r="BY34" s="35" t="s">
        <v>3803</v>
      </c>
      <c r="BZ34" s="34"/>
      <c r="CA34" s="35" t="s">
        <v>3591</v>
      </c>
      <c r="CB34" s="38" t="s">
        <v>4432</v>
      </c>
      <c r="CC34" s="32">
        <v>23.0</v>
      </c>
      <c r="CD34" s="35" t="s">
        <v>3593</v>
      </c>
      <c r="CE34" s="37"/>
      <c r="CF34" s="34"/>
      <c r="CG34" s="35" t="s">
        <v>3594</v>
      </c>
      <c r="CH34" s="35" t="s">
        <v>3595</v>
      </c>
      <c r="CI34" s="34"/>
      <c r="CJ34" s="35" t="s">
        <v>3573</v>
      </c>
      <c r="CK34" s="37"/>
      <c r="CL34" s="37"/>
      <c r="CM34" s="34"/>
      <c r="CN34" s="35" t="s">
        <v>3591</v>
      </c>
      <c r="CO34" s="37"/>
      <c r="CP34" s="37"/>
      <c r="CQ34" s="37"/>
      <c r="CR34" s="37"/>
      <c r="CS34" s="37"/>
      <c r="CT34" s="37"/>
      <c r="CU34" s="37"/>
      <c r="CV34" s="37"/>
      <c r="CW34" s="37"/>
      <c r="CX34" s="37"/>
      <c r="CY34" s="37"/>
      <c r="CZ34" s="37"/>
      <c r="DA34" s="37"/>
      <c r="DB34" s="37"/>
      <c r="DC34" s="37"/>
      <c r="DD34" s="37"/>
      <c r="DE34" s="37"/>
      <c r="DF34" s="37"/>
      <c r="DG34" s="37"/>
      <c r="DH34" s="37"/>
      <c r="DI34" s="37"/>
      <c r="DJ34" s="37"/>
      <c r="DK34" s="37"/>
      <c r="DL34" s="37"/>
      <c r="DM34" s="37"/>
      <c r="DN34" s="37"/>
      <c r="DO34" s="32" t="s">
        <v>3600</v>
      </c>
      <c r="DP34" s="38" t="s">
        <v>4433</v>
      </c>
      <c r="DQ34" s="32">
        <v>10.0</v>
      </c>
      <c r="DR34" s="32">
        <v>4.0</v>
      </c>
      <c r="DS34" s="32">
        <v>4.0</v>
      </c>
      <c r="DT34" s="32">
        <v>4.0</v>
      </c>
      <c r="DU34" s="37"/>
      <c r="DV34" s="32">
        <v>2.0</v>
      </c>
      <c r="DW34" s="35" t="s">
        <v>4434</v>
      </c>
      <c r="DX34" s="32">
        <v>77.0</v>
      </c>
      <c r="DY34" s="35" t="s">
        <v>3602</v>
      </c>
      <c r="DZ34" s="39">
        <v>0.59</v>
      </c>
      <c r="EA34" s="39">
        <v>0.41</v>
      </c>
      <c r="EB34" s="35" t="s">
        <v>3603</v>
      </c>
      <c r="EC34" s="39">
        <v>0.15</v>
      </c>
      <c r="ED34" s="39">
        <v>0.44</v>
      </c>
      <c r="EE34" s="32">
        <v>46.45</v>
      </c>
      <c r="EF34" s="38" t="s">
        <v>4410</v>
      </c>
      <c r="EG34" s="35" t="s">
        <v>3698</v>
      </c>
      <c r="EH34" s="37"/>
      <c r="EI34" s="37"/>
      <c r="EJ34" s="37"/>
      <c r="EK34" s="34"/>
      <c r="EL34" s="37"/>
      <c r="EM34" s="37"/>
      <c r="EN34" s="37"/>
      <c r="EO34" s="32">
        <v>2.22</v>
      </c>
      <c r="EP34" s="40" t="s">
        <v>3559</v>
      </c>
    </row>
    <row r="35">
      <c r="A35" s="41">
        <v>47.0</v>
      </c>
      <c r="B35" s="42" t="s">
        <v>2022</v>
      </c>
      <c r="C35" s="42" t="s">
        <v>4435</v>
      </c>
      <c r="D35" s="43"/>
      <c r="E35" s="42" t="s">
        <v>4436</v>
      </c>
      <c r="F35" s="42" t="s">
        <v>4437</v>
      </c>
      <c r="G35" s="42" t="s">
        <v>4438</v>
      </c>
      <c r="H35" s="42" t="s">
        <v>3867</v>
      </c>
      <c r="I35" s="42" t="s">
        <v>3868</v>
      </c>
      <c r="J35" s="42" t="s">
        <v>3869</v>
      </c>
      <c r="K35" s="42" t="s">
        <v>4439</v>
      </c>
      <c r="L35" s="42" t="s">
        <v>3760</v>
      </c>
      <c r="M35" s="42" t="s">
        <v>4440</v>
      </c>
      <c r="N35" s="42" t="s">
        <v>3569</v>
      </c>
      <c r="O35" s="42" t="s">
        <v>4441</v>
      </c>
      <c r="P35" s="42"/>
      <c r="R35" s="42" t="s">
        <v>3571</v>
      </c>
      <c r="S35" s="42" t="s">
        <v>3572</v>
      </c>
      <c r="T35" s="42" t="s">
        <v>4391</v>
      </c>
      <c r="U35" s="44" t="s">
        <v>4442</v>
      </c>
      <c r="V35" s="44" t="s">
        <v>4443</v>
      </c>
      <c r="W35" s="41">
        <v>33.0</v>
      </c>
      <c r="X35" s="42" t="s">
        <v>4444</v>
      </c>
      <c r="Y35" s="43"/>
      <c r="Z35" s="43"/>
      <c r="AA35" s="41">
        <v>2010.0</v>
      </c>
      <c r="AB35" s="43"/>
      <c r="AC35" s="43"/>
      <c r="AD35" s="43"/>
      <c r="AE35" s="45"/>
      <c r="AF35" s="45"/>
      <c r="AG35" s="45"/>
      <c r="AH35" s="45"/>
      <c r="AI35" s="45"/>
      <c r="AJ35" s="45"/>
      <c r="AK35" s="45"/>
      <c r="AL35" s="45"/>
      <c r="AM35" s="45"/>
      <c r="AN35" s="45"/>
      <c r="AO35" s="42" t="s">
        <v>4445</v>
      </c>
      <c r="AP35" s="42" t="s">
        <v>4446</v>
      </c>
      <c r="AQ35" s="42" t="s">
        <v>4312</v>
      </c>
      <c r="AR35" s="42" t="s">
        <v>4447</v>
      </c>
      <c r="AS35" s="43" t="str">
        <f>+972 (0)4 375 0050</f>
        <v>#ERROR!</v>
      </c>
      <c r="AT35" s="42" t="s">
        <v>4448</v>
      </c>
      <c r="AU35" s="42" t="s">
        <v>4449</v>
      </c>
      <c r="AV35" s="43"/>
      <c r="AW35" s="42" t="s">
        <v>485</v>
      </c>
      <c r="AX35" s="43"/>
      <c r="AY35" s="41">
        <v>3303323.0</v>
      </c>
      <c r="AZ35" s="42" t="s">
        <v>41</v>
      </c>
      <c r="BA35" s="45" t="str">
        <f>+972 (0)4 375 0050</f>
        <v>#ERROR!</v>
      </c>
      <c r="BB35" s="45"/>
      <c r="BC35" s="42" t="s">
        <v>2028</v>
      </c>
      <c r="BD35" s="42" t="s">
        <v>3584</v>
      </c>
      <c r="BE35" s="42" t="s">
        <v>3584</v>
      </c>
      <c r="BF35" s="42" t="s">
        <v>4450</v>
      </c>
      <c r="BG35" s="42" t="s">
        <v>4451</v>
      </c>
      <c r="BH35" s="41">
        <v>14.0</v>
      </c>
      <c r="BI35" s="43"/>
      <c r="BJ35" s="42" t="s">
        <v>4452</v>
      </c>
      <c r="BK35" s="43"/>
      <c r="BL35" s="42" t="s">
        <v>4453</v>
      </c>
      <c r="BM35" s="42" t="s">
        <v>4454</v>
      </c>
      <c r="BN35" s="43"/>
      <c r="BO35" s="43"/>
      <c r="BP35" s="42" t="s">
        <v>3725</v>
      </c>
      <c r="BQ35" s="46" t="s">
        <v>4455</v>
      </c>
      <c r="BR35" s="45"/>
      <c r="BS35" s="43"/>
      <c r="BT35" s="45"/>
      <c r="BU35" s="43"/>
      <c r="BV35" s="42" t="s">
        <v>3589</v>
      </c>
      <c r="BW35" s="43"/>
      <c r="BX35" s="43"/>
      <c r="BY35" s="42" t="s">
        <v>3573</v>
      </c>
      <c r="BZ35" s="43"/>
      <c r="CA35" s="42" t="s">
        <v>3591</v>
      </c>
      <c r="CB35" s="46" t="s">
        <v>4456</v>
      </c>
      <c r="CC35" s="41">
        <v>27.0</v>
      </c>
      <c r="CD35" s="42" t="s">
        <v>3593</v>
      </c>
      <c r="CE35" s="45"/>
      <c r="CF35" s="43"/>
      <c r="CG35" s="42" t="s">
        <v>3594</v>
      </c>
      <c r="CH35" s="42" t="s">
        <v>4072</v>
      </c>
      <c r="CI35" s="43"/>
      <c r="CJ35" s="42" t="s">
        <v>3573</v>
      </c>
      <c r="CK35" s="45"/>
      <c r="CL35" s="45"/>
      <c r="CM35" s="43"/>
      <c r="CN35" s="42" t="s">
        <v>3591</v>
      </c>
      <c r="CO35" s="47">
        <v>0.0</v>
      </c>
      <c r="CP35" s="41">
        <v>14.0</v>
      </c>
      <c r="CQ35" s="47">
        <v>0.0</v>
      </c>
      <c r="CR35" s="47">
        <v>0.0</v>
      </c>
      <c r="CS35" s="45"/>
      <c r="CT35" s="45"/>
      <c r="CU35" s="45"/>
      <c r="CV35" s="45"/>
      <c r="CW35" s="45"/>
      <c r="CX35" s="45"/>
      <c r="CY35" s="41" t="s">
        <v>4457</v>
      </c>
      <c r="CZ35" s="41">
        <v>77.0</v>
      </c>
      <c r="DA35" s="41" t="s">
        <v>3598</v>
      </c>
      <c r="DB35" s="47">
        <v>0.0</v>
      </c>
      <c r="DC35" s="45"/>
      <c r="DD35" s="45"/>
      <c r="DE35" s="45"/>
      <c r="DF35" s="45"/>
      <c r="DG35" s="45"/>
      <c r="DH35" s="45"/>
      <c r="DI35" s="45"/>
      <c r="DJ35" s="45"/>
      <c r="DK35" s="45"/>
      <c r="DL35" s="45"/>
      <c r="DM35" s="45"/>
      <c r="DN35" s="45"/>
      <c r="DO35" s="41" t="s">
        <v>3600</v>
      </c>
      <c r="DP35" s="46" t="s">
        <v>3783</v>
      </c>
      <c r="DQ35" s="41">
        <v>22.0</v>
      </c>
      <c r="DR35" s="41">
        <v>8.0</v>
      </c>
      <c r="DS35" s="41">
        <v>13.0</v>
      </c>
      <c r="DT35" s="41">
        <v>4.0</v>
      </c>
      <c r="DU35" s="45"/>
      <c r="DV35" s="41">
        <v>5.0</v>
      </c>
      <c r="DW35" s="42" t="s">
        <v>4458</v>
      </c>
      <c r="DX35" s="41">
        <v>39.0</v>
      </c>
      <c r="DY35" s="42" t="s">
        <v>3602</v>
      </c>
      <c r="DZ35" s="47">
        <v>0.51</v>
      </c>
      <c r="EA35" s="47">
        <v>0.49</v>
      </c>
      <c r="EB35" s="42" t="s">
        <v>3603</v>
      </c>
      <c r="EC35" s="47">
        <v>0.1</v>
      </c>
      <c r="ED35" s="47">
        <v>0.41</v>
      </c>
      <c r="EE35" s="45"/>
      <c r="EF35" s="45"/>
      <c r="EG35" s="43"/>
      <c r="EH35" s="45"/>
      <c r="EI35" s="45"/>
      <c r="EJ35" s="45"/>
      <c r="EK35" s="42" t="s">
        <v>4381</v>
      </c>
      <c r="EL35" s="45"/>
      <c r="EM35" s="45"/>
      <c r="EN35" s="45"/>
      <c r="EO35" s="45"/>
      <c r="EP35" s="48" t="s">
        <v>3559</v>
      </c>
    </row>
    <row r="36">
      <c r="A36" s="32">
        <v>6.5</v>
      </c>
      <c r="B36" s="35" t="s">
        <v>4459</v>
      </c>
      <c r="C36" s="35" t="s">
        <v>4460</v>
      </c>
      <c r="D36" s="34"/>
      <c r="E36" s="35" t="s">
        <v>4461</v>
      </c>
      <c r="F36" s="34"/>
      <c r="G36" s="35" t="s">
        <v>4462</v>
      </c>
      <c r="H36" s="35" t="s">
        <v>3563</v>
      </c>
      <c r="I36" s="35" t="s">
        <v>3609</v>
      </c>
      <c r="J36" s="35" t="s">
        <v>3610</v>
      </c>
      <c r="K36" s="35" t="s">
        <v>4463</v>
      </c>
      <c r="L36" s="35" t="s">
        <v>4464</v>
      </c>
      <c r="M36" s="35" t="s">
        <v>4465</v>
      </c>
      <c r="N36" s="35" t="s">
        <v>3569</v>
      </c>
      <c r="O36" s="35" t="s">
        <v>4466</v>
      </c>
      <c r="P36" s="35"/>
      <c r="R36" s="35" t="s">
        <v>3571</v>
      </c>
      <c r="S36" s="35" t="s">
        <v>3572</v>
      </c>
      <c r="T36" s="35" t="s">
        <v>3573</v>
      </c>
      <c r="U36" s="36" t="s">
        <v>4467</v>
      </c>
      <c r="V36" s="36" t="s">
        <v>4468</v>
      </c>
      <c r="W36" s="32">
        <v>10.0</v>
      </c>
      <c r="X36" s="35" t="s">
        <v>4469</v>
      </c>
      <c r="Y36" s="34"/>
      <c r="Z36" s="34"/>
      <c r="AA36" s="32">
        <v>2018.0</v>
      </c>
      <c r="AB36" s="34"/>
      <c r="AC36" s="34"/>
      <c r="AD36" s="34"/>
      <c r="AE36" s="37"/>
      <c r="AF36" s="37"/>
      <c r="AG36" s="37"/>
      <c r="AH36" s="37"/>
      <c r="AI36" s="37"/>
      <c r="AJ36" s="37"/>
      <c r="AK36" s="37"/>
      <c r="AL36" s="37"/>
      <c r="AM36" s="37"/>
      <c r="AN36" s="37"/>
      <c r="AO36" s="35" t="s">
        <v>4470</v>
      </c>
      <c r="AP36" s="35" t="s">
        <v>4471</v>
      </c>
      <c r="AQ36" s="35" t="s">
        <v>3579</v>
      </c>
      <c r="AR36" s="35" t="s">
        <v>4472</v>
      </c>
      <c r="AS36" s="34"/>
      <c r="AT36" s="35" t="s">
        <v>4473</v>
      </c>
      <c r="AU36" s="35" t="s">
        <v>4474</v>
      </c>
      <c r="AV36" s="34"/>
      <c r="AW36" s="35" t="s">
        <v>530</v>
      </c>
      <c r="AX36" s="35" t="s">
        <v>4475</v>
      </c>
      <c r="AY36" s="32">
        <v>7658900.0</v>
      </c>
      <c r="AZ36" s="35" t="s">
        <v>41</v>
      </c>
      <c r="BA36" s="37"/>
      <c r="BB36" s="37"/>
      <c r="BC36" s="34"/>
      <c r="BD36" s="35" t="s">
        <v>3584</v>
      </c>
      <c r="BE36" s="35" t="s">
        <v>3584</v>
      </c>
      <c r="BF36" s="35" t="s">
        <v>4476</v>
      </c>
      <c r="BG36" s="35" t="s">
        <v>4477</v>
      </c>
      <c r="BH36" s="32">
        <v>3.0</v>
      </c>
      <c r="BI36" s="34"/>
      <c r="BJ36" s="34"/>
      <c r="BK36" s="34"/>
      <c r="BL36" s="35" t="s">
        <v>4478</v>
      </c>
      <c r="BM36" s="34"/>
      <c r="BN36" s="34"/>
      <c r="BO36" s="34"/>
      <c r="BP36" s="34"/>
      <c r="BQ36" s="38" t="s">
        <v>4479</v>
      </c>
      <c r="BR36" s="37"/>
      <c r="BS36" s="34"/>
      <c r="BT36" s="37"/>
      <c r="BU36" s="34"/>
      <c r="BV36" s="35" t="s">
        <v>3698</v>
      </c>
      <c r="BW36" s="35" t="s">
        <v>3698</v>
      </c>
      <c r="BX36" s="34"/>
      <c r="BY36" s="35" t="s">
        <v>3573</v>
      </c>
      <c r="BZ36" s="34"/>
      <c r="CA36" s="35" t="s">
        <v>3591</v>
      </c>
      <c r="CB36" s="38" t="s">
        <v>4480</v>
      </c>
      <c r="CC36" s="32">
        <v>6.5</v>
      </c>
      <c r="CD36" s="35" t="s">
        <v>3593</v>
      </c>
      <c r="CE36" s="37"/>
      <c r="CF36" s="34"/>
      <c r="CG36" s="35" t="s">
        <v>3698</v>
      </c>
      <c r="CH36" s="35" t="s">
        <v>3698</v>
      </c>
      <c r="CI36" s="34"/>
      <c r="CJ36" s="35" t="s">
        <v>3573</v>
      </c>
      <c r="CK36" s="37"/>
      <c r="CL36" s="37"/>
      <c r="CM36" s="34"/>
      <c r="CN36" s="35" t="s">
        <v>3591</v>
      </c>
      <c r="CO36" s="39">
        <v>0.0</v>
      </c>
      <c r="CP36" s="32">
        <v>14.0</v>
      </c>
      <c r="CQ36" s="39">
        <v>0.0</v>
      </c>
      <c r="CR36" s="39">
        <v>0.0</v>
      </c>
      <c r="CS36" s="37"/>
      <c r="CT36" s="37"/>
      <c r="CU36" s="37"/>
      <c r="CV36" s="37"/>
      <c r="CW36" s="37"/>
      <c r="CX36" s="37"/>
      <c r="CY36" s="32" t="s">
        <v>4481</v>
      </c>
      <c r="CZ36" s="32">
        <v>58.0</v>
      </c>
      <c r="DA36" s="32" t="s">
        <v>3598</v>
      </c>
      <c r="DB36" s="39">
        <v>0.0</v>
      </c>
      <c r="DC36" s="37"/>
      <c r="DD36" s="37"/>
      <c r="DE36" s="37"/>
      <c r="DF36" s="37"/>
      <c r="DG36" s="37"/>
      <c r="DH36" s="37"/>
      <c r="DI36" s="32">
        <v>0.0</v>
      </c>
      <c r="DJ36" s="32">
        <v>0.0</v>
      </c>
      <c r="DK36" s="39">
        <v>0.0</v>
      </c>
      <c r="DL36" s="37"/>
      <c r="DM36" s="37"/>
      <c r="DN36" s="37"/>
      <c r="DO36" s="32" t="s">
        <v>3600</v>
      </c>
      <c r="DP36" s="38" t="s">
        <v>4482</v>
      </c>
      <c r="DQ36" s="32">
        <v>18.0</v>
      </c>
      <c r="DR36" s="32">
        <v>5.0</v>
      </c>
      <c r="DS36" s="32">
        <v>9.0</v>
      </c>
      <c r="DT36" s="32">
        <v>7.0</v>
      </c>
      <c r="DU36" s="32">
        <v>1.0</v>
      </c>
      <c r="DV36" s="32">
        <v>2.0</v>
      </c>
      <c r="DW36" s="35" t="s">
        <v>4483</v>
      </c>
      <c r="DX36" s="32">
        <v>46.0</v>
      </c>
      <c r="DY36" s="35" t="s">
        <v>4379</v>
      </c>
      <c r="DZ36" s="39">
        <v>0.4</v>
      </c>
      <c r="EA36" s="39">
        <v>0.6</v>
      </c>
      <c r="EB36" s="35" t="s">
        <v>4379</v>
      </c>
      <c r="EC36" s="39">
        <v>0.01</v>
      </c>
      <c r="ED36" s="39">
        <v>0.39</v>
      </c>
      <c r="EE36" s="37"/>
      <c r="EF36" s="37"/>
      <c r="EG36" s="34"/>
      <c r="EH36" s="37"/>
      <c r="EI36" s="37"/>
      <c r="EJ36" s="37"/>
      <c r="EK36" s="34"/>
      <c r="EL36" s="37"/>
      <c r="EM36" s="37"/>
      <c r="EN36" s="37"/>
      <c r="EO36" s="37"/>
      <c r="EP36" s="40" t="s">
        <v>3559</v>
      </c>
    </row>
    <row r="37">
      <c r="A37" s="41">
        <v>8.1</v>
      </c>
      <c r="B37" s="42" t="s">
        <v>3242</v>
      </c>
      <c r="C37" s="43"/>
      <c r="D37" s="43"/>
      <c r="E37" s="42" t="s">
        <v>4484</v>
      </c>
      <c r="F37" s="43"/>
      <c r="G37" s="42" t="s">
        <v>4485</v>
      </c>
      <c r="H37" s="42" t="s">
        <v>3563</v>
      </c>
      <c r="I37" s="42" t="s">
        <v>3564</v>
      </c>
      <c r="J37" s="42" t="s">
        <v>3565</v>
      </c>
      <c r="K37" s="42" t="s">
        <v>4486</v>
      </c>
      <c r="L37" s="42" t="s">
        <v>4487</v>
      </c>
      <c r="M37" s="42" t="s">
        <v>4488</v>
      </c>
      <c r="N37" s="42" t="s">
        <v>3569</v>
      </c>
      <c r="O37" s="42" t="s">
        <v>4489</v>
      </c>
      <c r="P37" s="42"/>
      <c r="R37" s="42" t="s">
        <v>3571</v>
      </c>
      <c r="S37" s="42" t="s">
        <v>3572</v>
      </c>
      <c r="T37" s="42" t="s">
        <v>3573</v>
      </c>
      <c r="U37" s="44" t="s">
        <v>4490</v>
      </c>
      <c r="V37" s="44" t="s">
        <v>4491</v>
      </c>
      <c r="W37" s="41">
        <v>19.0</v>
      </c>
      <c r="X37" s="42" t="s">
        <v>4492</v>
      </c>
      <c r="Y37" s="43"/>
      <c r="Z37" s="43"/>
      <c r="AA37" s="41">
        <v>2014.0</v>
      </c>
      <c r="AB37" s="43"/>
      <c r="AC37" s="43"/>
      <c r="AD37" s="43"/>
      <c r="AE37" s="45"/>
      <c r="AF37" s="45"/>
      <c r="AG37" s="45"/>
      <c r="AH37" s="45"/>
      <c r="AI37" s="45"/>
      <c r="AJ37" s="45"/>
      <c r="AK37" s="45"/>
      <c r="AL37" s="45"/>
      <c r="AM37" s="45"/>
      <c r="AN37" s="45"/>
      <c r="AO37" s="42" t="s">
        <v>4493</v>
      </c>
      <c r="AP37" s="42" t="s">
        <v>4494</v>
      </c>
      <c r="AQ37" s="42" t="s">
        <v>3579</v>
      </c>
      <c r="AR37" s="42" t="s">
        <v>4495</v>
      </c>
      <c r="AS37" s="43"/>
      <c r="AT37" s="42" t="s">
        <v>4448</v>
      </c>
      <c r="AU37" s="42" t="s">
        <v>4496</v>
      </c>
      <c r="AV37" s="42" t="s">
        <v>4497</v>
      </c>
      <c r="AW37" s="42" t="s">
        <v>485</v>
      </c>
      <c r="AX37" s="43"/>
      <c r="AY37" s="41">
        <v>3303403.0</v>
      </c>
      <c r="AZ37" s="42" t="s">
        <v>41</v>
      </c>
      <c r="BA37" s="45"/>
      <c r="BB37" s="45"/>
      <c r="BC37" s="42" t="s">
        <v>3248</v>
      </c>
      <c r="BD37" s="42" t="s">
        <v>3584</v>
      </c>
      <c r="BE37" s="42" t="s">
        <v>3584</v>
      </c>
      <c r="BF37" s="42" t="s">
        <v>4498</v>
      </c>
      <c r="BG37" s="42" t="s">
        <v>4499</v>
      </c>
      <c r="BH37" s="41">
        <v>8.0</v>
      </c>
      <c r="BI37" s="43"/>
      <c r="BJ37" s="43"/>
      <c r="BK37" s="43"/>
      <c r="BL37" s="42" t="s">
        <v>4500</v>
      </c>
      <c r="BM37" s="43"/>
      <c r="BN37" s="43"/>
      <c r="BO37" s="42" t="s">
        <v>4501</v>
      </c>
      <c r="BP37" s="43"/>
      <c r="BQ37" s="46" t="s">
        <v>4502</v>
      </c>
      <c r="BR37" s="45"/>
      <c r="BS37" s="43"/>
      <c r="BT37" s="45"/>
      <c r="BU37" s="43"/>
      <c r="BV37" s="42" t="s">
        <v>3589</v>
      </c>
      <c r="BW37" s="43"/>
      <c r="BX37" s="43"/>
      <c r="BY37" s="42" t="s">
        <v>3590</v>
      </c>
      <c r="BZ37" s="43"/>
      <c r="CA37" s="42" t="s">
        <v>3591</v>
      </c>
      <c r="CB37" s="46" t="s">
        <v>4503</v>
      </c>
      <c r="CC37" s="41">
        <v>8.0</v>
      </c>
      <c r="CD37" s="42" t="s">
        <v>3593</v>
      </c>
      <c r="CE37" s="45"/>
      <c r="CF37" s="43"/>
      <c r="CG37" s="42" t="s">
        <v>3594</v>
      </c>
      <c r="CH37" s="43"/>
      <c r="CI37" s="43"/>
      <c r="CJ37" s="42" t="s">
        <v>3573</v>
      </c>
      <c r="CK37" s="45"/>
      <c r="CL37" s="45"/>
      <c r="CM37" s="43"/>
      <c r="CN37" s="42" t="s">
        <v>3591</v>
      </c>
      <c r="CO37" s="47">
        <v>0.0</v>
      </c>
      <c r="CP37" s="41">
        <v>14.0</v>
      </c>
      <c r="CQ37" s="47">
        <v>0.0</v>
      </c>
      <c r="CR37" s="47">
        <v>0.0</v>
      </c>
      <c r="CS37" s="47">
        <v>0.0</v>
      </c>
      <c r="CT37" s="41">
        <v>12.0</v>
      </c>
      <c r="CU37" s="45"/>
      <c r="CV37" s="45"/>
      <c r="CW37" s="47">
        <v>0.0</v>
      </c>
      <c r="CX37" s="41">
        <v>12.0</v>
      </c>
      <c r="CY37" s="41" t="s">
        <v>4504</v>
      </c>
      <c r="CZ37" s="41">
        <v>59.0</v>
      </c>
      <c r="DA37" s="41" t="s">
        <v>3598</v>
      </c>
      <c r="DB37" s="47">
        <v>0.0</v>
      </c>
      <c r="DC37" s="41" t="s">
        <v>4504</v>
      </c>
      <c r="DD37" s="41">
        <v>61.0</v>
      </c>
      <c r="DE37" s="45"/>
      <c r="DF37" s="45"/>
      <c r="DG37" s="41" t="s">
        <v>4504</v>
      </c>
      <c r="DH37" s="41">
        <v>59.0</v>
      </c>
      <c r="DI37" s="45"/>
      <c r="DJ37" s="45"/>
      <c r="DK37" s="45"/>
      <c r="DL37" s="41">
        <v>30.0</v>
      </c>
      <c r="DM37" s="41">
        <v>1.0</v>
      </c>
      <c r="DN37" s="47">
        <v>0.0345</v>
      </c>
      <c r="DO37" s="41" t="s">
        <v>3600</v>
      </c>
      <c r="DP37" s="46" t="s">
        <v>4505</v>
      </c>
      <c r="DQ37" s="41">
        <v>10.0</v>
      </c>
      <c r="DR37" s="41">
        <v>1.0</v>
      </c>
      <c r="DS37" s="41">
        <v>4.0</v>
      </c>
      <c r="DT37" s="41">
        <v>2.0</v>
      </c>
      <c r="DU37" s="45"/>
      <c r="DV37" s="41">
        <v>4.0</v>
      </c>
      <c r="DW37" s="42" t="s">
        <v>4506</v>
      </c>
      <c r="DX37" s="41">
        <v>29.0</v>
      </c>
      <c r="DY37" s="42" t="s">
        <v>4379</v>
      </c>
      <c r="DZ37" s="47">
        <v>0.35</v>
      </c>
      <c r="EA37" s="47">
        <v>0.65</v>
      </c>
      <c r="EB37" s="42" t="s">
        <v>4379</v>
      </c>
      <c r="EC37" s="47">
        <v>0.01</v>
      </c>
      <c r="ED37" s="47">
        <v>0.34</v>
      </c>
      <c r="EE37" s="45"/>
      <c r="EF37" s="45"/>
      <c r="EG37" s="43"/>
      <c r="EH37" s="45"/>
      <c r="EI37" s="45"/>
      <c r="EJ37" s="45"/>
      <c r="EK37" s="43"/>
      <c r="EL37" s="45"/>
      <c r="EM37" s="45"/>
      <c r="EN37" s="45"/>
      <c r="EO37" s="45"/>
      <c r="EP37" s="48" t="s">
        <v>3559</v>
      </c>
    </row>
    <row r="38">
      <c r="A38" s="32">
        <v>300.05</v>
      </c>
      <c r="B38" s="35" t="s">
        <v>632</v>
      </c>
      <c r="C38" s="34"/>
      <c r="D38" s="34"/>
      <c r="E38" s="35" t="s">
        <v>4507</v>
      </c>
      <c r="F38" s="35" t="s">
        <v>4508</v>
      </c>
      <c r="G38" s="35" t="s">
        <v>4509</v>
      </c>
      <c r="H38" s="35" t="s">
        <v>3563</v>
      </c>
      <c r="I38" s="35" t="s">
        <v>3609</v>
      </c>
      <c r="J38" s="35" t="s">
        <v>4050</v>
      </c>
      <c r="K38" s="35" t="s">
        <v>4510</v>
      </c>
      <c r="L38" s="35" t="s">
        <v>4511</v>
      </c>
      <c r="M38" s="35" t="s">
        <v>4512</v>
      </c>
      <c r="N38" s="35" t="s">
        <v>3569</v>
      </c>
      <c r="O38" s="35" t="s">
        <v>4513</v>
      </c>
      <c r="P38" s="35"/>
      <c r="R38" s="35" t="s">
        <v>3571</v>
      </c>
      <c r="S38" s="35" t="s">
        <v>3572</v>
      </c>
      <c r="T38" s="35" t="s">
        <v>3573</v>
      </c>
      <c r="U38" s="36" t="s">
        <v>4514</v>
      </c>
      <c r="V38" s="36" t="s">
        <v>4515</v>
      </c>
      <c r="W38" s="32">
        <v>330.0</v>
      </c>
      <c r="X38" s="35" t="s">
        <v>4516</v>
      </c>
      <c r="Y38" s="34"/>
      <c r="Z38" s="34"/>
      <c r="AA38" s="32">
        <v>2011.0</v>
      </c>
      <c r="AB38" s="34"/>
      <c r="AC38" s="34"/>
      <c r="AD38" s="34"/>
      <c r="AE38" s="37"/>
      <c r="AF38" s="37"/>
      <c r="AG38" s="37"/>
      <c r="AH38" s="37"/>
      <c r="AI38" s="37"/>
      <c r="AJ38" s="37"/>
      <c r="AK38" s="37"/>
      <c r="AL38" s="37"/>
      <c r="AM38" s="37"/>
      <c r="AN38" s="37"/>
      <c r="AO38" s="35" t="s">
        <v>4517</v>
      </c>
      <c r="AP38" s="35" t="s">
        <v>4518</v>
      </c>
      <c r="AQ38" s="35" t="s">
        <v>4519</v>
      </c>
      <c r="AR38" s="35" t="s">
        <v>635</v>
      </c>
      <c r="AS38" s="34"/>
      <c r="AT38" s="35" t="s">
        <v>4520</v>
      </c>
      <c r="AU38" s="35" t="s">
        <v>4521</v>
      </c>
      <c r="AV38" s="34"/>
      <c r="AW38" s="35" t="s">
        <v>638</v>
      </c>
      <c r="AX38" s="34"/>
      <c r="AY38" s="32">
        <v>5623108.0</v>
      </c>
      <c r="AZ38" s="35" t="s">
        <v>41</v>
      </c>
      <c r="BA38" s="37"/>
      <c r="BB38" s="37"/>
      <c r="BC38" s="35" t="s">
        <v>639</v>
      </c>
      <c r="BD38" s="35" t="s">
        <v>3584</v>
      </c>
      <c r="BE38" s="35" t="s">
        <v>3584</v>
      </c>
      <c r="BF38" s="35" t="s">
        <v>4522</v>
      </c>
      <c r="BG38" s="35" t="s">
        <v>4523</v>
      </c>
      <c r="BH38" s="32">
        <v>23.0</v>
      </c>
      <c r="BI38" s="34"/>
      <c r="BJ38" s="34"/>
      <c r="BK38" s="34"/>
      <c r="BL38" s="35" t="s">
        <v>4524</v>
      </c>
      <c r="BM38" s="34"/>
      <c r="BN38" s="34"/>
      <c r="BO38" s="34"/>
      <c r="BP38" s="35" t="s">
        <v>4525</v>
      </c>
      <c r="BQ38" s="38" t="s">
        <v>4526</v>
      </c>
      <c r="BR38" s="32">
        <v>12.0</v>
      </c>
      <c r="BS38" s="35" t="s">
        <v>3593</v>
      </c>
      <c r="BT38" s="37"/>
      <c r="BU38" s="34"/>
      <c r="BV38" s="35" t="s">
        <v>3669</v>
      </c>
      <c r="BW38" s="35" t="s">
        <v>3595</v>
      </c>
      <c r="BX38" s="34"/>
      <c r="BY38" s="35" t="s">
        <v>3573</v>
      </c>
      <c r="BZ38" s="34"/>
      <c r="CA38" s="35" t="s">
        <v>3591</v>
      </c>
      <c r="CB38" s="38" t="s">
        <v>4040</v>
      </c>
      <c r="CC38" s="37"/>
      <c r="CD38" s="34"/>
      <c r="CE38" s="37"/>
      <c r="CF38" s="34"/>
      <c r="CG38" s="35" t="s">
        <v>3594</v>
      </c>
      <c r="CH38" s="34"/>
      <c r="CI38" s="34"/>
      <c r="CJ38" s="35" t="s">
        <v>3663</v>
      </c>
      <c r="CK38" s="37"/>
      <c r="CL38" s="37"/>
      <c r="CM38" s="34"/>
      <c r="CN38" s="35" t="s">
        <v>3591</v>
      </c>
      <c r="CO38" s="39">
        <v>-0.0105</v>
      </c>
      <c r="CP38" s="32">
        <v>6.0</v>
      </c>
      <c r="CQ38" s="39">
        <v>0.0</v>
      </c>
      <c r="CR38" s="39">
        <v>0.0</v>
      </c>
      <c r="CS38" s="39">
        <v>-0.0105</v>
      </c>
      <c r="CT38" s="32">
        <v>6.0</v>
      </c>
      <c r="CU38" s="39">
        <v>-0.0112</v>
      </c>
      <c r="CV38" s="32">
        <v>8.0</v>
      </c>
      <c r="CW38" s="39">
        <v>-0.0098</v>
      </c>
      <c r="CX38" s="32">
        <v>5.0</v>
      </c>
      <c r="CY38" s="32" t="s">
        <v>4527</v>
      </c>
      <c r="CZ38" s="32">
        <v>97.0</v>
      </c>
      <c r="DA38" s="32" t="s">
        <v>3598</v>
      </c>
      <c r="DB38" s="39">
        <v>0.0</v>
      </c>
      <c r="DC38" s="32" t="s">
        <v>4527</v>
      </c>
      <c r="DD38" s="32">
        <v>97.0</v>
      </c>
      <c r="DE38" s="32" t="s">
        <v>4528</v>
      </c>
      <c r="DF38" s="32">
        <v>85.0</v>
      </c>
      <c r="DG38" s="32" t="s">
        <v>4529</v>
      </c>
      <c r="DH38" s="32">
        <v>98.0</v>
      </c>
      <c r="DI38" s="49">
        <v>1025.0</v>
      </c>
      <c r="DJ38" s="32">
        <v>30.0</v>
      </c>
      <c r="DK38" s="39">
        <v>0.0302</v>
      </c>
      <c r="DL38" s="32">
        <v>885.0</v>
      </c>
      <c r="DM38" s="32">
        <v>-4.0</v>
      </c>
      <c r="DN38" s="39">
        <v>-0.0045</v>
      </c>
      <c r="DO38" s="32" t="s">
        <v>3600</v>
      </c>
      <c r="DP38" s="38" t="s">
        <v>4530</v>
      </c>
      <c r="DQ38" s="32">
        <v>338.0</v>
      </c>
      <c r="DR38" s="32">
        <v>77.0</v>
      </c>
      <c r="DS38" s="32">
        <v>206.0</v>
      </c>
      <c r="DT38" s="32">
        <v>36.0</v>
      </c>
      <c r="DU38" s="37"/>
      <c r="DV38" s="32">
        <v>96.0</v>
      </c>
      <c r="DW38" s="35" t="s">
        <v>4531</v>
      </c>
      <c r="DX38" s="32">
        <v>74.0</v>
      </c>
      <c r="DY38" s="35" t="s">
        <v>3602</v>
      </c>
      <c r="DZ38" s="39">
        <v>0.98</v>
      </c>
      <c r="EA38" s="39">
        <v>0.02</v>
      </c>
      <c r="EB38" s="35" t="s">
        <v>4532</v>
      </c>
      <c r="EC38" s="39">
        <v>0.64</v>
      </c>
      <c r="ED38" s="39">
        <v>0.34</v>
      </c>
      <c r="EE38" s="50">
        <v>1000.0</v>
      </c>
      <c r="EF38" s="38" t="s">
        <v>4533</v>
      </c>
      <c r="EG38" s="35" t="s">
        <v>3594</v>
      </c>
      <c r="EH38" s="37"/>
      <c r="EI38" s="37"/>
      <c r="EJ38" s="37"/>
      <c r="EK38" s="34"/>
      <c r="EL38" s="37"/>
      <c r="EM38" s="37"/>
      <c r="EN38" s="37"/>
      <c r="EO38" s="32">
        <v>1.42</v>
      </c>
      <c r="EP38" s="40" t="s">
        <v>3559</v>
      </c>
    </row>
    <row r="39">
      <c r="A39" s="41">
        <v>133.52</v>
      </c>
      <c r="B39" s="42" t="s">
        <v>954</v>
      </c>
      <c r="C39" s="43"/>
      <c r="D39" s="43"/>
      <c r="E39" s="42" t="s">
        <v>4534</v>
      </c>
      <c r="F39" s="42" t="s">
        <v>4535</v>
      </c>
      <c r="G39" s="42" t="s">
        <v>4536</v>
      </c>
      <c r="H39" s="42" t="s">
        <v>3563</v>
      </c>
      <c r="I39" s="42" t="s">
        <v>3564</v>
      </c>
      <c r="J39" s="42" t="s">
        <v>3565</v>
      </c>
      <c r="K39" s="42" t="s">
        <v>4537</v>
      </c>
      <c r="L39" s="42" t="s">
        <v>3567</v>
      </c>
      <c r="M39" s="42" t="s">
        <v>4538</v>
      </c>
      <c r="N39" s="42" t="s">
        <v>3569</v>
      </c>
      <c r="O39" s="42" t="s">
        <v>4539</v>
      </c>
      <c r="P39" s="42"/>
      <c r="R39" s="42" t="s">
        <v>3571</v>
      </c>
      <c r="S39" s="42" t="s">
        <v>3572</v>
      </c>
      <c r="T39" s="42" t="s">
        <v>3573</v>
      </c>
      <c r="U39" s="44" t="s">
        <v>4540</v>
      </c>
      <c r="V39" s="44" t="s">
        <v>4541</v>
      </c>
      <c r="W39" s="41">
        <v>141.0</v>
      </c>
      <c r="X39" s="42" t="s">
        <v>4542</v>
      </c>
      <c r="Y39" s="43"/>
      <c r="Z39" s="43"/>
      <c r="AA39" s="41">
        <v>2015.0</v>
      </c>
      <c r="AB39" s="43"/>
      <c r="AC39" s="43"/>
      <c r="AD39" s="43"/>
      <c r="AE39" s="45"/>
      <c r="AF39" s="45"/>
      <c r="AG39" s="45"/>
      <c r="AH39" s="45"/>
      <c r="AI39" s="45"/>
      <c r="AJ39" s="45"/>
      <c r="AK39" s="45"/>
      <c r="AL39" s="45"/>
      <c r="AM39" s="45"/>
      <c r="AN39" s="45"/>
      <c r="AO39" s="42" t="s">
        <v>4543</v>
      </c>
      <c r="AP39" s="42" t="s">
        <v>4544</v>
      </c>
      <c r="AQ39" s="42" t="s">
        <v>4545</v>
      </c>
      <c r="AR39" s="42" t="s">
        <v>4546</v>
      </c>
      <c r="AS39" s="43"/>
      <c r="AT39" s="42" t="s">
        <v>3851</v>
      </c>
      <c r="AU39" s="42" t="s">
        <v>4547</v>
      </c>
      <c r="AV39" s="43"/>
      <c r="AW39" s="42" t="s">
        <v>616</v>
      </c>
      <c r="AX39" s="43"/>
      <c r="AY39" s="45"/>
      <c r="AZ39" s="42" t="s">
        <v>41</v>
      </c>
      <c r="BA39" s="45"/>
      <c r="BB39" s="45"/>
      <c r="BC39" s="42" t="s">
        <v>960</v>
      </c>
      <c r="BD39" s="42" t="s">
        <v>3584</v>
      </c>
      <c r="BE39" s="42" t="s">
        <v>3584</v>
      </c>
      <c r="BF39" s="42" t="s">
        <v>4548</v>
      </c>
      <c r="BG39" s="42" t="s">
        <v>4549</v>
      </c>
      <c r="BH39" s="41">
        <v>29.0</v>
      </c>
      <c r="BI39" s="43"/>
      <c r="BJ39" s="43"/>
      <c r="BK39" s="43"/>
      <c r="BL39" s="42" t="s">
        <v>4550</v>
      </c>
      <c r="BM39" s="43"/>
      <c r="BN39" s="43"/>
      <c r="BO39" s="43"/>
      <c r="BP39" s="42" t="s">
        <v>4551</v>
      </c>
      <c r="BQ39" s="45"/>
      <c r="BR39" s="45"/>
      <c r="BS39" s="43"/>
      <c r="BT39" s="45"/>
      <c r="BU39" s="43"/>
      <c r="BV39" s="42" t="s">
        <v>3589</v>
      </c>
      <c r="BW39" s="43"/>
      <c r="BX39" s="43"/>
      <c r="BY39" s="42" t="s">
        <v>3590</v>
      </c>
      <c r="BZ39" s="43"/>
      <c r="CA39" s="42" t="s">
        <v>3591</v>
      </c>
      <c r="CB39" s="46" t="s">
        <v>4552</v>
      </c>
      <c r="CC39" s="41">
        <v>85.0</v>
      </c>
      <c r="CD39" s="42" t="s">
        <v>3593</v>
      </c>
      <c r="CE39" s="41">
        <v>196.43</v>
      </c>
      <c r="CF39" s="42" t="s">
        <v>3593</v>
      </c>
      <c r="CG39" s="42" t="s">
        <v>3594</v>
      </c>
      <c r="CH39" s="42" t="s">
        <v>4072</v>
      </c>
      <c r="CI39" s="43"/>
      <c r="CJ39" s="42" t="s">
        <v>3573</v>
      </c>
      <c r="CK39" s="45"/>
      <c r="CL39" s="45"/>
      <c r="CM39" s="43"/>
      <c r="CN39" s="42" t="s">
        <v>3591</v>
      </c>
      <c r="CO39" s="47">
        <v>-0.0041</v>
      </c>
      <c r="CP39" s="41">
        <v>9.0</v>
      </c>
      <c r="CQ39" s="47">
        <v>-8.0E-4</v>
      </c>
      <c r="CR39" s="47">
        <v>-0.2386</v>
      </c>
      <c r="CS39" s="47">
        <v>-0.0041</v>
      </c>
      <c r="CT39" s="41">
        <v>8.0</v>
      </c>
      <c r="CU39" s="45"/>
      <c r="CV39" s="45"/>
      <c r="CW39" s="47">
        <v>-0.0041</v>
      </c>
      <c r="CX39" s="41">
        <v>8.0</v>
      </c>
      <c r="CY39" s="41" t="s">
        <v>4553</v>
      </c>
      <c r="CZ39" s="41">
        <v>98.0</v>
      </c>
      <c r="DA39" s="41" t="s">
        <v>4554</v>
      </c>
      <c r="DB39" s="47">
        <v>-0.0013</v>
      </c>
      <c r="DC39" s="41" t="s">
        <v>4553</v>
      </c>
      <c r="DD39" s="41">
        <v>98.0</v>
      </c>
      <c r="DE39" s="45"/>
      <c r="DF39" s="45"/>
      <c r="DG39" s="41" t="s">
        <v>4553</v>
      </c>
      <c r="DH39" s="41">
        <v>98.0</v>
      </c>
      <c r="DI39" s="45"/>
      <c r="DJ39" s="45"/>
      <c r="DK39" s="45"/>
      <c r="DL39" s="41">
        <v>784.0</v>
      </c>
      <c r="DM39" s="41">
        <v>-2.0</v>
      </c>
      <c r="DN39" s="47">
        <v>-0.0025</v>
      </c>
      <c r="DO39" s="41" t="s">
        <v>3600</v>
      </c>
      <c r="DP39" s="46" t="s">
        <v>3636</v>
      </c>
      <c r="DQ39" s="41">
        <v>20.0</v>
      </c>
      <c r="DR39" s="41">
        <v>4.0</v>
      </c>
      <c r="DS39" s="41">
        <v>6.0</v>
      </c>
      <c r="DT39" s="41">
        <v>10.0</v>
      </c>
      <c r="DU39" s="45"/>
      <c r="DV39" s="41">
        <v>4.0</v>
      </c>
      <c r="DW39" s="42" t="s">
        <v>4555</v>
      </c>
      <c r="DX39" s="41">
        <v>87.0</v>
      </c>
      <c r="DY39" s="42" t="s">
        <v>3602</v>
      </c>
      <c r="DZ39" s="47">
        <v>0.97</v>
      </c>
      <c r="EA39" s="47">
        <v>0.03</v>
      </c>
      <c r="EB39" s="42" t="s">
        <v>4532</v>
      </c>
      <c r="EC39" s="47">
        <v>0.64</v>
      </c>
      <c r="ED39" s="47">
        <v>0.33</v>
      </c>
      <c r="EE39" s="41">
        <v>196.43</v>
      </c>
      <c r="EF39" s="46" t="s">
        <v>4552</v>
      </c>
      <c r="EG39" s="42" t="s">
        <v>3594</v>
      </c>
      <c r="EH39" s="45"/>
      <c r="EI39" s="45"/>
      <c r="EJ39" s="45"/>
      <c r="EK39" s="43"/>
      <c r="EL39" s="45"/>
      <c r="EM39" s="45"/>
      <c r="EN39" s="41">
        <v>1.31</v>
      </c>
      <c r="EO39" s="41">
        <v>1.31</v>
      </c>
      <c r="EP39" s="48" t="s">
        <v>3559</v>
      </c>
    </row>
    <row r="40">
      <c r="A40" s="32">
        <v>21.48</v>
      </c>
      <c r="B40" s="35" t="s">
        <v>897</v>
      </c>
      <c r="C40" s="34"/>
      <c r="D40" s="35" t="s">
        <v>4556</v>
      </c>
      <c r="E40" s="35" t="s">
        <v>4557</v>
      </c>
      <c r="F40" s="35" t="s">
        <v>4558</v>
      </c>
      <c r="G40" s="35" t="s">
        <v>4559</v>
      </c>
      <c r="H40" s="35" t="s">
        <v>4560</v>
      </c>
      <c r="I40" s="35" t="s">
        <v>4561</v>
      </c>
      <c r="J40" s="35" t="s">
        <v>66</v>
      </c>
      <c r="K40" s="35" t="s">
        <v>4562</v>
      </c>
      <c r="L40" s="35" t="s">
        <v>4563</v>
      </c>
      <c r="M40" s="35" t="s">
        <v>4564</v>
      </c>
      <c r="N40" s="35" t="s">
        <v>3569</v>
      </c>
      <c r="O40" s="35" t="s">
        <v>4565</v>
      </c>
      <c r="P40" s="35"/>
      <c r="R40" s="35" t="s">
        <v>3571</v>
      </c>
      <c r="S40" s="35" t="s">
        <v>3572</v>
      </c>
      <c r="T40" s="35" t="s">
        <v>3573</v>
      </c>
      <c r="U40" s="36" t="s">
        <v>4566</v>
      </c>
      <c r="V40" s="36" t="s">
        <v>4567</v>
      </c>
      <c r="W40" s="32">
        <v>15.0</v>
      </c>
      <c r="X40" s="35" t="s">
        <v>4568</v>
      </c>
      <c r="Y40" s="34"/>
      <c r="Z40" s="34"/>
      <c r="AA40" s="32">
        <v>2014.0</v>
      </c>
      <c r="AB40" s="34"/>
      <c r="AC40" s="34"/>
      <c r="AD40" s="34"/>
      <c r="AE40" s="37"/>
      <c r="AF40" s="37"/>
      <c r="AG40" s="37"/>
      <c r="AH40" s="37"/>
      <c r="AI40" s="37"/>
      <c r="AJ40" s="37"/>
      <c r="AK40" s="37"/>
      <c r="AL40" s="37"/>
      <c r="AM40" s="37"/>
      <c r="AN40" s="37"/>
      <c r="AO40" s="35" t="s">
        <v>4569</v>
      </c>
      <c r="AP40" s="35" t="s">
        <v>4570</v>
      </c>
      <c r="AQ40" s="35" t="s">
        <v>3685</v>
      </c>
      <c r="AR40" s="35" t="s">
        <v>900</v>
      </c>
      <c r="AS40" s="34" t="str">
        <f>+972 (0)54 435 0592</f>
        <v>#ERROR!</v>
      </c>
      <c r="AT40" s="35" t="s">
        <v>3581</v>
      </c>
      <c r="AU40" s="35" t="s">
        <v>4571</v>
      </c>
      <c r="AV40" s="34"/>
      <c r="AW40" s="35" t="s">
        <v>75</v>
      </c>
      <c r="AX40" s="34"/>
      <c r="AY40" s="37"/>
      <c r="AZ40" s="35" t="s">
        <v>41</v>
      </c>
      <c r="BA40" s="37" t="str">
        <f>+972 (0)54 435 0592</f>
        <v>#ERROR!</v>
      </c>
      <c r="BB40" s="37" t="str">
        <f>+972 (0)77 317 9258</f>
        <v>#ERROR!</v>
      </c>
      <c r="BC40" s="35" t="s">
        <v>903</v>
      </c>
      <c r="BD40" s="35" t="s">
        <v>3584</v>
      </c>
      <c r="BE40" s="35" t="s">
        <v>3584</v>
      </c>
      <c r="BF40" s="35" t="s">
        <v>4572</v>
      </c>
      <c r="BG40" s="35" t="s">
        <v>4573</v>
      </c>
      <c r="BH40" s="32">
        <v>8.0</v>
      </c>
      <c r="BI40" s="34"/>
      <c r="BJ40" s="34"/>
      <c r="BK40" s="34"/>
      <c r="BL40" s="35" t="s">
        <v>4574</v>
      </c>
      <c r="BM40" s="34"/>
      <c r="BN40" s="34"/>
      <c r="BO40" s="34"/>
      <c r="BP40" s="35" t="s">
        <v>4575</v>
      </c>
      <c r="BQ40" s="38" t="s">
        <v>4576</v>
      </c>
      <c r="BR40" s="32">
        <v>0.03</v>
      </c>
      <c r="BS40" s="35" t="s">
        <v>3593</v>
      </c>
      <c r="BT40" s="37"/>
      <c r="BU40" s="34"/>
      <c r="BV40" s="35" t="s">
        <v>3589</v>
      </c>
      <c r="BW40" s="34"/>
      <c r="BX40" s="34"/>
      <c r="BY40" s="35" t="s">
        <v>3590</v>
      </c>
      <c r="BZ40" s="34"/>
      <c r="CA40" s="35" t="s">
        <v>3591</v>
      </c>
      <c r="CB40" s="38" t="s">
        <v>4577</v>
      </c>
      <c r="CC40" s="32">
        <v>20.0</v>
      </c>
      <c r="CD40" s="35" t="s">
        <v>3593</v>
      </c>
      <c r="CE40" s="37"/>
      <c r="CF40" s="34"/>
      <c r="CG40" s="35" t="s">
        <v>3594</v>
      </c>
      <c r="CH40" s="35" t="s">
        <v>4017</v>
      </c>
      <c r="CI40" s="34"/>
      <c r="CJ40" s="35" t="s">
        <v>3573</v>
      </c>
      <c r="CK40" s="37"/>
      <c r="CL40" s="37"/>
      <c r="CM40" s="34"/>
      <c r="CN40" s="35" t="s">
        <v>4321</v>
      </c>
      <c r="CO40" s="39">
        <v>0.0018</v>
      </c>
      <c r="CP40" s="32">
        <v>88.0</v>
      </c>
      <c r="CQ40" s="39">
        <v>0.0</v>
      </c>
      <c r="CR40" s="39">
        <v>0.0</v>
      </c>
      <c r="CS40" s="39">
        <v>0.0036</v>
      </c>
      <c r="CT40" s="32">
        <v>92.0</v>
      </c>
      <c r="CU40" s="37"/>
      <c r="CV40" s="37"/>
      <c r="CW40" s="39">
        <v>0.0036</v>
      </c>
      <c r="CX40" s="32">
        <v>92.0</v>
      </c>
      <c r="CY40" s="32" t="s">
        <v>4578</v>
      </c>
      <c r="CZ40" s="32">
        <v>90.0</v>
      </c>
      <c r="DA40" s="32" t="s">
        <v>3598</v>
      </c>
      <c r="DB40" s="39">
        <v>0.0</v>
      </c>
      <c r="DC40" s="32" t="s">
        <v>4579</v>
      </c>
      <c r="DD40" s="32">
        <v>95.0</v>
      </c>
      <c r="DE40" s="37"/>
      <c r="DF40" s="37"/>
      <c r="DG40" s="32" t="s">
        <v>4579</v>
      </c>
      <c r="DH40" s="32">
        <v>95.0</v>
      </c>
      <c r="DI40" s="37"/>
      <c r="DJ40" s="37"/>
      <c r="DK40" s="37"/>
      <c r="DL40" s="32">
        <v>390.0</v>
      </c>
      <c r="DM40" s="32">
        <v>1.0</v>
      </c>
      <c r="DN40" s="39">
        <v>0.0026</v>
      </c>
      <c r="DO40" s="32" t="s">
        <v>3600</v>
      </c>
      <c r="DP40" s="38" t="s">
        <v>4580</v>
      </c>
      <c r="DQ40" s="32">
        <v>14.0</v>
      </c>
      <c r="DR40" s="32">
        <v>2.0</v>
      </c>
      <c r="DS40" s="32">
        <v>10.0</v>
      </c>
      <c r="DT40" s="32">
        <v>3.0</v>
      </c>
      <c r="DU40" s="37"/>
      <c r="DV40" s="32">
        <v>1.0</v>
      </c>
      <c r="DW40" s="35" t="s">
        <v>4581</v>
      </c>
      <c r="DX40" s="32">
        <v>13.0</v>
      </c>
      <c r="DY40" s="35" t="s">
        <v>4379</v>
      </c>
      <c r="DZ40" s="39">
        <v>0.32</v>
      </c>
      <c r="EA40" s="39">
        <v>0.68</v>
      </c>
      <c r="EB40" s="35" t="s">
        <v>4379</v>
      </c>
      <c r="EC40" s="39">
        <v>0.01</v>
      </c>
      <c r="ED40" s="39">
        <v>0.31</v>
      </c>
      <c r="EE40" s="32">
        <v>100.0</v>
      </c>
      <c r="EF40" s="38" t="s">
        <v>4582</v>
      </c>
      <c r="EG40" s="35" t="s">
        <v>3594</v>
      </c>
      <c r="EH40" s="37"/>
      <c r="EI40" s="37"/>
      <c r="EJ40" s="37"/>
      <c r="EK40" s="34"/>
      <c r="EL40" s="37"/>
      <c r="EM40" s="37"/>
      <c r="EN40" s="37"/>
      <c r="EO40" s="37"/>
      <c r="EP40" s="40" t="s">
        <v>3559</v>
      </c>
    </row>
    <row r="41">
      <c r="A41" s="41">
        <v>64.7</v>
      </c>
      <c r="B41" s="42" t="s">
        <v>3326</v>
      </c>
      <c r="C41" s="43"/>
      <c r="D41" s="43"/>
      <c r="E41" s="42" t="s">
        <v>4583</v>
      </c>
      <c r="F41" s="42" t="s">
        <v>4584</v>
      </c>
      <c r="G41" s="42" t="s">
        <v>4585</v>
      </c>
      <c r="H41" s="42" t="s">
        <v>4560</v>
      </c>
      <c r="I41" s="42" t="s">
        <v>4561</v>
      </c>
      <c r="J41" s="42" t="s">
        <v>66</v>
      </c>
      <c r="K41" s="42" t="s">
        <v>4586</v>
      </c>
      <c r="L41" s="42" t="s">
        <v>4587</v>
      </c>
      <c r="M41" s="42" t="s">
        <v>4588</v>
      </c>
      <c r="N41" s="42" t="s">
        <v>3569</v>
      </c>
      <c r="O41" s="42" t="s">
        <v>4589</v>
      </c>
      <c r="P41" s="42"/>
      <c r="R41" s="42" t="s">
        <v>3571</v>
      </c>
      <c r="S41" s="42" t="s">
        <v>3572</v>
      </c>
      <c r="T41" s="42" t="s">
        <v>3573</v>
      </c>
      <c r="U41" s="44" t="s">
        <v>4590</v>
      </c>
      <c r="V41" s="44" t="s">
        <v>4591</v>
      </c>
      <c r="W41" s="41">
        <v>88.0</v>
      </c>
      <c r="X41" s="42" t="s">
        <v>4592</v>
      </c>
      <c r="Y41" s="43"/>
      <c r="Z41" s="43"/>
      <c r="AA41" s="41">
        <v>2008.0</v>
      </c>
      <c r="AB41" s="43"/>
      <c r="AC41" s="43"/>
      <c r="AD41" s="43"/>
      <c r="AE41" s="45"/>
      <c r="AF41" s="45"/>
      <c r="AG41" s="45"/>
      <c r="AH41" s="45"/>
      <c r="AI41" s="45"/>
      <c r="AJ41" s="45"/>
      <c r="AK41" s="45"/>
      <c r="AL41" s="45"/>
      <c r="AM41" s="45"/>
      <c r="AN41" s="45"/>
      <c r="AO41" s="42" t="s">
        <v>4593</v>
      </c>
      <c r="AP41" s="42" t="s">
        <v>4594</v>
      </c>
      <c r="AQ41" s="42" t="s">
        <v>3579</v>
      </c>
      <c r="AR41" s="42" t="s">
        <v>4595</v>
      </c>
      <c r="AS41" s="43" t="str">
        <f>+972 (0)72 241 5626</f>
        <v>#ERROR!</v>
      </c>
      <c r="AT41" s="42" t="s">
        <v>4368</v>
      </c>
      <c r="AU41" s="42" t="s">
        <v>4369</v>
      </c>
      <c r="AV41" s="42" t="s">
        <v>4596</v>
      </c>
      <c r="AW41" s="42" t="s">
        <v>1037</v>
      </c>
      <c r="AX41" s="43"/>
      <c r="AY41" s="41">
        <v>7403649.0</v>
      </c>
      <c r="AZ41" s="42" t="s">
        <v>41</v>
      </c>
      <c r="BA41" s="45" t="str">
        <f>+972 (0)72 241 5626</f>
        <v>#ERROR!</v>
      </c>
      <c r="BB41" s="45"/>
      <c r="BC41" s="42" t="s">
        <v>3331</v>
      </c>
      <c r="BD41" s="42" t="s">
        <v>3584</v>
      </c>
      <c r="BE41" s="42" t="s">
        <v>3584</v>
      </c>
      <c r="BF41" s="42" t="s">
        <v>4597</v>
      </c>
      <c r="BG41" s="42" t="s">
        <v>4598</v>
      </c>
      <c r="BH41" s="41">
        <v>13.0</v>
      </c>
      <c r="BI41" s="43"/>
      <c r="BJ41" s="43"/>
      <c r="BK41" s="43"/>
      <c r="BL41" s="42" t="s">
        <v>4599</v>
      </c>
      <c r="BM41" s="43"/>
      <c r="BN41" s="43"/>
      <c r="BO41" s="43"/>
      <c r="BP41" s="42" t="s">
        <v>3725</v>
      </c>
      <c r="BQ41" s="46" t="s">
        <v>4600</v>
      </c>
      <c r="BR41" s="41">
        <v>14.7</v>
      </c>
      <c r="BS41" s="42" t="s">
        <v>3593</v>
      </c>
      <c r="BT41" s="45"/>
      <c r="BU41" s="43"/>
      <c r="BV41" s="42" t="s">
        <v>3594</v>
      </c>
      <c r="BW41" s="42" t="s">
        <v>3595</v>
      </c>
      <c r="BX41" s="43"/>
      <c r="BY41" s="42" t="s">
        <v>3573</v>
      </c>
      <c r="BZ41" s="43"/>
      <c r="CA41" s="42" t="s">
        <v>3591</v>
      </c>
      <c r="CB41" s="46" t="s">
        <v>4601</v>
      </c>
      <c r="CC41" s="41">
        <v>31.0</v>
      </c>
      <c r="CD41" s="42" t="s">
        <v>3593</v>
      </c>
      <c r="CE41" s="41">
        <v>142.35</v>
      </c>
      <c r="CF41" s="42" t="s">
        <v>3593</v>
      </c>
      <c r="CG41" s="42" t="s">
        <v>3594</v>
      </c>
      <c r="CH41" s="42" t="s">
        <v>4072</v>
      </c>
      <c r="CI41" s="43"/>
      <c r="CJ41" s="42" t="s">
        <v>3573</v>
      </c>
      <c r="CK41" s="45"/>
      <c r="CL41" s="45"/>
      <c r="CM41" s="43"/>
      <c r="CN41" s="42" t="s">
        <v>3591</v>
      </c>
      <c r="CO41" s="47">
        <v>0.0085</v>
      </c>
      <c r="CP41" s="41">
        <v>96.0</v>
      </c>
      <c r="CQ41" s="47">
        <v>0.0</v>
      </c>
      <c r="CR41" s="47">
        <v>0.0</v>
      </c>
      <c r="CS41" s="47">
        <v>0.0169</v>
      </c>
      <c r="CT41" s="41">
        <v>99.0</v>
      </c>
      <c r="CU41" s="45"/>
      <c r="CV41" s="45"/>
      <c r="CW41" s="47">
        <v>0.0169</v>
      </c>
      <c r="CX41" s="41">
        <v>99.0</v>
      </c>
      <c r="CY41" s="41" t="s">
        <v>4602</v>
      </c>
      <c r="CZ41" s="41">
        <v>89.0</v>
      </c>
      <c r="DA41" s="41" t="s">
        <v>3598</v>
      </c>
      <c r="DB41" s="47">
        <v>0.0</v>
      </c>
      <c r="DC41" s="41" t="s">
        <v>4603</v>
      </c>
      <c r="DD41" s="41">
        <v>80.0</v>
      </c>
      <c r="DE41" s="45"/>
      <c r="DF41" s="45"/>
      <c r="DG41" s="41" t="s">
        <v>4603</v>
      </c>
      <c r="DH41" s="41">
        <v>78.0</v>
      </c>
      <c r="DI41" s="45"/>
      <c r="DJ41" s="45"/>
      <c r="DK41" s="45"/>
      <c r="DL41" s="41">
        <v>128.0</v>
      </c>
      <c r="DM41" s="41">
        <v>2.0</v>
      </c>
      <c r="DN41" s="47">
        <v>0.0159</v>
      </c>
      <c r="DO41" s="41" t="s">
        <v>3600</v>
      </c>
      <c r="DP41" s="46" t="s">
        <v>4604</v>
      </c>
      <c r="DQ41" s="45"/>
      <c r="DR41" s="45"/>
      <c r="DS41" s="45"/>
      <c r="DT41" s="45"/>
      <c r="DU41" s="45"/>
      <c r="DV41" s="45"/>
      <c r="DW41" s="43"/>
      <c r="DX41" s="41">
        <v>24.0</v>
      </c>
      <c r="DY41" s="42" t="s">
        <v>4379</v>
      </c>
      <c r="DZ41" s="47">
        <v>0.33</v>
      </c>
      <c r="EA41" s="47">
        <v>0.67</v>
      </c>
      <c r="EB41" s="42" t="s">
        <v>4379</v>
      </c>
      <c r="EC41" s="47">
        <v>0.04</v>
      </c>
      <c r="ED41" s="47">
        <v>0.29</v>
      </c>
      <c r="EE41" s="41">
        <v>142.35</v>
      </c>
      <c r="EF41" s="46" t="s">
        <v>4601</v>
      </c>
      <c r="EG41" s="42" t="s">
        <v>3594</v>
      </c>
      <c r="EH41" s="45"/>
      <c r="EI41" s="45"/>
      <c r="EJ41" s="45"/>
      <c r="EK41" s="43"/>
      <c r="EL41" s="45"/>
      <c r="EM41" s="45"/>
      <c r="EN41" s="41">
        <v>2.37</v>
      </c>
      <c r="EO41" s="41">
        <v>2.37</v>
      </c>
      <c r="EP41" s="48" t="s">
        <v>3559</v>
      </c>
    </row>
    <row r="42">
      <c r="A42" s="37"/>
      <c r="B42" s="35" t="s">
        <v>3289</v>
      </c>
      <c r="C42" s="34"/>
      <c r="D42" s="34"/>
      <c r="E42" s="35" t="s">
        <v>4605</v>
      </c>
      <c r="F42" s="34"/>
      <c r="G42" s="35" t="s">
        <v>4606</v>
      </c>
      <c r="H42" s="35" t="s">
        <v>3867</v>
      </c>
      <c r="I42" s="35" t="s">
        <v>4199</v>
      </c>
      <c r="J42" s="35" t="s">
        <v>4200</v>
      </c>
      <c r="K42" s="35" t="s">
        <v>4607</v>
      </c>
      <c r="L42" s="35" t="s">
        <v>3612</v>
      </c>
      <c r="M42" s="35" t="s">
        <v>4608</v>
      </c>
      <c r="N42" s="35" t="s">
        <v>3569</v>
      </c>
      <c r="O42" s="35" t="s">
        <v>4609</v>
      </c>
      <c r="P42" s="35"/>
      <c r="R42" s="35" t="s">
        <v>3571</v>
      </c>
      <c r="S42" s="35" t="s">
        <v>3572</v>
      </c>
      <c r="T42" s="35" t="s">
        <v>3573</v>
      </c>
      <c r="U42" s="36" t="s">
        <v>4610</v>
      </c>
      <c r="V42" s="36" t="s">
        <v>4611</v>
      </c>
      <c r="W42" s="37"/>
      <c r="X42" s="34"/>
      <c r="Y42" s="34"/>
      <c r="Z42" s="34"/>
      <c r="AA42" s="32">
        <v>2021.0</v>
      </c>
      <c r="AB42" s="34"/>
      <c r="AC42" s="34"/>
      <c r="AD42" s="34"/>
      <c r="AE42" s="37"/>
      <c r="AF42" s="37"/>
      <c r="AG42" s="37"/>
      <c r="AH42" s="37"/>
      <c r="AI42" s="37"/>
      <c r="AJ42" s="37"/>
      <c r="AK42" s="37"/>
      <c r="AL42" s="37"/>
      <c r="AM42" s="37"/>
      <c r="AN42" s="37"/>
      <c r="AO42" s="35" t="s">
        <v>4612</v>
      </c>
      <c r="AP42" s="35" t="s">
        <v>4613</v>
      </c>
      <c r="AQ42" s="35" t="s">
        <v>4614</v>
      </c>
      <c r="AR42" s="35" t="s">
        <v>4615</v>
      </c>
      <c r="AS42" s="34" t="str">
        <f>+972 (0)54 520 2120</f>
        <v>#ERROR!</v>
      </c>
      <c r="AT42" s="35" t="s">
        <v>3718</v>
      </c>
      <c r="AU42" s="35" t="s">
        <v>4616</v>
      </c>
      <c r="AV42" s="34"/>
      <c r="AW42" s="35" t="s">
        <v>552</v>
      </c>
      <c r="AX42" s="34"/>
      <c r="AY42" s="32">
        <v>4673304.0</v>
      </c>
      <c r="AZ42" s="35" t="s">
        <v>41</v>
      </c>
      <c r="BA42" s="37" t="str">
        <f>+972 (0)54 520 2120</f>
        <v>#ERROR!</v>
      </c>
      <c r="BB42" s="37"/>
      <c r="BC42" s="35" t="s">
        <v>3296</v>
      </c>
      <c r="BD42" s="35" t="s">
        <v>3584</v>
      </c>
      <c r="BE42" s="35" t="s">
        <v>3584</v>
      </c>
      <c r="BF42" s="35" t="s">
        <v>4617</v>
      </c>
      <c r="BG42" s="35" t="s">
        <v>4618</v>
      </c>
      <c r="BH42" s="32">
        <v>4.0</v>
      </c>
      <c r="BI42" s="34"/>
      <c r="BJ42" s="34"/>
      <c r="BK42" s="34"/>
      <c r="BL42" s="35" t="s">
        <v>4619</v>
      </c>
      <c r="BM42" s="34"/>
      <c r="BN42" s="34"/>
      <c r="BO42" s="34"/>
      <c r="BP42" s="34"/>
      <c r="BQ42" s="37"/>
      <c r="BR42" s="37"/>
      <c r="BS42" s="34"/>
      <c r="BT42" s="37"/>
      <c r="BU42" s="34"/>
      <c r="BV42" s="35" t="s">
        <v>3589</v>
      </c>
      <c r="BW42" s="34"/>
      <c r="BX42" s="34"/>
      <c r="BY42" s="35" t="s">
        <v>3590</v>
      </c>
      <c r="BZ42" s="34"/>
      <c r="CA42" s="35" t="s">
        <v>3591</v>
      </c>
      <c r="CB42" s="38" t="s">
        <v>4620</v>
      </c>
      <c r="CC42" s="37"/>
      <c r="CD42" s="34"/>
      <c r="CE42" s="37"/>
      <c r="CF42" s="34"/>
      <c r="CG42" s="35" t="s">
        <v>3669</v>
      </c>
      <c r="CH42" s="34"/>
      <c r="CI42" s="34"/>
      <c r="CJ42" s="35" t="s">
        <v>3573</v>
      </c>
      <c r="CK42" s="37"/>
      <c r="CL42" s="37"/>
      <c r="CM42" s="34"/>
      <c r="CN42" s="35" t="s">
        <v>3591</v>
      </c>
      <c r="CO42" s="39">
        <v>0.0</v>
      </c>
      <c r="CP42" s="32">
        <v>14.0</v>
      </c>
      <c r="CQ42" s="39">
        <v>0.0</v>
      </c>
      <c r="CR42" s="39">
        <v>0.0</v>
      </c>
      <c r="CS42" s="39">
        <v>0.0</v>
      </c>
      <c r="CT42" s="32">
        <v>12.0</v>
      </c>
      <c r="CU42" s="39">
        <v>0.0</v>
      </c>
      <c r="CV42" s="32">
        <v>10.0</v>
      </c>
      <c r="CW42" s="39">
        <v>0.0</v>
      </c>
      <c r="CX42" s="32">
        <v>12.0</v>
      </c>
      <c r="CY42" s="32" t="s">
        <v>4621</v>
      </c>
      <c r="CZ42" s="32">
        <v>10.0</v>
      </c>
      <c r="DA42" s="32" t="s">
        <v>3598</v>
      </c>
      <c r="DB42" s="39">
        <v>0.0</v>
      </c>
      <c r="DC42" s="32" t="s">
        <v>4621</v>
      </c>
      <c r="DD42" s="32">
        <v>11.0</v>
      </c>
      <c r="DE42" s="32" t="s">
        <v>4189</v>
      </c>
      <c r="DF42" s="32">
        <v>21.0</v>
      </c>
      <c r="DG42" s="32" t="s">
        <v>4622</v>
      </c>
      <c r="DH42" s="32">
        <v>23.0</v>
      </c>
      <c r="DI42" s="32">
        <v>0.0</v>
      </c>
      <c r="DJ42" s="32">
        <v>0.0</v>
      </c>
      <c r="DK42" s="39">
        <v>0.0</v>
      </c>
      <c r="DL42" s="32">
        <v>12.0</v>
      </c>
      <c r="DM42" s="32">
        <v>1.0</v>
      </c>
      <c r="DN42" s="39">
        <v>0.0909</v>
      </c>
      <c r="DO42" s="32" t="s">
        <v>3600</v>
      </c>
      <c r="DP42" s="38" t="s">
        <v>4623</v>
      </c>
      <c r="DQ42" s="32">
        <v>14.0</v>
      </c>
      <c r="DR42" s="32">
        <v>4.0</v>
      </c>
      <c r="DS42" s="32">
        <v>6.0</v>
      </c>
      <c r="DT42" s="32">
        <v>6.0</v>
      </c>
      <c r="DU42" s="32">
        <v>1.0</v>
      </c>
      <c r="DV42" s="32">
        <v>2.0</v>
      </c>
      <c r="DW42" s="35" t="s">
        <v>4624</v>
      </c>
      <c r="DX42" s="32">
        <v>31.0</v>
      </c>
      <c r="DY42" s="35" t="s">
        <v>4379</v>
      </c>
      <c r="DZ42" s="39">
        <v>0.26</v>
      </c>
      <c r="EA42" s="39">
        <v>0.74</v>
      </c>
      <c r="EB42" s="35" t="s">
        <v>4379</v>
      </c>
      <c r="EC42" s="39">
        <v>0.02</v>
      </c>
      <c r="ED42" s="39">
        <v>0.24</v>
      </c>
      <c r="EE42" s="37"/>
      <c r="EF42" s="37"/>
      <c r="EG42" s="34"/>
      <c r="EH42" s="37"/>
      <c r="EI42" s="37"/>
      <c r="EJ42" s="37"/>
      <c r="EK42" s="34"/>
      <c r="EL42" s="37"/>
      <c r="EM42" s="37"/>
      <c r="EN42" s="37"/>
      <c r="EO42" s="37"/>
      <c r="EP42" s="40" t="s">
        <v>3559</v>
      </c>
    </row>
    <row r="43">
      <c r="A43" s="41">
        <v>0.31</v>
      </c>
      <c r="B43" s="42" t="s">
        <v>4625</v>
      </c>
      <c r="C43" s="43"/>
      <c r="D43" s="43"/>
      <c r="E43" s="42" t="s">
        <v>4626</v>
      </c>
      <c r="F43" s="43"/>
      <c r="G43" s="42" t="s">
        <v>4627</v>
      </c>
      <c r="H43" s="42" t="s">
        <v>4560</v>
      </c>
      <c r="I43" s="42" t="s">
        <v>4561</v>
      </c>
      <c r="J43" s="42" t="s">
        <v>66</v>
      </c>
      <c r="K43" s="42" t="s">
        <v>4562</v>
      </c>
      <c r="L43" s="42" t="s">
        <v>4628</v>
      </c>
      <c r="M43" s="42" t="s">
        <v>4629</v>
      </c>
      <c r="N43" s="42" t="s">
        <v>3569</v>
      </c>
      <c r="O43" s="42" t="s">
        <v>4630</v>
      </c>
      <c r="P43" s="42"/>
      <c r="R43" s="42" t="s">
        <v>3571</v>
      </c>
      <c r="S43" s="42" t="s">
        <v>3572</v>
      </c>
      <c r="T43" s="42" t="s">
        <v>3573</v>
      </c>
      <c r="U43" s="44" t="s">
        <v>4631</v>
      </c>
      <c r="V43" s="44" t="s">
        <v>4632</v>
      </c>
      <c r="W43" s="41">
        <v>4.0</v>
      </c>
      <c r="X43" s="42" t="s">
        <v>4633</v>
      </c>
      <c r="Y43" s="43"/>
      <c r="Z43" s="43"/>
      <c r="AA43" s="41">
        <v>2022.0</v>
      </c>
      <c r="AB43" s="43"/>
      <c r="AC43" s="43"/>
      <c r="AD43" s="43"/>
      <c r="AE43" s="45"/>
      <c r="AF43" s="45"/>
      <c r="AG43" s="45"/>
      <c r="AH43" s="45"/>
      <c r="AI43" s="45"/>
      <c r="AJ43" s="45"/>
      <c r="AK43" s="45"/>
      <c r="AL43" s="45"/>
      <c r="AM43" s="45"/>
      <c r="AN43" s="45"/>
      <c r="AO43" s="42" t="s">
        <v>4634</v>
      </c>
      <c r="AP43" s="42" t="s">
        <v>4635</v>
      </c>
      <c r="AQ43" s="42" t="s">
        <v>3579</v>
      </c>
      <c r="AR43" s="42" t="s">
        <v>4636</v>
      </c>
      <c r="AS43" s="43" t="str">
        <f>+972 (0)54 282 8644</f>
        <v>#ERROR!</v>
      </c>
      <c r="AT43" s="42" t="s">
        <v>3581</v>
      </c>
      <c r="AU43" s="42" t="s">
        <v>4637</v>
      </c>
      <c r="AV43" s="43"/>
      <c r="AW43" s="42" t="s">
        <v>75</v>
      </c>
      <c r="AX43" s="43"/>
      <c r="AY43" s="45"/>
      <c r="AZ43" s="42" t="s">
        <v>41</v>
      </c>
      <c r="BA43" s="45" t="str">
        <f>+972 (0)54 282 8644</f>
        <v>#ERROR!</v>
      </c>
      <c r="BB43" s="45"/>
      <c r="BC43" s="42" t="s">
        <v>4638</v>
      </c>
      <c r="BD43" s="42" t="s">
        <v>3584</v>
      </c>
      <c r="BE43" s="42" t="s">
        <v>3584</v>
      </c>
      <c r="BF43" s="42" t="s">
        <v>4639</v>
      </c>
      <c r="BG43" s="42" t="s">
        <v>4640</v>
      </c>
      <c r="BH43" s="41">
        <v>2.0</v>
      </c>
      <c r="BI43" s="43"/>
      <c r="BJ43" s="43"/>
      <c r="BK43" s="43"/>
      <c r="BL43" s="42" t="s">
        <v>4641</v>
      </c>
      <c r="BM43" s="43"/>
      <c r="BN43" s="43"/>
      <c r="BO43" s="43"/>
      <c r="BP43" s="43"/>
      <c r="BQ43" s="45"/>
      <c r="BR43" s="41">
        <v>0.31</v>
      </c>
      <c r="BS43" s="42" t="s">
        <v>3697</v>
      </c>
      <c r="BT43" s="45"/>
      <c r="BU43" s="43"/>
      <c r="BV43" s="42" t="s">
        <v>3802</v>
      </c>
      <c r="BW43" s="42" t="s">
        <v>3802</v>
      </c>
      <c r="BX43" s="43"/>
      <c r="BY43" s="42" t="s">
        <v>3803</v>
      </c>
      <c r="BZ43" s="43"/>
      <c r="CA43" s="42" t="s">
        <v>3591</v>
      </c>
      <c r="CB43" s="46" t="s">
        <v>4642</v>
      </c>
      <c r="CC43" s="45"/>
      <c r="CD43" s="43"/>
      <c r="CE43" s="45"/>
      <c r="CF43" s="43"/>
      <c r="CG43" s="42" t="s">
        <v>3698</v>
      </c>
      <c r="CH43" s="42" t="s">
        <v>3698</v>
      </c>
      <c r="CI43" s="43"/>
      <c r="CJ43" s="42" t="s">
        <v>3573</v>
      </c>
      <c r="CK43" s="45"/>
      <c r="CL43" s="45"/>
      <c r="CM43" s="43"/>
      <c r="CN43" s="42" t="s">
        <v>3591</v>
      </c>
      <c r="CO43" s="47">
        <v>0.0</v>
      </c>
      <c r="CP43" s="41">
        <v>14.0</v>
      </c>
      <c r="CQ43" s="47">
        <v>0.0</v>
      </c>
      <c r="CR43" s="47">
        <v>0.0</v>
      </c>
      <c r="CS43" s="47">
        <v>0.0</v>
      </c>
      <c r="CT43" s="41">
        <v>12.0</v>
      </c>
      <c r="CU43" s="45"/>
      <c r="CV43" s="45"/>
      <c r="CW43" s="47">
        <v>0.0</v>
      </c>
      <c r="CX43" s="41">
        <v>12.0</v>
      </c>
      <c r="CY43" s="41" t="s">
        <v>4643</v>
      </c>
      <c r="CZ43" s="41">
        <v>56.0</v>
      </c>
      <c r="DA43" s="41" t="s">
        <v>3598</v>
      </c>
      <c r="DB43" s="47">
        <v>0.0</v>
      </c>
      <c r="DC43" s="41" t="s">
        <v>4643</v>
      </c>
      <c r="DD43" s="41">
        <v>58.0</v>
      </c>
      <c r="DE43" s="45"/>
      <c r="DF43" s="45"/>
      <c r="DG43" s="41" t="s">
        <v>4643</v>
      </c>
      <c r="DH43" s="41">
        <v>56.0</v>
      </c>
      <c r="DI43" s="41">
        <v>0.0</v>
      </c>
      <c r="DJ43" s="41">
        <v>0.0</v>
      </c>
      <c r="DK43" s="47">
        <v>0.0</v>
      </c>
      <c r="DL43" s="41">
        <v>27.0</v>
      </c>
      <c r="DM43" s="41">
        <v>0.0</v>
      </c>
      <c r="DN43" s="47">
        <v>0.0</v>
      </c>
      <c r="DO43" s="41" t="s">
        <v>3600</v>
      </c>
      <c r="DP43" s="46" t="s">
        <v>4644</v>
      </c>
      <c r="DQ43" s="41">
        <v>4.0</v>
      </c>
      <c r="DR43" s="41">
        <v>1.0</v>
      </c>
      <c r="DS43" s="45"/>
      <c r="DT43" s="41">
        <v>3.0</v>
      </c>
      <c r="DU43" s="45"/>
      <c r="DV43" s="41">
        <v>1.0</v>
      </c>
      <c r="DW43" s="42" t="s">
        <v>4645</v>
      </c>
      <c r="DX43" s="41">
        <v>25.0</v>
      </c>
      <c r="DY43" s="42" t="s">
        <v>4379</v>
      </c>
      <c r="DZ43" s="47">
        <v>0.21</v>
      </c>
      <c r="EA43" s="47">
        <v>0.79</v>
      </c>
      <c r="EB43" s="42" t="s">
        <v>4379</v>
      </c>
      <c r="EC43" s="47">
        <v>0.01</v>
      </c>
      <c r="ED43" s="47">
        <v>0.2</v>
      </c>
      <c r="EE43" s="45"/>
      <c r="EF43" s="45"/>
      <c r="EG43" s="43"/>
      <c r="EH43" s="45"/>
      <c r="EI43" s="45"/>
      <c r="EJ43" s="45"/>
      <c r="EK43" s="42" t="s">
        <v>4248</v>
      </c>
      <c r="EL43" s="45"/>
      <c r="EM43" s="45"/>
      <c r="EN43" s="45"/>
      <c r="EO43" s="45"/>
      <c r="EP43" s="48" t="s">
        <v>3559</v>
      </c>
    </row>
    <row r="44">
      <c r="A44" s="32">
        <v>3.05</v>
      </c>
      <c r="B44" s="35" t="s">
        <v>3364</v>
      </c>
      <c r="C44" s="34"/>
      <c r="D44" s="34"/>
      <c r="E44" s="35" t="s">
        <v>4646</v>
      </c>
      <c r="F44" s="34"/>
      <c r="G44" s="35" t="s">
        <v>4647</v>
      </c>
      <c r="H44" s="35" t="s">
        <v>3563</v>
      </c>
      <c r="I44" s="35" t="s">
        <v>4648</v>
      </c>
      <c r="J44" s="35" t="s">
        <v>4649</v>
      </c>
      <c r="K44" s="35" t="s">
        <v>4650</v>
      </c>
      <c r="L44" s="35" t="s">
        <v>3612</v>
      </c>
      <c r="M44" s="35" t="s">
        <v>4651</v>
      </c>
      <c r="N44" s="35" t="s">
        <v>3569</v>
      </c>
      <c r="O44" s="35" t="s">
        <v>4652</v>
      </c>
      <c r="P44" s="35"/>
      <c r="R44" s="35" t="s">
        <v>3571</v>
      </c>
      <c r="S44" s="35" t="s">
        <v>3572</v>
      </c>
      <c r="T44" s="35" t="s">
        <v>3573</v>
      </c>
      <c r="U44" s="36" t="s">
        <v>4653</v>
      </c>
      <c r="V44" s="36" t="s">
        <v>4654</v>
      </c>
      <c r="W44" s="32">
        <v>6.0</v>
      </c>
      <c r="X44" s="35" t="s">
        <v>4655</v>
      </c>
      <c r="Y44" s="34"/>
      <c r="Z44" s="34"/>
      <c r="AA44" s="32">
        <v>2018.0</v>
      </c>
      <c r="AB44" s="34"/>
      <c r="AC44" s="34"/>
      <c r="AD44" s="34"/>
      <c r="AE44" s="37"/>
      <c r="AF44" s="37"/>
      <c r="AG44" s="37"/>
      <c r="AH44" s="37"/>
      <c r="AI44" s="37"/>
      <c r="AJ44" s="37"/>
      <c r="AK44" s="37"/>
      <c r="AL44" s="37"/>
      <c r="AM44" s="37"/>
      <c r="AN44" s="37"/>
      <c r="AO44" s="35" t="s">
        <v>4656</v>
      </c>
      <c r="AP44" s="35" t="s">
        <v>4657</v>
      </c>
      <c r="AQ44" s="35" t="s">
        <v>3579</v>
      </c>
      <c r="AR44" s="35" t="s">
        <v>4658</v>
      </c>
      <c r="AS44" s="34"/>
      <c r="AT44" s="35" t="s">
        <v>3851</v>
      </c>
      <c r="AU44" s="35" t="s">
        <v>4659</v>
      </c>
      <c r="AV44" s="34"/>
      <c r="AW44" s="35" t="s">
        <v>616</v>
      </c>
      <c r="AX44" s="34"/>
      <c r="AY44" s="37"/>
      <c r="AZ44" s="35" t="s">
        <v>41</v>
      </c>
      <c r="BA44" s="37"/>
      <c r="BB44" s="37"/>
      <c r="BC44" s="35" t="s">
        <v>3370</v>
      </c>
      <c r="BD44" s="35" t="s">
        <v>3584</v>
      </c>
      <c r="BE44" s="35" t="s">
        <v>3584</v>
      </c>
      <c r="BF44" s="35" t="s">
        <v>4660</v>
      </c>
      <c r="BG44" s="35" t="s">
        <v>4661</v>
      </c>
      <c r="BH44" s="32">
        <v>2.0</v>
      </c>
      <c r="BI44" s="34"/>
      <c r="BJ44" s="34"/>
      <c r="BK44" s="34"/>
      <c r="BL44" s="34"/>
      <c r="BM44" s="34"/>
      <c r="BN44" s="34"/>
      <c r="BO44" s="34"/>
      <c r="BP44" s="34"/>
      <c r="BQ44" s="38" t="s">
        <v>4662</v>
      </c>
      <c r="BR44" s="32">
        <v>2.3</v>
      </c>
      <c r="BS44" s="35" t="s">
        <v>3593</v>
      </c>
      <c r="BT44" s="37"/>
      <c r="BU44" s="34"/>
      <c r="BV44" s="35" t="s">
        <v>3698</v>
      </c>
      <c r="BW44" s="35" t="s">
        <v>3698</v>
      </c>
      <c r="BX44" s="34"/>
      <c r="BY44" s="35" t="s">
        <v>3573</v>
      </c>
      <c r="BZ44" s="34"/>
      <c r="CA44" s="35" t="s">
        <v>3591</v>
      </c>
      <c r="CB44" s="38" t="s">
        <v>3991</v>
      </c>
      <c r="CC44" s="32">
        <v>0.75</v>
      </c>
      <c r="CD44" s="35" t="s">
        <v>3593</v>
      </c>
      <c r="CE44" s="37"/>
      <c r="CF44" s="34"/>
      <c r="CG44" s="35" t="s">
        <v>3698</v>
      </c>
      <c r="CH44" s="35" t="s">
        <v>3698</v>
      </c>
      <c r="CI44" s="34"/>
      <c r="CJ44" s="35" t="s">
        <v>3573</v>
      </c>
      <c r="CK44" s="37"/>
      <c r="CL44" s="37"/>
      <c r="CM44" s="34"/>
      <c r="CN44" s="35" t="s">
        <v>3591</v>
      </c>
      <c r="CO44" s="39">
        <v>0.0</v>
      </c>
      <c r="CP44" s="32">
        <v>14.0</v>
      </c>
      <c r="CQ44" s="39">
        <v>0.0</v>
      </c>
      <c r="CR44" s="39">
        <v>0.0</v>
      </c>
      <c r="CS44" s="39">
        <v>0.0</v>
      </c>
      <c r="CT44" s="32">
        <v>12.0</v>
      </c>
      <c r="CU44" s="37"/>
      <c r="CV44" s="37"/>
      <c r="CW44" s="39">
        <v>0.0</v>
      </c>
      <c r="CX44" s="32">
        <v>12.0</v>
      </c>
      <c r="CY44" s="32" t="s">
        <v>4663</v>
      </c>
      <c r="CZ44" s="32">
        <v>35.0</v>
      </c>
      <c r="DA44" s="32" t="s">
        <v>3598</v>
      </c>
      <c r="DB44" s="39">
        <v>0.0</v>
      </c>
      <c r="DC44" s="32" t="s">
        <v>4663</v>
      </c>
      <c r="DD44" s="32">
        <v>37.0</v>
      </c>
      <c r="DE44" s="37"/>
      <c r="DF44" s="37"/>
      <c r="DG44" s="32" t="s">
        <v>4663</v>
      </c>
      <c r="DH44" s="32">
        <v>34.0</v>
      </c>
      <c r="DI44" s="37"/>
      <c r="DJ44" s="37"/>
      <c r="DK44" s="37"/>
      <c r="DL44" s="32">
        <v>16.0</v>
      </c>
      <c r="DM44" s="32">
        <v>2.0</v>
      </c>
      <c r="DN44" s="39">
        <v>0.1429</v>
      </c>
      <c r="DO44" s="32" t="s">
        <v>3600</v>
      </c>
      <c r="DP44" s="38" t="s">
        <v>4664</v>
      </c>
      <c r="DQ44" s="32">
        <v>6.0</v>
      </c>
      <c r="DR44" s="32">
        <v>3.0</v>
      </c>
      <c r="DS44" s="32">
        <v>4.0</v>
      </c>
      <c r="DT44" s="37"/>
      <c r="DU44" s="37"/>
      <c r="DV44" s="32">
        <v>2.0</v>
      </c>
      <c r="DW44" s="35" t="s">
        <v>4665</v>
      </c>
      <c r="DX44" s="32">
        <v>25.0</v>
      </c>
      <c r="DY44" s="35" t="s">
        <v>4379</v>
      </c>
      <c r="DZ44" s="39">
        <v>0.2</v>
      </c>
      <c r="EA44" s="39">
        <v>0.8</v>
      </c>
      <c r="EB44" s="35" t="s">
        <v>4379</v>
      </c>
      <c r="EC44" s="39">
        <v>0.01</v>
      </c>
      <c r="ED44" s="39">
        <v>0.19</v>
      </c>
      <c r="EE44" s="37"/>
      <c r="EF44" s="37"/>
      <c r="EG44" s="34"/>
      <c r="EH44" s="37"/>
      <c r="EI44" s="37"/>
      <c r="EJ44" s="37"/>
      <c r="EK44" s="34"/>
      <c r="EL44" s="37"/>
      <c r="EM44" s="37"/>
      <c r="EN44" s="37"/>
      <c r="EO44" s="37"/>
      <c r="EP44" s="40" t="s">
        <v>3559</v>
      </c>
    </row>
    <row r="45">
      <c r="A45" s="41">
        <v>10.65</v>
      </c>
      <c r="B45" s="42" t="s">
        <v>546</v>
      </c>
      <c r="C45" s="43"/>
      <c r="D45" s="43"/>
      <c r="E45" s="42" t="s">
        <v>4666</v>
      </c>
      <c r="F45" s="43"/>
      <c r="G45" s="42" t="s">
        <v>4667</v>
      </c>
      <c r="H45" s="42" t="s">
        <v>3563</v>
      </c>
      <c r="I45" s="42" t="s">
        <v>3609</v>
      </c>
      <c r="J45" s="42" t="s">
        <v>3610</v>
      </c>
      <c r="K45" s="42" t="s">
        <v>4668</v>
      </c>
      <c r="L45" s="42" t="s">
        <v>4669</v>
      </c>
      <c r="M45" s="42" t="s">
        <v>4670</v>
      </c>
      <c r="N45" s="42" t="s">
        <v>3569</v>
      </c>
      <c r="O45" s="42" t="s">
        <v>4671</v>
      </c>
      <c r="P45" s="42"/>
      <c r="R45" s="42" t="s">
        <v>3571</v>
      </c>
      <c r="S45" s="42" t="s">
        <v>3572</v>
      </c>
      <c r="T45" s="42" t="s">
        <v>3573</v>
      </c>
      <c r="U45" s="44" t="s">
        <v>4672</v>
      </c>
      <c r="V45" s="44" t="s">
        <v>4673</v>
      </c>
      <c r="W45" s="41">
        <v>14.0</v>
      </c>
      <c r="X45" s="42" t="s">
        <v>4674</v>
      </c>
      <c r="Y45" s="43"/>
      <c r="Z45" s="43"/>
      <c r="AA45" s="41">
        <v>2018.0</v>
      </c>
      <c r="AB45" s="43"/>
      <c r="AC45" s="43"/>
      <c r="AD45" s="43"/>
      <c r="AE45" s="45"/>
      <c r="AF45" s="45"/>
      <c r="AG45" s="45"/>
      <c r="AH45" s="45"/>
      <c r="AI45" s="45"/>
      <c r="AJ45" s="45"/>
      <c r="AK45" s="45"/>
      <c r="AL45" s="45"/>
      <c r="AM45" s="45"/>
      <c r="AN45" s="45"/>
      <c r="AO45" s="42" t="s">
        <v>4675</v>
      </c>
      <c r="AP45" s="42" t="s">
        <v>548</v>
      </c>
      <c r="AQ45" s="42" t="s">
        <v>3579</v>
      </c>
      <c r="AR45" s="42" t="s">
        <v>549</v>
      </c>
      <c r="AS45" s="43" t="str">
        <f>+972 (0)77 362 1656</f>
        <v>#ERROR!</v>
      </c>
      <c r="AT45" s="42" t="s">
        <v>3718</v>
      </c>
      <c r="AU45" s="42" t="s">
        <v>4676</v>
      </c>
      <c r="AV45" s="43"/>
      <c r="AW45" s="42" t="s">
        <v>552</v>
      </c>
      <c r="AX45" s="43"/>
      <c r="AY45" s="41">
        <v>4672211.0</v>
      </c>
      <c r="AZ45" s="42" t="s">
        <v>41</v>
      </c>
      <c r="BA45" s="45" t="str">
        <f>+972 (0)77 362 1656</f>
        <v>#ERROR!</v>
      </c>
      <c r="BB45" s="45"/>
      <c r="BC45" s="42" t="s">
        <v>4677</v>
      </c>
      <c r="BD45" s="42" t="s">
        <v>3584</v>
      </c>
      <c r="BE45" s="42" t="s">
        <v>3584</v>
      </c>
      <c r="BF45" s="42" t="s">
        <v>4678</v>
      </c>
      <c r="BG45" s="42" t="s">
        <v>4679</v>
      </c>
      <c r="BH45" s="41">
        <v>6.0</v>
      </c>
      <c r="BI45" s="43"/>
      <c r="BJ45" s="43"/>
      <c r="BK45" s="43"/>
      <c r="BL45" s="42" t="s">
        <v>4680</v>
      </c>
      <c r="BM45" s="43"/>
      <c r="BN45" s="43"/>
      <c r="BO45" s="43"/>
      <c r="BP45" s="42" t="s">
        <v>4681</v>
      </c>
      <c r="BQ45" s="46" t="s">
        <v>4682</v>
      </c>
      <c r="BR45" s="41">
        <v>2.5</v>
      </c>
      <c r="BS45" s="42" t="s">
        <v>3593</v>
      </c>
      <c r="BT45" s="41">
        <v>6.75</v>
      </c>
      <c r="BU45" s="42" t="s">
        <v>3697</v>
      </c>
      <c r="BV45" s="42" t="s">
        <v>3698</v>
      </c>
      <c r="BW45" s="42" t="s">
        <v>3698</v>
      </c>
      <c r="BX45" s="43"/>
      <c r="BY45" s="42" t="s">
        <v>3573</v>
      </c>
      <c r="BZ45" s="43"/>
      <c r="CA45" s="42" t="s">
        <v>3591</v>
      </c>
      <c r="CB45" s="46" t="s">
        <v>4683</v>
      </c>
      <c r="CC45" s="41">
        <v>1.15</v>
      </c>
      <c r="CD45" s="42" t="s">
        <v>3593</v>
      </c>
      <c r="CE45" s="45"/>
      <c r="CF45" s="43"/>
      <c r="CG45" s="42" t="s">
        <v>3669</v>
      </c>
      <c r="CH45" s="43"/>
      <c r="CI45" s="43"/>
      <c r="CJ45" s="42" t="s">
        <v>3573</v>
      </c>
      <c r="CK45" s="45"/>
      <c r="CL45" s="45"/>
      <c r="CM45" s="43"/>
      <c r="CN45" s="42" t="s">
        <v>3591</v>
      </c>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1" t="s">
        <v>3600</v>
      </c>
      <c r="DP45" s="46" t="s">
        <v>4684</v>
      </c>
      <c r="DQ45" s="41">
        <v>13.0</v>
      </c>
      <c r="DR45" s="41">
        <v>2.0</v>
      </c>
      <c r="DS45" s="41">
        <v>5.0</v>
      </c>
      <c r="DT45" s="41">
        <v>3.0</v>
      </c>
      <c r="DU45" s="45"/>
      <c r="DV45" s="41">
        <v>5.0</v>
      </c>
      <c r="DW45" s="42" t="s">
        <v>4685</v>
      </c>
      <c r="DX45" s="41">
        <v>22.0</v>
      </c>
      <c r="DY45" s="42" t="s">
        <v>4379</v>
      </c>
      <c r="DZ45" s="47">
        <v>0.18</v>
      </c>
      <c r="EA45" s="47">
        <v>0.82</v>
      </c>
      <c r="EB45" s="42" t="s">
        <v>4379</v>
      </c>
      <c r="EC45" s="47">
        <v>0.01</v>
      </c>
      <c r="ED45" s="47">
        <v>0.17</v>
      </c>
      <c r="EE45" s="41">
        <v>6.75</v>
      </c>
      <c r="EF45" s="46" t="s">
        <v>4682</v>
      </c>
      <c r="EG45" s="42" t="s">
        <v>3698</v>
      </c>
      <c r="EH45" s="45"/>
      <c r="EI45" s="45"/>
      <c r="EJ45" s="45"/>
      <c r="EK45" s="43"/>
      <c r="EL45" s="45"/>
      <c r="EM45" s="45"/>
      <c r="EN45" s="45"/>
      <c r="EO45" s="45"/>
      <c r="EP45" s="48" t="s">
        <v>3559</v>
      </c>
    </row>
    <row r="46">
      <c r="A46" s="37"/>
      <c r="B46" s="35" t="s">
        <v>4686</v>
      </c>
      <c r="C46" s="34"/>
      <c r="D46" s="34"/>
      <c r="E46" s="35" t="s">
        <v>4687</v>
      </c>
      <c r="F46" s="34"/>
      <c r="G46" s="35" t="s">
        <v>4688</v>
      </c>
      <c r="H46" s="35" t="s">
        <v>3867</v>
      </c>
      <c r="I46" s="35" t="s">
        <v>3897</v>
      </c>
      <c r="J46" s="35" t="s">
        <v>4689</v>
      </c>
      <c r="K46" s="35" t="s">
        <v>4690</v>
      </c>
      <c r="L46" s="35" t="s">
        <v>4691</v>
      </c>
      <c r="M46" s="35" t="s">
        <v>4692</v>
      </c>
      <c r="N46" s="35" t="s">
        <v>3569</v>
      </c>
      <c r="O46" s="35" t="s">
        <v>4693</v>
      </c>
      <c r="P46" s="35"/>
      <c r="R46" s="35" t="s">
        <v>3571</v>
      </c>
      <c r="S46" s="35" t="s">
        <v>3572</v>
      </c>
      <c r="T46" s="35" t="s">
        <v>3573</v>
      </c>
      <c r="U46" s="36" t="s">
        <v>4694</v>
      </c>
      <c r="V46" s="36" t="s">
        <v>4695</v>
      </c>
      <c r="W46" s="32">
        <v>13.0</v>
      </c>
      <c r="X46" s="35" t="s">
        <v>4696</v>
      </c>
      <c r="Y46" s="34"/>
      <c r="Z46" s="34"/>
      <c r="AA46" s="32">
        <v>2017.0</v>
      </c>
      <c r="AB46" s="34"/>
      <c r="AC46" s="34"/>
      <c r="AD46" s="34"/>
      <c r="AE46" s="37"/>
      <c r="AF46" s="37"/>
      <c r="AG46" s="37"/>
      <c r="AH46" s="37"/>
      <c r="AI46" s="37"/>
      <c r="AJ46" s="37"/>
      <c r="AK46" s="37"/>
      <c r="AL46" s="37"/>
      <c r="AM46" s="37"/>
      <c r="AN46" s="37"/>
      <c r="AO46" s="35" t="s">
        <v>4697</v>
      </c>
      <c r="AP46" s="35" t="s">
        <v>4698</v>
      </c>
      <c r="AQ46" s="35" t="s">
        <v>3579</v>
      </c>
      <c r="AR46" s="35" t="s">
        <v>4699</v>
      </c>
      <c r="AS46" s="34" t="str">
        <f>+972 (0)54 555 9508</f>
        <v>#ERROR!</v>
      </c>
      <c r="AT46" s="35" t="s">
        <v>3581</v>
      </c>
      <c r="AU46" s="35" t="s">
        <v>4700</v>
      </c>
      <c r="AV46" s="35" t="s">
        <v>4701</v>
      </c>
      <c r="AW46" s="35" t="s">
        <v>75</v>
      </c>
      <c r="AX46" s="34"/>
      <c r="AY46" s="37"/>
      <c r="AZ46" s="35" t="s">
        <v>41</v>
      </c>
      <c r="BA46" s="37" t="str">
        <f>+972 (0)54 555 9508</f>
        <v>#ERROR!</v>
      </c>
      <c r="BB46" s="37"/>
      <c r="BC46" s="35" t="s">
        <v>4702</v>
      </c>
      <c r="BD46" s="35" t="s">
        <v>3584</v>
      </c>
      <c r="BE46" s="35" t="s">
        <v>3584</v>
      </c>
      <c r="BF46" s="35" t="s">
        <v>4703</v>
      </c>
      <c r="BG46" s="35" t="s">
        <v>4704</v>
      </c>
      <c r="BH46" s="32">
        <v>7.0</v>
      </c>
      <c r="BI46" s="34"/>
      <c r="BJ46" s="34"/>
      <c r="BK46" s="34"/>
      <c r="BL46" s="35" t="s">
        <v>4705</v>
      </c>
      <c r="BM46" s="34"/>
      <c r="BN46" s="34"/>
      <c r="BO46" s="34"/>
      <c r="BP46" s="34"/>
      <c r="BQ46" s="38" t="s">
        <v>4706</v>
      </c>
      <c r="BR46" s="37"/>
      <c r="BS46" s="34"/>
      <c r="BT46" s="37"/>
      <c r="BU46" s="34"/>
      <c r="BV46" s="35" t="s">
        <v>3589</v>
      </c>
      <c r="BW46" s="34"/>
      <c r="BX46" s="34"/>
      <c r="BY46" s="35" t="s">
        <v>3590</v>
      </c>
      <c r="BZ46" s="34"/>
      <c r="CA46" s="35" t="s">
        <v>3591</v>
      </c>
      <c r="CB46" s="37"/>
      <c r="CC46" s="37"/>
      <c r="CD46" s="34"/>
      <c r="CE46" s="37"/>
      <c r="CF46" s="34"/>
      <c r="CG46" s="35" t="s">
        <v>3589</v>
      </c>
      <c r="CH46" s="34"/>
      <c r="CI46" s="34"/>
      <c r="CJ46" s="35" t="s">
        <v>3590</v>
      </c>
      <c r="CK46" s="37"/>
      <c r="CL46" s="37"/>
      <c r="CM46" s="34"/>
      <c r="CN46" s="35" t="s">
        <v>3591</v>
      </c>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2" t="s">
        <v>3600</v>
      </c>
      <c r="DP46" s="38" t="s">
        <v>3702</v>
      </c>
      <c r="DQ46" s="32">
        <v>4.0</v>
      </c>
      <c r="DR46" s="32">
        <v>2.0</v>
      </c>
      <c r="DS46" s="37"/>
      <c r="DT46" s="37"/>
      <c r="DU46" s="37"/>
      <c r="DV46" s="32">
        <v>4.0</v>
      </c>
      <c r="DW46" s="34"/>
      <c r="DX46" s="32">
        <v>19.0</v>
      </c>
      <c r="DY46" s="35" t="s">
        <v>4379</v>
      </c>
      <c r="DZ46" s="39">
        <v>0.16</v>
      </c>
      <c r="EA46" s="39">
        <v>0.84</v>
      </c>
      <c r="EB46" s="35" t="s">
        <v>4379</v>
      </c>
      <c r="EC46" s="39">
        <v>0.01</v>
      </c>
      <c r="ED46" s="39">
        <v>0.15</v>
      </c>
      <c r="EE46" s="37"/>
      <c r="EF46" s="37"/>
      <c r="EG46" s="34"/>
      <c r="EH46" s="37"/>
      <c r="EI46" s="37"/>
      <c r="EJ46" s="37"/>
      <c r="EK46" s="34"/>
      <c r="EL46" s="37"/>
      <c r="EM46" s="37"/>
      <c r="EN46" s="37"/>
      <c r="EO46" s="37"/>
      <c r="EP46" s="40" t="s">
        <v>3559</v>
      </c>
    </row>
    <row r="47">
      <c r="A47" s="45"/>
      <c r="B47" s="42" t="s">
        <v>3042</v>
      </c>
      <c r="C47" s="43"/>
      <c r="D47" s="43"/>
      <c r="E47" s="43"/>
      <c r="F47" s="43"/>
      <c r="G47" s="42" t="s">
        <v>4707</v>
      </c>
      <c r="H47" s="42" t="s">
        <v>3563</v>
      </c>
      <c r="I47" s="42" t="s">
        <v>3609</v>
      </c>
      <c r="J47" s="42" t="s">
        <v>3610</v>
      </c>
      <c r="K47" s="42" t="s">
        <v>4708</v>
      </c>
      <c r="L47" s="42" t="s">
        <v>4709</v>
      </c>
      <c r="M47" s="42" t="s">
        <v>4710</v>
      </c>
      <c r="N47" s="42" t="s">
        <v>3569</v>
      </c>
      <c r="O47" s="42" t="s">
        <v>4711</v>
      </c>
      <c r="P47" s="42"/>
      <c r="R47" s="42" t="s">
        <v>3571</v>
      </c>
      <c r="S47" s="42" t="s">
        <v>3572</v>
      </c>
      <c r="T47" s="42" t="s">
        <v>3573</v>
      </c>
      <c r="U47" s="44" t="s">
        <v>4712</v>
      </c>
      <c r="V47" s="44" t="s">
        <v>4713</v>
      </c>
      <c r="W47" s="41">
        <v>7.0</v>
      </c>
      <c r="X47" s="42" t="s">
        <v>4714</v>
      </c>
      <c r="Y47" s="43"/>
      <c r="Z47" s="43"/>
      <c r="AA47" s="41">
        <v>2020.0</v>
      </c>
      <c r="AB47" s="43"/>
      <c r="AC47" s="43"/>
      <c r="AD47" s="43"/>
      <c r="AE47" s="45"/>
      <c r="AF47" s="45"/>
      <c r="AG47" s="45"/>
      <c r="AH47" s="45"/>
      <c r="AI47" s="45"/>
      <c r="AJ47" s="45"/>
      <c r="AK47" s="45"/>
      <c r="AL47" s="45"/>
      <c r="AM47" s="45"/>
      <c r="AN47" s="45"/>
      <c r="AO47" s="42" t="s">
        <v>4715</v>
      </c>
      <c r="AP47" s="42" t="s">
        <v>4716</v>
      </c>
      <c r="AQ47" s="42" t="s">
        <v>4717</v>
      </c>
      <c r="AR47" s="43"/>
      <c r="AS47" s="43"/>
      <c r="AT47" s="42" t="s">
        <v>4718</v>
      </c>
      <c r="AU47" s="42" t="s">
        <v>4719</v>
      </c>
      <c r="AV47" s="43"/>
      <c r="AW47" s="42" t="s">
        <v>4720</v>
      </c>
      <c r="AX47" s="43"/>
      <c r="AY47" s="41">
        <v>4436942.0</v>
      </c>
      <c r="AZ47" s="42" t="s">
        <v>41</v>
      </c>
      <c r="BA47" s="45" t="str">
        <f>+972 (0)52 619 4205</f>
        <v>#ERROR!</v>
      </c>
      <c r="BB47" s="45"/>
      <c r="BC47" s="42" t="s">
        <v>3048</v>
      </c>
      <c r="BD47" s="42" t="s">
        <v>3584</v>
      </c>
      <c r="BE47" s="42" t="s">
        <v>3584</v>
      </c>
      <c r="BF47" s="42" t="s">
        <v>4721</v>
      </c>
      <c r="BG47" s="42" t="s">
        <v>4722</v>
      </c>
      <c r="BH47" s="41">
        <v>3.0</v>
      </c>
      <c r="BI47" s="43"/>
      <c r="BJ47" s="43"/>
      <c r="BK47" s="43"/>
      <c r="BL47" s="42" t="s">
        <v>4723</v>
      </c>
      <c r="BM47" s="43"/>
      <c r="BN47" s="43"/>
      <c r="BO47" s="43"/>
      <c r="BP47" s="43"/>
      <c r="BQ47" s="46" t="s">
        <v>4724</v>
      </c>
      <c r="BR47" s="45"/>
      <c r="BS47" s="43"/>
      <c r="BT47" s="45"/>
      <c r="BU47" s="43"/>
      <c r="BV47" s="42" t="s">
        <v>3802</v>
      </c>
      <c r="BW47" s="42" t="s">
        <v>3802</v>
      </c>
      <c r="BX47" s="43"/>
      <c r="BY47" s="42" t="s">
        <v>3803</v>
      </c>
      <c r="BZ47" s="43"/>
      <c r="CA47" s="42" t="s">
        <v>3591</v>
      </c>
      <c r="CB47" s="45"/>
      <c r="CC47" s="45"/>
      <c r="CD47" s="43"/>
      <c r="CE47" s="45"/>
      <c r="CF47" s="43"/>
      <c r="CG47" s="42" t="s">
        <v>3669</v>
      </c>
      <c r="CH47" s="43"/>
      <c r="CI47" s="43"/>
      <c r="CJ47" s="42" t="s">
        <v>3573</v>
      </c>
      <c r="CK47" s="45"/>
      <c r="CL47" s="45"/>
      <c r="CM47" s="43"/>
      <c r="CN47" s="42" t="s">
        <v>3591</v>
      </c>
      <c r="CO47" s="47">
        <v>0.0</v>
      </c>
      <c r="CP47" s="41">
        <v>14.0</v>
      </c>
      <c r="CQ47" s="47">
        <v>0.0</v>
      </c>
      <c r="CR47" s="47">
        <v>0.0</v>
      </c>
      <c r="CS47" s="47">
        <v>0.0</v>
      </c>
      <c r="CT47" s="41">
        <v>12.0</v>
      </c>
      <c r="CU47" s="47">
        <v>0.0</v>
      </c>
      <c r="CV47" s="41">
        <v>10.0</v>
      </c>
      <c r="CW47" s="47">
        <v>0.0</v>
      </c>
      <c r="CX47" s="41">
        <v>12.0</v>
      </c>
      <c r="CY47" s="41" t="s">
        <v>4725</v>
      </c>
      <c r="CZ47" s="41">
        <v>34.0</v>
      </c>
      <c r="DA47" s="41" t="s">
        <v>3598</v>
      </c>
      <c r="DB47" s="47">
        <v>0.0</v>
      </c>
      <c r="DC47" s="41" t="s">
        <v>4726</v>
      </c>
      <c r="DD47" s="41">
        <v>22.0</v>
      </c>
      <c r="DE47" s="41" t="s">
        <v>4727</v>
      </c>
      <c r="DF47" s="41">
        <v>36.0</v>
      </c>
      <c r="DG47" s="41" t="s">
        <v>4728</v>
      </c>
      <c r="DH47" s="41">
        <v>42.0</v>
      </c>
      <c r="DI47" s="41">
        <v>0.0</v>
      </c>
      <c r="DJ47" s="41">
        <v>0.0</v>
      </c>
      <c r="DK47" s="47">
        <v>0.0</v>
      </c>
      <c r="DL47" s="41">
        <v>19.0</v>
      </c>
      <c r="DM47" s="41">
        <v>0.0</v>
      </c>
      <c r="DN47" s="47">
        <v>0.0</v>
      </c>
      <c r="DO47" s="41" t="s">
        <v>3600</v>
      </c>
      <c r="DP47" s="46" t="s">
        <v>4729</v>
      </c>
      <c r="DQ47" s="45"/>
      <c r="DR47" s="45"/>
      <c r="DS47" s="45"/>
      <c r="DT47" s="45"/>
      <c r="DU47" s="45"/>
      <c r="DV47" s="45"/>
      <c r="DW47" s="43"/>
      <c r="DX47" s="41">
        <v>15.0</v>
      </c>
      <c r="DY47" s="42" t="s">
        <v>4379</v>
      </c>
      <c r="DZ47" s="47">
        <v>0.12</v>
      </c>
      <c r="EA47" s="47">
        <v>0.88</v>
      </c>
      <c r="EB47" s="42" t="s">
        <v>4379</v>
      </c>
      <c r="EC47" s="47">
        <v>0.01</v>
      </c>
      <c r="ED47" s="47">
        <v>0.11</v>
      </c>
      <c r="EE47" s="45"/>
      <c r="EF47" s="45"/>
      <c r="EG47" s="43"/>
      <c r="EH47" s="45"/>
      <c r="EI47" s="45"/>
      <c r="EJ47" s="45"/>
      <c r="EK47" s="43"/>
      <c r="EL47" s="45"/>
      <c r="EM47" s="45"/>
      <c r="EN47" s="45"/>
      <c r="EO47" s="45"/>
      <c r="EP47" s="48" t="s">
        <v>3559</v>
      </c>
    </row>
    <row r="48">
      <c r="A48" s="32">
        <v>1.6</v>
      </c>
      <c r="B48" s="35" t="s">
        <v>4730</v>
      </c>
      <c r="C48" s="34"/>
      <c r="D48" s="34"/>
      <c r="E48" s="35" t="s">
        <v>4731</v>
      </c>
      <c r="F48" s="35" t="s">
        <v>4732</v>
      </c>
      <c r="G48" s="35" t="s">
        <v>4733</v>
      </c>
      <c r="H48" s="35" t="s">
        <v>3563</v>
      </c>
      <c r="I48" s="35" t="s">
        <v>3564</v>
      </c>
      <c r="J48" s="35" t="s">
        <v>3565</v>
      </c>
      <c r="K48" s="35" t="s">
        <v>4734</v>
      </c>
      <c r="L48" s="35" t="s">
        <v>4735</v>
      </c>
      <c r="M48" s="35" t="s">
        <v>4736</v>
      </c>
      <c r="N48" s="35" t="s">
        <v>3569</v>
      </c>
      <c r="O48" s="35" t="s">
        <v>4737</v>
      </c>
      <c r="P48" s="35"/>
      <c r="R48" s="35" t="s">
        <v>3571</v>
      </c>
      <c r="S48" s="35" t="s">
        <v>3572</v>
      </c>
      <c r="T48" s="35" t="s">
        <v>3573</v>
      </c>
      <c r="U48" s="36" t="s">
        <v>4738</v>
      </c>
      <c r="V48" s="36" t="s">
        <v>4739</v>
      </c>
      <c r="W48" s="32">
        <v>9.0</v>
      </c>
      <c r="X48" s="35" t="s">
        <v>4740</v>
      </c>
      <c r="Y48" s="34"/>
      <c r="Z48" s="34"/>
      <c r="AA48" s="32">
        <v>2018.0</v>
      </c>
      <c r="AB48" s="34"/>
      <c r="AC48" s="34"/>
      <c r="AD48" s="34"/>
      <c r="AE48" s="37"/>
      <c r="AF48" s="37"/>
      <c r="AG48" s="37"/>
      <c r="AH48" s="37"/>
      <c r="AI48" s="37"/>
      <c r="AJ48" s="37"/>
      <c r="AK48" s="37"/>
      <c r="AL48" s="37"/>
      <c r="AM48" s="37"/>
      <c r="AN48" s="37"/>
      <c r="AO48" s="35" t="s">
        <v>4741</v>
      </c>
      <c r="AP48" s="35" t="s">
        <v>4742</v>
      </c>
      <c r="AQ48" s="35" t="s">
        <v>4743</v>
      </c>
      <c r="AR48" s="35" t="s">
        <v>4744</v>
      </c>
      <c r="AS48" s="34" t="str">
        <f>+972 (0)8 915 2929</f>
        <v>#ERROR!</v>
      </c>
      <c r="AT48" s="35" t="s">
        <v>3581</v>
      </c>
      <c r="AU48" s="35" t="s">
        <v>4261</v>
      </c>
      <c r="AV48" s="34"/>
      <c r="AW48" s="35" t="s">
        <v>75</v>
      </c>
      <c r="AX48" s="34"/>
      <c r="AY48" s="32">
        <v>6777937.0</v>
      </c>
      <c r="AZ48" s="35" t="s">
        <v>41</v>
      </c>
      <c r="BA48" s="37" t="str">
        <f>+972 (0)8 915 2929</f>
        <v>#ERROR!</v>
      </c>
      <c r="BB48" s="37"/>
      <c r="BC48" s="35" t="s">
        <v>4745</v>
      </c>
      <c r="BD48" s="35" t="s">
        <v>3584</v>
      </c>
      <c r="BE48" s="35" t="s">
        <v>3584</v>
      </c>
      <c r="BF48" s="35" t="s">
        <v>4746</v>
      </c>
      <c r="BG48" s="35" t="s">
        <v>4747</v>
      </c>
      <c r="BH48" s="32">
        <v>9.0</v>
      </c>
      <c r="BI48" s="34"/>
      <c r="BJ48" s="34"/>
      <c r="BK48" s="34"/>
      <c r="BL48" s="35" t="s">
        <v>4748</v>
      </c>
      <c r="BM48" s="34"/>
      <c r="BN48" s="34"/>
      <c r="BO48" s="34"/>
      <c r="BP48" s="34"/>
      <c r="BQ48" s="37"/>
      <c r="BR48" s="37"/>
      <c r="BS48" s="34"/>
      <c r="BT48" s="37"/>
      <c r="BU48" s="34"/>
      <c r="BV48" s="35" t="s">
        <v>3589</v>
      </c>
      <c r="BW48" s="34"/>
      <c r="BX48" s="34"/>
      <c r="BY48" s="35" t="s">
        <v>3590</v>
      </c>
      <c r="BZ48" s="34"/>
      <c r="CA48" s="35" t="s">
        <v>3591</v>
      </c>
      <c r="CB48" s="38" t="s">
        <v>4749</v>
      </c>
      <c r="CC48" s="32">
        <v>0.55</v>
      </c>
      <c r="CD48" s="35" t="s">
        <v>3593</v>
      </c>
      <c r="CE48" s="37"/>
      <c r="CF48" s="34"/>
      <c r="CG48" s="35" t="s">
        <v>3698</v>
      </c>
      <c r="CH48" s="35" t="s">
        <v>3698</v>
      </c>
      <c r="CI48" s="34"/>
      <c r="CJ48" s="35" t="s">
        <v>3573</v>
      </c>
      <c r="CK48" s="37"/>
      <c r="CL48" s="37"/>
      <c r="CM48" s="34"/>
      <c r="CN48" s="35" t="s">
        <v>3591</v>
      </c>
      <c r="CO48" s="39">
        <v>0.0</v>
      </c>
      <c r="CP48" s="32">
        <v>14.0</v>
      </c>
      <c r="CQ48" s="39">
        <v>0.0</v>
      </c>
      <c r="CR48" s="39">
        <v>0.0</v>
      </c>
      <c r="CS48" s="39">
        <v>0.0</v>
      </c>
      <c r="CT48" s="32">
        <v>12.0</v>
      </c>
      <c r="CU48" s="37"/>
      <c r="CV48" s="37"/>
      <c r="CW48" s="39">
        <v>0.0</v>
      </c>
      <c r="CX48" s="32">
        <v>12.0</v>
      </c>
      <c r="CY48" s="32" t="s">
        <v>4750</v>
      </c>
      <c r="CZ48" s="32">
        <v>76.0</v>
      </c>
      <c r="DA48" s="32" t="s">
        <v>3598</v>
      </c>
      <c r="DB48" s="39">
        <v>0.0</v>
      </c>
      <c r="DC48" s="32" t="s">
        <v>4750</v>
      </c>
      <c r="DD48" s="32">
        <v>76.0</v>
      </c>
      <c r="DE48" s="37"/>
      <c r="DF48" s="37"/>
      <c r="DG48" s="32" t="s">
        <v>4750</v>
      </c>
      <c r="DH48" s="32">
        <v>75.0</v>
      </c>
      <c r="DI48" s="37"/>
      <c r="DJ48" s="37"/>
      <c r="DK48" s="37"/>
      <c r="DL48" s="32">
        <v>85.0</v>
      </c>
      <c r="DM48" s="32">
        <v>1.0</v>
      </c>
      <c r="DN48" s="39">
        <v>0.0119</v>
      </c>
      <c r="DO48" s="32" t="s">
        <v>3600</v>
      </c>
      <c r="DP48" s="38" t="s">
        <v>3783</v>
      </c>
      <c r="DQ48" s="32">
        <v>1.0</v>
      </c>
      <c r="DR48" s="32">
        <v>1.0</v>
      </c>
      <c r="DS48" s="37"/>
      <c r="DT48" s="32">
        <v>1.0</v>
      </c>
      <c r="DU48" s="32">
        <v>1.0</v>
      </c>
      <c r="DV48" s="37"/>
      <c r="DW48" s="35" t="s">
        <v>4645</v>
      </c>
      <c r="DX48" s="32">
        <v>13.0</v>
      </c>
      <c r="DY48" s="35" t="s">
        <v>4379</v>
      </c>
      <c r="DZ48" s="39">
        <v>0.11</v>
      </c>
      <c r="EA48" s="39">
        <v>0.89</v>
      </c>
      <c r="EB48" s="35" t="s">
        <v>4379</v>
      </c>
      <c r="EC48" s="39">
        <v>0.01</v>
      </c>
      <c r="ED48" s="39">
        <v>0.1</v>
      </c>
      <c r="EE48" s="37"/>
      <c r="EF48" s="37"/>
      <c r="EG48" s="34"/>
      <c r="EH48" s="37"/>
      <c r="EI48" s="37"/>
      <c r="EJ48" s="37"/>
      <c r="EK48" s="34"/>
      <c r="EL48" s="37"/>
      <c r="EM48" s="37"/>
      <c r="EN48" s="37"/>
      <c r="EO48" s="37"/>
      <c r="EP48" s="40" t="s">
        <v>3559</v>
      </c>
    </row>
    <row r="49">
      <c r="A49" s="41">
        <v>269.24</v>
      </c>
      <c r="B49" s="42" t="s">
        <v>3335</v>
      </c>
      <c r="C49" s="43"/>
      <c r="D49" s="43"/>
      <c r="E49" s="42" t="s">
        <v>4751</v>
      </c>
      <c r="F49" s="42" t="s">
        <v>4752</v>
      </c>
      <c r="G49" s="42" t="s">
        <v>4753</v>
      </c>
      <c r="H49" s="42" t="s">
        <v>4560</v>
      </c>
      <c r="I49" s="42" t="s">
        <v>4561</v>
      </c>
      <c r="J49" s="42" t="s">
        <v>66</v>
      </c>
      <c r="K49" s="42" t="s">
        <v>4754</v>
      </c>
      <c r="L49" s="42" t="s">
        <v>4755</v>
      </c>
      <c r="M49" s="42" t="s">
        <v>4756</v>
      </c>
      <c r="N49" s="42" t="s">
        <v>3569</v>
      </c>
      <c r="O49" s="42" t="s">
        <v>4757</v>
      </c>
      <c r="P49" s="42"/>
      <c r="R49" s="42" t="s">
        <v>3571</v>
      </c>
      <c r="S49" s="42" t="s">
        <v>3572</v>
      </c>
      <c r="T49" s="42" t="s">
        <v>4758</v>
      </c>
      <c r="U49" s="44" t="s">
        <v>4759</v>
      </c>
      <c r="V49" s="44" t="s">
        <v>4760</v>
      </c>
      <c r="W49" s="41">
        <v>105.0</v>
      </c>
      <c r="X49" s="42" t="s">
        <v>4761</v>
      </c>
      <c r="Y49" s="43"/>
      <c r="Z49" s="43"/>
      <c r="AA49" s="41">
        <v>2012.0</v>
      </c>
      <c r="AB49" s="43"/>
      <c r="AC49" s="43"/>
      <c r="AD49" s="43"/>
      <c r="AE49" s="45"/>
      <c r="AF49" s="45"/>
      <c r="AG49" s="45"/>
      <c r="AH49" s="45"/>
      <c r="AI49" s="45"/>
      <c r="AJ49" s="45"/>
      <c r="AK49" s="45"/>
      <c r="AL49" s="45"/>
      <c r="AM49" s="45"/>
      <c r="AN49" s="45"/>
      <c r="AO49" s="42" t="s">
        <v>4762</v>
      </c>
      <c r="AP49" s="42" t="s">
        <v>4763</v>
      </c>
      <c r="AQ49" s="42" t="s">
        <v>3579</v>
      </c>
      <c r="AR49" s="42" t="s">
        <v>3338</v>
      </c>
      <c r="AS49" s="43" t="str">
        <f>+972 (0)73 253 5400</f>
        <v>#ERROR!</v>
      </c>
      <c r="AT49" s="42" t="s">
        <v>3718</v>
      </c>
      <c r="AU49" s="42" t="s">
        <v>4764</v>
      </c>
      <c r="AV49" s="42" t="s">
        <v>4765</v>
      </c>
      <c r="AW49" s="42" t="s">
        <v>552</v>
      </c>
      <c r="AX49" s="43"/>
      <c r="AY49" s="41">
        <v>4672503.0</v>
      </c>
      <c r="AZ49" s="42" t="s">
        <v>41</v>
      </c>
      <c r="BA49" s="45" t="str">
        <f>+972 (0)73 253 5400</f>
        <v>#ERROR!</v>
      </c>
      <c r="BB49" s="45"/>
      <c r="BC49" s="42" t="s">
        <v>3341</v>
      </c>
      <c r="BD49" s="42" t="s">
        <v>3584</v>
      </c>
      <c r="BE49" s="42" t="s">
        <v>3584</v>
      </c>
      <c r="BF49" s="42" t="s">
        <v>4766</v>
      </c>
      <c r="BG49" s="42" t="s">
        <v>4767</v>
      </c>
      <c r="BH49" s="41">
        <v>46.0</v>
      </c>
      <c r="BI49" s="43"/>
      <c r="BJ49" s="42" t="s">
        <v>4768</v>
      </c>
      <c r="BK49" s="43"/>
      <c r="BL49" s="42" t="s">
        <v>4769</v>
      </c>
      <c r="BM49" s="42" t="s">
        <v>4770</v>
      </c>
      <c r="BN49" s="43"/>
      <c r="BO49" s="42" t="s">
        <v>4771</v>
      </c>
      <c r="BP49" s="42" t="s">
        <v>4772</v>
      </c>
      <c r="BQ49" s="46" t="s">
        <v>4773</v>
      </c>
      <c r="BR49" s="45"/>
      <c r="BS49" s="43"/>
      <c r="BT49" s="45"/>
      <c r="BU49" s="43"/>
      <c r="BV49" s="42" t="s">
        <v>3662</v>
      </c>
      <c r="BW49" s="43"/>
      <c r="BX49" s="43"/>
      <c r="BY49" s="42" t="s">
        <v>3663</v>
      </c>
      <c r="BZ49" s="43"/>
      <c r="CA49" s="42" t="s">
        <v>3591</v>
      </c>
      <c r="CB49" s="46" t="s">
        <v>4774</v>
      </c>
      <c r="CC49" s="45"/>
      <c r="CD49" s="43"/>
      <c r="CE49" s="45"/>
      <c r="CF49" s="43"/>
      <c r="CG49" s="42" t="s">
        <v>4775</v>
      </c>
      <c r="CH49" s="43"/>
      <c r="CI49" s="43"/>
      <c r="CJ49" s="42" t="s">
        <v>3663</v>
      </c>
      <c r="CK49" s="45"/>
      <c r="CL49" s="45"/>
      <c r="CM49" s="43"/>
      <c r="CN49" s="42" t="s">
        <v>4321</v>
      </c>
      <c r="CO49" s="47">
        <v>-0.0025</v>
      </c>
      <c r="CP49" s="41">
        <v>10.0</v>
      </c>
      <c r="CQ49" s="47">
        <v>0.0</v>
      </c>
      <c r="CR49" s="47">
        <v>0.0</v>
      </c>
      <c r="CS49" s="47">
        <v>-0.0025</v>
      </c>
      <c r="CT49" s="41">
        <v>9.0</v>
      </c>
      <c r="CU49" s="45"/>
      <c r="CV49" s="45"/>
      <c r="CW49" s="47">
        <v>-0.0025</v>
      </c>
      <c r="CX49" s="41">
        <v>9.0</v>
      </c>
      <c r="CY49" s="41" t="s">
        <v>4776</v>
      </c>
      <c r="CZ49" s="41">
        <v>99.0</v>
      </c>
      <c r="DA49" s="41" t="s">
        <v>3598</v>
      </c>
      <c r="DB49" s="47">
        <v>0.0</v>
      </c>
      <c r="DC49" s="41" t="s">
        <v>4776</v>
      </c>
      <c r="DD49" s="41">
        <v>99.0</v>
      </c>
      <c r="DE49" s="45"/>
      <c r="DF49" s="45"/>
      <c r="DG49" s="41" t="s">
        <v>4776</v>
      </c>
      <c r="DH49" s="41">
        <v>99.0</v>
      </c>
      <c r="DI49" s="41">
        <v>593.0</v>
      </c>
      <c r="DJ49" s="41">
        <v>74.0</v>
      </c>
      <c r="DK49" s="47">
        <v>0.1426</v>
      </c>
      <c r="DL49" s="52">
        <v>1195.0</v>
      </c>
      <c r="DM49" s="41">
        <v>2.0</v>
      </c>
      <c r="DN49" s="47">
        <v>0.0017</v>
      </c>
      <c r="DO49" s="41" t="s">
        <v>3600</v>
      </c>
      <c r="DP49" s="46" t="s">
        <v>4604</v>
      </c>
      <c r="DQ49" s="41">
        <v>231.0</v>
      </c>
      <c r="DR49" s="41">
        <v>93.0</v>
      </c>
      <c r="DS49" s="41">
        <v>176.0</v>
      </c>
      <c r="DT49" s="41">
        <v>10.0</v>
      </c>
      <c r="DU49" s="45"/>
      <c r="DV49" s="41">
        <v>45.0</v>
      </c>
      <c r="DW49" s="42" t="s">
        <v>4777</v>
      </c>
      <c r="DX49" s="41">
        <v>58.0</v>
      </c>
      <c r="DY49" s="42" t="s">
        <v>3602</v>
      </c>
      <c r="DZ49" s="47">
        <v>0.81</v>
      </c>
      <c r="EA49" s="47">
        <v>0.19</v>
      </c>
      <c r="EB49" s="42" t="s">
        <v>4532</v>
      </c>
      <c r="EC49" s="47">
        <v>0.71</v>
      </c>
      <c r="ED49" s="47">
        <v>0.1</v>
      </c>
      <c r="EE49" s="51">
        <v>1270.0</v>
      </c>
      <c r="EF49" s="46" t="s">
        <v>4778</v>
      </c>
      <c r="EG49" s="42" t="s">
        <v>3594</v>
      </c>
      <c r="EH49" s="45"/>
      <c r="EI49" s="45"/>
      <c r="EJ49" s="45"/>
      <c r="EK49" s="43"/>
      <c r="EL49" s="45"/>
      <c r="EM49" s="45"/>
      <c r="EN49" s="45"/>
      <c r="EO49" s="41">
        <v>2.4</v>
      </c>
      <c r="EP49" s="48" t="s">
        <v>3559</v>
      </c>
    </row>
    <row r="50">
      <c r="A50" s="32">
        <v>15.32</v>
      </c>
      <c r="B50" s="35" t="s">
        <v>4779</v>
      </c>
      <c r="C50" s="34"/>
      <c r="D50" s="35" t="s">
        <v>4780</v>
      </c>
      <c r="E50" s="35" t="s">
        <v>4781</v>
      </c>
      <c r="F50" s="35" t="s">
        <v>4782</v>
      </c>
      <c r="G50" s="35" t="s">
        <v>4783</v>
      </c>
      <c r="H50" s="35" t="s">
        <v>3867</v>
      </c>
      <c r="I50" s="35" t="s">
        <v>4199</v>
      </c>
      <c r="J50" s="35" t="s">
        <v>4414</v>
      </c>
      <c r="K50" s="35" t="s">
        <v>4415</v>
      </c>
      <c r="L50" s="35" t="s">
        <v>4784</v>
      </c>
      <c r="M50" s="35" t="s">
        <v>4785</v>
      </c>
      <c r="N50" s="35" t="s">
        <v>3569</v>
      </c>
      <c r="O50" s="35" t="s">
        <v>4786</v>
      </c>
      <c r="P50" s="35"/>
      <c r="R50" s="35" t="s">
        <v>3571</v>
      </c>
      <c r="S50" s="35" t="s">
        <v>3572</v>
      </c>
      <c r="T50" s="35" t="s">
        <v>3573</v>
      </c>
      <c r="U50" s="36" t="s">
        <v>4787</v>
      </c>
      <c r="V50" s="36" t="s">
        <v>4788</v>
      </c>
      <c r="W50" s="32">
        <v>12.0</v>
      </c>
      <c r="X50" s="35" t="s">
        <v>4789</v>
      </c>
      <c r="Y50" s="34"/>
      <c r="Z50" s="34"/>
      <c r="AA50" s="32">
        <v>2000.0</v>
      </c>
      <c r="AB50" s="34"/>
      <c r="AC50" s="34"/>
      <c r="AD50" s="34"/>
      <c r="AE50" s="37"/>
      <c r="AF50" s="37"/>
      <c r="AG50" s="37"/>
      <c r="AH50" s="37"/>
      <c r="AI50" s="37"/>
      <c r="AJ50" s="37"/>
      <c r="AK50" s="37"/>
      <c r="AL50" s="37"/>
      <c r="AM50" s="37"/>
      <c r="AN50" s="37"/>
      <c r="AO50" s="35" t="s">
        <v>4790</v>
      </c>
      <c r="AP50" s="35" t="s">
        <v>4791</v>
      </c>
      <c r="AQ50" s="35" t="s">
        <v>4792</v>
      </c>
      <c r="AR50" s="35" t="s">
        <v>4793</v>
      </c>
      <c r="AS50" s="34" t="str">
        <f>+972 (0)8 943 3640</f>
        <v>#ERROR!</v>
      </c>
      <c r="AT50" s="35" t="s">
        <v>4473</v>
      </c>
      <c r="AU50" s="35" t="s">
        <v>4794</v>
      </c>
      <c r="AV50" s="35" t="s">
        <v>4795</v>
      </c>
      <c r="AW50" s="35" t="s">
        <v>530</v>
      </c>
      <c r="AX50" s="34"/>
      <c r="AY50" s="32">
        <v>81224.0</v>
      </c>
      <c r="AZ50" s="35" t="s">
        <v>41</v>
      </c>
      <c r="BA50" s="37" t="str">
        <f>+972 (0)8 943 3640</f>
        <v>#ERROR!</v>
      </c>
      <c r="BB50" s="37" t="str">
        <f>+972 (0)8 943 3644</f>
        <v>#ERROR!</v>
      </c>
      <c r="BC50" s="35" t="s">
        <v>4796</v>
      </c>
      <c r="BD50" s="35" t="s">
        <v>3584</v>
      </c>
      <c r="BE50" s="35" t="s">
        <v>3584</v>
      </c>
      <c r="BF50" s="35" t="s">
        <v>4797</v>
      </c>
      <c r="BG50" s="35" t="s">
        <v>4798</v>
      </c>
      <c r="BH50" s="32">
        <v>3.0</v>
      </c>
      <c r="BI50" s="34"/>
      <c r="BJ50" s="34"/>
      <c r="BK50" s="34"/>
      <c r="BL50" s="35" t="s">
        <v>4799</v>
      </c>
      <c r="BM50" s="34"/>
      <c r="BN50" s="34"/>
      <c r="BO50" s="35" t="s">
        <v>4800</v>
      </c>
      <c r="BP50" s="35" t="s">
        <v>4801</v>
      </c>
      <c r="BQ50" s="38" t="s">
        <v>4802</v>
      </c>
      <c r="BR50" s="32">
        <v>5.32</v>
      </c>
      <c r="BS50" s="35" t="s">
        <v>3593</v>
      </c>
      <c r="BT50" s="32">
        <v>250.0</v>
      </c>
      <c r="BU50" s="35" t="s">
        <v>3593</v>
      </c>
      <c r="BV50" s="35" t="s">
        <v>3594</v>
      </c>
      <c r="BW50" s="35" t="s">
        <v>3595</v>
      </c>
      <c r="BX50" s="34"/>
      <c r="BY50" s="35" t="s">
        <v>3573</v>
      </c>
      <c r="BZ50" s="34"/>
      <c r="CA50" s="35" t="s">
        <v>3591</v>
      </c>
      <c r="CB50" s="38" t="s">
        <v>4803</v>
      </c>
      <c r="CC50" s="32">
        <v>10.0</v>
      </c>
      <c r="CD50" s="35" t="s">
        <v>3593</v>
      </c>
      <c r="CE50" s="37"/>
      <c r="CF50" s="34"/>
      <c r="CG50" s="35" t="s">
        <v>3594</v>
      </c>
      <c r="CH50" s="35" t="s">
        <v>3595</v>
      </c>
      <c r="CI50" s="34"/>
      <c r="CJ50" s="35" t="s">
        <v>3573</v>
      </c>
      <c r="CK50" s="37"/>
      <c r="CL50" s="37"/>
      <c r="CM50" s="34"/>
      <c r="CN50" s="35" t="s">
        <v>3591</v>
      </c>
      <c r="CO50" s="39">
        <v>-0.0126</v>
      </c>
      <c r="CP50" s="32">
        <v>5.0</v>
      </c>
      <c r="CQ50" s="39">
        <v>0.0</v>
      </c>
      <c r="CR50" s="39">
        <v>0.0</v>
      </c>
      <c r="CS50" s="39">
        <v>-0.0126</v>
      </c>
      <c r="CT50" s="32">
        <v>5.0</v>
      </c>
      <c r="CU50" s="37"/>
      <c r="CV50" s="37"/>
      <c r="CW50" s="39">
        <v>-0.0126</v>
      </c>
      <c r="CX50" s="32">
        <v>5.0</v>
      </c>
      <c r="CY50" s="32" t="s">
        <v>4804</v>
      </c>
      <c r="CZ50" s="32">
        <v>96.0</v>
      </c>
      <c r="DA50" s="32" t="s">
        <v>3598</v>
      </c>
      <c r="DB50" s="39">
        <v>0.0</v>
      </c>
      <c r="DC50" s="32" t="s">
        <v>4804</v>
      </c>
      <c r="DD50" s="32">
        <v>96.0</v>
      </c>
      <c r="DE50" s="37"/>
      <c r="DF50" s="37"/>
      <c r="DG50" s="32" t="s">
        <v>4804</v>
      </c>
      <c r="DH50" s="32">
        <v>96.0</v>
      </c>
      <c r="DI50" s="37"/>
      <c r="DJ50" s="37"/>
      <c r="DK50" s="37"/>
      <c r="DL50" s="32">
        <v>489.0</v>
      </c>
      <c r="DM50" s="32">
        <v>-4.0</v>
      </c>
      <c r="DN50" s="39">
        <v>-0.0081</v>
      </c>
      <c r="DO50" s="32" t="s">
        <v>3600</v>
      </c>
      <c r="DP50" s="38" t="s">
        <v>4805</v>
      </c>
      <c r="DQ50" s="32">
        <v>115.0</v>
      </c>
      <c r="DR50" s="32">
        <v>28.0</v>
      </c>
      <c r="DS50" s="32">
        <v>34.0</v>
      </c>
      <c r="DT50" s="37"/>
      <c r="DU50" s="37"/>
      <c r="DV50" s="32">
        <v>81.0</v>
      </c>
      <c r="DW50" s="35" t="s">
        <v>4806</v>
      </c>
      <c r="DX50" s="32">
        <v>12.0</v>
      </c>
      <c r="DY50" s="35" t="s">
        <v>4379</v>
      </c>
      <c r="DZ50" s="39">
        <v>0.1</v>
      </c>
      <c r="EA50" s="39">
        <v>0.9</v>
      </c>
      <c r="EB50" s="35" t="s">
        <v>4379</v>
      </c>
      <c r="EC50" s="39">
        <v>0.01</v>
      </c>
      <c r="ED50" s="39">
        <v>0.09</v>
      </c>
      <c r="EE50" s="32">
        <v>250.0</v>
      </c>
      <c r="EF50" s="38" t="s">
        <v>4802</v>
      </c>
      <c r="EG50" s="35" t="s">
        <v>3594</v>
      </c>
      <c r="EH50" s="37"/>
      <c r="EI50" s="37"/>
      <c r="EJ50" s="37"/>
      <c r="EK50" s="35" t="s">
        <v>4807</v>
      </c>
      <c r="EL50" s="37"/>
      <c r="EM50" s="37"/>
      <c r="EN50" s="37"/>
      <c r="EO50" s="37"/>
      <c r="EP50" s="40" t="s">
        <v>3559</v>
      </c>
    </row>
    <row r="51">
      <c r="A51" s="41">
        <v>0.96</v>
      </c>
      <c r="B51" s="42" t="s">
        <v>4808</v>
      </c>
      <c r="C51" s="43"/>
      <c r="D51" s="43"/>
      <c r="E51" s="42" t="s">
        <v>4809</v>
      </c>
      <c r="F51" s="43"/>
      <c r="G51" s="42" t="s">
        <v>4810</v>
      </c>
      <c r="H51" s="42" t="s">
        <v>3867</v>
      </c>
      <c r="I51" s="42" t="s">
        <v>3868</v>
      </c>
      <c r="J51" s="42" t="s">
        <v>3869</v>
      </c>
      <c r="K51" s="42" t="s">
        <v>4439</v>
      </c>
      <c r="L51" s="42" t="s">
        <v>4811</v>
      </c>
      <c r="M51" s="42" t="s">
        <v>4812</v>
      </c>
      <c r="N51" s="42" t="s">
        <v>3569</v>
      </c>
      <c r="O51" s="42" t="s">
        <v>4813</v>
      </c>
      <c r="P51" s="42"/>
      <c r="R51" s="42" t="s">
        <v>3571</v>
      </c>
      <c r="S51" s="42" t="s">
        <v>3572</v>
      </c>
      <c r="T51" s="42" t="s">
        <v>3573</v>
      </c>
      <c r="U51" s="44" t="s">
        <v>4814</v>
      </c>
      <c r="V51" s="44" t="s">
        <v>4815</v>
      </c>
      <c r="W51" s="41">
        <v>3.0</v>
      </c>
      <c r="X51" s="42" t="s">
        <v>4816</v>
      </c>
      <c r="Y51" s="43"/>
      <c r="Z51" s="43"/>
      <c r="AA51" s="41">
        <v>2012.0</v>
      </c>
      <c r="AB51" s="43"/>
      <c r="AC51" s="43"/>
      <c r="AD51" s="43"/>
      <c r="AE51" s="45"/>
      <c r="AF51" s="45"/>
      <c r="AG51" s="45"/>
      <c r="AH51" s="45"/>
      <c r="AI51" s="45"/>
      <c r="AJ51" s="45"/>
      <c r="AK51" s="45"/>
      <c r="AL51" s="45"/>
      <c r="AM51" s="45"/>
      <c r="AN51" s="45"/>
      <c r="AO51" s="42" t="s">
        <v>4817</v>
      </c>
      <c r="AP51" s="42" t="s">
        <v>4818</v>
      </c>
      <c r="AQ51" s="42" t="s">
        <v>3579</v>
      </c>
      <c r="AR51" s="42" t="s">
        <v>4819</v>
      </c>
      <c r="AS51" s="43" t="str">
        <f>+972 (0)52 704 1100</f>
        <v>#ERROR!</v>
      </c>
      <c r="AT51" s="42" t="s">
        <v>3718</v>
      </c>
      <c r="AU51" s="42" t="s">
        <v>4820</v>
      </c>
      <c r="AV51" s="43"/>
      <c r="AW51" s="42" t="s">
        <v>552</v>
      </c>
      <c r="AX51" s="43"/>
      <c r="AY51" s="45"/>
      <c r="AZ51" s="42" t="s">
        <v>41</v>
      </c>
      <c r="BA51" s="45" t="str">
        <f>+972 (0)52 704 1100</f>
        <v>#ERROR!</v>
      </c>
      <c r="BB51" s="45"/>
      <c r="BC51" s="42" t="s">
        <v>4821</v>
      </c>
      <c r="BD51" s="42" t="s">
        <v>3584</v>
      </c>
      <c r="BE51" s="42" t="s">
        <v>3584</v>
      </c>
      <c r="BF51" s="42" t="s">
        <v>4822</v>
      </c>
      <c r="BG51" s="42" t="s">
        <v>4823</v>
      </c>
      <c r="BH51" s="41">
        <v>10.0</v>
      </c>
      <c r="BI51" s="43"/>
      <c r="BJ51" s="43"/>
      <c r="BK51" s="43"/>
      <c r="BL51" s="42" t="s">
        <v>4824</v>
      </c>
      <c r="BM51" s="43"/>
      <c r="BN51" s="43"/>
      <c r="BO51" s="43"/>
      <c r="BP51" s="43"/>
      <c r="BQ51" s="46" t="s">
        <v>4825</v>
      </c>
      <c r="BR51" s="41">
        <v>0.04</v>
      </c>
      <c r="BS51" s="42" t="s">
        <v>3593</v>
      </c>
      <c r="BT51" s="45"/>
      <c r="BU51" s="43"/>
      <c r="BV51" s="42" t="s">
        <v>3589</v>
      </c>
      <c r="BW51" s="43"/>
      <c r="BX51" s="43"/>
      <c r="BY51" s="42" t="s">
        <v>3590</v>
      </c>
      <c r="BZ51" s="43"/>
      <c r="CA51" s="42" t="s">
        <v>3591</v>
      </c>
      <c r="CB51" s="46" t="s">
        <v>4803</v>
      </c>
      <c r="CC51" s="41">
        <v>0.12</v>
      </c>
      <c r="CD51" s="42" t="s">
        <v>3593</v>
      </c>
      <c r="CE51" s="41">
        <v>2.0</v>
      </c>
      <c r="CF51" s="42" t="s">
        <v>3593</v>
      </c>
      <c r="CG51" s="42" t="s">
        <v>3589</v>
      </c>
      <c r="CH51" s="43"/>
      <c r="CI51" s="43"/>
      <c r="CJ51" s="42" t="s">
        <v>3590</v>
      </c>
      <c r="CK51" s="46" t="s">
        <v>4826</v>
      </c>
      <c r="CL51" s="45"/>
      <c r="CM51" s="43"/>
      <c r="CN51" s="42" t="s">
        <v>3591</v>
      </c>
      <c r="CO51" s="47">
        <v>0.0</v>
      </c>
      <c r="CP51" s="41">
        <v>14.0</v>
      </c>
      <c r="CQ51" s="47">
        <v>0.0</v>
      </c>
      <c r="CR51" s="47">
        <v>0.0</v>
      </c>
      <c r="CS51" s="47">
        <v>0.0</v>
      </c>
      <c r="CT51" s="41">
        <v>12.0</v>
      </c>
      <c r="CU51" s="45"/>
      <c r="CV51" s="45"/>
      <c r="CW51" s="47">
        <v>0.0</v>
      </c>
      <c r="CX51" s="41">
        <v>12.0</v>
      </c>
      <c r="CY51" s="41" t="s">
        <v>4827</v>
      </c>
      <c r="CZ51" s="41">
        <v>65.0</v>
      </c>
      <c r="DA51" s="41" t="s">
        <v>3598</v>
      </c>
      <c r="DB51" s="47">
        <v>0.0</v>
      </c>
      <c r="DC51" s="41" t="s">
        <v>4827</v>
      </c>
      <c r="DD51" s="41">
        <v>66.0</v>
      </c>
      <c r="DE51" s="45"/>
      <c r="DF51" s="45"/>
      <c r="DG51" s="41" t="s">
        <v>4827</v>
      </c>
      <c r="DH51" s="41">
        <v>65.0</v>
      </c>
      <c r="DI51" s="45"/>
      <c r="DJ51" s="45"/>
      <c r="DK51" s="45"/>
      <c r="DL51" s="41">
        <v>39.0</v>
      </c>
      <c r="DM51" s="41">
        <v>0.0</v>
      </c>
      <c r="DN51" s="47">
        <v>0.0</v>
      </c>
      <c r="DO51" s="41" t="s">
        <v>3600</v>
      </c>
      <c r="DP51" s="46" t="s">
        <v>4828</v>
      </c>
      <c r="DQ51" s="41">
        <v>3.0</v>
      </c>
      <c r="DR51" s="41">
        <v>1.0</v>
      </c>
      <c r="DS51" s="41">
        <v>2.0</v>
      </c>
      <c r="DT51" s="45"/>
      <c r="DU51" s="45"/>
      <c r="DV51" s="41">
        <v>1.0</v>
      </c>
      <c r="DW51" s="42" t="s">
        <v>4829</v>
      </c>
      <c r="DX51" s="41">
        <v>5.0</v>
      </c>
      <c r="DY51" s="42" t="s">
        <v>4379</v>
      </c>
      <c r="DZ51" s="47">
        <v>0.08</v>
      </c>
      <c r="EA51" s="47">
        <v>0.92</v>
      </c>
      <c r="EB51" s="42" t="s">
        <v>4379</v>
      </c>
      <c r="EC51" s="47">
        <v>0.01</v>
      </c>
      <c r="ED51" s="47">
        <v>0.07</v>
      </c>
      <c r="EE51" s="41">
        <v>2.0</v>
      </c>
      <c r="EF51" s="46" t="s">
        <v>4803</v>
      </c>
      <c r="EG51" s="42" t="s">
        <v>3589</v>
      </c>
      <c r="EH51" s="45"/>
      <c r="EI51" s="45"/>
      <c r="EJ51" s="45"/>
      <c r="EK51" s="43"/>
      <c r="EL51" s="45"/>
      <c r="EM51" s="45"/>
      <c r="EN51" s="45"/>
      <c r="EO51" s="45"/>
      <c r="EP51" s="48" t="s">
        <v>3559</v>
      </c>
    </row>
    <row r="52">
      <c r="A52" s="32">
        <v>4.2</v>
      </c>
      <c r="B52" s="35" t="s">
        <v>3231</v>
      </c>
      <c r="C52" s="34"/>
      <c r="D52" s="34"/>
      <c r="E52" s="35" t="s">
        <v>4830</v>
      </c>
      <c r="F52" s="35" t="s">
        <v>4831</v>
      </c>
      <c r="G52" s="35" t="s">
        <v>4832</v>
      </c>
      <c r="H52" s="35" t="s">
        <v>3867</v>
      </c>
      <c r="I52" s="35" t="s">
        <v>3868</v>
      </c>
      <c r="J52" s="35" t="s">
        <v>3869</v>
      </c>
      <c r="K52" s="35" t="s">
        <v>3925</v>
      </c>
      <c r="L52" s="35" t="s">
        <v>4833</v>
      </c>
      <c r="M52" s="35" t="s">
        <v>4834</v>
      </c>
      <c r="N52" s="35" t="s">
        <v>3569</v>
      </c>
      <c r="O52" s="35" t="s">
        <v>4835</v>
      </c>
      <c r="P52" s="35"/>
      <c r="R52" s="35" t="s">
        <v>3571</v>
      </c>
      <c r="S52" s="35" t="s">
        <v>3572</v>
      </c>
      <c r="T52" s="35" t="s">
        <v>3573</v>
      </c>
      <c r="U52" s="36" t="s">
        <v>4836</v>
      </c>
      <c r="V52" s="36" t="s">
        <v>4837</v>
      </c>
      <c r="W52" s="32">
        <v>4.0</v>
      </c>
      <c r="X52" s="35" t="s">
        <v>4838</v>
      </c>
      <c r="Y52" s="34"/>
      <c r="Z52" s="34"/>
      <c r="AA52" s="32">
        <v>2019.0</v>
      </c>
      <c r="AB52" s="34"/>
      <c r="AC52" s="34"/>
      <c r="AD52" s="34"/>
      <c r="AE52" s="32">
        <v>0.3</v>
      </c>
      <c r="AF52" s="37"/>
      <c r="AG52" s="37"/>
      <c r="AH52" s="37"/>
      <c r="AI52" s="37"/>
      <c r="AJ52" s="37"/>
      <c r="AK52" s="37"/>
      <c r="AL52" s="37"/>
      <c r="AM52" s="39">
        <v>9.0</v>
      </c>
      <c r="AN52" s="32" t="s">
        <v>3932</v>
      </c>
      <c r="AO52" s="35" t="s">
        <v>4839</v>
      </c>
      <c r="AP52" s="35" t="s">
        <v>4840</v>
      </c>
      <c r="AQ52" s="35" t="s">
        <v>4519</v>
      </c>
      <c r="AR52" s="35" t="s">
        <v>3234</v>
      </c>
      <c r="AS52" s="34" t="str">
        <f>+972 (0)54 692 5546</f>
        <v>#ERROR!</v>
      </c>
      <c r="AT52" s="35" t="s">
        <v>3581</v>
      </c>
      <c r="AU52" s="35" t="s">
        <v>4841</v>
      </c>
      <c r="AV52" s="34"/>
      <c r="AW52" s="35" t="s">
        <v>75</v>
      </c>
      <c r="AX52" s="34"/>
      <c r="AY52" s="37"/>
      <c r="AZ52" s="35" t="s">
        <v>41</v>
      </c>
      <c r="BA52" s="37" t="str">
        <f>+972 (0)54 692 5546</f>
        <v>#ERROR!</v>
      </c>
      <c r="BB52" s="37"/>
      <c r="BC52" s="35" t="s">
        <v>3237</v>
      </c>
      <c r="BD52" s="35" t="s">
        <v>3584</v>
      </c>
      <c r="BE52" s="35" t="s">
        <v>3584</v>
      </c>
      <c r="BF52" s="35" t="s">
        <v>4842</v>
      </c>
      <c r="BG52" s="35" t="s">
        <v>4843</v>
      </c>
      <c r="BH52" s="32">
        <v>6.0</v>
      </c>
      <c r="BI52" s="34"/>
      <c r="BJ52" s="34"/>
      <c r="BK52" s="34"/>
      <c r="BL52" s="35" t="s">
        <v>4844</v>
      </c>
      <c r="BM52" s="34"/>
      <c r="BN52" s="34"/>
      <c r="BO52" s="35" t="s">
        <v>4845</v>
      </c>
      <c r="BP52" s="34"/>
      <c r="BQ52" s="37"/>
      <c r="BR52" s="37"/>
      <c r="BS52" s="34"/>
      <c r="BT52" s="37"/>
      <c r="BU52" s="34"/>
      <c r="BV52" s="35" t="s">
        <v>3589</v>
      </c>
      <c r="BW52" s="34"/>
      <c r="BX52" s="34"/>
      <c r="BY52" s="35" t="s">
        <v>3590</v>
      </c>
      <c r="BZ52" s="34"/>
      <c r="CA52" s="35" t="s">
        <v>3591</v>
      </c>
      <c r="CB52" s="37"/>
      <c r="CC52" s="37"/>
      <c r="CD52" s="34"/>
      <c r="CE52" s="37"/>
      <c r="CF52" s="34"/>
      <c r="CG52" s="35" t="s">
        <v>3669</v>
      </c>
      <c r="CH52" s="34"/>
      <c r="CI52" s="34"/>
      <c r="CJ52" s="35" t="s">
        <v>3573</v>
      </c>
      <c r="CK52" s="37"/>
      <c r="CL52" s="37"/>
      <c r="CM52" s="34"/>
      <c r="CN52" s="35" t="s">
        <v>3966</v>
      </c>
      <c r="CO52" s="39">
        <v>0.0</v>
      </c>
      <c r="CP52" s="32">
        <v>14.0</v>
      </c>
      <c r="CQ52" s="39">
        <v>0.0</v>
      </c>
      <c r="CR52" s="39">
        <v>0.0</v>
      </c>
      <c r="CS52" s="39">
        <v>0.0</v>
      </c>
      <c r="CT52" s="32">
        <v>12.0</v>
      </c>
      <c r="CU52" s="37"/>
      <c r="CV52" s="37"/>
      <c r="CW52" s="39">
        <v>0.0</v>
      </c>
      <c r="CX52" s="32">
        <v>12.0</v>
      </c>
      <c r="CY52" s="32" t="s">
        <v>3860</v>
      </c>
      <c r="CZ52" s="32">
        <v>48.0</v>
      </c>
      <c r="DA52" s="32" t="s">
        <v>3598</v>
      </c>
      <c r="DB52" s="39">
        <v>0.0</v>
      </c>
      <c r="DC52" s="32" t="s">
        <v>4846</v>
      </c>
      <c r="DD52" s="32">
        <v>62.0</v>
      </c>
      <c r="DE52" s="37"/>
      <c r="DF52" s="37"/>
      <c r="DG52" s="32" t="s">
        <v>4846</v>
      </c>
      <c r="DH52" s="32">
        <v>60.0</v>
      </c>
      <c r="DI52" s="37"/>
      <c r="DJ52" s="37"/>
      <c r="DK52" s="37"/>
      <c r="DL52" s="32">
        <v>31.0</v>
      </c>
      <c r="DM52" s="32">
        <v>0.0</v>
      </c>
      <c r="DN52" s="39">
        <v>0.0</v>
      </c>
      <c r="DO52" s="32" t="s">
        <v>3600</v>
      </c>
      <c r="DP52" s="38" t="s">
        <v>4247</v>
      </c>
      <c r="DQ52" s="32">
        <v>1.0</v>
      </c>
      <c r="DR52" s="32">
        <v>1.0</v>
      </c>
      <c r="DS52" s="37"/>
      <c r="DT52" s="37"/>
      <c r="DU52" s="37"/>
      <c r="DV52" s="32">
        <v>1.0</v>
      </c>
      <c r="DW52" s="34"/>
      <c r="DX52" s="32">
        <v>10.0</v>
      </c>
      <c r="DY52" s="35" t="s">
        <v>4379</v>
      </c>
      <c r="DZ52" s="39">
        <v>0.08</v>
      </c>
      <c r="EA52" s="39">
        <v>0.92</v>
      </c>
      <c r="EB52" s="35" t="s">
        <v>4379</v>
      </c>
      <c r="EC52" s="39">
        <v>0.01</v>
      </c>
      <c r="ED52" s="39">
        <v>0.07</v>
      </c>
      <c r="EE52" s="32">
        <v>2.14</v>
      </c>
      <c r="EF52" s="38" t="s">
        <v>4749</v>
      </c>
      <c r="EG52" s="35" t="s">
        <v>3589</v>
      </c>
      <c r="EH52" s="37"/>
      <c r="EI52" s="37"/>
      <c r="EJ52" s="37"/>
      <c r="EK52" s="34"/>
      <c r="EL52" s="37"/>
      <c r="EM52" s="37"/>
      <c r="EN52" s="32">
        <v>2.33</v>
      </c>
      <c r="EO52" s="32">
        <v>2.33</v>
      </c>
      <c r="EP52" s="40" t="s">
        <v>3559</v>
      </c>
    </row>
    <row r="53">
      <c r="A53" s="41">
        <v>10.09</v>
      </c>
      <c r="B53" s="42" t="s">
        <v>4847</v>
      </c>
      <c r="C53" s="43"/>
      <c r="D53" s="42" t="s">
        <v>4848</v>
      </c>
      <c r="E53" s="42" t="s">
        <v>4849</v>
      </c>
      <c r="F53" s="42" t="s">
        <v>4850</v>
      </c>
      <c r="G53" s="42" t="s">
        <v>4851</v>
      </c>
      <c r="H53" s="42" t="s">
        <v>3563</v>
      </c>
      <c r="I53" s="42" t="s">
        <v>3564</v>
      </c>
      <c r="J53" s="42" t="s">
        <v>3565</v>
      </c>
      <c r="K53" s="42" t="s">
        <v>4852</v>
      </c>
      <c r="L53" s="42" t="s">
        <v>4853</v>
      </c>
      <c r="M53" s="42" t="s">
        <v>4854</v>
      </c>
      <c r="N53" s="42" t="s">
        <v>3569</v>
      </c>
      <c r="O53" s="42" t="s">
        <v>4855</v>
      </c>
      <c r="P53" s="42"/>
      <c r="R53" s="42" t="s">
        <v>3571</v>
      </c>
      <c r="S53" s="42" t="s">
        <v>3572</v>
      </c>
      <c r="T53" s="42" t="s">
        <v>3573</v>
      </c>
      <c r="U53" s="44" t="s">
        <v>4856</v>
      </c>
      <c r="V53" s="44" t="s">
        <v>4857</v>
      </c>
      <c r="W53" s="41">
        <v>38.0</v>
      </c>
      <c r="X53" s="42" t="s">
        <v>4858</v>
      </c>
      <c r="Y53" s="43"/>
      <c r="Z53" s="43"/>
      <c r="AA53" s="41">
        <v>2012.0</v>
      </c>
      <c r="AB53" s="43"/>
      <c r="AC53" s="43"/>
      <c r="AD53" s="43"/>
      <c r="AE53" s="41">
        <v>20.0</v>
      </c>
      <c r="AF53" s="45"/>
      <c r="AG53" s="45"/>
      <c r="AH53" s="45"/>
      <c r="AI53" s="45"/>
      <c r="AJ53" s="45"/>
      <c r="AK53" s="45"/>
      <c r="AL53" s="45"/>
      <c r="AM53" s="47">
        <v>0.9417</v>
      </c>
      <c r="AN53" s="41" t="s">
        <v>4859</v>
      </c>
      <c r="AO53" s="42" t="s">
        <v>4860</v>
      </c>
      <c r="AP53" s="42" t="s">
        <v>4861</v>
      </c>
      <c r="AQ53" s="42" t="s">
        <v>4862</v>
      </c>
      <c r="AR53" s="42" t="s">
        <v>4863</v>
      </c>
      <c r="AS53" s="43" t="str">
        <f>+972 (0)77 531 4838</f>
        <v>#ERROR!</v>
      </c>
      <c r="AT53" s="42" t="s">
        <v>3581</v>
      </c>
      <c r="AU53" s="42" t="s">
        <v>4864</v>
      </c>
      <c r="AV53" s="42" t="s">
        <v>616</v>
      </c>
      <c r="AW53" s="42" t="s">
        <v>75</v>
      </c>
      <c r="AX53" s="43"/>
      <c r="AY53" s="41">
        <v>5252141.0</v>
      </c>
      <c r="AZ53" s="42" t="s">
        <v>41</v>
      </c>
      <c r="BA53" s="45" t="str">
        <f>+972 (0)77 531 4838</f>
        <v>#ERROR!</v>
      </c>
      <c r="BB53" s="45" t="str">
        <f>+972 (0)3 560 5684</f>
        <v>#ERROR!</v>
      </c>
      <c r="BC53" s="42" t="s">
        <v>3390</v>
      </c>
      <c r="BD53" s="42" t="s">
        <v>3584</v>
      </c>
      <c r="BE53" s="42" t="s">
        <v>3584</v>
      </c>
      <c r="BF53" s="42" t="s">
        <v>4865</v>
      </c>
      <c r="BG53" s="42" t="s">
        <v>4866</v>
      </c>
      <c r="BH53" s="41">
        <v>11.0</v>
      </c>
      <c r="BI53" s="43"/>
      <c r="BJ53" s="42" t="s">
        <v>4867</v>
      </c>
      <c r="BK53" s="43"/>
      <c r="BL53" s="42" t="s">
        <v>4868</v>
      </c>
      <c r="BM53" s="42" t="s">
        <v>4869</v>
      </c>
      <c r="BN53" s="43"/>
      <c r="BO53" s="42" t="s">
        <v>4870</v>
      </c>
      <c r="BP53" s="43"/>
      <c r="BQ53" s="46" t="s">
        <v>4871</v>
      </c>
      <c r="BR53" s="41">
        <v>0.7</v>
      </c>
      <c r="BS53" s="42" t="s">
        <v>3593</v>
      </c>
      <c r="BT53" s="45"/>
      <c r="BU53" s="43"/>
      <c r="BV53" s="42" t="s">
        <v>3698</v>
      </c>
      <c r="BW53" s="42" t="s">
        <v>3698</v>
      </c>
      <c r="BX53" s="43"/>
      <c r="BY53" s="42" t="s">
        <v>3573</v>
      </c>
      <c r="BZ53" s="43"/>
      <c r="CA53" s="42" t="s">
        <v>3591</v>
      </c>
      <c r="CB53" s="46" t="s">
        <v>4872</v>
      </c>
      <c r="CC53" s="45"/>
      <c r="CD53" s="43"/>
      <c r="CE53" s="45"/>
      <c r="CF53" s="43"/>
      <c r="CG53" s="42" t="s">
        <v>3830</v>
      </c>
      <c r="CH53" s="43"/>
      <c r="CI53" s="43"/>
      <c r="CJ53" s="42" t="s">
        <v>3573</v>
      </c>
      <c r="CK53" s="45"/>
      <c r="CL53" s="45"/>
      <c r="CM53" s="43"/>
      <c r="CN53" s="42" t="s">
        <v>3591</v>
      </c>
      <c r="CO53" s="47">
        <v>0.0171</v>
      </c>
      <c r="CP53" s="41">
        <v>98.0</v>
      </c>
      <c r="CQ53" s="47">
        <v>0.0</v>
      </c>
      <c r="CR53" s="47">
        <v>0.0</v>
      </c>
      <c r="CS53" s="47">
        <v>0.0171</v>
      </c>
      <c r="CT53" s="41">
        <v>99.0</v>
      </c>
      <c r="CU53" s="47">
        <v>0.0343</v>
      </c>
      <c r="CV53" s="41">
        <v>97.0</v>
      </c>
      <c r="CW53" s="47">
        <v>0.0</v>
      </c>
      <c r="CX53" s="41">
        <v>12.0</v>
      </c>
      <c r="CY53" s="41" t="s">
        <v>4873</v>
      </c>
      <c r="CZ53" s="41">
        <v>96.0</v>
      </c>
      <c r="DA53" s="41" t="s">
        <v>3598</v>
      </c>
      <c r="DB53" s="47">
        <v>0.0</v>
      </c>
      <c r="DC53" s="41" t="s">
        <v>4873</v>
      </c>
      <c r="DD53" s="41">
        <v>96.0</v>
      </c>
      <c r="DE53" s="41" t="s">
        <v>4874</v>
      </c>
      <c r="DF53" s="41">
        <v>93.0</v>
      </c>
      <c r="DG53" s="41" t="s">
        <v>4875</v>
      </c>
      <c r="DH53" s="41">
        <v>65.0</v>
      </c>
      <c r="DI53" s="52">
        <v>4541.0</v>
      </c>
      <c r="DJ53" s="41">
        <v>-63.0</v>
      </c>
      <c r="DK53" s="47">
        <v>-0.0137</v>
      </c>
      <c r="DL53" s="41">
        <v>38.0</v>
      </c>
      <c r="DM53" s="41">
        <v>1.0</v>
      </c>
      <c r="DN53" s="47">
        <v>0.027</v>
      </c>
      <c r="DO53" s="41" t="s">
        <v>3600</v>
      </c>
      <c r="DP53" s="46" t="s">
        <v>4876</v>
      </c>
      <c r="DQ53" s="41">
        <v>7.0</v>
      </c>
      <c r="DR53" s="41">
        <v>1.0</v>
      </c>
      <c r="DS53" s="41">
        <v>5.0</v>
      </c>
      <c r="DT53" s="45"/>
      <c r="DU53" s="45"/>
      <c r="DV53" s="41">
        <v>2.0</v>
      </c>
      <c r="DW53" s="42" t="s">
        <v>4506</v>
      </c>
      <c r="DX53" s="41">
        <v>4.0</v>
      </c>
      <c r="DY53" s="42" t="s">
        <v>4379</v>
      </c>
      <c r="DZ53" s="47">
        <v>0.07</v>
      </c>
      <c r="EA53" s="47">
        <v>0.93</v>
      </c>
      <c r="EB53" s="42" t="s">
        <v>4379</v>
      </c>
      <c r="EC53" s="47">
        <v>0.01</v>
      </c>
      <c r="ED53" s="47">
        <v>0.06</v>
      </c>
      <c r="EE53" s="41">
        <v>25.51</v>
      </c>
      <c r="EF53" s="46" t="s">
        <v>4877</v>
      </c>
      <c r="EG53" s="42" t="s">
        <v>3594</v>
      </c>
      <c r="EH53" s="45"/>
      <c r="EI53" s="45"/>
      <c r="EJ53" s="45"/>
      <c r="EK53" s="43"/>
      <c r="EL53" s="45"/>
      <c r="EM53" s="45"/>
      <c r="EN53" s="45"/>
      <c r="EO53" s="45"/>
      <c r="EP53" s="48" t="s">
        <v>3559</v>
      </c>
    </row>
    <row r="54">
      <c r="A54" s="32">
        <v>7.8</v>
      </c>
      <c r="B54" s="35" t="s">
        <v>4878</v>
      </c>
      <c r="C54" s="35" t="s">
        <v>4879</v>
      </c>
      <c r="D54" s="34"/>
      <c r="E54" s="35" t="s">
        <v>4880</v>
      </c>
      <c r="F54" s="34"/>
      <c r="G54" s="35" t="s">
        <v>4881</v>
      </c>
      <c r="H54" s="35" t="s">
        <v>3563</v>
      </c>
      <c r="I54" s="35" t="s">
        <v>3564</v>
      </c>
      <c r="J54" s="35" t="s">
        <v>3565</v>
      </c>
      <c r="K54" s="35" t="s">
        <v>4882</v>
      </c>
      <c r="L54" s="35" t="s">
        <v>4000</v>
      </c>
      <c r="M54" s="35" t="s">
        <v>4883</v>
      </c>
      <c r="N54" s="35" t="s">
        <v>3569</v>
      </c>
      <c r="O54" s="35" t="s">
        <v>4884</v>
      </c>
      <c r="P54" s="35"/>
      <c r="R54" s="35" t="s">
        <v>3571</v>
      </c>
      <c r="S54" s="35" t="s">
        <v>3572</v>
      </c>
      <c r="T54" s="35" t="s">
        <v>3573</v>
      </c>
      <c r="U54" s="36" t="s">
        <v>4885</v>
      </c>
      <c r="V54" s="36" t="s">
        <v>4886</v>
      </c>
      <c r="W54" s="32">
        <v>12.0</v>
      </c>
      <c r="X54" s="35" t="s">
        <v>4887</v>
      </c>
      <c r="Y54" s="34"/>
      <c r="Z54" s="34"/>
      <c r="AA54" s="32">
        <v>2018.0</v>
      </c>
      <c r="AB54" s="34"/>
      <c r="AC54" s="34"/>
      <c r="AD54" s="34"/>
      <c r="AE54" s="37"/>
      <c r="AF54" s="37"/>
      <c r="AG54" s="37"/>
      <c r="AH54" s="37"/>
      <c r="AI54" s="37"/>
      <c r="AJ54" s="37"/>
      <c r="AK54" s="37"/>
      <c r="AL54" s="37"/>
      <c r="AM54" s="37"/>
      <c r="AN54" s="37"/>
      <c r="AO54" s="34"/>
      <c r="AP54" s="34"/>
      <c r="AQ54" s="34"/>
      <c r="AR54" s="34"/>
      <c r="AS54" s="34"/>
      <c r="AT54" s="35" t="s">
        <v>3654</v>
      </c>
      <c r="AU54" s="35" t="s">
        <v>4888</v>
      </c>
      <c r="AV54" s="35" t="s">
        <v>4889</v>
      </c>
      <c r="AW54" s="35" t="s">
        <v>147</v>
      </c>
      <c r="AX54" s="34"/>
      <c r="AY54" s="37"/>
      <c r="AZ54" s="35" t="s">
        <v>41</v>
      </c>
      <c r="BA54" s="37"/>
      <c r="BB54" s="37"/>
      <c r="BC54" s="35" t="s">
        <v>4890</v>
      </c>
      <c r="BD54" s="35" t="s">
        <v>3584</v>
      </c>
      <c r="BE54" s="35" t="s">
        <v>3584</v>
      </c>
      <c r="BF54" s="35" t="s">
        <v>4891</v>
      </c>
      <c r="BG54" s="35" t="s">
        <v>4892</v>
      </c>
      <c r="BH54" s="32">
        <v>4.0</v>
      </c>
      <c r="BI54" s="34"/>
      <c r="BJ54" s="34"/>
      <c r="BK54" s="34"/>
      <c r="BL54" s="35" t="s">
        <v>4893</v>
      </c>
      <c r="BM54" s="34"/>
      <c r="BN54" s="34"/>
      <c r="BO54" s="34"/>
      <c r="BP54" s="34"/>
      <c r="BQ54" s="38" t="s">
        <v>4894</v>
      </c>
      <c r="BR54" s="32">
        <v>1.3</v>
      </c>
      <c r="BS54" s="35" t="s">
        <v>3593</v>
      </c>
      <c r="BT54" s="32">
        <v>3.96</v>
      </c>
      <c r="BU54" s="35" t="s">
        <v>3593</v>
      </c>
      <c r="BV54" s="35" t="s">
        <v>3698</v>
      </c>
      <c r="BW54" s="35" t="s">
        <v>3698</v>
      </c>
      <c r="BX54" s="34"/>
      <c r="BY54" s="35" t="s">
        <v>3573</v>
      </c>
      <c r="BZ54" s="34"/>
      <c r="CA54" s="35" t="s">
        <v>3591</v>
      </c>
      <c r="CB54" s="38" t="s">
        <v>4895</v>
      </c>
      <c r="CC54" s="37"/>
      <c r="CD54" s="34"/>
      <c r="CE54" s="37"/>
      <c r="CF54" s="34"/>
      <c r="CG54" s="35" t="s">
        <v>3589</v>
      </c>
      <c r="CH54" s="34"/>
      <c r="CI54" s="34"/>
      <c r="CJ54" s="35" t="s">
        <v>3590</v>
      </c>
      <c r="CK54" s="37"/>
      <c r="CL54" s="37"/>
      <c r="CM54" s="34"/>
      <c r="CN54" s="35" t="s">
        <v>3591</v>
      </c>
      <c r="CO54" s="39">
        <v>0.0</v>
      </c>
      <c r="CP54" s="32">
        <v>14.0</v>
      </c>
      <c r="CQ54" s="39">
        <v>0.0</v>
      </c>
      <c r="CR54" s="39">
        <v>0.0</v>
      </c>
      <c r="CS54" s="39">
        <v>0.0</v>
      </c>
      <c r="CT54" s="32">
        <v>12.0</v>
      </c>
      <c r="CU54" s="37"/>
      <c r="CV54" s="37"/>
      <c r="CW54" s="39">
        <v>0.0</v>
      </c>
      <c r="CX54" s="32">
        <v>12.0</v>
      </c>
      <c r="CY54" s="32" t="s">
        <v>3807</v>
      </c>
      <c r="CZ54" s="32">
        <v>76.0</v>
      </c>
      <c r="DA54" s="32" t="s">
        <v>3598</v>
      </c>
      <c r="DB54" s="39">
        <v>0.0</v>
      </c>
      <c r="DC54" s="32" t="s">
        <v>3807</v>
      </c>
      <c r="DD54" s="32">
        <v>76.0</v>
      </c>
      <c r="DE54" s="37"/>
      <c r="DF54" s="37"/>
      <c r="DG54" s="32" t="s">
        <v>3807</v>
      </c>
      <c r="DH54" s="32">
        <v>75.0</v>
      </c>
      <c r="DI54" s="37"/>
      <c r="DJ54" s="37"/>
      <c r="DK54" s="37"/>
      <c r="DL54" s="32">
        <v>84.0</v>
      </c>
      <c r="DM54" s="32">
        <v>1.0</v>
      </c>
      <c r="DN54" s="39">
        <v>0.012</v>
      </c>
      <c r="DO54" s="32" t="s">
        <v>3600</v>
      </c>
      <c r="DP54" s="38" t="s">
        <v>4896</v>
      </c>
      <c r="DQ54" s="32">
        <v>26.0</v>
      </c>
      <c r="DR54" s="32">
        <v>6.0</v>
      </c>
      <c r="DS54" s="32">
        <v>2.0</v>
      </c>
      <c r="DT54" s="32">
        <v>8.0</v>
      </c>
      <c r="DU54" s="37"/>
      <c r="DV54" s="32">
        <v>16.0</v>
      </c>
      <c r="DW54" s="35" t="s">
        <v>4897</v>
      </c>
      <c r="DX54" s="32">
        <v>4.0</v>
      </c>
      <c r="DY54" s="35" t="s">
        <v>4379</v>
      </c>
      <c r="DZ54" s="39">
        <v>0.03</v>
      </c>
      <c r="EA54" s="39">
        <v>0.97</v>
      </c>
      <c r="EB54" s="35" t="s">
        <v>4379</v>
      </c>
      <c r="EC54" s="39">
        <v>0.01</v>
      </c>
      <c r="ED54" s="39">
        <v>0.02</v>
      </c>
      <c r="EE54" s="32">
        <v>3.96</v>
      </c>
      <c r="EF54" s="38" t="s">
        <v>4894</v>
      </c>
      <c r="EG54" s="35" t="s">
        <v>3698</v>
      </c>
      <c r="EH54" s="37"/>
      <c r="EI54" s="37"/>
      <c r="EJ54" s="37"/>
      <c r="EK54" s="34"/>
      <c r="EL54" s="37"/>
      <c r="EM54" s="37"/>
      <c r="EN54" s="37"/>
      <c r="EO54" s="37"/>
      <c r="EP54" s="40" t="s">
        <v>3559</v>
      </c>
    </row>
    <row r="55">
      <c r="A55" s="41">
        <v>3.1</v>
      </c>
      <c r="B55" s="42" t="s">
        <v>4898</v>
      </c>
      <c r="C55" s="43"/>
      <c r="D55" s="43"/>
      <c r="E55" s="42" t="s">
        <v>4899</v>
      </c>
      <c r="F55" s="42" t="s">
        <v>4900</v>
      </c>
      <c r="G55" s="42" t="s">
        <v>4901</v>
      </c>
      <c r="H55" s="42" t="s">
        <v>3563</v>
      </c>
      <c r="I55" s="42" t="s">
        <v>3564</v>
      </c>
      <c r="J55" s="42" t="s">
        <v>3565</v>
      </c>
      <c r="K55" s="42" t="s">
        <v>4902</v>
      </c>
      <c r="L55" s="42" t="s">
        <v>4903</v>
      </c>
      <c r="M55" s="42" t="s">
        <v>4904</v>
      </c>
      <c r="N55" s="42" t="s">
        <v>3569</v>
      </c>
      <c r="O55" s="42" t="s">
        <v>4905</v>
      </c>
      <c r="P55" s="42"/>
      <c r="R55" s="42" t="s">
        <v>3571</v>
      </c>
      <c r="S55" s="42" t="s">
        <v>3572</v>
      </c>
      <c r="T55" s="42" t="s">
        <v>3573</v>
      </c>
      <c r="U55" s="44" t="s">
        <v>4906</v>
      </c>
      <c r="V55" s="44" t="s">
        <v>4907</v>
      </c>
      <c r="W55" s="41">
        <v>5.0</v>
      </c>
      <c r="X55" s="42" t="s">
        <v>4908</v>
      </c>
      <c r="Y55" s="43"/>
      <c r="Z55" s="43"/>
      <c r="AA55" s="41">
        <v>2014.0</v>
      </c>
      <c r="AB55" s="43"/>
      <c r="AC55" s="43"/>
      <c r="AD55" s="43"/>
      <c r="AE55" s="45"/>
      <c r="AF55" s="45"/>
      <c r="AG55" s="45"/>
      <c r="AH55" s="45"/>
      <c r="AI55" s="45"/>
      <c r="AJ55" s="45"/>
      <c r="AK55" s="45"/>
      <c r="AL55" s="45"/>
      <c r="AM55" s="45"/>
      <c r="AN55" s="45"/>
      <c r="AO55" s="42" t="s">
        <v>4909</v>
      </c>
      <c r="AP55" s="42" t="s">
        <v>4910</v>
      </c>
      <c r="AQ55" s="42" t="s">
        <v>265</v>
      </c>
      <c r="AR55" s="43"/>
      <c r="AS55" s="43" t="str">
        <f>+972 (0)9 740 7551</f>
        <v>#ERROR!</v>
      </c>
      <c r="AT55" s="42" t="s">
        <v>3718</v>
      </c>
      <c r="AU55" s="42" t="s">
        <v>4911</v>
      </c>
      <c r="AV55" s="43"/>
      <c r="AW55" s="42" t="s">
        <v>552</v>
      </c>
      <c r="AX55" s="43"/>
      <c r="AY55" s="41">
        <v>46722.0</v>
      </c>
      <c r="AZ55" s="42" t="s">
        <v>41</v>
      </c>
      <c r="BA55" s="45" t="str">
        <f>+972 (0)9 740 7551</f>
        <v>#ERROR!</v>
      </c>
      <c r="BB55" s="45"/>
      <c r="BC55" s="42" t="s">
        <v>4912</v>
      </c>
      <c r="BD55" s="42" t="s">
        <v>3584</v>
      </c>
      <c r="BE55" s="42" t="s">
        <v>3584</v>
      </c>
      <c r="BF55" s="42" t="s">
        <v>4913</v>
      </c>
      <c r="BG55" s="42" t="s">
        <v>4914</v>
      </c>
      <c r="BH55" s="41">
        <v>7.0</v>
      </c>
      <c r="BI55" s="43"/>
      <c r="BJ55" s="42" t="s">
        <v>4915</v>
      </c>
      <c r="BK55" s="43"/>
      <c r="BL55" s="42" t="s">
        <v>4916</v>
      </c>
      <c r="BM55" s="42" t="s">
        <v>4917</v>
      </c>
      <c r="BN55" s="43"/>
      <c r="BO55" s="43"/>
      <c r="BP55" s="43"/>
      <c r="BQ55" s="46" t="s">
        <v>4918</v>
      </c>
      <c r="BR55" s="45"/>
      <c r="BS55" s="43"/>
      <c r="BT55" s="45"/>
      <c r="BU55" s="43"/>
      <c r="BV55" s="42" t="s">
        <v>3662</v>
      </c>
      <c r="BW55" s="43"/>
      <c r="BX55" s="43"/>
      <c r="BY55" s="42" t="s">
        <v>3663</v>
      </c>
      <c r="BZ55" s="43"/>
      <c r="CA55" s="42" t="s">
        <v>3591</v>
      </c>
      <c r="CB55" s="45"/>
      <c r="CC55" s="45"/>
      <c r="CD55" s="43"/>
      <c r="CE55" s="45"/>
      <c r="CF55" s="43"/>
      <c r="CG55" s="42" t="s">
        <v>3830</v>
      </c>
      <c r="CH55" s="43"/>
      <c r="CI55" s="43"/>
      <c r="CJ55" s="42" t="s">
        <v>3573</v>
      </c>
      <c r="CK55" s="45"/>
      <c r="CL55" s="45"/>
      <c r="CM55" s="43"/>
      <c r="CN55" s="42" t="s">
        <v>3591</v>
      </c>
      <c r="CO55" s="47">
        <v>0.0</v>
      </c>
      <c r="CP55" s="41">
        <v>14.0</v>
      </c>
      <c r="CQ55" s="47">
        <v>0.0</v>
      </c>
      <c r="CR55" s="47">
        <v>0.0</v>
      </c>
      <c r="CS55" s="47">
        <v>0.0</v>
      </c>
      <c r="CT55" s="41">
        <v>12.0</v>
      </c>
      <c r="CU55" s="45"/>
      <c r="CV55" s="45"/>
      <c r="CW55" s="47">
        <v>0.0</v>
      </c>
      <c r="CX55" s="41">
        <v>12.0</v>
      </c>
      <c r="CY55" s="41" t="s">
        <v>4919</v>
      </c>
      <c r="CZ55" s="41">
        <v>53.0</v>
      </c>
      <c r="DA55" s="41" t="s">
        <v>3598</v>
      </c>
      <c r="DB55" s="47">
        <v>0.0</v>
      </c>
      <c r="DC55" s="41" t="s">
        <v>4919</v>
      </c>
      <c r="DD55" s="41">
        <v>55.0</v>
      </c>
      <c r="DE55" s="45"/>
      <c r="DF55" s="45"/>
      <c r="DG55" s="41" t="s">
        <v>4919</v>
      </c>
      <c r="DH55" s="41">
        <v>53.0</v>
      </c>
      <c r="DI55" s="45"/>
      <c r="DJ55" s="45"/>
      <c r="DK55" s="45"/>
      <c r="DL55" s="41">
        <v>25.0</v>
      </c>
      <c r="DM55" s="41">
        <v>1.0</v>
      </c>
      <c r="DN55" s="47">
        <v>0.0417</v>
      </c>
      <c r="DO55" s="41" t="s">
        <v>3600</v>
      </c>
      <c r="DP55" s="46" t="s">
        <v>3667</v>
      </c>
      <c r="DQ55" s="45"/>
      <c r="DR55" s="45"/>
      <c r="DS55" s="45"/>
      <c r="DT55" s="45"/>
      <c r="DU55" s="45"/>
      <c r="DV55" s="45"/>
      <c r="DW55" s="43"/>
      <c r="DX55" s="41">
        <v>2.0</v>
      </c>
      <c r="DY55" s="42" t="s">
        <v>4379</v>
      </c>
      <c r="DZ55" s="47">
        <v>0.02</v>
      </c>
      <c r="EA55" s="47">
        <v>0.98</v>
      </c>
      <c r="EB55" s="42" t="s">
        <v>4379</v>
      </c>
      <c r="EC55" s="47">
        <v>0.01</v>
      </c>
      <c r="ED55" s="47">
        <v>0.01</v>
      </c>
      <c r="EE55" s="45"/>
      <c r="EF55" s="45"/>
      <c r="EG55" s="43"/>
      <c r="EH55" s="45"/>
      <c r="EI55" s="45"/>
      <c r="EJ55" s="45"/>
      <c r="EK55" s="42" t="s">
        <v>4248</v>
      </c>
      <c r="EL55" s="45"/>
      <c r="EM55" s="45"/>
      <c r="EN55" s="45"/>
      <c r="EO55" s="45"/>
      <c r="EP55" s="48" t="s">
        <v>3559</v>
      </c>
    </row>
    <row r="56">
      <c r="A56" s="37"/>
      <c r="B56" s="35" t="s">
        <v>2619</v>
      </c>
      <c r="C56" s="34"/>
      <c r="D56" s="34"/>
      <c r="E56" s="35" t="s">
        <v>4920</v>
      </c>
      <c r="F56" s="34"/>
      <c r="G56" s="35" t="s">
        <v>4921</v>
      </c>
      <c r="H56" s="35" t="s">
        <v>3867</v>
      </c>
      <c r="I56" s="35" t="s">
        <v>3868</v>
      </c>
      <c r="J56" s="35" t="s">
        <v>3869</v>
      </c>
      <c r="K56" s="35" t="s">
        <v>4024</v>
      </c>
      <c r="L56" s="34"/>
      <c r="M56" s="35" t="s">
        <v>4922</v>
      </c>
      <c r="N56" s="35" t="s">
        <v>4923</v>
      </c>
      <c r="O56" s="35" t="s">
        <v>4924</v>
      </c>
      <c r="P56" s="35"/>
      <c r="R56" s="35" t="s">
        <v>3571</v>
      </c>
      <c r="S56" s="35" t="s">
        <v>4925</v>
      </c>
      <c r="T56" s="35" t="s">
        <v>4926</v>
      </c>
      <c r="U56" s="36" t="s">
        <v>4927</v>
      </c>
      <c r="V56" s="34"/>
      <c r="W56" s="37"/>
      <c r="X56" s="34"/>
      <c r="Y56" s="34"/>
      <c r="Z56" s="34"/>
      <c r="AA56" s="32">
        <v>2019.0</v>
      </c>
      <c r="AB56" s="34"/>
      <c r="AC56" s="34"/>
      <c r="AD56" s="34"/>
      <c r="AE56" s="37"/>
      <c r="AF56" s="37"/>
      <c r="AG56" s="37"/>
      <c r="AH56" s="37"/>
      <c r="AI56" s="37"/>
      <c r="AJ56" s="37"/>
      <c r="AK56" s="37"/>
      <c r="AL56" s="37"/>
      <c r="AM56" s="37"/>
      <c r="AN56" s="37"/>
      <c r="AO56" s="35" t="s">
        <v>4928</v>
      </c>
      <c r="AP56" s="35" t="s">
        <v>4929</v>
      </c>
      <c r="AQ56" s="35" t="s">
        <v>4930</v>
      </c>
      <c r="AR56" s="35" t="s">
        <v>4931</v>
      </c>
      <c r="AS56" s="34" t="str">
        <f>+972 (0)54 541 0470</f>
        <v>#ERROR!</v>
      </c>
      <c r="AT56" s="35" t="s">
        <v>3581</v>
      </c>
      <c r="AU56" s="34"/>
      <c r="AV56" s="34"/>
      <c r="AW56" s="35" t="s">
        <v>75</v>
      </c>
      <c r="AX56" s="34"/>
      <c r="AY56" s="37"/>
      <c r="AZ56" s="35" t="s">
        <v>41</v>
      </c>
      <c r="BA56" s="37"/>
      <c r="BB56" s="37"/>
      <c r="BC56" s="34"/>
      <c r="BD56" s="35" t="s">
        <v>3584</v>
      </c>
      <c r="BE56" s="35" t="s">
        <v>3584</v>
      </c>
      <c r="BF56" s="34"/>
      <c r="BG56" s="34"/>
      <c r="BH56" s="37"/>
      <c r="BI56" s="34"/>
      <c r="BJ56" s="34"/>
      <c r="BK56" s="34"/>
      <c r="BL56" s="34"/>
      <c r="BM56" s="34"/>
      <c r="BN56" s="34"/>
      <c r="BO56" s="34"/>
      <c r="BP56" s="34"/>
      <c r="BQ56" s="37"/>
      <c r="BR56" s="37"/>
      <c r="BS56" s="34"/>
      <c r="BT56" s="37"/>
      <c r="BU56" s="34"/>
      <c r="BV56" s="34"/>
      <c r="BW56" s="34"/>
      <c r="BX56" s="34"/>
      <c r="BY56" s="34"/>
      <c r="BZ56" s="34"/>
      <c r="CA56" s="34"/>
      <c r="CB56" s="37"/>
      <c r="CC56" s="37"/>
      <c r="CD56" s="34"/>
      <c r="CE56" s="37"/>
      <c r="CF56" s="34"/>
      <c r="CG56" s="34"/>
      <c r="CH56" s="34"/>
      <c r="CI56" s="34"/>
      <c r="CJ56" s="34"/>
      <c r="CK56" s="37"/>
      <c r="CL56" s="37"/>
      <c r="CM56" s="34"/>
      <c r="CN56" s="34"/>
      <c r="CO56" s="39">
        <v>0.0</v>
      </c>
      <c r="CP56" s="32">
        <v>14.0</v>
      </c>
      <c r="CQ56" s="39">
        <v>0.0</v>
      </c>
      <c r="CR56" s="39">
        <v>0.0</v>
      </c>
      <c r="CS56" s="39">
        <v>0.0</v>
      </c>
      <c r="CT56" s="32">
        <v>12.0</v>
      </c>
      <c r="CU56" s="37"/>
      <c r="CV56" s="37"/>
      <c r="CW56" s="39">
        <v>0.0</v>
      </c>
      <c r="CX56" s="32">
        <v>12.0</v>
      </c>
      <c r="CY56" s="32" t="s">
        <v>4932</v>
      </c>
      <c r="CZ56" s="32">
        <v>62.0</v>
      </c>
      <c r="DA56" s="32" t="s">
        <v>3598</v>
      </c>
      <c r="DB56" s="39">
        <v>0.0</v>
      </c>
      <c r="DC56" s="32" t="s">
        <v>4932</v>
      </c>
      <c r="DD56" s="32">
        <v>64.0</v>
      </c>
      <c r="DE56" s="37"/>
      <c r="DF56" s="37"/>
      <c r="DG56" s="32" t="s">
        <v>4932</v>
      </c>
      <c r="DH56" s="32">
        <v>63.0</v>
      </c>
      <c r="DI56" s="37"/>
      <c r="DJ56" s="37"/>
      <c r="DK56" s="37"/>
      <c r="DL56" s="32">
        <v>35.0</v>
      </c>
      <c r="DM56" s="32">
        <v>0.0</v>
      </c>
      <c r="DN56" s="39">
        <v>0.0</v>
      </c>
      <c r="DO56" s="32" t="s">
        <v>3600</v>
      </c>
      <c r="DP56" s="38" t="s">
        <v>3808</v>
      </c>
      <c r="DQ56" s="37"/>
      <c r="DR56" s="37"/>
      <c r="DS56" s="37"/>
      <c r="DT56" s="37"/>
      <c r="DU56" s="37"/>
      <c r="DV56" s="37"/>
      <c r="DW56" s="34"/>
      <c r="DX56" s="37"/>
      <c r="DY56" s="34"/>
      <c r="DZ56" s="37"/>
      <c r="EA56" s="37"/>
      <c r="EB56" s="34"/>
      <c r="EC56" s="37"/>
      <c r="ED56" s="37"/>
      <c r="EE56" s="37"/>
      <c r="EF56" s="37"/>
      <c r="EG56" s="34"/>
      <c r="EH56" s="37"/>
      <c r="EI56" s="37"/>
      <c r="EJ56" s="37"/>
      <c r="EK56" s="34"/>
      <c r="EL56" s="37"/>
      <c r="EM56" s="37"/>
      <c r="EN56" s="37"/>
      <c r="EO56" s="37"/>
      <c r="EP56" s="40" t="s">
        <v>3559</v>
      </c>
    </row>
    <row r="57">
      <c r="A57" s="45"/>
      <c r="B57" s="42" t="s">
        <v>4933</v>
      </c>
      <c r="C57" s="43"/>
      <c r="D57" s="43"/>
      <c r="E57" s="42" t="s">
        <v>4934</v>
      </c>
      <c r="F57" s="42" t="s">
        <v>4935</v>
      </c>
      <c r="G57" s="42" t="s">
        <v>4936</v>
      </c>
      <c r="H57" s="42" t="s">
        <v>3563</v>
      </c>
      <c r="I57" s="42" t="s">
        <v>3609</v>
      </c>
      <c r="J57" s="42" t="s">
        <v>3610</v>
      </c>
      <c r="K57" s="42" t="s">
        <v>4937</v>
      </c>
      <c r="L57" s="42" t="s">
        <v>4938</v>
      </c>
      <c r="M57" s="42" t="s">
        <v>4939</v>
      </c>
      <c r="N57" s="42" t="s">
        <v>3569</v>
      </c>
      <c r="O57" s="42" t="s">
        <v>4940</v>
      </c>
      <c r="P57" s="42"/>
      <c r="R57" s="42" t="s">
        <v>3571</v>
      </c>
      <c r="S57" s="42" t="s">
        <v>3572</v>
      </c>
      <c r="T57" s="42" t="s">
        <v>3573</v>
      </c>
      <c r="U57" s="44" t="s">
        <v>4941</v>
      </c>
      <c r="V57" s="44" t="s">
        <v>4942</v>
      </c>
      <c r="W57" s="41">
        <v>7.0</v>
      </c>
      <c r="X57" s="42" t="s">
        <v>4943</v>
      </c>
      <c r="Y57" s="43"/>
      <c r="Z57" s="43"/>
      <c r="AA57" s="41">
        <v>2018.0</v>
      </c>
      <c r="AB57" s="43"/>
      <c r="AC57" s="43"/>
      <c r="AD57" s="43"/>
      <c r="AE57" s="45"/>
      <c r="AF57" s="45"/>
      <c r="AG57" s="45"/>
      <c r="AH57" s="45"/>
      <c r="AI57" s="45"/>
      <c r="AJ57" s="45"/>
      <c r="AK57" s="45"/>
      <c r="AL57" s="45"/>
      <c r="AM57" s="45"/>
      <c r="AN57" s="45"/>
      <c r="AO57" s="42" t="s">
        <v>4944</v>
      </c>
      <c r="AP57" s="42" t="s">
        <v>4945</v>
      </c>
      <c r="AQ57" s="42" t="s">
        <v>3579</v>
      </c>
      <c r="AR57" s="42" t="s">
        <v>3256</v>
      </c>
      <c r="AS57" s="43" t="str">
        <f>+972 (0)9 955 9525</f>
        <v>#ERROR!</v>
      </c>
      <c r="AT57" s="42" t="s">
        <v>3744</v>
      </c>
      <c r="AU57" s="42" t="s">
        <v>4946</v>
      </c>
      <c r="AV57" s="43"/>
      <c r="AW57" s="42" t="s">
        <v>183</v>
      </c>
      <c r="AX57" s="43"/>
      <c r="AY57" s="45"/>
      <c r="AZ57" s="42" t="s">
        <v>41</v>
      </c>
      <c r="BA57" s="45" t="str">
        <f>+972 (0)9 955 9525</f>
        <v>#ERROR!</v>
      </c>
      <c r="BB57" s="45"/>
      <c r="BC57" s="42" t="s">
        <v>3259</v>
      </c>
      <c r="BD57" s="42" t="s">
        <v>3584</v>
      </c>
      <c r="BE57" s="42" t="s">
        <v>3584</v>
      </c>
      <c r="BF57" s="42" t="s">
        <v>4947</v>
      </c>
      <c r="BG57" s="42" t="s">
        <v>4948</v>
      </c>
      <c r="BH57" s="41">
        <v>7.0</v>
      </c>
      <c r="BI57" s="43"/>
      <c r="BJ57" s="42" t="s">
        <v>4949</v>
      </c>
      <c r="BK57" s="43"/>
      <c r="BL57" s="42" t="s">
        <v>4950</v>
      </c>
      <c r="BM57" s="42" t="s">
        <v>4951</v>
      </c>
      <c r="BN57" s="43"/>
      <c r="BO57" s="42" t="s">
        <v>4952</v>
      </c>
      <c r="BP57" s="43"/>
      <c r="BQ57" s="45"/>
      <c r="BR57" s="45"/>
      <c r="BS57" s="43"/>
      <c r="BT57" s="45"/>
      <c r="BU57" s="43"/>
      <c r="BV57" s="42" t="s">
        <v>3589</v>
      </c>
      <c r="BW57" s="43"/>
      <c r="BX57" s="43"/>
      <c r="BY57" s="42" t="s">
        <v>3590</v>
      </c>
      <c r="BZ57" s="43"/>
      <c r="CA57" s="42" t="s">
        <v>3591</v>
      </c>
      <c r="CB57" s="45"/>
      <c r="CC57" s="45"/>
      <c r="CD57" s="43"/>
      <c r="CE57" s="45"/>
      <c r="CF57" s="43"/>
      <c r="CG57" s="42" t="s">
        <v>3589</v>
      </c>
      <c r="CH57" s="43"/>
      <c r="CI57" s="43"/>
      <c r="CJ57" s="42" t="s">
        <v>3590</v>
      </c>
      <c r="CK57" s="45"/>
      <c r="CL57" s="45"/>
      <c r="CM57" s="43"/>
      <c r="CN57" s="42" t="s">
        <v>3591</v>
      </c>
      <c r="CO57" s="47">
        <v>0.0</v>
      </c>
      <c r="CP57" s="41">
        <v>14.0</v>
      </c>
      <c r="CQ57" s="47">
        <v>0.0</v>
      </c>
      <c r="CR57" s="47">
        <v>0.0</v>
      </c>
      <c r="CS57" s="47">
        <v>0.0</v>
      </c>
      <c r="CT57" s="41">
        <v>12.0</v>
      </c>
      <c r="CU57" s="45"/>
      <c r="CV57" s="45"/>
      <c r="CW57" s="47">
        <v>0.0</v>
      </c>
      <c r="CX57" s="41">
        <v>12.0</v>
      </c>
      <c r="CY57" s="41" t="s">
        <v>4953</v>
      </c>
      <c r="CZ57" s="41">
        <v>54.0</v>
      </c>
      <c r="DA57" s="41" t="s">
        <v>3598</v>
      </c>
      <c r="DB57" s="47">
        <v>0.0</v>
      </c>
      <c r="DC57" s="41" t="s">
        <v>3859</v>
      </c>
      <c r="DD57" s="41">
        <v>62.0</v>
      </c>
      <c r="DE57" s="45"/>
      <c r="DF57" s="45"/>
      <c r="DG57" s="41" t="s">
        <v>3859</v>
      </c>
      <c r="DH57" s="41">
        <v>61.0</v>
      </c>
      <c r="DI57" s="45"/>
      <c r="DJ57" s="45"/>
      <c r="DK57" s="45"/>
      <c r="DL57" s="41">
        <v>32.0</v>
      </c>
      <c r="DM57" s="41">
        <v>0.0</v>
      </c>
      <c r="DN57" s="47">
        <v>0.0</v>
      </c>
      <c r="DO57" s="41" t="s">
        <v>3600</v>
      </c>
      <c r="DP57" s="46" t="s">
        <v>3804</v>
      </c>
      <c r="DQ57" s="41">
        <v>2.0</v>
      </c>
      <c r="DR57" s="41">
        <v>1.0</v>
      </c>
      <c r="DS57" s="41">
        <v>2.0</v>
      </c>
      <c r="DT57" s="45"/>
      <c r="DU57" s="45"/>
      <c r="DV57" s="45"/>
      <c r="DW57" s="42" t="s">
        <v>4954</v>
      </c>
      <c r="DX57" s="45"/>
      <c r="DY57" s="43"/>
      <c r="DZ57" s="45"/>
      <c r="EA57" s="45"/>
      <c r="EB57" s="43"/>
      <c r="EC57" s="45"/>
      <c r="ED57" s="45"/>
      <c r="EE57" s="45"/>
      <c r="EF57" s="45"/>
      <c r="EG57" s="43"/>
      <c r="EH57" s="45"/>
      <c r="EI57" s="45"/>
      <c r="EJ57" s="45"/>
      <c r="EK57" s="43"/>
      <c r="EL57" s="45"/>
      <c r="EM57" s="45"/>
      <c r="EN57" s="45"/>
      <c r="EO57" s="45"/>
      <c r="EP57" s="48" t="s">
        <v>3559</v>
      </c>
    </row>
    <row r="58">
      <c r="A58" s="37"/>
      <c r="B58" s="35" t="s">
        <v>4955</v>
      </c>
      <c r="C58" s="35" t="s">
        <v>4956</v>
      </c>
      <c r="D58" s="35" t="s">
        <v>4957</v>
      </c>
      <c r="E58" s="35" t="s">
        <v>4958</v>
      </c>
      <c r="F58" s="34"/>
      <c r="G58" s="35" t="s">
        <v>4959</v>
      </c>
      <c r="H58" s="35" t="s">
        <v>4560</v>
      </c>
      <c r="I58" s="35" t="s">
        <v>4561</v>
      </c>
      <c r="J58" s="35" t="s">
        <v>66</v>
      </c>
      <c r="K58" s="35" t="s">
        <v>4960</v>
      </c>
      <c r="L58" s="34"/>
      <c r="M58" s="35" t="s">
        <v>4961</v>
      </c>
      <c r="N58" s="35" t="s">
        <v>4962</v>
      </c>
      <c r="O58" s="35" t="s">
        <v>4963</v>
      </c>
      <c r="P58" s="35"/>
      <c r="R58" s="35" t="s">
        <v>3571</v>
      </c>
      <c r="S58" s="35" t="s">
        <v>4964</v>
      </c>
      <c r="T58" s="35" t="s">
        <v>3603</v>
      </c>
      <c r="U58" s="36" t="s">
        <v>4965</v>
      </c>
      <c r="V58" s="36" t="s">
        <v>4966</v>
      </c>
      <c r="W58" s="32">
        <v>51.0</v>
      </c>
      <c r="X58" s="53">
        <v>84.03541666666666</v>
      </c>
      <c r="Y58" s="34"/>
      <c r="Z58" s="34"/>
      <c r="AA58" s="32">
        <v>1984.0</v>
      </c>
      <c r="AB58" s="35" t="s">
        <v>4967</v>
      </c>
      <c r="AC58" s="34"/>
      <c r="AD58" s="34"/>
      <c r="AE58" s="32">
        <v>35.99</v>
      </c>
      <c r="AF58" s="37"/>
      <c r="AG58" s="32">
        <v>4.45</v>
      </c>
      <c r="AH58" s="37"/>
      <c r="AI58" s="37"/>
      <c r="AJ58" s="37"/>
      <c r="AK58" s="37"/>
      <c r="AL58" s="37"/>
      <c r="AM58" s="39">
        <v>0.1664</v>
      </c>
      <c r="AN58" s="32" t="s">
        <v>4968</v>
      </c>
      <c r="AO58" s="35" t="s">
        <v>4969</v>
      </c>
      <c r="AP58" s="35" t="s">
        <v>4970</v>
      </c>
      <c r="AQ58" s="35" t="s">
        <v>4971</v>
      </c>
      <c r="AR58" s="35" t="s">
        <v>4972</v>
      </c>
      <c r="AS58" s="34" t="str">
        <f>+972 (0)3 962 9296</f>
        <v>#ERROR!</v>
      </c>
      <c r="AT58" s="35" t="s">
        <v>4973</v>
      </c>
      <c r="AU58" s="35" t="s">
        <v>4974</v>
      </c>
      <c r="AV58" s="34"/>
      <c r="AW58" s="35" t="s">
        <v>4975</v>
      </c>
      <c r="AX58" s="34"/>
      <c r="AY58" s="32">
        <v>75703.0</v>
      </c>
      <c r="AZ58" s="35" t="s">
        <v>41</v>
      </c>
      <c r="BA58" s="37" t="str">
        <f>+972 (0)3 962 9296</f>
        <v>#ERROR!</v>
      </c>
      <c r="BB58" s="37" t="str">
        <f>+972 (0)3 962 9297</f>
        <v>#ERROR!</v>
      </c>
      <c r="BC58" s="34"/>
      <c r="BD58" s="35" t="s">
        <v>3584</v>
      </c>
      <c r="BE58" s="35" t="s">
        <v>3584</v>
      </c>
      <c r="BF58" s="35" t="s">
        <v>4976</v>
      </c>
      <c r="BG58" s="34"/>
      <c r="BH58" s="37"/>
      <c r="BI58" s="35" t="s">
        <v>4967</v>
      </c>
      <c r="BJ58" s="34"/>
      <c r="BK58" s="34"/>
      <c r="BL58" s="34"/>
      <c r="BM58" s="34"/>
      <c r="BN58" s="34"/>
      <c r="BO58" s="34"/>
      <c r="BP58" s="34"/>
      <c r="BQ58" s="38" t="s">
        <v>3965</v>
      </c>
      <c r="BR58" s="32">
        <v>19.58</v>
      </c>
      <c r="BS58" s="35" t="s">
        <v>3593</v>
      </c>
      <c r="BT58" s="32">
        <v>39.17</v>
      </c>
      <c r="BU58" s="35" t="s">
        <v>3697</v>
      </c>
      <c r="BV58" s="35" t="s">
        <v>4977</v>
      </c>
      <c r="BW58" s="34"/>
      <c r="BX58" s="34"/>
      <c r="BY58" s="35" t="s">
        <v>3663</v>
      </c>
      <c r="BZ58" s="35" t="s">
        <v>4978</v>
      </c>
      <c r="CA58" s="35" t="s">
        <v>3591</v>
      </c>
      <c r="CB58" s="38" t="s">
        <v>3965</v>
      </c>
      <c r="CC58" s="32">
        <v>19.58</v>
      </c>
      <c r="CD58" s="35" t="s">
        <v>3593</v>
      </c>
      <c r="CE58" s="32">
        <v>39.17</v>
      </c>
      <c r="CF58" s="35" t="s">
        <v>3697</v>
      </c>
      <c r="CG58" s="35" t="s">
        <v>4977</v>
      </c>
      <c r="CH58" s="34"/>
      <c r="CI58" s="34"/>
      <c r="CJ58" s="35" t="s">
        <v>3663</v>
      </c>
      <c r="CK58" s="38" t="s">
        <v>3965</v>
      </c>
      <c r="CL58" s="37"/>
      <c r="CM58" s="35" t="s">
        <v>4978</v>
      </c>
      <c r="CN58" s="35" t="s">
        <v>3591</v>
      </c>
      <c r="CO58" s="39">
        <v>0.0</v>
      </c>
      <c r="CP58" s="32">
        <v>14.0</v>
      </c>
      <c r="CQ58" s="39">
        <v>0.0</v>
      </c>
      <c r="CR58" s="39">
        <v>0.0</v>
      </c>
      <c r="CS58" s="39">
        <v>0.0</v>
      </c>
      <c r="CT58" s="32">
        <v>12.0</v>
      </c>
      <c r="CU58" s="37"/>
      <c r="CV58" s="37"/>
      <c r="CW58" s="39">
        <v>0.0</v>
      </c>
      <c r="CX58" s="32">
        <v>12.0</v>
      </c>
      <c r="CY58" s="32" t="s">
        <v>4827</v>
      </c>
      <c r="CZ58" s="32">
        <v>65.0</v>
      </c>
      <c r="DA58" s="32" t="s">
        <v>3598</v>
      </c>
      <c r="DB58" s="39">
        <v>0.0</v>
      </c>
      <c r="DC58" s="32" t="s">
        <v>4827</v>
      </c>
      <c r="DD58" s="32">
        <v>66.0</v>
      </c>
      <c r="DE58" s="37"/>
      <c r="DF58" s="37"/>
      <c r="DG58" s="32" t="s">
        <v>4827</v>
      </c>
      <c r="DH58" s="32">
        <v>65.0</v>
      </c>
      <c r="DI58" s="37"/>
      <c r="DJ58" s="37"/>
      <c r="DK58" s="37"/>
      <c r="DL58" s="32">
        <v>39.0</v>
      </c>
      <c r="DM58" s="32">
        <v>1.0</v>
      </c>
      <c r="DN58" s="39">
        <v>0.0263</v>
      </c>
      <c r="DO58" s="32" t="s">
        <v>3600</v>
      </c>
      <c r="DP58" s="38" t="s">
        <v>4979</v>
      </c>
      <c r="DQ58" s="37"/>
      <c r="DR58" s="37"/>
      <c r="DS58" s="37"/>
      <c r="DT58" s="37"/>
      <c r="DU58" s="37"/>
      <c r="DV58" s="37"/>
      <c r="DW58" s="34"/>
      <c r="DX58" s="37"/>
      <c r="DY58" s="34"/>
      <c r="DZ58" s="37"/>
      <c r="EA58" s="37"/>
      <c r="EB58" s="34"/>
      <c r="EC58" s="37"/>
      <c r="ED58" s="37"/>
      <c r="EE58" s="32">
        <v>39.17</v>
      </c>
      <c r="EF58" s="38" t="s">
        <v>3965</v>
      </c>
      <c r="EG58" s="35" t="s">
        <v>4977</v>
      </c>
      <c r="EH58" s="37"/>
      <c r="EI58" s="37"/>
      <c r="EJ58" s="37"/>
      <c r="EK58" s="34"/>
      <c r="EL58" s="37"/>
      <c r="EM58" s="37"/>
      <c r="EN58" s="37"/>
      <c r="EO58" s="37"/>
      <c r="EP58" s="40" t="s">
        <v>3559</v>
      </c>
    </row>
    <row r="59">
      <c r="A59" s="45"/>
      <c r="B59" s="42" t="s">
        <v>4980</v>
      </c>
      <c r="C59" s="43"/>
      <c r="D59" s="42" t="s">
        <v>4981</v>
      </c>
      <c r="E59" s="42" t="s">
        <v>4982</v>
      </c>
      <c r="F59" s="43"/>
      <c r="G59" s="42" t="s">
        <v>4983</v>
      </c>
      <c r="H59" s="42" t="s">
        <v>3867</v>
      </c>
      <c r="I59" s="42" t="s">
        <v>4199</v>
      </c>
      <c r="J59" s="42" t="s">
        <v>4984</v>
      </c>
      <c r="K59" s="42" t="s">
        <v>4985</v>
      </c>
      <c r="L59" s="42" t="s">
        <v>4986</v>
      </c>
      <c r="M59" s="42" t="s">
        <v>4987</v>
      </c>
      <c r="N59" s="42" t="s">
        <v>4389</v>
      </c>
      <c r="O59" s="42" t="s">
        <v>4988</v>
      </c>
      <c r="P59" s="42"/>
      <c r="R59" s="42" t="s">
        <v>3571</v>
      </c>
      <c r="S59" s="42" t="s">
        <v>3572</v>
      </c>
      <c r="T59" s="42" t="s">
        <v>4989</v>
      </c>
      <c r="U59" s="44" t="s">
        <v>4990</v>
      </c>
      <c r="V59" s="44" t="s">
        <v>4991</v>
      </c>
      <c r="W59" s="52">
        <v>1450.0</v>
      </c>
      <c r="X59" s="42" t="s">
        <v>4992</v>
      </c>
      <c r="Y59" s="43"/>
      <c r="Z59" s="43"/>
      <c r="AA59" s="41">
        <v>1965.0</v>
      </c>
      <c r="AB59" s="43"/>
      <c r="AC59" s="43"/>
      <c r="AD59" s="43"/>
      <c r="AE59" s="41">
        <v>99.55</v>
      </c>
      <c r="AF59" s="45"/>
      <c r="AG59" s="45"/>
      <c r="AH59" s="45"/>
      <c r="AI59" s="45"/>
      <c r="AJ59" s="45"/>
      <c r="AK59" s="45"/>
      <c r="AL59" s="45"/>
      <c r="AM59" s="45"/>
      <c r="AN59" s="41" t="s">
        <v>4993</v>
      </c>
      <c r="AO59" s="42" t="s">
        <v>4994</v>
      </c>
      <c r="AP59" s="42" t="s">
        <v>4995</v>
      </c>
      <c r="AQ59" s="42" t="s">
        <v>3982</v>
      </c>
      <c r="AR59" s="42" t="s">
        <v>4996</v>
      </c>
      <c r="AS59" s="43" t="str">
        <f>+972 (0)8 863 0011</f>
        <v>#ERROR!</v>
      </c>
      <c r="AT59" s="42" t="s">
        <v>4997</v>
      </c>
      <c r="AU59" s="42" t="s">
        <v>4998</v>
      </c>
      <c r="AV59" s="42" t="s">
        <v>4999</v>
      </c>
      <c r="AW59" s="42" t="s">
        <v>2433</v>
      </c>
      <c r="AX59" s="43"/>
      <c r="AY59" s="41">
        <v>77107.0</v>
      </c>
      <c r="AZ59" s="42" t="s">
        <v>41</v>
      </c>
      <c r="BA59" s="45" t="str">
        <f>+972 (0)8 863 0011</f>
        <v>#ERROR!</v>
      </c>
      <c r="BB59" s="45"/>
      <c r="BC59" s="42" t="s">
        <v>5000</v>
      </c>
      <c r="BD59" s="42" t="s">
        <v>3584</v>
      </c>
      <c r="BE59" s="42" t="s">
        <v>3584</v>
      </c>
      <c r="BF59" s="42" t="s">
        <v>5001</v>
      </c>
      <c r="BG59" s="42" t="s">
        <v>5002</v>
      </c>
      <c r="BH59" s="41">
        <v>1.0</v>
      </c>
      <c r="BI59" s="43"/>
      <c r="BJ59" s="43"/>
      <c r="BK59" s="43"/>
      <c r="BL59" s="42" t="s">
        <v>5003</v>
      </c>
      <c r="BM59" s="43"/>
      <c r="BN59" s="43"/>
      <c r="BO59" s="43"/>
      <c r="BP59" s="43"/>
      <c r="BQ59" s="46" t="s">
        <v>5004</v>
      </c>
      <c r="BR59" s="45"/>
      <c r="BS59" s="43"/>
      <c r="BT59" s="45"/>
      <c r="BU59" s="43"/>
      <c r="BV59" s="42" t="s">
        <v>5005</v>
      </c>
      <c r="BW59" s="43"/>
      <c r="BX59" s="43"/>
      <c r="BY59" s="42" t="s">
        <v>4989</v>
      </c>
      <c r="BZ59" s="43"/>
      <c r="CA59" s="42" t="s">
        <v>3966</v>
      </c>
      <c r="CB59" s="46" t="s">
        <v>4600</v>
      </c>
      <c r="CC59" s="41">
        <v>16.96</v>
      </c>
      <c r="CD59" s="42" t="s">
        <v>3697</v>
      </c>
      <c r="CE59" s="41">
        <v>25.7</v>
      </c>
      <c r="CF59" s="42" t="s">
        <v>3697</v>
      </c>
      <c r="CG59" s="42" t="s">
        <v>5005</v>
      </c>
      <c r="CH59" s="42" t="s">
        <v>5006</v>
      </c>
      <c r="CI59" s="43"/>
      <c r="CJ59" s="42" t="s">
        <v>4989</v>
      </c>
      <c r="CK59" s="45"/>
      <c r="CL59" s="45"/>
      <c r="CM59" s="43"/>
      <c r="CN59" s="42" t="s">
        <v>3591</v>
      </c>
      <c r="CO59" s="47">
        <v>0.0</v>
      </c>
      <c r="CP59" s="41">
        <v>14.0</v>
      </c>
      <c r="CQ59" s="47">
        <v>0.0</v>
      </c>
      <c r="CR59" s="47">
        <v>0.0</v>
      </c>
      <c r="CS59" s="47">
        <v>0.0</v>
      </c>
      <c r="CT59" s="41">
        <v>12.0</v>
      </c>
      <c r="CU59" s="47">
        <v>0.0</v>
      </c>
      <c r="CV59" s="41">
        <v>10.0</v>
      </c>
      <c r="CW59" s="47">
        <v>0.0</v>
      </c>
      <c r="CX59" s="41">
        <v>12.0</v>
      </c>
      <c r="CY59" s="41" t="s">
        <v>5007</v>
      </c>
      <c r="CZ59" s="41">
        <v>59.0</v>
      </c>
      <c r="DA59" s="41" t="s">
        <v>3598</v>
      </c>
      <c r="DB59" s="47">
        <v>0.0</v>
      </c>
      <c r="DC59" s="41" t="s">
        <v>5007</v>
      </c>
      <c r="DD59" s="41">
        <v>61.0</v>
      </c>
      <c r="DE59" s="41" t="s">
        <v>5008</v>
      </c>
      <c r="DF59" s="41">
        <v>49.0</v>
      </c>
      <c r="DG59" s="41" t="s">
        <v>5009</v>
      </c>
      <c r="DH59" s="41">
        <v>69.0</v>
      </c>
      <c r="DI59" s="41">
        <v>52.0</v>
      </c>
      <c r="DJ59" s="41">
        <v>8.0</v>
      </c>
      <c r="DK59" s="47">
        <v>0.1818</v>
      </c>
      <c r="DL59" s="41">
        <v>50.0</v>
      </c>
      <c r="DM59" s="41">
        <v>2.0</v>
      </c>
      <c r="DN59" s="47">
        <v>0.0417</v>
      </c>
      <c r="DO59" s="41" t="s">
        <v>3600</v>
      </c>
      <c r="DP59" s="46" t="s">
        <v>4623</v>
      </c>
      <c r="DQ59" s="45"/>
      <c r="DR59" s="45"/>
      <c r="DS59" s="45"/>
      <c r="DT59" s="45"/>
      <c r="DU59" s="45"/>
      <c r="DV59" s="45"/>
      <c r="DW59" s="43"/>
      <c r="DX59" s="45"/>
      <c r="DY59" s="43"/>
      <c r="DZ59" s="45"/>
      <c r="EA59" s="45"/>
      <c r="EB59" s="43"/>
      <c r="EC59" s="45"/>
      <c r="ED59" s="45"/>
      <c r="EE59" s="41">
        <v>25.7</v>
      </c>
      <c r="EF59" s="46" t="s">
        <v>4600</v>
      </c>
      <c r="EG59" s="42" t="s">
        <v>5005</v>
      </c>
      <c r="EH59" s="45"/>
      <c r="EI59" s="45"/>
      <c r="EJ59" s="45"/>
      <c r="EK59" s="43"/>
      <c r="EL59" s="45"/>
      <c r="EM59" s="45"/>
      <c r="EN59" s="45"/>
      <c r="EO59" s="45"/>
      <c r="EP59" s="48" t="s">
        <v>3559</v>
      </c>
    </row>
    <row r="60">
      <c r="A60" s="37"/>
      <c r="B60" s="35" t="s">
        <v>5010</v>
      </c>
      <c r="C60" s="35" t="s">
        <v>5011</v>
      </c>
      <c r="D60" s="35" t="s">
        <v>5012</v>
      </c>
      <c r="E60" s="35" t="s">
        <v>5013</v>
      </c>
      <c r="F60" s="34"/>
      <c r="G60" s="35" t="s">
        <v>5014</v>
      </c>
      <c r="H60" s="35" t="s">
        <v>4560</v>
      </c>
      <c r="I60" s="35" t="s">
        <v>4561</v>
      </c>
      <c r="J60" s="35" t="s">
        <v>66</v>
      </c>
      <c r="K60" s="35" t="s">
        <v>5015</v>
      </c>
      <c r="L60" s="35" t="s">
        <v>5016</v>
      </c>
      <c r="M60" s="35" t="s">
        <v>5017</v>
      </c>
      <c r="N60" s="35" t="s">
        <v>5018</v>
      </c>
      <c r="O60" s="35" t="s">
        <v>5019</v>
      </c>
      <c r="P60" s="35"/>
      <c r="R60" s="35" t="s">
        <v>3571</v>
      </c>
      <c r="S60" s="35" t="s">
        <v>5020</v>
      </c>
      <c r="T60" s="35" t="s">
        <v>3573</v>
      </c>
      <c r="U60" s="36" t="s">
        <v>5021</v>
      </c>
      <c r="V60" s="34"/>
      <c r="W60" s="32">
        <v>4.0</v>
      </c>
      <c r="X60" s="35" t="s">
        <v>5022</v>
      </c>
      <c r="Y60" s="34"/>
      <c r="Z60" s="34"/>
      <c r="AA60" s="32">
        <v>1968.0</v>
      </c>
      <c r="AB60" s="34"/>
      <c r="AC60" s="34"/>
      <c r="AD60" s="34"/>
      <c r="AE60" s="37"/>
      <c r="AF60" s="37"/>
      <c r="AG60" s="37"/>
      <c r="AH60" s="37"/>
      <c r="AI60" s="37"/>
      <c r="AJ60" s="37"/>
      <c r="AK60" s="37"/>
      <c r="AL60" s="37"/>
      <c r="AM60" s="37"/>
      <c r="AN60" s="37"/>
      <c r="AO60" s="34"/>
      <c r="AP60" s="34"/>
      <c r="AQ60" s="34"/>
      <c r="AR60" s="34"/>
      <c r="AS60" s="34"/>
      <c r="AT60" s="35" t="s">
        <v>5023</v>
      </c>
      <c r="AU60" s="35" t="s">
        <v>5024</v>
      </c>
      <c r="AV60" s="34"/>
      <c r="AW60" s="35" t="s">
        <v>87</v>
      </c>
      <c r="AX60" s="34"/>
      <c r="AY60" s="32">
        <v>4060000.0</v>
      </c>
      <c r="AZ60" s="35" t="s">
        <v>41</v>
      </c>
      <c r="BA60" s="37"/>
      <c r="BB60" s="37"/>
      <c r="BC60" s="34"/>
      <c r="BD60" s="35" t="s">
        <v>3584</v>
      </c>
      <c r="BE60" s="35" t="s">
        <v>3584</v>
      </c>
      <c r="BF60" s="35" t="s">
        <v>5025</v>
      </c>
      <c r="BG60" s="34"/>
      <c r="BH60" s="37"/>
      <c r="BI60" s="35" t="s">
        <v>5026</v>
      </c>
      <c r="BJ60" s="35" t="s">
        <v>5027</v>
      </c>
      <c r="BK60" s="34"/>
      <c r="BL60" s="34"/>
      <c r="BM60" s="35" t="s">
        <v>5028</v>
      </c>
      <c r="BN60" s="34"/>
      <c r="BO60" s="34"/>
      <c r="BP60" s="34"/>
      <c r="BQ60" s="38" t="s">
        <v>5029</v>
      </c>
      <c r="BR60" s="37"/>
      <c r="BS60" s="34"/>
      <c r="BT60" s="37"/>
      <c r="BU60" s="34"/>
      <c r="BV60" s="35" t="s">
        <v>3594</v>
      </c>
      <c r="BW60" s="34"/>
      <c r="BX60" s="34"/>
      <c r="BY60" s="35" t="s">
        <v>3573</v>
      </c>
      <c r="BZ60" s="34"/>
      <c r="CA60" s="35" t="s">
        <v>3591</v>
      </c>
      <c r="CB60" s="38" t="s">
        <v>5030</v>
      </c>
      <c r="CC60" s="37"/>
      <c r="CD60" s="34"/>
      <c r="CE60" s="37"/>
      <c r="CF60" s="34"/>
      <c r="CG60" s="35" t="s">
        <v>4977</v>
      </c>
      <c r="CH60" s="34"/>
      <c r="CI60" s="34"/>
      <c r="CJ60" s="35" t="s">
        <v>3663</v>
      </c>
      <c r="CK60" s="37"/>
      <c r="CL60" s="37"/>
      <c r="CM60" s="34"/>
      <c r="CN60" s="35" t="s">
        <v>3591</v>
      </c>
      <c r="CO60" s="37"/>
      <c r="CP60" s="37"/>
      <c r="CQ60" s="37"/>
      <c r="CR60" s="37"/>
      <c r="CS60" s="37"/>
      <c r="CT60" s="37"/>
      <c r="CU60" s="37"/>
      <c r="CV60" s="37"/>
      <c r="CW60" s="37"/>
      <c r="CX60" s="37"/>
      <c r="CY60" s="37"/>
      <c r="CZ60" s="37"/>
      <c r="DA60" s="37"/>
      <c r="DB60" s="37"/>
      <c r="DC60" s="37"/>
      <c r="DD60" s="37"/>
      <c r="DE60" s="37"/>
      <c r="DF60" s="37"/>
      <c r="DG60" s="37"/>
      <c r="DH60" s="37"/>
      <c r="DI60" s="37"/>
      <c r="DJ60" s="37"/>
      <c r="DK60" s="37"/>
      <c r="DL60" s="37"/>
      <c r="DM60" s="37"/>
      <c r="DN60" s="37"/>
      <c r="DO60" s="32" t="s">
        <v>3600</v>
      </c>
      <c r="DP60" s="38" t="s">
        <v>5031</v>
      </c>
      <c r="DQ60" s="37"/>
      <c r="DR60" s="37"/>
      <c r="DS60" s="37"/>
      <c r="DT60" s="37"/>
      <c r="DU60" s="37"/>
      <c r="DV60" s="37"/>
      <c r="DW60" s="34"/>
      <c r="DX60" s="37"/>
      <c r="DY60" s="34"/>
      <c r="DZ60" s="37"/>
      <c r="EA60" s="37"/>
      <c r="EB60" s="34"/>
      <c r="EC60" s="37"/>
      <c r="ED60" s="37"/>
      <c r="EE60" s="37"/>
      <c r="EF60" s="37"/>
      <c r="EG60" s="34"/>
      <c r="EH60" s="37"/>
      <c r="EI60" s="37"/>
      <c r="EJ60" s="37"/>
      <c r="EK60" s="34"/>
      <c r="EL60" s="37"/>
      <c r="EM60" s="37"/>
      <c r="EN60" s="37"/>
      <c r="EO60" s="37"/>
      <c r="EP60" s="40" t="s">
        <v>3559</v>
      </c>
    </row>
    <row r="61">
      <c r="A61" s="41">
        <v>2.0</v>
      </c>
      <c r="B61" s="42" t="s">
        <v>5032</v>
      </c>
      <c r="C61" s="43"/>
      <c r="D61" s="43"/>
      <c r="E61" s="42" t="s">
        <v>5033</v>
      </c>
      <c r="F61" s="43"/>
      <c r="G61" s="42" t="s">
        <v>5034</v>
      </c>
      <c r="H61" s="42" t="s">
        <v>3563</v>
      </c>
      <c r="I61" s="42" t="s">
        <v>3609</v>
      </c>
      <c r="J61" s="42" t="s">
        <v>3610</v>
      </c>
      <c r="K61" s="42" t="s">
        <v>5035</v>
      </c>
      <c r="L61" s="42" t="s">
        <v>3811</v>
      </c>
      <c r="M61" s="42" t="s">
        <v>5036</v>
      </c>
      <c r="N61" s="42" t="s">
        <v>3569</v>
      </c>
      <c r="O61" s="42" t="s">
        <v>5037</v>
      </c>
      <c r="P61" s="42"/>
      <c r="R61" s="42" t="s">
        <v>3571</v>
      </c>
      <c r="S61" s="42" t="s">
        <v>3572</v>
      </c>
      <c r="T61" s="42" t="s">
        <v>3573</v>
      </c>
      <c r="U61" s="44" t="s">
        <v>5038</v>
      </c>
      <c r="V61" s="44" t="s">
        <v>5039</v>
      </c>
      <c r="W61" s="41">
        <v>2.0</v>
      </c>
      <c r="X61" s="42" t="s">
        <v>5040</v>
      </c>
      <c r="Y61" s="43"/>
      <c r="Z61" s="43"/>
      <c r="AA61" s="41">
        <v>2017.0</v>
      </c>
      <c r="AB61" s="43"/>
      <c r="AC61" s="43"/>
      <c r="AD61" s="43"/>
      <c r="AE61" s="45"/>
      <c r="AF61" s="45"/>
      <c r="AG61" s="45"/>
      <c r="AH61" s="45"/>
      <c r="AI61" s="45"/>
      <c r="AJ61" s="45"/>
      <c r="AK61" s="45"/>
      <c r="AL61" s="45"/>
      <c r="AM61" s="45"/>
      <c r="AN61" s="45"/>
      <c r="AO61" s="42" t="s">
        <v>5041</v>
      </c>
      <c r="AP61" s="42" t="s">
        <v>5042</v>
      </c>
      <c r="AQ61" s="42" t="s">
        <v>5043</v>
      </c>
      <c r="AR61" s="43"/>
      <c r="AS61" s="43"/>
      <c r="AT61" s="42" t="s">
        <v>5044</v>
      </c>
      <c r="AU61" s="42" t="s">
        <v>5045</v>
      </c>
      <c r="AV61" s="43"/>
      <c r="AW61" s="42" t="s">
        <v>268</v>
      </c>
      <c r="AX61" s="43"/>
      <c r="AY61" s="41">
        <v>40591.0</v>
      </c>
      <c r="AZ61" s="42" t="s">
        <v>41</v>
      </c>
      <c r="BA61" s="45"/>
      <c r="BB61" s="45"/>
      <c r="BC61" s="42" t="s">
        <v>5046</v>
      </c>
      <c r="BD61" s="42" t="s">
        <v>3584</v>
      </c>
      <c r="BE61" s="42" t="s">
        <v>3584</v>
      </c>
      <c r="BF61" s="42" t="s">
        <v>5047</v>
      </c>
      <c r="BG61" s="42" t="s">
        <v>5048</v>
      </c>
      <c r="BH61" s="41">
        <v>4.0</v>
      </c>
      <c r="BI61" s="43"/>
      <c r="BJ61" s="43"/>
      <c r="BK61" s="43"/>
      <c r="BL61" s="42" t="s">
        <v>5049</v>
      </c>
      <c r="BM61" s="43"/>
      <c r="BN61" s="43"/>
      <c r="BO61" s="43"/>
      <c r="BP61" s="42" t="s">
        <v>3695</v>
      </c>
      <c r="BQ61" s="46" t="s">
        <v>5050</v>
      </c>
      <c r="BR61" s="41">
        <v>2.0</v>
      </c>
      <c r="BS61" s="42" t="s">
        <v>3593</v>
      </c>
      <c r="BT61" s="45"/>
      <c r="BU61" s="43"/>
      <c r="BV61" s="42" t="s">
        <v>3698</v>
      </c>
      <c r="BW61" s="42" t="s">
        <v>3698</v>
      </c>
      <c r="BX61" s="43"/>
      <c r="BY61" s="42" t="s">
        <v>3573</v>
      </c>
      <c r="BZ61" s="43"/>
      <c r="CA61" s="42" t="s">
        <v>3591</v>
      </c>
      <c r="CB61" s="45"/>
      <c r="CC61" s="45"/>
      <c r="CD61" s="43"/>
      <c r="CE61" s="45"/>
      <c r="CF61" s="43"/>
      <c r="CG61" s="42" t="s">
        <v>3589</v>
      </c>
      <c r="CH61" s="43"/>
      <c r="CI61" s="43"/>
      <c r="CJ61" s="42" t="s">
        <v>3590</v>
      </c>
      <c r="CK61" s="45"/>
      <c r="CL61" s="45"/>
      <c r="CM61" s="43"/>
      <c r="CN61" s="42" t="s">
        <v>3591</v>
      </c>
      <c r="CO61" s="47">
        <v>0.0</v>
      </c>
      <c r="CP61" s="41">
        <v>14.0</v>
      </c>
      <c r="CQ61" s="47">
        <v>0.0</v>
      </c>
      <c r="CR61" s="47">
        <v>0.0</v>
      </c>
      <c r="CS61" s="45"/>
      <c r="CT61" s="45"/>
      <c r="CU61" s="45"/>
      <c r="CV61" s="45"/>
      <c r="CW61" s="45"/>
      <c r="CX61" s="45"/>
      <c r="CY61" s="41" t="s">
        <v>5051</v>
      </c>
      <c r="CZ61" s="41">
        <v>7.0</v>
      </c>
      <c r="DA61" s="41" t="s">
        <v>3598</v>
      </c>
      <c r="DB61" s="47">
        <v>0.0</v>
      </c>
      <c r="DC61" s="45"/>
      <c r="DD61" s="45"/>
      <c r="DE61" s="45"/>
      <c r="DF61" s="45"/>
      <c r="DG61" s="45"/>
      <c r="DH61" s="45"/>
      <c r="DI61" s="45"/>
      <c r="DJ61" s="45"/>
      <c r="DK61" s="45"/>
      <c r="DL61" s="45"/>
      <c r="DM61" s="45"/>
      <c r="DN61" s="45"/>
      <c r="DO61" s="41" t="s">
        <v>3600</v>
      </c>
      <c r="DP61" s="46" t="s">
        <v>5052</v>
      </c>
      <c r="DQ61" s="41">
        <v>14.0</v>
      </c>
      <c r="DR61" s="41">
        <v>3.0</v>
      </c>
      <c r="DS61" s="41">
        <v>7.0</v>
      </c>
      <c r="DT61" s="41">
        <v>3.0</v>
      </c>
      <c r="DU61" s="45"/>
      <c r="DV61" s="41">
        <v>4.0</v>
      </c>
      <c r="DW61" s="42" t="s">
        <v>5053</v>
      </c>
      <c r="DX61" s="45"/>
      <c r="DY61" s="43"/>
      <c r="DZ61" s="45"/>
      <c r="EA61" s="45"/>
      <c r="EB61" s="43"/>
      <c r="EC61" s="45"/>
      <c r="ED61" s="45"/>
      <c r="EE61" s="45"/>
      <c r="EF61" s="45"/>
      <c r="EG61" s="43"/>
      <c r="EH61" s="45"/>
      <c r="EI61" s="45"/>
      <c r="EJ61" s="45"/>
      <c r="EK61" s="43"/>
      <c r="EL61" s="45"/>
      <c r="EM61" s="45"/>
      <c r="EN61" s="45"/>
      <c r="EO61" s="45"/>
      <c r="EP61" s="48" t="s">
        <v>3559</v>
      </c>
    </row>
    <row r="62">
      <c r="A62" s="37"/>
      <c r="B62" s="35" t="s">
        <v>5054</v>
      </c>
      <c r="C62" s="34"/>
      <c r="D62" s="34"/>
      <c r="E62" s="35" t="s">
        <v>5055</v>
      </c>
      <c r="F62" s="34"/>
      <c r="G62" s="35" t="s">
        <v>5056</v>
      </c>
      <c r="H62" s="35" t="s">
        <v>4560</v>
      </c>
      <c r="I62" s="35" t="s">
        <v>4561</v>
      </c>
      <c r="J62" s="35" t="s">
        <v>5057</v>
      </c>
      <c r="K62" s="35" t="s">
        <v>5058</v>
      </c>
      <c r="L62" s="34"/>
      <c r="M62" s="34"/>
      <c r="N62" s="35" t="s">
        <v>4923</v>
      </c>
      <c r="O62" s="35" t="s">
        <v>5059</v>
      </c>
      <c r="P62" s="35"/>
      <c r="R62" s="34"/>
      <c r="S62" s="35" t="s">
        <v>4925</v>
      </c>
      <c r="T62" s="35" t="s">
        <v>4926</v>
      </c>
      <c r="U62" s="36" t="s">
        <v>5060</v>
      </c>
      <c r="V62" s="36" t="s">
        <v>5061</v>
      </c>
      <c r="W62" s="32">
        <v>11.0</v>
      </c>
      <c r="X62" s="35" t="s">
        <v>5062</v>
      </c>
      <c r="Y62" s="34"/>
      <c r="Z62" s="34"/>
      <c r="AA62" s="32">
        <v>2008.0</v>
      </c>
      <c r="AB62" s="34"/>
      <c r="AC62" s="34"/>
      <c r="AD62" s="34"/>
      <c r="AE62" s="37"/>
      <c r="AF62" s="37"/>
      <c r="AG62" s="37"/>
      <c r="AH62" s="37"/>
      <c r="AI62" s="37"/>
      <c r="AJ62" s="37"/>
      <c r="AK62" s="37"/>
      <c r="AL62" s="37"/>
      <c r="AM62" s="37"/>
      <c r="AN62" s="37"/>
      <c r="AO62" s="34"/>
      <c r="AP62" s="34"/>
      <c r="AQ62" s="34"/>
      <c r="AR62" s="34"/>
      <c r="AS62" s="34"/>
      <c r="AT62" s="35" t="s">
        <v>3851</v>
      </c>
      <c r="AU62" s="35" t="s">
        <v>5063</v>
      </c>
      <c r="AV62" s="34"/>
      <c r="AW62" s="35" t="s">
        <v>616</v>
      </c>
      <c r="AX62" s="34"/>
      <c r="AY62" s="32">
        <v>89129.0</v>
      </c>
      <c r="AZ62" s="35" t="s">
        <v>41</v>
      </c>
      <c r="BA62" s="37"/>
      <c r="BB62" s="37"/>
      <c r="BC62" s="34"/>
      <c r="BD62" s="35" t="s">
        <v>3584</v>
      </c>
      <c r="BE62" s="35" t="s">
        <v>3584</v>
      </c>
      <c r="BF62" s="34"/>
      <c r="BG62" s="34"/>
      <c r="BH62" s="37"/>
      <c r="BI62" s="34"/>
      <c r="BJ62" s="34"/>
      <c r="BK62" s="34"/>
      <c r="BL62" s="34"/>
      <c r="BM62" s="34"/>
      <c r="BN62" s="34"/>
      <c r="BO62" s="34"/>
      <c r="BP62" s="34"/>
      <c r="BQ62" s="37"/>
      <c r="BR62" s="37"/>
      <c r="BS62" s="34"/>
      <c r="BT62" s="37"/>
      <c r="BU62" s="34"/>
      <c r="BV62" s="34"/>
      <c r="BW62" s="34"/>
      <c r="BX62" s="34"/>
      <c r="BY62" s="34"/>
      <c r="BZ62" s="34"/>
      <c r="CA62" s="34"/>
      <c r="CB62" s="37"/>
      <c r="CC62" s="37"/>
      <c r="CD62" s="34"/>
      <c r="CE62" s="37"/>
      <c r="CF62" s="34"/>
      <c r="CG62" s="34"/>
      <c r="CH62" s="34"/>
      <c r="CI62" s="34"/>
      <c r="CJ62" s="34"/>
      <c r="CK62" s="37"/>
      <c r="CL62" s="37"/>
      <c r="CM62" s="34"/>
      <c r="CN62" s="34"/>
      <c r="CO62" s="39">
        <v>0.0</v>
      </c>
      <c r="CP62" s="32">
        <v>14.0</v>
      </c>
      <c r="CQ62" s="39">
        <v>0.0</v>
      </c>
      <c r="CR62" s="39">
        <v>0.0</v>
      </c>
      <c r="CS62" s="39">
        <v>0.0</v>
      </c>
      <c r="CT62" s="32">
        <v>12.0</v>
      </c>
      <c r="CU62" s="37"/>
      <c r="CV62" s="37"/>
      <c r="CW62" s="39">
        <v>0.0</v>
      </c>
      <c r="CX62" s="32">
        <v>12.0</v>
      </c>
      <c r="CY62" s="32" t="s">
        <v>5064</v>
      </c>
      <c r="CZ62" s="32">
        <v>53.0</v>
      </c>
      <c r="DA62" s="32" t="s">
        <v>3598</v>
      </c>
      <c r="DB62" s="39">
        <v>0.0</v>
      </c>
      <c r="DC62" s="32" t="s">
        <v>5065</v>
      </c>
      <c r="DD62" s="32">
        <v>42.0</v>
      </c>
      <c r="DE62" s="37"/>
      <c r="DF62" s="37"/>
      <c r="DG62" s="32" t="s">
        <v>5065</v>
      </c>
      <c r="DH62" s="32">
        <v>40.0</v>
      </c>
      <c r="DI62" s="37"/>
      <c r="DJ62" s="37"/>
      <c r="DK62" s="37"/>
      <c r="DL62" s="32">
        <v>18.0</v>
      </c>
      <c r="DM62" s="32">
        <v>1.0</v>
      </c>
      <c r="DN62" s="39">
        <v>0.0588</v>
      </c>
      <c r="DO62" s="32" t="s">
        <v>5066</v>
      </c>
      <c r="DP62" s="38" t="s">
        <v>5067</v>
      </c>
      <c r="DQ62" s="37"/>
      <c r="DR62" s="37"/>
      <c r="DS62" s="37"/>
      <c r="DT62" s="37"/>
      <c r="DU62" s="37"/>
      <c r="DV62" s="37"/>
      <c r="DW62" s="34"/>
      <c r="DX62" s="37"/>
      <c r="DY62" s="34"/>
      <c r="DZ62" s="37"/>
      <c r="EA62" s="37"/>
      <c r="EB62" s="34"/>
      <c r="EC62" s="37"/>
      <c r="ED62" s="37"/>
      <c r="EE62" s="37"/>
      <c r="EF62" s="37"/>
      <c r="EG62" s="34"/>
      <c r="EH62" s="37"/>
      <c r="EI62" s="37"/>
      <c r="EJ62" s="37"/>
      <c r="EK62" s="34"/>
      <c r="EL62" s="37"/>
      <c r="EM62" s="37"/>
      <c r="EN62" s="37"/>
      <c r="EO62" s="37"/>
      <c r="EP62" s="40" t="s">
        <v>3559</v>
      </c>
    </row>
    <row r="63">
      <c r="A63" s="41">
        <v>7.69</v>
      </c>
      <c r="B63" s="42" t="s">
        <v>5068</v>
      </c>
      <c r="C63" s="43"/>
      <c r="D63" s="43"/>
      <c r="E63" s="42" t="s">
        <v>5069</v>
      </c>
      <c r="F63" s="42" t="s">
        <v>5070</v>
      </c>
      <c r="G63" s="42" t="s">
        <v>5071</v>
      </c>
      <c r="H63" s="42" t="s">
        <v>3563</v>
      </c>
      <c r="I63" s="42" t="s">
        <v>3564</v>
      </c>
      <c r="J63" s="42" t="s">
        <v>3565</v>
      </c>
      <c r="K63" s="42" t="s">
        <v>5072</v>
      </c>
      <c r="L63" s="42" t="s">
        <v>5073</v>
      </c>
      <c r="M63" s="42" t="s">
        <v>5074</v>
      </c>
      <c r="N63" s="42" t="s">
        <v>5075</v>
      </c>
      <c r="O63" s="42" t="s">
        <v>5076</v>
      </c>
      <c r="P63" s="42"/>
      <c r="R63" s="42" t="s">
        <v>3571</v>
      </c>
      <c r="S63" s="42" t="s">
        <v>5020</v>
      </c>
      <c r="T63" s="42" t="s">
        <v>4391</v>
      </c>
      <c r="U63" s="44" t="s">
        <v>5077</v>
      </c>
      <c r="V63" s="43"/>
      <c r="W63" s="41">
        <v>23.0</v>
      </c>
      <c r="X63" s="42" t="s">
        <v>5078</v>
      </c>
      <c r="Y63" s="43"/>
      <c r="Z63" s="43"/>
      <c r="AA63" s="41">
        <v>2006.0</v>
      </c>
      <c r="AB63" s="43"/>
      <c r="AC63" s="43"/>
      <c r="AD63" s="43"/>
      <c r="AE63" s="45"/>
      <c r="AF63" s="45"/>
      <c r="AG63" s="45"/>
      <c r="AH63" s="45"/>
      <c r="AI63" s="45"/>
      <c r="AJ63" s="45"/>
      <c r="AK63" s="45"/>
      <c r="AL63" s="45"/>
      <c r="AM63" s="45"/>
      <c r="AN63" s="45"/>
      <c r="AO63" s="43"/>
      <c r="AP63" s="43"/>
      <c r="AQ63" s="43"/>
      <c r="AR63" s="43"/>
      <c r="AS63" s="43"/>
      <c r="AT63" s="42" t="s">
        <v>3581</v>
      </c>
      <c r="AU63" s="42" t="s">
        <v>5079</v>
      </c>
      <c r="AV63" s="43"/>
      <c r="AW63" s="42" t="s">
        <v>75</v>
      </c>
      <c r="AX63" s="43"/>
      <c r="AY63" s="45"/>
      <c r="AZ63" s="42" t="s">
        <v>41</v>
      </c>
      <c r="BA63" s="45"/>
      <c r="BB63" s="45"/>
      <c r="BC63" s="43"/>
      <c r="BD63" s="42" t="s">
        <v>3584</v>
      </c>
      <c r="BE63" s="42" t="s">
        <v>3584</v>
      </c>
      <c r="BF63" s="42" t="s">
        <v>5080</v>
      </c>
      <c r="BG63" s="43"/>
      <c r="BH63" s="45"/>
      <c r="BI63" s="42" t="s">
        <v>5081</v>
      </c>
      <c r="BJ63" s="42" t="s">
        <v>5082</v>
      </c>
      <c r="BK63" s="42" t="s">
        <v>5083</v>
      </c>
      <c r="BL63" s="43"/>
      <c r="BM63" s="42" t="s">
        <v>5084</v>
      </c>
      <c r="BN63" s="42" t="s">
        <v>5085</v>
      </c>
      <c r="BO63" s="43"/>
      <c r="BP63" s="43"/>
      <c r="BQ63" s="45"/>
      <c r="BR63" s="45"/>
      <c r="BS63" s="43"/>
      <c r="BT63" s="45"/>
      <c r="BU63" s="43"/>
      <c r="BV63" s="42" t="s">
        <v>3802</v>
      </c>
      <c r="BW63" s="42" t="s">
        <v>3802</v>
      </c>
      <c r="BX63" s="43"/>
      <c r="BY63" s="42" t="s">
        <v>3803</v>
      </c>
      <c r="BZ63" s="43"/>
      <c r="CA63" s="42" t="s">
        <v>3591</v>
      </c>
      <c r="CB63" s="46" t="s">
        <v>5086</v>
      </c>
      <c r="CC63" s="45"/>
      <c r="CD63" s="43"/>
      <c r="CE63" s="45"/>
      <c r="CF63" s="43"/>
      <c r="CG63" s="42" t="s">
        <v>5005</v>
      </c>
      <c r="CH63" s="42" t="s">
        <v>5087</v>
      </c>
      <c r="CI63" s="43"/>
      <c r="CJ63" s="42" t="s">
        <v>4989</v>
      </c>
      <c r="CK63" s="45"/>
      <c r="CL63" s="45"/>
      <c r="CM63" s="43"/>
      <c r="CN63" s="42" t="s">
        <v>3591</v>
      </c>
      <c r="CO63" s="45"/>
      <c r="CP63" s="45"/>
      <c r="CQ63" s="45"/>
      <c r="CR63" s="45"/>
      <c r="CS63" s="45"/>
      <c r="CT63" s="45"/>
      <c r="CU63" s="45"/>
      <c r="CV63" s="45"/>
      <c r="CW63" s="45"/>
      <c r="CX63" s="45"/>
      <c r="CY63" s="45"/>
      <c r="CZ63" s="45"/>
      <c r="DA63" s="45"/>
      <c r="DB63" s="45"/>
      <c r="DC63" s="45"/>
      <c r="DD63" s="45"/>
      <c r="DE63" s="45"/>
      <c r="DF63" s="45"/>
      <c r="DG63" s="45"/>
      <c r="DH63" s="45"/>
      <c r="DI63" s="45"/>
      <c r="DJ63" s="45"/>
      <c r="DK63" s="45"/>
      <c r="DL63" s="45"/>
      <c r="DM63" s="45"/>
      <c r="DN63" s="45"/>
      <c r="DO63" s="41" t="s">
        <v>3600</v>
      </c>
      <c r="DP63" s="46" t="s">
        <v>5088</v>
      </c>
      <c r="DQ63" s="45"/>
      <c r="DR63" s="45"/>
      <c r="DS63" s="45"/>
      <c r="DT63" s="45"/>
      <c r="DU63" s="45"/>
      <c r="DV63" s="45"/>
      <c r="DW63" s="43"/>
      <c r="DX63" s="45"/>
      <c r="DY63" s="43"/>
      <c r="DZ63" s="45"/>
      <c r="EA63" s="45"/>
      <c r="EB63" s="43"/>
      <c r="EC63" s="45"/>
      <c r="ED63" s="45"/>
      <c r="EE63" s="45"/>
      <c r="EF63" s="45"/>
      <c r="EG63" s="43"/>
      <c r="EH63" s="45"/>
      <c r="EI63" s="45"/>
      <c r="EJ63" s="45"/>
      <c r="EK63" s="43"/>
      <c r="EL63" s="45"/>
      <c r="EM63" s="45"/>
      <c r="EN63" s="45"/>
      <c r="EO63" s="45"/>
      <c r="EP63" s="48" t="s">
        <v>3559</v>
      </c>
    </row>
    <row r="64">
      <c r="A64" s="37"/>
      <c r="B64" s="35" t="s">
        <v>5089</v>
      </c>
      <c r="C64" s="34"/>
      <c r="D64" s="34"/>
      <c r="E64" s="35" t="s">
        <v>5090</v>
      </c>
      <c r="F64" s="34"/>
      <c r="G64" s="35" t="s">
        <v>5091</v>
      </c>
      <c r="H64" s="35" t="s">
        <v>3867</v>
      </c>
      <c r="I64" s="35" t="s">
        <v>3897</v>
      </c>
      <c r="J64" s="35" t="s">
        <v>5092</v>
      </c>
      <c r="K64" s="35" t="s">
        <v>5093</v>
      </c>
      <c r="L64" s="35" t="s">
        <v>3612</v>
      </c>
      <c r="M64" s="35" t="s">
        <v>5094</v>
      </c>
      <c r="N64" s="35" t="s">
        <v>4389</v>
      </c>
      <c r="O64" s="35" t="s">
        <v>5095</v>
      </c>
      <c r="P64" s="35"/>
      <c r="R64" s="35" t="s">
        <v>3571</v>
      </c>
      <c r="S64" s="35" t="s">
        <v>3572</v>
      </c>
      <c r="T64" s="35" t="s">
        <v>4989</v>
      </c>
      <c r="U64" s="36" t="s">
        <v>5096</v>
      </c>
      <c r="V64" s="36" t="s">
        <v>5097</v>
      </c>
      <c r="W64" s="37"/>
      <c r="X64" s="34"/>
      <c r="Y64" s="34"/>
      <c r="Z64" s="34"/>
      <c r="AA64" s="32">
        <v>2017.0</v>
      </c>
      <c r="AB64" s="35" t="s">
        <v>5098</v>
      </c>
      <c r="AC64" s="34"/>
      <c r="AD64" s="34"/>
      <c r="AE64" s="37"/>
      <c r="AF64" s="37"/>
      <c r="AG64" s="37"/>
      <c r="AH64" s="37"/>
      <c r="AI64" s="37"/>
      <c r="AJ64" s="37"/>
      <c r="AK64" s="37"/>
      <c r="AL64" s="37"/>
      <c r="AM64" s="37"/>
      <c r="AN64" s="37"/>
      <c r="AO64" s="35" t="s">
        <v>5099</v>
      </c>
      <c r="AP64" s="35" t="s">
        <v>5100</v>
      </c>
      <c r="AQ64" s="35" t="s">
        <v>3982</v>
      </c>
      <c r="AR64" s="35" t="s">
        <v>5101</v>
      </c>
      <c r="AS64" s="34" t="str">
        <f>+972 (0)3 926 2000</f>
        <v>#ERROR!</v>
      </c>
      <c r="AT64" s="35" t="s">
        <v>4211</v>
      </c>
      <c r="AU64" s="35" t="s">
        <v>5102</v>
      </c>
      <c r="AV64" s="35" t="s">
        <v>3688</v>
      </c>
      <c r="AW64" s="35" t="s">
        <v>4213</v>
      </c>
      <c r="AX64" s="34"/>
      <c r="AY64" s="37"/>
      <c r="AZ64" s="35" t="s">
        <v>41</v>
      </c>
      <c r="BA64" s="37" t="str">
        <f>+972 (0)73 200 1512</f>
        <v>#ERROR!</v>
      </c>
      <c r="BB64" s="37"/>
      <c r="BC64" s="34"/>
      <c r="BD64" s="35" t="s">
        <v>3584</v>
      </c>
      <c r="BE64" s="35" t="s">
        <v>3584</v>
      </c>
      <c r="BF64" s="35" t="s">
        <v>5103</v>
      </c>
      <c r="BG64" s="35" t="s">
        <v>5104</v>
      </c>
      <c r="BH64" s="32">
        <v>2.0</v>
      </c>
      <c r="BI64" s="34"/>
      <c r="BJ64" s="34"/>
      <c r="BK64" s="34"/>
      <c r="BL64" s="35" t="s">
        <v>5105</v>
      </c>
      <c r="BM64" s="34"/>
      <c r="BN64" s="34"/>
      <c r="BO64" s="34"/>
      <c r="BP64" s="34"/>
      <c r="BQ64" s="38" t="s">
        <v>5106</v>
      </c>
      <c r="BR64" s="32">
        <v>16.78</v>
      </c>
      <c r="BS64" s="35" t="s">
        <v>3593</v>
      </c>
      <c r="BT64" s="32">
        <v>33.57</v>
      </c>
      <c r="BU64" s="35" t="s">
        <v>3697</v>
      </c>
      <c r="BV64" s="35" t="s">
        <v>5005</v>
      </c>
      <c r="BW64" s="34"/>
      <c r="BX64" s="34"/>
      <c r="BY64" s="35" t="s">
        <v>4989</v>
      </c>
      <c r="BZ64" s="34"/>
      <c r="CA64" s="35" t="s">
        <v>3591</v>
      </c>
      <c r="CB64" s="38" t="s">
        <v>5106</v>
      </c>
      <c r="CC64" s="32">
        <v>16.78</v>
      </c>
      <c r="CD64" s="35" t="s">
        <v>3593</v>
      </c>
      <c r="CE64" s="32">
        <v>33.57</v>
      </c>
      <c r="CF64" s="35" t="s">
        <v>3697</v>
      </c>
      <c r="CG64" s="35" t="s">
        <v>5005</v>
      </c>
      <c r="CH64" s="34"/>
      <c r="CI64" s="34"/>
      <c r="CJ64" s="35" t="s">
        <v>4989</v>
      </c>
      <c r="CK64" s="37"/>
      <c r="CL64" s="37"/>
      <c r="CM64" s="34"/>
      <c r="CN64" s="35" t="s">
        <v>3591</v>
      </c>
      <c r="CO64" s="39">
        <v>0.0097</v>
      </c>
      <c r="CP64" s="32">
        <v>96.0</v>
      </c>
      <c r="CQ64" s="39">
        <v>0.0</v>
      </c>
      <c r="CR64" s="39">
        <v>0.0</v>
      </c>
      <c r="CS64" s="39">
        <v>0.0097</v>
      </c>
      <c r="CT64" s="32">
        <v>97.0</v>
      </c>
      <c r="CU64" s="39">
        <v>0.0194</v>
      </c>
      <c r="CV64" s="32">
        <v>95.0</v>
      </c>
      <c r="CW64" s="39">
        <v>0.0</v>
      </c>
      <c r="CX64" s="32">
        <v>12.0</v>
      </c>
      <c r="CY64" s="32" t="s">
        <v>5107</v>
      </c>
      <c r="CZ64" s="32">
        <v>87.0</v>
      </c>
      <c r="DA64" s="32" t="s">
        <v>3598</v>
      </c>
      <c r="DB64" s="39">
        <v>0.0</v>
      </c>
      <c r="DC64" s="32" t="s">
        <v>5107</v>
      </c>
      <c r="DD64" s="32">
        <v>87.0</v>
      </c>
      <c r="DE64" s="32" t="s">
        <v>5108</v>
      </c>
      <c r="DF64" s="32">
        <v>88.0</v>
      </c>
      <c r="DG64" s="32" t="s">
        <v>4932</v>
      </c>
      <c r="DH64" s="32">
        <v>63.0</v>
      </c>
      <c r="DI64" s="49">
        <v>1624.0</v>
      </c>
      <c r="DJ64" s="32">
        <v>-105.0</v>
      </c>
      <c r="DK64" s="39">
        <v>-0.0607</v>
      </c>
      <c r="DL64" s="32">
        <v>35.0</v>
      </c>
      <c r="DM64" s="32">
        <v>1.0</v>
      </c>
      <c r="DN64" s="39">
        <v>0.0294</v>
      </c>
      <c r="DO64" s="32" t="s">
        <v>3600</v>
      </c>
      <c r="DP64" s="38" t="s">
        <v>5109</v>
      </c>
      <c r="DQ64" s="37"/>
      <c r="DR64" s="37"/>
      <c r="DS64" s="37"/>
      <c r="DT64" s="37"/>
      <c r="DU64" s="37"/>
      <c r="DV64" s="37"/>
      <c r="DW64" s="34"/>
      <c r="DX64" s="37"/>
      <c r="DY64" s="34"/>
      <c r="DZ64" s="37"/>
      <c r="EA64" s="37"/>
      <c r="EB64" s="34"/>
      <c r="EC64" s="37"/>
      <c r="ED64" s="37"/>
      <c r="EE64" s="32">
        <v>33.57</v>
      </c>
      <c r="EF64" s="38" t="s">
        <v>5106</v>
      </c>
      <c r="EG64" s="35" t="s">
        <v>5005</v>
      </c>
      <c r="EH64" s="37"/>
      <c r="EI64" s="37"/>
      <c r="EJ64" s="37"/>
      <c r="EK64" s="34"/>
      <c r="EL64" s="37"/>
      <c r="EM64" s="37"/>
      <c r="EN64" s="37"/>
      <c r="EO64" s="37"/>
      <c r="EP64" s="40" t="s">
        <v>3559</v>
      </c>
    </row>
    <row r="65">
      <c r="A65" s="41">
        <v>3.9</v>
      </c>
      <c r="B65" s="42" t="s">
        <v>5110</v>
      </c>
      <c r="C65" s="42" t="s">
        <v>5111</v>
      </c>
      <c r="D65" s="43"/>
      <c r="E65" s="42" t="s">
        <v>5112</v>
      </c>
      <c r="F65" s="43"/>
      <c r="G65" s="42" t="s">
        <v>5113</v>
      </c>
      <c r="H65" s="42" t="s">
        <v>3563</v>
      </c>
      <c r="I65" s="42" t="s">
        <v>3564</v>
      </c>
      <c r="J65" s="42" t="s">
        <v>3565</v>
      </c>
      <c r="K65" s="42" t="s">
        <v>5114</v>
      </c>
      <c r="L65" s="42" t="s">
        <v>5115</v>
      </c>
      <c r="M65" s="42" t="s">
        <v>5116</v>
      </c>
      <c r="N65" s="42" t="s">
        <v>5018</v>
      </c>
      <c r="O65" s="42" t="s">
        <v>5117</v>
      </c>
      <c r="P65" s="42"/>
      <c r="R65" s="42" t="s">
        <v>3571</v>
      </c>
      <c r="S65" s="42" t="s">
        <v>3572</v>
      </c>
      <c r="T65" s="42" t="s">
        <v>3573</v>
      </c>
      <c r="U65" s="44" t="s">
        <v>5118</v>
      </c>
      <c r="V65" s="44" t="s">
        <v>5119</v>
      </c>
      <c r="W65" s="41">
        <v>3.0</v>
      </c>
      <c r="X65" s="42" t="s">
        <v>5120</v>
      </c>
      <c r="Y65" s="43"/>
      <c r="Z65" s="43"/>
      <c r="AA65" s="41">
        <v>2013.0</v>
      </c>
      <c r="AB65" s="43"/>
      <c r="AC65" s="43"/>
      <c r="AD65" s="43"/>
      <c r="AE65" s="45"/>
      <c r="AF65" s="45"/>
      <c r="AG65" s="45"/>
      <c r="AH65" s="45"/>
      <c r="AI65" s="45"/>
      <c r="AJ65" s="45"/>
      <c r="AK65" s="45"/>
      <c r="AL65" s="45"/>
      <c r="AM65" s="45"/>
      <c r="AN65" s="45"/>
      <c r="AO65" s="42" t="s">
        <v>5121</v>
      </c>
      <c r="AP65" s="42" t="s">
        <v>5122</v>
      </c>
      <c r="AQ65" s="42" t="s">
        <v>3579</v>
      </c>
      <c r="AR65" s="42" t="s">
        <v>5123</v>
      </c>
      <c r="AS65" s="43" t="str">
        <f>+972 (0)54 662 5640</f>
        <v>#ERROR!</v>
      </c>
      <c r="AT65" s="42" t="s">
        <v>4997</v>
      </c>
      <c r="AU65" s="42" t="s">
        <v>5124</v>
      </c>
      <c r="AV65" s="43"/>
      <c r="AW65" s="42" t="s">
        <v>2433</v>
      </c>
      <c r="AX65" s="43"/>
      <c r="AY65" s="45"/>
      <c r="AZ65" s="42" t="s">
        <v>41</v>
      </c>
      <c r="BA65" s="45" t="str">
        <f>+972 (0)54 662 5640</f>
        <v>#ERROR!</v>
      </c>
      <c r="BB65" s="45"/>
      <c r="BC65" s="42" t="s">
        <v>5125</v>
      </c>
      <c r="BD65" s="42" t="s">
        <v>3584</v>
      </c>
      <c r="BE65" s="42" t="s">
        <v>3584</v>
      </c>
      <c r="BF65" s="42" t="s">
        <v>5126</v>
      </c>
      <c r="BG65" s="43"/>
      <c r="BH65" s="45"/>
      <c r="BI65" s="43"/>
      <c r="BJ65" s="42" t="s">
        <v>5127</v>
      </c>
      <c r="BK65" s="43"/>
      <c r="BL65" s="43"/>
      <c r="BM65" s="42" t="s">
        <v>5128</v>
      </c>
      <c r="BN65" s="43"/>
      <c r="BO65" s="43"/>
      <c r="BP65" s="43"/>
      <c r="BQ65" s="45"/>
      <c r="BR65" s="45"/>
      <c r="BS65" s="43"/>
      <c r="BT65" s="45"/>
      <c r="BU65" s="43"/>
      <c r="BV65" s="42" t="s">
        <v>3589</v>
      </c>
      <c r="BW65" s="43"/>
      <c r="BX65" s="43"/>
      <c r="BY65" s="42" t="s">
        <v>3590</v>
      </c>
      <c r="BZ65" s="43"/>
      <c r="CA65" s="42" t="s">
        <v>3591</v>
      </c>
      <c r="CB65" s="46" t="s">
        <v>4432</v>
      </c>
      <c r="CC65" s="45"/>
      <c r="CD65" s="43"/>
      <c r="CE65" s="45"/>
      <c r="CF65" s="43"/>
      <c r="CG65" s="42" t="s">
        <v>3830</v>
      </c>
      <c r="CH65" s="43"/>
      <c r="CI65" s="43"/>
      <c r="CJ65" s="42" t="s">
        <v>3590</v>
      </c>
      <c r="CK65" s="45"/>
      <c r="CL65" s="45"/>
      <c r="CM65" s="43"/>
      <c r="CN65" s="42" t="s">
        <v>3591</v>
      </c>
      <c r="CO65" s="45"/>
      <c r="CP65" s="45"/>
      <c r="CQ65" s="45"/>
      <c r="CR65" s="45"/>
      <c r="CS65" s="45"/>
      <c r="CT65" s="45"/>
      <c r="CU65" s="45"/>
      <c r="CV65" s="45"/>
      <c r="CW65" s="45"/>
      <c r="CX65" s="45"/>
      <c r="CY65" s="45"/>
      <c r="CZ65" s="45"/>
      <c r="DA65" s="45"/>
      <c r="DB65" s="45"/>
      <c r="DC65" s="45"/>
      <c r="DD65" s="45"/>
      <c r="DE65" s="45"/>
      <c r="DF65" s="45"/>
      <c r="DG65" s="45"/>
      <c r="DH65" s="45"/>
      <c r="DI65" s="45"/>
      <c r="DJ65" s="45"/>
      <c r="DK65" s="45"/>
      <c r="DL65" s="45"/>
      <c r="DM65" s="45"/>
      <c r="DN65" s="45"/>
      <c r="DO65" s="41" t="s">
        <v>3600</v>
      </c>
      <c r="DP65" s="46" t="s">
        <v>5129</v>
      </c>
      <c r="DQ65" s="41">
        <v>7.0</v>
      </c>
      <c r="DR65" s="41">
        <v>3.0</v>
      </c>
      <c r="DS65" s="41">
        <v>2.0</v>
      </c>
      <c r="DT65" s="45"/>
      <c r="DU65" s="45"/>
      <c r="DV65" s="41">
        <v>5.0</v>
      </c>
      <c r="DW65" s="42" t="s">
        <v>4954</v>
      </c>
      <c r="DX65" s="45"/>
      <c r="DY65" s="43"/>
      <c r="DZ65" s="45"/>
      <c r="EA65" s="45"/>
      <c r="EB65" s="43"/>
      <c r="EC65" s="45"/>
      <c r="ED65" s="45"/>
      <c r="EE65" s="45"/>
      <c r="EF65" s="45"/>
      <c r="EG65" s="43"/>
      <c r="EH65" s="45"/>
      <c r="EI65" s="45"/>
      <c r="EJ65" s="45"/>
      <c r="EK65" s="43"/>
      <c r="EL65" s="45"/>
      <c r="EM65" s="45"/>
      <c r="EN65" s="45"/>
      <c r="EO65" s="45"/>
      <c r="EP65" s="48" t="s">
        <v>3559</v>
      </c>
    </row>
    <row r="66">
      <c r="A66" s="37"/>
      <c r="B66" s="35" t="s">
        <v>5130</v>
      </c>
      <c r="C66" s="34"/>
      <c r="D66" s="34"/>
      <c r="E66" s="34"/>
      <c r="F66" s="34"/>
      <c r="G66" s="35" t="s">
        <v>5131</v>
      </c>
      <c r="H66" s="35" t="s">
        <v>4560</v>
      </c>
      <c r="I66" s="35" t="s">
        <v>4561</v>
      </c>
      <c r="J66" s="35" t="s">
        <v>5057</v>
      </c>
      <c r="K66" s="35" t="s">
        <v>5058</v>
      </c>
      <c r="L66" s="34"/>
      <c r="M66" s="34"/>
      <c r="N66" s="35" t="s">
        <v>4923</v>
      </c>
      <c r="O66" s="35" t="s">
        <v>5132</v>
      </c>
      <c r="P66" s="35"/>
      <c r="R66" s="34"/>
      <c r="S66" s="35" t="s">
        <v>4925</v>
      </c>
      <c r="T66" s="35" t="s">
        <v>4926</v>
      </c>
      <c r="U66" s="36" t="s">
        <v>5133</v>
      </c>
      <c r="V66" s="36" t="s">
        <v>5134</v>
      </c>
      <c r="W66" s="32">
        <v>10.0</v>
      </c>
      <c r="X66" s="35" t="s">
        <v>5135</v>
      </c>
      <c r="Y66" s="34"/>
      <c r="Z66" s="34"/>
      <c r="AA66" s="37"/>
      <c r="AB66" s="34"/>
      <c r="AC66" s="34"/>
      <c r="AD66" s="34"/>
      <c r="AE66" s="37"/>
      <c r="AF66" s="37"/>
      <c r="AG66" s="37"/>
      <c r="AH66" s="37"/>
      <c r="AI66" s="37"/>
      <c r="AJ66" s="37"/>
      <c r="AK66" s="37"/>
      <c r="AL66" s="37"/>
      <c r="AM66" s="37"/>
      <c r="AN66" s="37"/>
      <c r="AO66" s="34"/>
      <c r="AP66" s="34"/>
      <c r="AQ66" s="34"/>
      <c r="AR66" s="34"/>
      <c r="AS66" s="34"/>
      <c r="AT66" s="35" t="s">
        <v>4448</v>
      </c>
      <c r="AU66" s="34"/>
      <c r="AV66" s="34"/>
      <c r="AW66" s="35" t="s">
        <v>485</v>
      </c>
      <c r="AX66" s="34"/>
      <c r="AY66" s="32">
        <v>26030.0</v>
      </c>
      <c r="AZ66" s="35" t="s">
        <v>41</v>
      </c>
      <c r="BA66" s="37"/>
      <c r="BB66" s="37"/>
      <c r="BC66" s="34"/>
      <c r="BD66" s="35" t="s">
        <v>3584</v>
      </c>
      <c r="BE66" s="35" t="s">
        <v>3584</v>
      </c>
      <c r="BF66" s="34"/>
      <c r="BG66" s="34"/>
      <c r="BH66" s="37"/>
      <c r="BI66" s="34"/>
      <c r="BJ66" s="34"/>
      <c r="BK66" s="34"/>
      <c r="BL66" s="34"/>
      <c r="BM66" s="34"/>
      <c r="BN66" s="34"/>
      <c r="BO66" s="34"/>
      <c r="BP66" s="34"/>
      <c r="BQ66" s="37"/>
      <c r="BR66" s="37"/>
      <c r="BS66" s="34"/>
      <c r="BT66" s="37"/>
      <c r="BU66" s="34"/>
      <c r="BV66" s="34"/>
      <c r="BW66" s="34"/>
      <c r="BX66" s="34"/>
      <c r="BY66" s="34"/>
      <c r="BZ66" s="34"/>
      <c r="CA66" s="34"/>
      <c r="CB66" s="37"/>
      <c r="CC66" s="37"/>
      <c r="CD66" s="34"/>
      <c r="CE66" s="37"/>
      <c r="CF66" s="34"/>
      <c r="CG66" s="34"/>
      <c r="CH66" s="34"/>
      <c r="CI66" s="34"/>
      <c r="CJ66" s="34"/>
      <c r="CK66" s="37"/>
      <c r="CL66" s="37"/>
      <c r="CM66" s="34"/>
      <c r="CN66" s="34"/>
      <c r="CO66" s="39">
        <v>-0.0218</v>
      </c>
      <c r="CP66" s="32">
        <v>4.0</v>
      </c>
      <c r="CQ66" s="39">
        <v>0.0</v>
      </c>
      <c r="CR66" s="39">
        <v>0.0</v>
      </c>
      <c r="CS66" s="39">
        <v>-0.0436</v>
      </c>
      <c r="CT66" s="32">
        <v>2.0</v>
      </c>
      <c r="CU66" s="37"/>
      <c r="CV66" s="37"/>
      <c r="CW66" s="39">
        <v>-0.0436</v>
      </c>
      <c r="CX66" s="32">
        <v>3.0</v>
      </c>
      <c r="CY66" s="32" t="s">
        <v>5136</v>
      </c>
      <c r="CZ66" s="32">
        <v>87.0</v>
      </c>
      <c r="DA66" s="32" t="s">
        <v>3598</v>
      </c>
      <c r="DB66" s="39">
        <v>0.0</v>
      </c>
      <c r="DC66" s="32" t="s">
        <v>5137</v>
      </c>
      <c r="DD66" s="32">
        <v>94.0</v>
      </c>
      <c r="DE66" s="37"/>
      <c r="DF66" s="37"/>
      <c r="DG66" s="32" t="s">
        <v>5137</v>
      </c>
      <c r="DH66" s="32">
        <v>94.0</v>
      </c>
      <c r="DI66" s="49">
        <v>14890.0</v>
      </c>
      <c r="DJ66" s="32">
        <v>203.0</v>
      </c>
      <c r="DK66" s="39">
        <v>0.0138</v>
      </c>
      <c r="DL66" s="32">
        <v>322.0</v>
      </c>
      <c r="DM66" s="32">
        <v>-10.0</v>
      </c>
      <c r="DN66" s="39">
        <v>-0.0301</v>
      </c>
      <c r="DO66" s="32" t="s">
        <v>5066</v>
      </c>
      <c r="DP66" s="38" t="s">
        <v>5067</v>
      </c>
      <c r="DQ66" s="37"/>
      <c r="DR66" s="37"/>
      <c r="DS66" s="37"/>
      <c r="DT66" s="37"/>
      <c r="DU66" s="37"/>
      <c r="DV66" s="37"/>
      <c r="DW66" s="34"/>
      <c r="DX66" s="37"/>
      <c r="DY66" s="34"/>
      <c r="DZ66" s="37"/>
      <c r="EA66" s="37"/>
      <c r="EB66" s="34"/>
      <c r="EC66" s="37"/>
      <c r="ED66" s="37"/>
      <c r="EE66" s="37"/>
      <c r="EF66" s="37"/>
      <c r="EG66" s="34"/>
      <c r="EH66" s="37"/>
      <c r="EI66" s="37"/>
      <c r="EJ66" s="37"/>
      <c r="EK66" s="34"/>
      <c r="EL66" s="37"/>
      <c r="EM66" s="37"/>
      <c r="EN66" s="37"/>
      <c r="EO66" s="37"/>
      <c r="EP66" s="40" t="s">
        <v>3559</v>
      </c>
    </row>
    <row r="67">
      <c r="A67" s="45"/>
      <c r="B67" s="42" t="s">
        <v>5138</v>
      </c>
      <c r="C67" s="42" t="s">
        <v>5139</v>
      </c>
      <c r="D67" s="43"/>
      <c r="E67" s="42" t="s">
        <v>5140</v>
      </c>
      <c r="F67" s="43"/>
      <c r="G67" s="42" t="s">
        <v>5141</v>
      </c>
      <c r="H67" s="42" t="s">
        <v>3563</v>
      </c>
      <c r="I67" s="42" t="s">
        <v>3564</v>
      </c>
      <c r="J67" s="42" t="s">
        <v>4356</v>
      </c>
      <c r="K67" s="42" t="s">
        <v>5142</v>
      </c>
      <c r="L67" s="42" t="s">
        <v>5143</v>
      </c>
      <c r="M67" s="42" t="s">
        <v>5144</v>
      </c>
      <c r="N67" s="42" t="s">
        <v>5145</v>
      </c>
      <c r="O67" s="42" t="s">
        <v>5146</v>
      </c>
      <c r="P67" s="42"/>
      <c r="R67" s="42" t="s">
        <v>3571</v>
      </c>
      <c r="S67" s="42" t="s">
        <v>3572</v>
      </c>
      <c r="T67" s="42" t="s">
        <v>5147</v>
      </c>
      <c r="U67" s="44" t="s">
        <v>5148</v>
      </c>
      <c r="V67" s="44" t="s">
        <v>5149</v>
      </c>
      <c r="W67" s="41">
        <v>6.0</v>
      </c>
      <c r="X67" s="42" t="s">
        <v>5150</v>
      </c>
      <c r="Y67" s="43"/>
      <c r="Z67" s="43"/>
      <c r="AA67" s="41">
        <v>2018.0</v>
      </c>
      <c r="AB67" s="43"/>
      <c r="AC67" s="43"/>
      <c r="AD67" s="43"/>
      <c r="AE67" s="45"/>
      <c r="AF67" s="45"/>
      <c r="AG67" s="45"/>
      <c r="AH67" s="45"/>
      <c r="AI67" s="45"/>
      <c r="AJ67" s="45"/>
      <c r="AK67" s="45"/>
      <c r="AL67" s="45"/>
      <c r="AM67" s="45"/>
      <c r="AN67" s="45"/>
      <c r="AO67" s="42" t="s">
        <v>5151</v>
      </c>
      <c r="AP67" s="42" t="s">
        <v>5152</v>
      </c>
      <c r="AQ67" s="42" t="s">
        <v>5153</v>
      </c>
      <c r="AR67" s="43"/>
      <c r="AS67" s="43" t="str">
        <f>+972 (0)3 376 0616</f>
        <v>#ERROR!</v>
      </c>
      <c r="AT67" s="42" t="s">
        <v>4448</v>
      </c>
      <c r="AU67" s="42" t="s">
        <v>5154</v>
      </c>
      <c r="AV67" s="43"/>
      <c r="AW67" s="42" t="s">
        <v>485</v>
      </c>
      <c r="AX67" s="43"/>
      <c r="AY67" s="41">
        <v>3280120.0</v>
      </c>
      <c r="AZ67" s="42" t="s">
        <v>41</v>
      </c>
      <c r="BA67" s="45" t="str">
        <f>+972 (0)3 376 0616</f>
        <v>#ERROR!</v>
      </c>
      <c r="BB67" s="45"/>
      <c r="BC67" s="42" t="s">
        <v>5155</v>
      </c>
      <c r="BD67" s="42" t="s">
        <v>3584</v>
      </c>
      <c r="BE67" s="42" t="s">
        <v>3584</v>
      </c>
      <c r="BF67" s="42" t="s">
        <v>5156</v>
      </c>
      <c r="BG67" s="42" t="s">
        <v>5157</v>
      </c>
      <c r="BH67" s="41">
        <v>1.0</v>
      </c>
      <c r="BI67" s="43"/>
      <c r="BJ67" s="43"/>
      <c r="BK67" s="43"/>
      <c r="BL67" s="42" t="s">
        <v>5158</v>
      </c>
      <c r="BM67" s="43"/>
      <c r="BN67" s="43"/>
      <c r="BO67" s="43"/>
      <c r="BP67" s="43"/>
      <c r="BQ67" s="46" t="s">
        <v>5159</v>
      </c>
      <c r="BR67" s="45"/>
      <c r="BS67" s="43"/>
      <c r="BT67" s="45"/>
      <c r="BU67" s="43"/>
      <c r="BV67" s="42" t="s">
        <v>3589</v>
      </c>
      <c r="BW67" s="43"/>
      <c r="BX67" s="43"/>
      <c r="BY67" s="42" t="s">
        <v>3590</v>
      </c>
      <c r="BZ67" s="43"/>
      <c r="CA67" s="42" t="s">
        <v>3591</v>
      </c>
      <c r="CB67" s="46" t="s">
        <v>5159</v>
      </c>
      <c r="CC67" s="45"/>
      <c r="CD67" s="43"/>
      <c r="CE67" s="45"/>
      <c r="CF67" s="43"/>
      <c r="CG67" s="42" t="s">
        <v>3589</v>
      </c>
      <c r="CH67" s="43"/>
      <c r="CI67" s="43"/>
      <c r="CJ67" s="42" t="s">
        <v>3590</v>
      </c>
      <c r="CK67" s="45"/>
      <c r="CL67" s="45"/>
      <c r="CM67" s="43"/>
      <c r="CN67" s="42" t="s">
        <v>3591</v>
      </c>
      <c r="CO67" s="47">
        <v>0.0</v>
      </c>
      <c r="CP67" s="41">
        <v>14.0</v>
      </c>
      <c r="CQ67" s="47">
        <v>0.0</v>
      </c>
      <c r="CR67" s="47">
        <v>0.0</v>
      </c>
      <c r="CS67" s="47">
        <v>0.0</v>
      </c>
      <c r="CT67" s="41">
        <v>12.0</v>
      </c>
      <c r="CU67" s="45"/>
      <c r="CV67" s="45"/>
      <c r="CW67" s="47">
        <v>0.0</v>
      </c>
      <c r="CX67" s="41">
        <v>12.0</v>
      </c>
      <c r="CY67" s="41" t="s">
        <v>5160</v>
      </c>
      <c r="CZ67" s="41">
        <v>32.0</v>
      </c>
      <c r="DA67" s="41" t="s">
        <v>3598</v>
      </c>
      <c r="DB67" s="47">
        <v>0.0</v>
      </c>
      <c r="DC67" s="41" t="s">
        <v>5160</v>
      </c>
      <c r="DD67" s="41">
        <v>34.0</v>
      </c>
      <c r="DE67" s="45"/>
      <c r="DF67" s="45"/>
      <c r="DG67" s="41" t="s">
        <v>5160</v>
      </c>
      <c r="DH67" s="41">
        <v>31.0</v>
      </c>
      <c r="DI67" s="45"/>
      <c r="DJ67" s="45"/>
      <c r="DK67" s="45"/>
      <c r="DL67" s="41">
        <v>15.0</v>
      </c>
      <c r="DM67" s="41">
        <v>1.0</v>
      </c>
      <c r="DN67" s="47">
        <v>0.0714</v>
      </c>
      <c r="DO67" s="41" t="s">
        <v>3600</v>
      </c>
      <c r="DP67" s="46" t="s">
        <v>4505</v>
      </c>
      <c r="DQ67" s="45"/>
      <c r="DR67" s="45"/>
      <c r="DS67" s="45"/>
      <c r="DT67" s="45"/>
      <c r="DU67" s="45"/>
      <c r="DV67" s="45"/>
      <c r="DW67" s="43"/>
      <c r="DX67" s="45"/>
      <c r="DY67" s="43"/>
      <c r="DZ67" s="45"/>
      <c r="EA67" s="45"/>
      <c r="EB67" s="43"/>
      <c r="EC67" s="45"/>
      <c r="ED67" s="45"/>
      <c r="EE67" s="45"/>
      <c r="EF67" s="45"/>
      <c r="EG67" s="43"/>
      <c r="EH67" s="45"/>
      <c r="EI67" s="45"/>
      <c r="EJ67" s="45"/>
      <c r="EK67" s="43"/>
      <c r="EL67" s="45"/>
      <c r="EM67" s="45"/>
      <c r="EN67" s="45"/>
      <c r="EO67" s="45"/>
      <c r="EP67" s="48" t="s">
        <v>3559</v>
      </c>
    </row>
    <row r="68">
      <c r="A68" s="37"/>
      <c r="B68" s="35" t="s">
        <v>5161</v>
      </c>
      <c r="C68" s="34"/>
      <c r="D68" s="34"/>
      <c r="E68" s="34"/>
      <c r="F68" s="34"/>
      <c r="G68" s="35" t="s">
        <v>5162</v>
      </c>
      <c r="H68" s="35" t="s">
        <v>4560</v>
      </c>
      <c r="I68" s="35" t="s">
        <v>5163</v>
      </c>
      <c r="J68" s="35" t="s">
        <v>5164</v>
      </c>
      <c r="K68" s="35" t="s">
        <v>5165</v>
      </c>
      <c r="L68" s="35" t="s">
        <v>5166</v>
      </c>
      <c r="M68" s="35" t="s">
        <v>5167</v>
      </c>
      <c r="N68" s="35" t="s">
        <v>4962</v>
      </c>
      <c r="O68" s="35" t="s">
        <v>5168</v>
      </c>
      <c r="P68" s="35"/>
      <c r="R68" s="35" t="s">
        <v>3571</v>
      </c>
      <c r="S68" s="35" t="s">
        <v>5020</v>
      </c>
      <c r="T68" s="35" t="s">
        <v>3603</v>
      </c>
      <c r="U68" s="36" t="s">
        <v>5169</v>
      </c>
      <c r="V68" s="34"/>
      <c r="W68" s="37"/>
      <c r="X68" s="34"/>
      <c r="Y68" s="34"/>
      <c r="Z68" s="34"/>
      <c r="AA68" s="32">
        <v>1894.0</v>
      </c>
      <c r="AB68" s="34"/>
      <c r="AC68" s="34"/>
      <c r="AD68" s="34"/>
      <c r="AE68" s="37"/>
      <c r="AF68" s="37"/>
      <c r="AG68" s="37"/>
      <c r="AH68" s="37"/>
      <c r="AI68" s="37"/>
      <c r="AJ68" s="37"/>
      <c r="AK68" s="37"/>
      <c r="AL68" s="37"/>
      <c r="AM68" s="37"/>
      <c r="AN68" s="37"/>
      <c r="AO68" s="34"/>
      <c r="AP68" s="34"/>
      <c r="AQ68" s="34"/>
      <c r="AR68" s="34"/>
      <c r="AS68" s="34"/>
      <c r="AT68" s="35" t="s">
        <v>5170</v>
      </c>
      <c r="AU68" s="35" t="s">
        <v>5171</v>
      </c>
      <c r="AV68" s="34"/>
      <c r="AW68" s="35" t="s">
        <v>5172</v>
      </c>
      <c r="AX68" s="34"/>
      <c r="AY68" s="32">
        <v>81580.0</v>
      </c>
      <c r="AZ68" s="35" t="s">
        <v>41</v>
      </c>
      <c r="BA68" s="37"/>
      <c r="BB68" s="37"/>
      <c r="BC68" s="34"/>
      <c r="BD68" s="35" t="s">
        <v>3584</v>
      </c>
      <c r="BE68" s="35" t="s">
        <v>3584</v>
      </c>
      <c r="BF68" s="35" t="s">
        <v>5173</v>
      </c>
      <c r="BG68" s="34"/>
      <c r="BH68" s="37"/>
      <c r="BI68" s="35" t="s">
        <v>5174</v>
      </c>
      <c r="BJ68" s="34"/>
      <c r="BK68" s="34"/>
      <c r="BL68" s="34"/>
      <c r="BM68" s="34"/>
      <c r="BN68" s="34"/>
      <c r="BO68" s="34"/>
      <c r="BP68" s="35" t="s">
        <v>5175</v>
      </c>
      <c r="BQ68" s="38" t="s">
        <v>5176</v>
      </c>
      <c r="BR68" s="37"/>
      <c r="BS68" s="34"/>
      <c r="BT68" s="37"/>
      <c r="BU68" s="34"/>
      <c r="BV68" s="35" t="s">
        <v>4977</v>
      </c>
      <c r="BW68" s="34"/>
      <c r="BX68" s="34"/>
      <c r="BY68" s="35" t="s">
        <v>3663</v>
      </c>
      <c r="BZ68" s="34"/>
      <c r="CA68" s="35" t="s">
        <v>3591</v>
      </c>
      <c r="CB68" s="38" t="s">
        <v>5176</v>
      </c>
      <c r="CC68" s="37"/>
      <c r="CD68" s="34"/>
      <c r="CE68" s="37"/>
      <c r="CF68" s="34"/>
      <c r="CG68" s="35" t="s">
        <v>4977</v>
      </c>
      <c r="CH68" s="34"/>
      <c r="CI68" s="34"/>
      <c r="CJ68" s="35" t="s">
        <v>3663</v>
      </c>
      <c r="CK68" s="37"/>
      <c r="CL68" s="37"/>
      <c r="CM68" s="34"/>
      <c r="CN68" s="35" t="s">
        <v>3591</v>
      </c>
      <c r="CO68" s="37"/>
      <c r="CP68" s="37"/>
      <c r="CQ68" s="37"/>
      <c r="CR68" s="37"/>
      <c r="CS68" s="37"/>
      <c r="CT68" s="37"/>
      <c r="CU68" s="37"/>
      <c r="CV68" s="37"/>
      <c r="CW68" s="37"/>
      <c r="CX68" s="37"/>
      <c r="CY68" s="37"/>
      <c r="CZ68" s="37"/>
      <c r="DA68" s="37"/>
      <c r="DB68" s="37"/>
      <c r="DC68" s="37"/>
      <c r="DD68" s="37"/>
      <c r="DE68" s="37"/>
      <c r="DF68" s="37"/>
      <c r="DG68" s="37"/>
      <c r="DH68" s="37"/>
      <c r="DI68" s="37"/>
      <c r="DJ68" s="37"/>
      <c r="DK68" s="37"/>
      <c r="DL68" s="37"/>
      <c r="DM68" s="37"/>
      <c r="DN68" s="37"/>
      <c r="DO68" s="32" t="s">
        <v>3600</v>
      </c>
      <c r="DP68" s="38" t="s">
        <v>5177</v>
      </c>
      <c r="DQ68" s="37"/>
      <c r="DR68" s="37"/>
      <c r="DS68" s="37"/>
      <c r="DT68" s="37"/>
      <c r="DU68" s="37"/>
      <c r="DV68" s="37"/>
      <c r="DW68" s="34"/>
      <c r="DX68" s="37"/>
      <c r="DY68" s="34"/>
      <c r="DZ68" s="37"/>
      <c r="EA68" s="37"/>
      <c r="EB68" s="34"/>
      <c r="EC68" s="37"/>
      <c r="ED68" s="37"/>
      <c r="EE68" s="37"/>
      <c r="EF68" s="37"/>
      <c r="EG68" s="34"/>
      <c r="EH68" s="37"/>
      <c r="EI68" s="37"/>
      <c r="EJ68" s="37"/>
      <c r="EK68" s="34"/>
      <c r="EL68" s="37"/>
      <c r="EM68" s="37"/>
      <c r="EN68" s="37"/>
      <c r="EO68" s="37"/>
      <c r="EP68" s="40" t="s">
        <v>3559</v>
      </c>
    </row>
    <row r="69">
      <c r="A69" s="45"/>
      <c r="B69" s="42" t="s">
        <v>5178</v>
      </c>
      <c r="C69" s="42" t="s">
        <v>5179</v>
      </c>
      <c r="D69" s="43"/>
      <c r="E69" s="43"/>
      <c r="F69" s="43"/>
      <c r="G69" s="42" t="s">
        <v>5180</v>
      </c>
      <c r="H69" s="42" t="s">
        <v>3867</v>
      </c>
      <c r="I69" s="42" t="s">
        <v>3868</v>
      </c>
      <c r="J69" s="42" t="s">
        <v>3869</v>
      </c>
      <c r="K69" s="42" t="s">
        <v>4024</v>
      </c>
      <c r="L69" s="42" t="s">
        <v>3612</v>
      </c>
      <c r="M69" s="42" t="s">
        <v>5181</v>
      </c>
      <c r="N69" s="42" t="s">
        <v>4962</v>
      </c>
      <c r="O69" s="42" t="s">
        <v>5182</v>
      </c>
      <c r="P69" s="42"/>
      <c r="R69" s="42" t="s">
        <v>3571</v>
      </c>
      <c r="S69" s="42" t="s">
        <v>4964</v>
      </c>
      <c r="T69" s="42" t="s">
        <v>3603</v>
      </c>
      <c r="U69" s="44" t="s">
        <v>5183</v>
      </c>
      <c r="V69" s="43"/>
      <c r="W69" s="41">
        <v>150.0</v>
      </c>
      <c r="X69" s="42" t="s">
        <v>5184</v>
      </c>
      <c r="Y69" s="43"/>
      <c r="Z69" s="43"/>
      <c r="AA69" s="41">
        <v>1968.0</v>
      </c>
      <c r="AB69" s="42" t="s">
        <v>5185</v>
      </c>
      <c r="AC69" s="43"/>
      <c r="AD69" s="43"/>
      <c r="AE69" s="41">
        <v>219.55</v>
      </c>
      <c r="AF69" s="45"/>
      <c r="AG69" s="45"/>
      <c r="AH69" s="45"/>
      <c r="AI69" s="45"/>
      <c r="AJ69" s="45"/>
      <c r="AK69" s="45"/>
      <c r="AL69" s="45"/>
      <c r="AM69" s="45"/>
      <c r="AN69" s="41" t="s">
        <v>5186</v>
      </c>
      <c r="AO69" s="42" t="s">
        <v>5187</v>
      </c>
      <c r="AP69" s="42" t="s">
        <v>5188</v>
      </c>
      <c r="AQ69" s="42" t="s">
        <v>4093</v>
      </c>
      <c r="AR69" s="42" t="s">
        <v>5189</v>
      </c>
      <c r="AS69" s="43" t="str">
        <f>+972 (0)4 990 5555</f>
        <v>#ERROR!</v>
      </c>
      <c r="AT69" s="42" t="s">
        <v>5190</v>
      </c>
      <c r="AU69" s="42" t="s">
        <v>5191</v>
      </c>
      <c r="AV69" s="43"/>
      <c r="AW69" s="42" t="s">
        <v>5192</v>
      </c>
      <c r="AX69" s="43"/>
      <c r="AY69" s="45"/>
      <c r="AZ69" s="42" t="s">
        <v>41</v>
      </c>
      <c r="BA69" s="45" t="str">
        <f>+972 (0)4 990 5555</f>
        <v>#ERROR!</v>
      </c>
      <c r="BB69" s="45" t="str">
        <f>+972 (0)4 998 8775</f>
        <v>#ERROR!</v>
      </c>
      <c r="BC69" s="43"/>
      <c r="BD69" s="42" t="s">
        <v>3584</v>
      </c>
      <c r="BE69" s="42" t="s">
        <v>3584</v>
      </c>
      <c r="BF69" s="42" t="s">
        <v>5193</v>
      </c>
      <c r="BG69" s="42" t="s">
        <v>5194</v>
      </c>
      <c r="BH69" s="41">
        <v>1.0</v>
      </c>
      <c r="BI69" s="42" t="s">
        <v>5185</v>
      </c>
      <c r="BJ69" s="43"/>
      <c r="BK69" s="43"/>
      <c r="BL69" s="42" t="s">
        <v>5195</v>
      </c>
      <c r="BM69" s="43"/>
      <c r="BN69" s="43"/>
      <c r="BO69" s="43"/>
      <c r="BP69" s="43"/>
      <c r="BQ69" s="46" t="s">
        <v>5196</v>
      </c>
      <c r="BR69" s="41">
        <v>46.29</v>
      </c>
      <c r="BS69" s="42" t="s">
        <v>3697</v>
      </c>
      <c r="BT69" s="41">
        <v>90.77</v>
      </c>
      <c r="BU69" s="42" t="s">
        <v>3697</v>
      </c>
      <c r="BV69" s="42" t="s">
        <v>4977</v>
      </c>
      <c r="BW69" s="43"/>
      <c r="BX69" s="43"/>
      <c r="BY69" s="42" t="s">
        <v>3663</v>
      </c>
      <c r="BZ69" s="43"/>
      <c r="CA69" s="42" t="s">
        <v>3591</v>
      </c>
      <c r="CB69" s="46" t="s">
        <v>5196</v>
      </c>
      <c r="CC69" s="41">
        <v>46.29</v>
      </c>
      <c r="CD69" s="42" t="s">
        <v>3697</v>
      </c>
      <c r="CE69" s="41">
        <v>90.77</v>
      </c>
      <c r="CF69" s="42" t="s">
        <v>3697</v>
      </c>
      <c r="CG69" s="42" t="s">
        <v>4977</v>
      </c>
      <c r="CH69" s="43"/>
      <c r="CI69" s="43"/>
      <c r="CJ69" s="42" t="s">
        <v>3663</v>
      </c>
      <c r="CK69" s="45"/>
      <c r="CL69" s="45"/>
      <c r="CM69" s="43"/>
      <c r="CN69" s="42" t="s">
        <v>3591</v>
      </c>
      <c r="CO69" s="47">
        <v>0.0</v>
      </c>
      <c r="CP69" s="41">
        <v>14.0</v>
      </c>
      <c r="CQ69" s="47">
        <v>0.0</v>
      </c>
      <c r="CR69" s="47">
        <v>0.0</v>
      </c>
      <c r="CS69" s="47">
        <v>0.0</v>
      </c>
      <c r="CT69" s="41">
        <v>12.0</v>
      </c>
      <c r="CU69" s="45"/>
      <c r="CV69" s="45"/>
      <c r="CW69" s="47">
        <v>0.0</v>
      </c>
      <c r="CX69" s="41">
        <v>12.0</v>
      </c>
      <c r="CY69" s="41" t="s">
        <v>5160</v>
      </c>
      <c r="CZ69" s="41">
        <v>32.0</v>
      </c>
      <c r="DA69" s="41" t="s">
        <v>3598</v>
      </c>
      <c r="DB69" s="47">
        <v>0.0</v>
      </c>
      <c r="DC69" s="41" t="s">
        <v>5160</v>
      </c>
      <c r="DD69" s="41">
        <v>34.0</v>
      </c>
      <c r="DE69" s="45"/>
      <c r="DF69" s="45"/>
      <c r="DG69" s="41" t="s">
        <v>5160</v>
      </c>
      <c r="DH69" s="41">
        <v>31.0</v>
      </c>
      <c r="DI69" s="45"/>
      <c r="DJ69" s="45"/>
      <c r="DK69" s="45"/>
      <c r="DL69" s="41">
        <v>15.0</v>
      </c>
      <c r="DM69" s="41">
        <v>1.0</v>
      </c>
      <c r="DN69" s="47">
        <v>0.0714</v>
      </c>
      <c r="DO69" s="41" t="s">
        <v>3600</v>
      </c>
      <c r="DP69" s="46" t="s">
        <v>4979</v>
      </c>
      <c r="DQ69" s="45"/>
      <c r="DR69" s="45"/>
      <c r="DS69" s="45"/>
      <c r="DT69" s="45"/>
      <c r="DU69" s="45"/>
      <c r="DV69" s="45"/>
      <c r="DW69" s="43"/>
      <c r="DX69" s="45"/>
      <c r="DY69" s="43"/>
      <c r="DZ69" s="45"/>
      <c r="EA69" s="45"/>
      <c r="EB69" s="43"/>
      <c r="EC69" s="45"/>
      <c r="ED69" s="45"/>
      <c r="EE69" s="41">
        <v>90.77</v>
      </c>
      <c r="EF69" s="46" t="s">
        <v>5196</v>
      </c>
      <c r="EG69" s="42" t="s">
        <v>4977</v>
      </c>
      <c r="EH69" s="45"/>
      <c r="EI69" s="45"/>
      <c r="EJ69" s="45"/>
      <c r="EK69" s="43"/>
      <c r="EL69" s="45"/>
      <c r="EM69" s="45"/>
      <c r="EN69" s="45"/>
      <c r="EO69" s="45"/>
      <c r="EP69" s="48" t="s">
        <v>3559</v>
      </c>
    </row>
    <row r="70">
      <c r="A70" s="37"/>
      <c r="B70" s="35" t="s">
        <v>5197</v>
      </c>
      <c r="C70" s="34"/>
      <c r="D70" s="34"/>
      <c r="E70" s="35" t="s">
        <v>5198</v>
      </c>
      <c r="F70" s="34"/>
      <c r="G70" s="35" t="s">
        <v>5199</v>
      </c>
      <c r="H70" s="35" t="s">
        <v>3867</v>
      </c>
      <c r="I70" s="35" t="s">
        <v>3868</v>
      </c>
      <c r="J70" s="35" t="s">
        <v>3869</v>
      </c>
      <c r="K70" s="35" t="s">
        <v>5200</v>
      </c>
      <c r="L70" s="35" t="s">
        <v>5201</v>
      </c>
      <c r="M70" s="35" t="s">
        <v>5202</v>
      </c>
      <c r="N70" s="35" t="s">
        <v>4923</v>
      </c>
      <c r="O70" s="35" t="s">
        <v>5203</v>
      </c>
      <c r="P70" s="35"/>
      <c r="R70" s="35" t="s">
        <v>3571</v>
      </c>
      <c r="S70" s="35" t="s">
        <v>4925</v>
      </c>
      <c r="T70" s="35" t="s">
        <v>4926</v>
      </c>
      <c r="U70" s="36" t="s">
        <v>5204</v>
      </c>
      <c r="V70" s="36" t="s">
        <v>5205</v>
      </c>
      <c r="W70" s="37"/>
      <c r="X70" s="34"/>
      <c r="Y70" s="34"/>
      <c r="Z70" s="34"/>
      <c r="AA70" s="32">
        <v>2010.0</v>
      </c>
      <c r="AB70" s="34"/>
      <c r="AC70" s="34"/>
      <c r="AD70" s="34"/>
      <c r="AE70" s="37"/>
      <c r="AF70" s="37"/>
      <c r="AG70" s="37"/>
      <c r="AH70" s="37"/>
      <c r="AI70" s="37"/>
      <c r="AJ70" s="37"/>
      <c r="AK70" s="37"/>
      <c r="AL70" s="37"/>
      <c r="AM70" s="37"/>
      <c r="AN70" s="37"/>
      <c r="AO70" s="35" t="s">
        <v>5206</v>
      </c>
      <c r="AP70" s="35" t="s">
        <v>5207</v>
      </c>
      <c r="AQ70" s="35" t="s">
        <v>5208</v>
      </c>
      <c r="AR70" s="35" t="s">
        <v>5209</v>
      </c>
      <c r="AS70" s="34" t="str">
        <f>+972 (0)54 903 3265</f>
        <v>#ERROR!</v>
      </c>
      <c r="AT70" s="35" t="s">
        <v>5210</v>
      </c>
      <c r="AU70" s="35" t="s">
        <v>5211</v>
      </c>
      <c r="AV70" s="35" t="s">
        <v>5212</v>
      </c>
      <c r="AW70" s="35" t="s">
        <v>98</v>
      </c>
      <c r="AX70" s="34"/>
      <c r="AY70" s="37"/>
      <c r="AZ70" s="35" t="s">
        <v>41</v>
      </c>
      <c r="BA70" s="37" t="str">
        <f>+972 (0)54 903 3265</f>
        <v>#ERROR!</v>
      </c>
      <c r="BB70" s="37"/>
      <c r="BC70" s="35" t="s">
        <v>5213</v>
      </c>
      <c r="BD70" s="35" t="s">
        <v>3584</v>
      </c>
      <c r="BE70" s="35" t="s">
        <v>3584</v>
      </c>
      <c r="BF70" s="34"/>
      <c r="BG70" s="34"/>
      <c r="BH70" s="37"/>
      <c r="BI70" s="34"/>
      <c r="BJ70" s="34"/>
      <c r="BK70" s="34"/>
      <c r="BL70" s="34"/>
      <c r="BM70" s="34"/>
      <c r="BN70" s="34"/>
      <c r="BO70" s="34"/>
      <c r="BP70" s="34"/>
      <c r="BQ70" s="37"/>
      <c r="BR70" s="37"/>
      <c r="BS70" s="34"/>
      <c r="BT70" s="37"/>
      <c r="BU70" s="34"/>
      <c r="BV70" s="34"/>
      <c r="BW70" s="34"/>
      <c r="BX70" s="34"/>
      <c r="BY70" s="34"/>
      <c r="BZ70" s="34"/>
      <c r="CA70" s="34"/>
      <c r="CB70" s="37"/>
      <c r="CC70" s="37"/>
      <c r="CD70" s="34"/>
      <c r="CE70" s="37"/>
      <c r="CF70" s="34"/>
      <c r="CG70" s="34"/>
      <c r="CH70" s="34"/>
      <c r="CI70" s="34"/>
      <c r="CJ70" s="34"/>
      <c r="CK70" s="37"/>
      <c r="CL70" s="37"/>
      <c r="CM70" s="34"/>
      <c r="CN70" s="34"/>
      <c r="CO70" s="39">
        <v>0.0096</v>
      </c>
      <c r="CP70" s="32">
        <v>96.0</v>
      </c>
      <c r="CQ70" s="39">
        <v>0.0</v>
      </c>
      <c r="CR70" s="39">
        <v>0.0</v>
      </c>
      <c r="CS70" s="39">
        <v>0.0096</v>
      </c>
      <c r="CT70" s="32">
        <v>97.0</v>
      </c>
      <c r="CU70" s="37"/>
      <c r="CV70" s="37"/>
      <c r="CW70" s="39">
        <v>0.0096</v>
      </c>
      <c r="CX70" s="32">
        <v>97.0</v>
      </c>
      <c r="CY70" s="32" t="s">
        <v>5214</v>
      </c>
      <c r="CZ70" s="32">
        <v>84.0</v>
      </c>
      <c r="DA70" s="32" t="s">
        <v>3598</v>
      </c>
      <c r="DB70" s="39">
        <v>0.0</v>
      </c>
      <c r="DC70" s="32" t="s">
        <v>5214</v>
      </c>
      <c r="DD70" s="32">
        <v>84.0</v>
      </c>
      <c r="DE70" s="37"/>
      <c r="DF70" s="37"/>
      <c r="DG70" s="32" t="s">
        <v>5214</v>
      </c>
      <c r="DH70" s="32">
        <v>81.0</v>
      </c>
      <c r="DI70" s="37"/>
      <c r="DJ70" s="37"/>
      <c r="DK70" s="37"/>
      <c r="DL70" s="32">
        <v>150.0</v>
      </c>
      <c r="DM70" s="32">
        <v>1.0</v>
      </c>
      <c r="DN70" s="39">
        <v>0.0067</v>
      </c>
      <c r="DO70" s="32" t="s">
        <v>3600</v>
      </c>
      <c r="DP70" s="38" t="s">
        <v>5215</v>
      </c>
      <c r="DQ70" s="37"/>
      <c r="DR70" s="37"/>
      <c r="DS70" s="37"/>
      <c r="DT70" s="37"/>
      <c r="DU70" s="37"/>
      <c r="DV70" s="37"/>
      <c r="DW70" s="34"/>
      <c r="DX70" s="37"/>
      <c r="DY70" s="34"/>
      <c r="DZ70" s="37"/>
      <c r="EA70" s="37"/>
      <c r="EB70" s="34"/>
      <c r="EC70" s="37"/>
      <c r="ED70" s="37"/>
      <c r="EE70" s="37"/>
      <c r="EF70" s="37"/>
      <c r="EG70" s="34"/>
      <c r="EH70" s="37"/>
      <c r="EI70" s="37"/>
      <c r="EJ70" s="37"/>
      <c r="EK70" s="34"/>
      <c r="EL70" s="37"/>
      <c r="EM70" s="37"/>
      <c r="EN70" s="37"/>
      <c r="EO70" s="37"/>
      <c r="EP70" s="40" t="s">
        <v>3559</v>
      </c>
    </row>
    <row r="71">
      <c r="A71" s="45"/>
      <c r="B71" s="42" t="s">
        <v>5216</v>
      </c>
      <c r="C71" s="43"/>
      <c r="D71" s="43"/>
      <c r="E71" s="43"/>
      <c r="F71" s="43"/>
      <c r="G71" s="42" t="s">
        <v>5217</v>
      </c>
      <c r="H71" s="42" t="s">
        <v>4560</v>
      </c>
      <c r="I71" s="42" t="s">
        <v>4561</v>
      </c>
      <c r="J71" s="42" t="s">
        <v>66</v>
      </c>
      <c r="K71" s="42" t="s">
        <v>5218</v>
      </c>
      <c r="L71" s="42" t="s">
        <v>5219</v>
      </c>
      <c r="M71" s="42" t="s">
        <v>5220</v>
      </c>
      <c r="N71" s="42" t="s">
        <v>5018</v>
      </c>
      <c r="O71" s="42" t="s">
        <v>5221</v>
      </c>
      <c r="P71" s="42"/>
      <c r="R71" s="42" t="s">
        <v>5222</v>
      </c>
      <c r="S71" s="42" t="s">
        <v>5222</v>
      </c>
      <c r="T71" s="42" t="s">
        <v>3573</v>
      </c>
      <c r="U71" s="44" t="s">
        <v>5223</v>
      </c>
      <c r="V71" s="43"/>
      <c r="W71" s="45"/>
      <c r="X71" s="43"/>
      <c r="Y71" s="43"/>
      <c r="Z71" s="43"/>
      <c r="AA71" s="41">
        <v>2019.0</v>
      </c>
      <c r="AB71" s="43"/>
      <c r="AC71" s="43"/>
      <c r="AD71" s="43"/>
      <c r="AE71" s="45"/>
      <c r="AF71" s="45"/>
      <c r="AG71" s="45"/>
      <c r="AH71" s="45"/>
      <c r="AI71" s="45"/>
      <c r="AJ71" s="45"/>
      <c r="AK71" s="45"/>
      <c r="AL71" s="45"/>
      <c r="AM71" s="45"/>
      <c r="AN71" s="45"/>
      <c r="AO71" s="43"/>
      <c r="AP71" s="43"/>
      <c r="AQ71" s="43"/>
      <c r="AR71" s="43"/>
      <c r="AS71" s="43"/>
      <c r="AT71" s="42" t="s">
        <v>3581</v>
      </c>
      <c r="AU71" s="43"/>
      <c r="AV71" s="43"/>
      <c r="AW71" s="42" t="s">
        <v>75</v>
      </c>
      <c r="AX71" s="43"/>
      <c r="AY71" s="45"/>
      <c r="AZ71" s="42" t="s">
        <v>41</v>
      </c>
      <c r="BA71" s="45" t="str">
        <f>+972 (0)54 222 8364</f>
        <v>#ERROR!</v>
      </c>
      <c r="BB71" s="45"/>
      <c r="BC71" s="43"/>
      <c r="BD71" s="42" t="s">
        <v>3584</v>
      </c>
      <c r="BE71" s="42" t="s">
        <v>3584</v>
      </c>
      <c r="BF71" s="42" t="s">
        <v>5224</v>
      </c>
      <c r="BG71" s="43"/>
      <c r="BH71" s="45"/>
      <c r="BI71" s="43"/>
      <c r="BJ71" s="42" t="s">
        <v>5225</v>
      </c>
      <c r="BK71" s="43"/>
      <c r="BL71" s="43"/>
      <c r="BM71" s="42" t="s">
        <v>5226</v>
      </c>
      <c r="BN71" s="43"/>
      <c r="BO71" s="43"/>
      <c r="BP71" s="43"/>
      <c r="BQ71" s="46" t="s">
        <v>5227</v>
      </c>
      <c r="BR71" s="45"/>
      <c r="BS71" s="43"/>
      <c r="BT71" s="45"/>
      <c r="BU71" s="43"/>
      <c r="BV71" s="42" t="s">
        <v>3669</v>
      </c>
      <c r="BW71" s="43"/>
      <c r="BX71" s="43"/>
      <c r="BY71" s="42" t="s">
        <v>3573</v>
      </c>
      <c r="BZ71" s="43"/>
      <c r="CA71" s="42" t="s">
        <v>3591</v>
      </c>
      <c r="CB71" s="46" t="s">
        <v>5228</v>
      </c>
      <c r="CC71" s="45"/>
      <c r="CD71" s="43"/>
      <c r="CE71" s="45"/>
      <c r="CF71" s="43"/>
      <c r="CG71" s="42" t="s">
        <v>5222</v>
      </c>
      <c r="CH71" s="43"/>
      <c r="CI71" s="43"/>
      <c r="CJ71" s="42" t="s">
        <v>5222</v>
      </c>
      <c r="CK71" s="45"/>
      <c r="CL71" s="45"/>
      <c r="CM71" s="43"/>
      <c r="CN71" s="42" t="s">
        <v>3591</v>
      </c>
      <c r="CO71" s="45"/>
      <c r="CP71" s="45"/>
      <c r="CQ71" s="45"/>
      <c r="CR71" s="45"/>
      <c r="CS71" s="45"/>
      <c r="CT71" s="45"/>
      <c r="CU71" s="45"/>
      <c r="CV71" s="45"/>
      <c r="CW71" s="45"/>
      <c r="CX71" s="45"/>
      <c r="CY71" s="45"/>
      <c r="CZ71" s="45"/>
      <c r="DA71" s="45"/>
      <c r="DB71" s="45"/>
      <c r="DC71" s="45"/>
      <c r="DD71" s="45"/>
      <c r="DE71" s="45"/>
      <c r="DF71" s="45"/>
      <c r="DG71" s="45"/>
      <c r="DH71" s="45"/>
      <c r="DI71" s="45"/>
      <c r="DJ71" s="45"/>
      <c r="DK71" s="45"/>
      <c r="DL71" s="45"/>
      <c r="DM71" s="45"/>
      <c r="DN71" s="45"/>
      <c r="DO71" s="41" t="s">
        <v>3600</v>
      </c>
      <c r="DP71" s="46" t="s">
        <v>5177</v>
      </c>
      <c r="DQ71" s="45"/>
      <c r="DR71" s="45"/>
      <c r="DS71" s="45"/>
      <c r="DT71" s="45"/>
      <c r="DU71" s="45"/>
      <c r="DV71" s="45"/>
      <c r="DW71" s="43"/>
      <c r="DX71" s="45"/>
      <c r="DY71" s="43"/>
      <c r="DZ71" s="45"/>
      <c r="EA71" s="45"/>
      <c r="EB71" s="43"/>
      <c r="EC71" s="45"/>
      <c r="ED71" s="45"/>
      <c r="EE71" s="45"/>
      <c r="EF71" s="45"/>
      <c r="EG71" s="43"/>
      <c r="EH71" s="45"/>
      <c r="EI71" s="45"/>
      <c r="EJ71" s="45"/>
      <c r="EK71" s="43"/>
      <c r="EL71" s="45"/>
      <c r="EM71" s="45"/>
      <c r="EN71" s="45"/>
      <c r="EO71" s="45"/>
      <c r="EP71" s="48" t="s">
        <v>3559</v>
      </c>
    </row>
    <row r="72">
      <c r="A72" s="32">
        <v>233.6</v>
      </c>
      <c r="B72" s="35" t="s">
        <v>5229</v>
      </c>
      <c r="C72" s="34"/>
      <c r="D72" s="35" t="s">
        <v>748</v>
      </c>
      <c r="E72" s="35" t="s">
        <v>5230</v>
      </c>
      <c r="F72" s="35" t="s">
        <v>5231</v>
      </c>
      <c r="G72" s="35" t="s">
        <v>5232</v>
      </c>
      <c r="H72" s="35" t="s">
        <v>3563</v>
      </c>
      <c r="I72" s="35" t="s">
        <v>3564</v>
      </c>
      <c r="J72" s="35" t="s">
        <v>3565</v>
      </c>
      <c r="K72" s="35" t="s">
        <v>5233</v>
      </c>
      <c r="L72" s="35" t="s">
        <v>4000</v>
      </c>
      <c r="M72" s="35" t="s">
        <v>5234</v>
      </c>
      <c r="N72" s="35" t="s">
        <v>5018</v>
      </c>
      <c r="O72" s="35" t="s">
        <v>5235</v>
      </c>
      <c r="P72" s="35"/>
      <c r="R72" s="35" t="s">
        <v>3571</v>
      </c>
      <c r="S72" s="35" t="s">
        <v>5236</v>
      </c>
      <c r="T72" s="35" t="s">
        <v>5237</v>
      </c>
      <c r="U72" s="36" t="s">
        <v>5238</v>
      </c>
      <c r="V72" s="36" t="s">
        <v>5239</v>
      </c>
      <c r="W72" s="32">
        <v>180.0</v>
      </c>
      <c r="X72" s="35" t="s">
        <v>5240</v>
      </c>
      <c r="Y72" s="35" t="s">
        <v>5241</v>
      </c>
      <c r="Z72" s="35" t="s">
        <v>5242</v>
      </c>
      <c r="AA72" s="32">
        <v>2015.0</v>
      </c>
      <c r="AB72" s="34"/>
      <c r="AC72" s="35" t="s">
        <v>5243</v>
      </c>
      <c r="AD72" s="35" t="s">
        <v>5244</v>
      </c>
      <c r="AE72" s="32">
        <v>0.67</v>
      </c>
      <c r="AF72" s="32">
        <v>-0.93</v>
      </c>
      <c r="AG72" s="32">
        <v>-47.21</v>
      </c>
      <c r="AH72" s="32">
        <v>164.69</v>
      </c>
      <c r="AI72" s="32">
        <v>-48.63</v>
      </c>
      <c r="AJ72" s="32">
        <v>-49.19</v>
      </c>
      <c r="AK72" s="32">
        <v>150.57</v>
      </c>
      <c r="AL72" s="32">
        <v>-40.9</v>
      </c>
      <c r="AM72" s="39">
        <v>-0.3435</v>
      </c>
      <c r="AN72" s="32" t="s">
        <v>5245</v>
      </c>
      <c r="AO72" s="35" t="s">
        <v>5246</v>
      </c>
      <c r="AP72" s="35" t="s">
        <v>5247</v>
      </c>
      <c r="AQ72" s="35" t="s">
        <v>5248</v>
      </c>
      <c r="AR72" s="35" t="s">
        <v>5249</v>
      </c>
      <c r="AS72" s="34" t="str">
        <f>+972 (0)73 796 9804</f>
        <v>#ERROR!</v>
      </c>
      <c r="AT72" s="35" t="s">
        <v>3581</v>
      </c>
      <c r="AU72" s="35" t="s">
        <v>5250</v>
      </c>
      <c r="AV72" s="34"/>
      <c r="AW72" s="35" t="s">
        <v>75</v>
      </c>
      <c r="AX72" s="35" t="s">
        <v>3797</v>
      </c>
      <c r="AY72" s="37"/>
      <c r="AZ72" s="35" t="s">
        <v>41</v>
      </c>
      <c r="BA72" s="37" t="str">
        <f>+972 (0)73 796 9804</f>
        <v>#ERROR!</v>
      </c>
      <c r="BB72" s="37"/>
      <c r="BC72" s="35" t="s">
        <v>754</v>
      </c>
      <c r="BD72" s="35" t="s">
        <v>3584</v>
      </c>
      <c r="BE72" s="35" t="s">
        <v>3584</v>
      </c>
      <c r="BF72" s="35" t="s">
        <v>5251</v>
      </c>
      <c r="BG72" s="34"/>
      <c r="BH72" s="37"/>
      <c r="BI72" s="34"/>
      <c r="BJ72" s="35" t="s">
        <v>5252</v>
      </c>
      <c r="BK72" s="34"/>
      <c r="BL72" s="34"/>
      <c r="BM72" s="35" t="s">
        <v>5253</v>
      </c>
      <c r="BN72" s="34"/>
      <c r="BO72" s="34"/>
      <c r="BP72" s="35" t="s">
        <v>5254</v>
      </c>
      <c r="BQ72" s="38" t="s">
        <v>5255</v>
      </c>
      <c r="BR72" s="32">
        <v>0.65</v>
      </c>
      <c r="BS72" s="35" t="s">
        <v>3593</v>
      </c>
      <c r="BT72" s="32">
        <v>1.65</v>
      </c>
      <c r="BU72" s="35" t="s">
        <v>3593</v>
      </c>
      <c r="BV72" s="35" t="s">
        <v>3698</v>
      </c>
      <c r="BW72" s="35" t="s">
        <v>3698</v>
      </c>
      <c r="BX72" s="34"/>
      <c r="BY72" s="35" t="s">
        <v>3573</v>
      </c>
      <c r="BZ72" s="34"/>
      <c r="CA72" s="35" t="s">
        <v>3591</v>
      </c>
      <c r="CB72" s="38" t="s">
        <v>5256</v>
      </c>
      <c r="CC72" s="32">
        <v>18.52</v>
      </c>
      <c r="CD72" s="35" t="s">
        <v>3697</v>
      </c>
      <c r="CE72" s="37"/>
      <c r="CF72" s="34"/>
      <c r="CG72" s="35" t="s">
        <v>5257</v>
      </c>
      <c r="CH72" s="34"/>
      <c r="CI72" s="34"/>
      <c r="CJ72" s="35" t="s">
        <v>4989</v>
      </c>
      <c r="CK72" s="38" t="s">
        <v>5258</v>
      </c>
      <c r="CL72" s="37"/>
      <c r="CM72" s="34"/>
      <c r="CN72" s="35" t="s">
        <v>3591</v>
      </c>
      <c r="CO72" s="39">
        <v>-0.0254</v>
      </c>
      <c r="CP72" s="32">
        <v>3.0</v>
      </c>
      <c r="CQ72" s="39">
        <v>0.0</v>
      </c>
      <c r="CR72" s="39">
        <v>0.0</v>
      </c>
      <c r="CS72" s="39">
        <v>-0.0254</v>
      </c>
      <c r="CT72" s="32">
        <v>4.0</v>
      </c>
      <c r="CU72" s="39">
        <v>-0.0595</v>
      </c>
      <c r="CV72" s="32">
        <v>2.0</v>
      </c>
      <c r="CW72" s="39">
        <v>0.0087</v>
      </c>
      <c r="CX72" s="32">
        <v>97.0</v>
      </c>
      <c r="CY72" s="32" t="s">
        <v>5259</v>
      </c>
      <c r="CZ72" s="32">
        <v>96.0</v>
      </c>
      <c r="DA72" s="32" t="s">
        <v>3598</v>
      </c>
      <c r="DB72" s="39">
        <v>0.0</v>
      </c>
      <c r="DC72" s="32" t="s">
        <v>5259</v>
      </c>
      <c r="DD72" s="32">
        <v>96.0</v>
      </c>
      <c r="DE72" s="32" t="s">
        <v>5260</v>
      </c>
      <c r="DF72" s="32">
        <v>86.0</v>
      </c>
      <c r="DG72" s="32" t="s">
        <v>5261</v>
      </c>
      <c r="DH72" s="32">
        <v>98.0</v>
      </c>
      <c r="DI72" s="49">
        <v>1244.0</v>
      </c>
      <c r="DJ72" s="32">
        <v>32.0</v>
      </c>
      <c r="DK72" s="39">
        <v>0.0264</v>
      </c>
      <c r="DL72" s="32">
        <v>748.0</v>
      </c>
      <c r="DM72" s="32">
        <v>4.0</v>
      </c>
      <c r="DN72" s="39">
        <v>0.0054</v>
      </c>
      <c r="DO72" s="32" t="s">
        <v>3600</v>
      </c>
      <c r="DP72" s="38" t="s">
        <v>5256</v>
      </c>
      <c r="DQ72" s="32">
        <v>66.0</v>
      </c>
      <c r="DR72" s="32">
        <v>14.0</v>
      </c>
      <c r="DS72" s="32">
        <v>36.0</v>
      </c>
      <c r="DT72" s="32">
        <v>13.0</v>
      </c>
      <c r="DU72" s="37"/>
      <c r="DV72" s="32">
        <v>17.0</v>
      </c>
      <c r="DW72" s="35" t="s">
        <v>5262</v>
      </c>
      <c r="DX72" s="37"/>
      <c r="DY72" s="34"/>
      <c r="DZ72" s="37"/>
      <c r="EA72" s="37"/>
      <c r="EB72" s="34"/>
      <c r="EC72" s="37"/>
      <c r="ED72" s="37"/>
      <c r="EE72" s="32">
        <v>631.0</v>
      </c>
      <c r="EF72" s="38" t="s">
        <v>5263</v>
      </c>
      <c r="EG72" s="35" t="s">
        <v>4775</v>
      </c>
      <c r="EH72" s="37"/>
      <c r="EI72" s="37"/>
      <c r="EJ72" s="37"/>
      <c r="EK72" s="34"/>
      <c r="EL72" s="37"/>
      <c r="EM72" s="37"/>
      <c r="EN72" s="32">
        <v>1.82</v>
      </c>
      <c r="EO72" s="32">
        <v>1.82</v>
      </c>
      <c r="EP72" s="40" t="s">
        <v>3559</v>
      </c>
    </row>
    <row r="73">
      <c r="A73" s="41">
        <v>5.0</v>
      </c>
      <c r="B73" s="42" t="s">
        <v>5264</v>
      </c>
      <c r="C73" s="42" t="s">
        <v>5265</v>
      </c>
      <c r="D73" s="43"/>
      <c r="E73" s="43"/>
      <c r="F73" s="43"/>
      <c r="G73" s="42" t="s">
        <v>5266</v>
      </c>
      <c r="H73" s="42" t="s">
        <v>3867</v>
      </c>
      <c r="I73" s="42" t="s">
        <v>3897</v>
      </c>
      <c r="J73" s="42" t="s">
        <v>5092</v>
      </c>
      <c r="K73" s="42" t="s">
        <v>5267</v>
      </c>
      <c r="L73" s="42" t="s">
        <v>5268</v>
      </c>
      <c r="M73" s="42" t="s">
        <v>5269</v>
      </c>
      <c r="N73" s="42" t="s">
        <v>5018</v>
      </c>
      <c r="O73" s="42" t="s">
        <v>5270</v>
      </c>
      <c r="P73" s="42"/>
      <c r="R73" s="42" t="s">
        <v>3571</v>
      </c>
      <c r="S73" s="42" t="s">
        <v>4964</v>
      </c>
      <c r="T73" s="42" t="s">
        <v>3573</v>
      </c>
      <c r="U73" s="44" t="s">
        <v>5271</v>
      </c>
      <c r="V73" s="44" t="s">
        <v>5272</v>
      </c>
      <c r="W73" s="41">
        <v>38.0</v>
      </c>
      <c r="X73" s="42" t="s">
        <v>5273</v>
      </c>
      <c r="Y73" s="43"/>
      <c r="Z73" s="43"/>
      <c r="AA73" s="41">
        <v>2015.0</v>
      </c>
      <c r="AB73" s="42" t="s">
        <v>5274</v>
      </c>
      <c r="AC73" s="43"/>
      <c r="AD73" s="43"/>
      <c r="AE73" s="45"/>
      <c r="AF73" s="45"/>
      <c r="AG73" s="45"/>
      <c r="AH73" s="45"/>
      <c r="AI73" s="45"/>
      <c r="AJ73" s="45"/>
      <c r="AK73" s="45"/>
      <c r="AL73" s="45"/>
      <c r="AM73" s="45"/>
      <c r="AN73" s="45"/>
      <c r="AO73" s="42" t="s">
        <v>5275</v>
      </c>
      <c r="AP73" s="42" t="s">
        <v>5276</v>
      </c>
      <c r="AQ73" s="42" t="s">
        <v>4312</v>
      </c>
      <c r="AR73" s="42" t="s">
        <v>5277</v>
      </c>
      <c r="AS73" s="43" t="str">
        <f>+972 (0)54 306 9099</f>
        <v>#ERROR!</v>
      </c>
      <c r="AT73" s="42" t="s">
        <v>5278</v>
      </c>
      <c r="AU73" s="42" t="s">
        <v>5279</v>
      </c>
      <c r="AV73" s="43"/>
      <c r="AW73" s="42" t="s">
        <v>5280</v>
      </c>
      <c r="AX73" s="43"/>
      <c r="AY73" s="45"/>
      <c r="AZ73" s="42" t="s">
        <v>41</v>
      </c>
      <c r="BA73" s="45" t="str">
        <f>+972 (0)3 738 2100</f>
        <v>#ERROR!</v>
      </c>
      <c r="BB73" s="45"/>
      <c r="BC73" s="42" t="s">
        <v>5281</v>
      </c>
      <c r="BD73" s="42" t="s">
        <v>3584</v>
      </c>
      <c r="BE73" s="42" t="s">
        <v>3584</v>
      </c>
      <c r="BF73" s="42" t="s">
        <v>5282</v>
      </c>
      <c r="BG73" s="42" t="s">
        <v>5283</v>
      </c>
      <c r="BH73" s="41">
        <v>1.0</v>
      </c>
      <c r="BI73" s="42" t="s">
        <v>5274</v>
      </c>
      <c r="BJ73" s="42" t="s">
        <v>5284</v>
      </c>
      <c r="BK73" s="43"/>
      <c r="BL73" s="42" t="s">
        <v>5285</v>
      </c>
      <c r="BM73" s="43"/>
      <c r="BN73" s="43"/>
      <c r="BO73" s="43"/>
      <c r="BP73" s="42" t="s">
        <v>3725</v>
      </c>
      <c r="BQ73" s="46" t="s">
        <v>5286</v>
      </c>
      <c r="BR73" s="45"/>
      <c r="BS73" s="43"/>
      <c r="BT73" s="45"/>
      <c r="BU73" s="43"/>
      <c r="BV73" s="42" t="s">
        <v>3589</v>
      </c>
      <c r="BW73" s="43"/>
      <c r="BX73" s="43"/>
      <c r="BY73" s="42" t="s">
        <v>3590</v>
      </c>
      <c r="BZ73" s="43"/>
      <c r="CA73" s="42" t="s">
        <v>3591</v>
      </c>
      <c r="CB73" s="46" t="s">
        <v>5287</v>
      </c>
      <c r="CC73" s="45"/>
      <c r="CD73" s="43"/>
      <c r="CE73" s="45"/>
      <c r="CF73" s="43"/>
      <c r="CG73" s="42" t="s">
        <v>4977</v>
      </c>
      <c r="CH73" s="43"/>
      <c r="CI73" s="43"/>
      <c r="CJ73" s="42" t="s">
        <v>3663</v>
      </c>
      <c r="CK73" s="46" t="s">
        <v>5288</v>
      </c>
      <c r="CL73" s="41">
        <v>0.2</v>
      </c>
      <c r="CM73" s="43"/>
      <c r="CN73" s="42" t="s">
        <v>3591</v>
      </c>
      <c r="CO73" s="45"/>
      <c r="CP73" s="45"/>
      <c r="CQ73" s="45"/>
      <c r="CR73" s="45"/>
      <c r="CS73" s="45"/>
      <c r="CT73" s="45"/>
      <c r="CU73" s="45"/>
      <c r="CV73" s="45"/>
      <c r="CW73" s="45"/>
      <c r="CX73" s="45"/>
      <c r="CY73" s="45"/>
      <c r="CZ73" s="45"/>
      <c r="DA73" s="45"/>
      <c r="DB73" s="45"/>
      <c r="DC73" s="45"/>
      <c r="DD73" s="45"/>
      <c r="DE73" s="45"/>
      <c r="DF73" s="45"/>
      <c r="DG73" s="45"/>
      <c r="DH73" s="45"/>
      <c r="DI73" s="45"/>
      <c r="DJ73" s="45"/>
      <c r="DK73" s="45"/>
      <c r="DL73" s="45"/>
      <c r="DM73" s="45"/>
      <c r="DN73" s="45"/>
      <c r="DO73" s="41" t="s">
        <v>3600</v>
      </c>
      <c r="DP73" s="46" t="s">
        <v>5289</v>
      </c>
      <c r="DQ73" s="45"/>
      <c r="DR73" s="45"/>
      <c r="DS73" s="45"/>
      <c r="DT73" s="45"/>
      <c r="DU73" s="45"/>
      <c r="DV73" s="45"/>
      <c r="DW73" s="43"/>
      <c r="DX73" s="45"/>
      <c r="DY73" s="43"/>
      <c r="DZ73" s="45"/>
      <c r="EA73" s="45"/>
      <c r="EB73" s="43"/>
      <c r="EC73" s="45"/>
      <c r="ED73" s="45"/>
      <c r="EE73" s="41">
        <v>6.42</v>
      </c>
      <c r="EF73" s="46" t="s">
        <v>5288</v>
      </c>
      <c r="EG73" s="42" t="s">
        <v>3669</v>
      </c>
      <c r="EH73" s="45"/>
      <c r="EI73" s="45"/>
      <c r="EJ73" s="45"/>
      <c r="EK73" s="43"/>
      <c r="EL73" s="45"/>
      <c r="EM73" s="45"/>
      <c r="EN73" s="41">
        <v>1.33</v>
      </c>
      <c r="EO73" s="41">
        <v>1.33</v>
      </c>
      <c r="EP73" s="48" t="s">
        <v>3559</v>
      </c>
    </row>
    <row r="74">
      <c r="A74" s="37"/>
      <c r="B74" s="35" t="s">
        <v>5290</v>
      </c>
      <c r="C74" s="35" t="s">
        <v>5291</v>
      </c>
      <c r="D74" s="34"/>
      <c r="E74" s="35" t="s">
        <v>5292</v>
      </c>
      <c r="F74" s="35" t="s">
        <v>5293</v>
      </c>
      <c r="G74" s="35" t="s">
        <v>5294</v>
      </c>
      <c r="H74" s="35" t="s">
        <v>4560</v>
      </c>
      <c r="I74" s="35" t="s">
        <v>4561</v>
      </c>
      <c r="J74" s="35" t="s">
        <v>5057</v>
      </c>
      <c r="K74" s="35" t="s">
        <v>5058</v>
      </c>
      <c r="L74" s="34"/>
      <c r="M74" s="35" t="s">
        <v>5295</v>
      </c>
      <c r="N74" s="35" t="s">
        <v>4962</v>
      </c>
      <c r="O74" s="35" t="s">
        <v>5296</v>
      </c>
      <c r="P74" s="35"/>
      <c r="R74" s="35" t="s">
        <v>3571</v>
      </c>
      <c r="S74" s="35" t="s">
        <v>5020</v>
      </c>
      <c r="T74" s="35" t="s">
        <v>3603</v>
      </c>
      <c r="U74" s="36" t="s">
        <v>5297</v>
      </c>
      <c r="V74" s="36" t="s">
        <v>5298</v>
      </c>
      <c r="W74" s="32">
        <v>204.0</v>
      </c>
      <c r="X74" s="35" t="s">
        <v>5299</v>
      </c>
      <c r="Y74" s="34"/>
      <c r="Z74" s="34"/>
      <c r="AA74" s="32">
        <v>1949.0</v>
      </c>
      <c r="AB74" s="34"/>
      <c r="AC74" s="34"/>
      <c r="AD74" s="34"/>
      <c r="AE74" s="37"/>
      <c r="AF74" s="37"/>
      <c r="AG74" s="37"/>
      <c r="AH74" s="37"/>
      <c r="AI74" s="37"/>
      <c r="AJ74" s="37"/>
      <c r="AK74" s="37"/>
      <c r="AL74" s="37"/>
      <c r="AM74" s="37"/>
      <c r="AN74" s="37"/>
      <c r="AO74" s="35" t="s">
        <v>5300</v>
      </c>
      <c r="AP74" s="35" t="s">
        <v>5301</v>
      </c>
      <c r="AQ74" s="35" t="s">
        <v>4093</v>
      </c>
      <c r="AR74" s="35" t="s">
        <v>5302</v>
      </c>
      <c r="AS74" s="34" t="str">
        <f>+972 (0)3 690 3712</f>
        <v>#ERROR!</v>
      </c>
      <c r="AT74" s="35" t="s">
        <v>3581</v>
      </c>
      <c r="AU74" s="35" t="s">
        <v>5303</v>
      </c>
      <c r="AV74" s="35" t="s">
        <v>5304</v>
      </c>
      <c r="AW74" s="35" t="s">
        <v>75</v>
      </c>
      <c r="AX74" s="34"/>
      <c r="AY74" s="32">
        <v>61392.0</v>
      </c>
      <c r="AZ74" s="35" t="s">
        <v>41</v>
      </c>
      <c r="BA74" s="37" t="str">
        <f>+972 (0)3 690 3712</f>
        <v>#ERROR!</v>
      </c>
      <c r="BB74" s="37"/>
      <c r="BC74" s="34"/>
      <c r="BD74" s="35" t="s">
        <v>3584</v>
      </c>
      <c r="BE74" s="35" t="s">
        <v>3584</v>
      </c>
      <c r="BF74" s="35" t="s">
        <v>5305</v>
      </c>
      <c r="BG74" s="34"/>
      <c r="BH74" s="37"/>
      <c r="BI74" s="34"/>
      <c r="BJ74" s="34"/>
      <c r="BK74" s="34"/>
      <c r="BL74" s="34"/>
      <c r="BM74" s="34"/>
      <c r="BN74" s="34"/>
      <c r="BO74" s="34"/>
      <c r="BP74" s="34"/>
      <c r="BQ74" s="38" t="s">
        <v>5306</v>
      </c>
      <c r="BR74" s="37"/>
      <c r="BS74" s="34"/>
      <c r="BT74" s="37"/>
      <c r="BU74" s="34"/>
      <c r="BV74" s="35" t="s">
        <v>4977</v>
      </c>
      <c r="BW74" s="34"/>
      <c r="BX74" s="34"/>
      <c r="BY74" s="35" t="s">
        <v>3663</v>
      </c>
      <c r="BZ74" s="34"/>
      <c r="CA74" s="35" t="s">
        <v>3591</v>
      </c>
      <c r="CB74" s="38" t="s">
        <v>5307</v>
      </c>
      <c r="CC74" s="37"/>
      <c r="CD74" s="34"/>
      <c r="CE74" s="37"/>
      <c r="CF74" s="34"/>
      <c r="CG74" s="35" t="s">
        <v>4977</v>
      </c>
      <c r="CH74" s="34"/>
      <c r="CI74" s="34"/>
      <c r="CJ74" s="35" t="s">
        <v>3663</v>
      </c>
      <c r="CK74" s="37"/>
      <c r="CL74" s="37"/>
      <c r="CM74" s="34"/>
      <c r="CN74" s="35" t="s">
        <v>3966</v>
      </c>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c r="DO74" s="32" t="s">
        <v>3600</v>
      </c>
      <c r="DP74" s="38" t="s">
        <v>5308</v>
      </c>
      <c r="DQ74" s="37"/>
      <c r="DR74" s="37"/>
      <c r="DS74" s="37"/>
      <c r="DT74" s="37"/>
      <c r="DU74" s="37"/>
      <c r="DV74" s="37"/>
      <c r="DW74" s="34"/>
      <c r="DX74" s="37"/>
      <c r="DY74" s="34"/>
      <c r="DZ74" s="37"/>
      <c r="EA74" s="37"/>
      <c r="EB74" s="34"/>
      <c r="EC74" s="37"/>
      <c r="ED74" s="37"/>
      <c r="EE74" s="32">
        <v>31.09</v>
      </c>
      <c r="EF74" s="38" t="s">
        <v>5309</v>
      </c>
      <c r="EG74" s="35" t="s">
        <v>4775</v>
      </c>
      <c r="EH74" s="37"/>
      <c r="EI74" s="37"/>
      <c r="EJ74" s="37"/>
      <c r="EK74" s="34"/>
      <c r="EL74" s="37"/>
      <c r="EM74" s="37"/>
      <c r="EN74" s="37"/>
      <c r="EO74" s="37"/>
      <c r="EP74" s="40" t="s">
        <v>3559</v>
      </c>
    </row>
    <row r="75">
      <c r="A75" s="41">
        <v>1.52</v>
      </c>
      <c r="B75" s="42" t="s">
        <v>5310</v>
      </c>
      <c r="C75" s="43"/>
      <c r="D75" s="43"/>
      <c r="E75" s="42" t="s">
        <v>5311</v>
      </c>
      <c r="F75" s="43"/>
      <c r="G75" s="42" t="s">
        <v>5312</v>
      </c>
      <c r="H75" s="42" t="s">
        <v>3867</v>
      </c>
      <c r="I75" s="42" t="s">
        <v>3868</v>
      </c>
      <c r="J75" s="42" t="s">
        <v>3869</v>
      </c>
      <c r="K75" s="42" t="s">
        <v>5313</v>
      </c>
      <c r="L75" s="42" t="s">
        <v>3612</v>
      </c>
      <c r="M75" s="42" t="s">
        <v>5314</v>
      </c>
      <c r="N75" s="42" t="s">
        <v>5018</v>
      </c>
      <c r="O75" s="42" t="s">
        <v>5315</v>
      </c>
      <c r="P75" s="42"/>
      <c r="R75" s="42" t="s">
        <v>5222</v>
      </c>
      <c r="S75" s="42" t="s">
        <v>5222</v>
      </c>
      <c r="T75" s="42" t="s">
        <v>3573</v>
      </c>
      <c r="U75" s="44" t="s">
        <v>5316</v>
      </c>
      <c r="V75" s="43"/>
      <c r="W75" s="45"/>
      <c r="X75" s="43"/>
      <c r="Y75" s="43"/>
      <c r="Z75" s="43"/>
      <c r="AA75" s="41">
        <v>2015.0</v>
      </c>
      <c r="AB75" s="43"/>
      <c r="AC75" s="43"/>
      <c r="AD75" s="43"/>
      <c r="AE75" s="45"/>
      <c r="AF75" s="45"/>
      <c r="AG75" s="45"/>
      <c r="AH75" s="45"/>
      <c r="AI75" s="45"/>
      <c r="AJ75" s="45"/>
      <c r="AK75" s="45"/>
      <c r="AL75" s="45"/>
      <c r="AM75" s="45"/>
      <c r="AN75" s="45"/>
      <c r="AO75" s="43"/>
      <c r="AP75" s="43"/>
      <c r="AQ75" s="43"/>
      <c r="AR75" s="43"/>
      <c r="AS75" s="43"/>
      <c r="AT75" s="42" t="s">
        <v>3581</v>
      </c>
      <c r="AU75" s="42" t="s">
        <v>5317</v>
      </c>
      <c r="AV75" s="43"/>
      <c r="AW75" s="42" t="s">
        <v>75</v>
      </c>
      <c r="AX75" s="43"/>
      <c r="AY75" s="45"/>
      <c r="AZ75" s="42" t="s">
        <v>41</v>
      </c>
      <c r="BA75" s="45"/>
      <c r="BB75" s="45"/>
      <c r="BC75" s="43"/>
      <c r="BD75" s="42" t="s">
        <v>3584</v>
      </c>
      <c r="BE75" s="42" t="s">
        <v>3584</v>
      </c>
      <c r="BF75" s="42" t="s">
        <v>5318</v>
      </c>
      <c r="BG75" s="43"/>
      <c r="BH75" s="45"/>
      <c r="BI75" s="43"/>
      <c r="BJ75" s="43"/>
      <c r="BK75" s="43"/>
      <c r="BL75" s="43"/>
      <c r="BM75" s="43"/>
      <c r="BN75" s="43"/>
      <c r="BO75" s="43"/>
      <c r="BP75" s="43"/>
      <c r="BQ75" s="46" t="s">
        <v>5319</v>
      </c>
      <c r="BR75" s="41">
        <v>0.35</v>
      </c>
      <c r="BS75" s="42" t="s">
        <v>3593</v>
      </c>
      <c r="BT75" s="45"/>
      <c r="BU75" s="43"/>
      <c r="BV75" s="42" t="s">
        <v>5320</v>
      </c>
      <c r="BW75" s="43"/>
      <c r="BX75" s="43"/>
      <c r="BY75" s="42" t="s">
        <v>3803</v>
      </c>
      <c r="BZ75" s="43"/>
      <c r="CA75" s="42" t="s">
        <v>3591</v>
      </c>
      <c r="CB75" s="46" t="s">
        <v>5321</v>
      </c>
      <c r="CC75" s="45"/>
      <c r="CD75" s="43"/>
      <c r="CE75" s="45"/>
      <c r="CF75" s="43"/>
      <c r="CG75" s="42" t="s">
        <v>5222</v>
      </c>
      <c r="CH75" s="43"/>
      <c r="CI75" s="43"/>
      <c r="CJ75" s="42" t="s">
        <v>5222</v>
      </c>
      <c r="CK75" s="45"/>
      <c r="CL75" s="45"/>
      <c r="CM75" s="43"/>
      <c r="CN75" s="42" t="s">
        <v>3591</v>
      </c>
      <c r="CO75" s="45"/>
      <c r="CP75" s="45"/>
      <c r="CQ75" s="45"/>
      <c r="CR75" s="45"/>
      <c r="CS75" s="45"/>
      <c r="CT75" s="45"/>
      <c r="CU75" s="45"/>
      <c r="CV75" s="45"/>
      <c r="CW75" s="45"/>
      <c r="CX75" s="45"/>
      <c r="CY75" s="45"/>
      <c r="CZ75" s="45"/>
      <c r="DA75" s="45"/>
      <c r="DB75" s="45"/>
      <c r="DC75" s="45"/>
      <c r="DD75" s="45"/>
      <c r="DE75" s="45"/>
      <c r="DF75" s="45"/>
      <c r="DG75" s="45"/>
      <c r="DH75" s="45"/>
      <c r="DI75" s="45"/>
      <c r="DJ75" s="45"/>
      <c r="DK75" s="45"/>
      <c r="DL75" s="45"/>
      <c r="DM75" s="45"/>
      <c r="DN75" s="45"/>
      <c r="DO75" s="41" t="s">
        <v>3600</v>
      </c>
      <c r="DP75" s="46" t="s">
        <v>5177</v>
      </c>
      <c r="DQ75" s="45"/>
      <c r="DR75" s="45"/>
      <c r="DS75" s="45"/>
      <c r="DT75" s="45"/>
      <c r="DU75" s="45"/>
      <c r="DV75" s="45"/>
      <c r="DW75" s="43"/>
      <c r="DX75" s="45"/>
      <c r="DY75" s="43"/>
      <c r="DZ75" s="45"/>
      <c r="EA75" s="45"/>
      <c r="EB75" s="43"/>
      <c r="EC75" s="45"/>
      <c r="ED75" s="45"/>
      <c r="EE75" s="45"/>
      <c r="EF75" s="45"/>
      <c r="EG75" s="43"/>
      <c r="EH75" s="45"/>
      <c r="EI75" s="45"/>
      <c r="EJ75" s="45"/>
      <c r="EK75" s="43"/>
      <c r="EL75" s="45"/>
      <c r="EM75" s="45"/>
      <c r="EN75" s="45"/>
      <c r="EO75" s="45"/>
      <c r="EP75" s="48" t="s">
        <v>3559</v>
      </c>
    </row>
    <row r="76">
      <c r="A76" s="37"/>
      <c r="B76" s="35" t="s">
        <v>5322</v>
      </c>
      <c r="C76" s="35" t="s">
        <v>5323</v>
      </c>
      <c r="D76" s="34"/>
      <c r="E76" s="34"/>
      <c r="F76" s="34"/>
      <c r="G76" s="35" t="s">
        <v>5324</v>
      </c>
      <c r="H76" s="35" t="s">
        <v>3867</v>
      </c>
      <c r="I76" s="35" t="s">
        <v>4199</v>
      </c>
      <c r="J76" s="35" t="s">
        <v>4414</v>
      </c>
      <c r="K76" s="35" t="s">
        <v>4415</v>
      </c>
      <c r="L76" s="35" t="s">
        <v>5325</v>
      </c>
      <c r="M76" s="35" t="s">
        <v>5326</v>
      </c>
      <c r="N76" s="35" t="s">
        <v>4923</v>
      </c>
      <c r="O76" s="35" t="s">
        <v>5327</v>
      </c>
      <c r="P76" s="35"/>
      <c r="R76" s="35" t="s">
        <v>5222</v>
      </c>
      <c r="S76" s="35" t="s">
        <v>5222</v>
      </c>
      <c r="T76" s="35" t="s">
        <v>4926</v>
      </c>
      <c r="U76" s="40" t="s">
        <v>5328</v>
      </c>
      <c r="V76" s="36" t="s">
        <v>5329</v>
      </c>
      <c r="W76" s="32">
        <v>4.0</v>
      </c>
      <c r="X76" s="35" t="s">
        <v>5330</v>
      </c>
      <c r="Y76" s="34"/>
      <c r="Z76" s="34"/>
      <c r="AA76" s="32">
        <v>2022.0</v>
      </c>
      <c r="AB76" s="34"/>
      <c r="AC76" s="34"/>
      <c r="AD76" s="34"/>
      <c r="AE76" s="37"/>
      <c r="AF76" s="37"/>
      <c r="AG76" s="37"/>
      <c r="AH76" s="37"/>
      <c r="AI76" s="37"/>
      <c r="AJ76" s="37"/>
      <c r="AK76" s="37"/>
      <c r="AL76" s="37"/>
      <c r="AM76" s="37"/>
      <c r="AN76" s="37"/>
      <c r="AO76" s="34"/>
      <c r="AP76" s="34"/>
      <c r="AQ76" s="34"/>
      <c r="AR76" s="34"/>
      <c r="AS76" s="34"/>
      <c r="AT76" s="35" t="s">
        <v>41</v>
      </c>
      <c r="AU76" s="34"/>
      <c r="AV76" s="34"/>
      <c r="AW76" s="34"/>
      <c r="AX76" s="34"/>
      <c r="AY76" s="37"/>
      <c r="AZ76" s="35" t="s">
        <v>41</v>
      </c>
      <c r="BA76" s="37"/>
      <c r="BB76" s="37"/>
      <c r="BC76" s="35" t="s">
        <v>5331</v>
      </c>
      <c r="BD76" s="35" t="s">
        <v>3584</v>
      </c>
      <c r="BE76" s="35" t="s">
        <v>3584</v>
      </c>
      <c r="BF76" s="35" t="s">
        <v>5332</v>
      </c>
      <c r="BG76" s="34"/>
      <c r="BH76" s="37"/>
      <c r="BI76" s="34"/>
      <c r="BJ76" s="34"/>
      <c r="BK76" s="34"/>
      <c r="BL76" s="34"/>
      <c r="BM76" s="34"/>
      <c r="BN76" s="34"/>
      <c r="BO76" s="34"/>
      <c r="BP76" s="34"/>
      <c r="BQ76" s="37"/>
      <c r="BR76" s="37"/>
      <c r="BS76" s="34"/>
      <c r="BT76" s="37"/>
      <c r="BU76" s="34"/>
      <c r="BV76" s="34"/>
      <c r="BW76" s="34"/>
      <c r="BX76" s="34"/>
      <c r="BY76" s="34"/>
      <c r="BZ76" s="34"/>
      <c r="CA76" s="34"/>
      <c r="CB76" s="37"/>
      <c r="CC76" s="37"/>
      <c r="CD76" s="34"/>
      <c r="CE76" s="37"/>
      <c r="CF76" s="34"/>
      <c r="CG76" s="34"/>
      <c r="CH76" s="34"/>
      <c r="CI76" s="34"/>
      <c r="CJ76" s="34"/>
      <c r="CK76" s="37"/>
      <c r="CL76" s="37"/>
      <c r="CM76" s="34"/>
      <c r="CN76" s="34"/>
      <c r="CO76" s="37"/>
      <c r="CP76" s="37"/>
      <c r="CQ76" s="37"/>
      <c r="CR76" s="37"/>
      <c r="CS76" s="37"/>
      <c r="CT76" s="37"/>
      <c r="CU76" s="37"/>
      <c r="CV76" s="37"/>
      <c r="CW76" s="37"/>
      <c r="CX76" s="37"/>
      <c r="CY76" s="37"/>
      <c r="CZ76" s="37"/>
      <c r="DA76" s="37"/>
      <c r="DB76" s="37"/>
      <c r="DC76" s="37"/>
      <c r="DD76" s="37"/>
      <c r="DE76" s="37"/>
      <c r="DF76" s="37"/>
      <c r="DG76" s="37"/>
      <c r="DH76" s="37"/>
      <c r="DI76" s="37"/>
      <c r="DJ76" s="37"/>
      <c r="DK76" s="37"/>
      <c r="DL76" s="37"/>
      <c r="DM76" s="37"/>
      <c r="DN76" s="37"/>
      <c r="DO76" s="32" t="s">
        <v>3600</v>
      </c>
      <c r="DP76" s="38" t="s">
        <v>5333</v>
      </c>
      <c r="DQ76" s="37"/>
      <c r="DR76" s="37"/>
      <c r="DS76" s="37"/>
      <c r="DT76" s="37"/>
      <c r="DU76" s="37"/>
      <c r="DV76" s="37"/>
      <c r="DW76" s="34"/>
      <c r="DX76" s="37"/>
      <c r="DY76" s="34"/>
      <c r="DZ76" s="37"/>
      <c r="EA76" s="37"/>
      <c r="EB76" s="34"/>
      <c r="EC76" s="37"/>
      <c r="ED76" s="37"/>
      <c r="EE76" s="37"/>
      <c r="EF76" s="37"/>
      <c r="EG76" s="34"/>
      <c r="EH76" s="37"/>
      <c r="EI76" s="37"/>
      <c r="EJ76" s="37"/>
      <c r="EK76" s="34"/>
      <c r="EL76" s="37"/>
      <c r="EM76" s="37"/>
      <c r="EN76" s="37"/>
      <c r="EO76" s="37"/>
      <c r="EP76" s="40" t="s">
        <v>3559</v>
      </c>
    </row>
    <row r="77">
      <c r="A77" s="45"/>
      <c r="B77" s="42" t="s">
        <v>5334</v>
      </c>
      <c r="C77" s="43"/>
      <c r="D77" s="43"/>
      <c r="E77" s="42" t="s">
        <v>5335</v>
      </c>
      <c r="F77" s="43"/>
      <c r="G77" s="42" t="s">
        <v>5336</v>
      </c>
      <c r="H77" s="42" t="s">
        <v>4560</v>
      </c>
      <c r="I77" s="42" t="s">
        <v>4561</v>
      </c>
      <c r="J77" s="42" t="s">
        <v>66</v>
      </c>
      <c r="K77" s="42" t="s">
        <v>4562</v>
      </c>
      <c r="L77" s="43"/>
      <c r="M77" s="42" t="s">
        <v>5337</v>
      </c>
      <c r="N77" s="42" t="s">
        <v>4962</v>
      </c>
      <c r="O77" s="42" t="s">
        <v>5338</v>
      </c>
      <c r="P77" s="42"/>
      <c r="R77" s="42" t="s">
        <v>3571</v>
      </c>
      <c r="S77" s="42" t="s">
        <v>4964</v>
      </c>
      <c r="T77" s="42" t="s">
        <v>3603</v>
      </c>
      <c r="U77" s="44" t="s">
        <v>5339</v>
      </c>
      <c r="V77" s="43"/>
      <c r="W77" s="41">
        <v>80.0</v>
      </c>
      <c r="X77" s="54">
        <v>84.18055555555556</v>
      </c>
      <c r="Y77" s="43"/>
      <c r="Z77" s="43"/>
      <c r="AA77" s="41">
        <v>1997.0</v>
      </c>
      <c r="AB77" s="42" t="s">
        <v>5340</v>
      </c>
      <c r="AC77" s="43"/>
      <c r="AD77" s="43"/>
      <c r="AE77" s="41">
        <v>278.09</v>
      </c>
      <c r="AF77" s="45"/>
      <c r="AG77" s="45"/>
      <c r="AH77" s="45"/>
      <c r="AI77" s="45"/>
      <c r="AJ77" s="45"/>
      <c r="AK77" s="45"/>
      <c r="AL77" s="45"/>
      <c r="AM77" s="45"/>
      <c r="AN77" s="41" t="s">
        <v>5341</v>
      </c>
      <c r="AO77" s="42" t="s">
        <v>5342</v>
      </c>
      <c r="AP77" s="42" t="s">
        <v>5343</v>
      </c>
      <c r="AQ77" s="42" t="s">
        <v>3982</v>
      </c>
      <c r="AR77" s="43"/>
      <c r="AS77" s="43" t="str">
        <f>+972 (0)3 570 3883</f>
        <v>#ERROR!</v>
      </c>
      <c r="AT77" s="42" t="s">
        <v>5344</v>
      </c>
      <c r="AU77" s="42" t="s">
        <v>5345</v>
      </c>
      <c r="AV77" s="43"/>
      <c r="AW77" s="42" t="s">
        <v>2444</v>
      </c>
      <c r="AX77" s="43"/>
      <c r="AY77" s="45"/>
      <c r="AZ77" s="42" t="s">
        <v>41</v>
      </c>
      <c r="BA77" s="45" t="str">
        <f>+972 (0)3 570 3883</f>
        <v>#ERROR!</v>
      </c>
      <c r="BB77" s="45" t="str">
        <f>+972 (0)3 570 8060</f>
        <v>#ERROR!</v>
      </c>
      <c r="BC77" s="43"/>
      <c r="BD77" s="42" t="s">
        <v>3584</v>
      </c>
      <c r="BE77" s="42" t="s">
        <v>3584</v>
      </c>
      <c r="BF77" s="42" t="s">
        <v>5346</v>
      </c>
      <c r="BG77" s="43"/>
      <c r="BH77" s="45"/>
      <c r="BI77" s="42" t="s">
        <v>5340</v>
      </c>
      <c r="BJ77" s="43"/>
      <c r="BK77" s="43"/>
      <c r="BL77" s="43"/>
      <c r="BM77" s="43"/>
      <c r="BN77" s="43"/>
      <c r="BO77" s="43"/>
      <c r="BP77" s="43"/>
      <c r="BQ77" s="46" t="s">
        <v>5347</v>
      </c>
      <c r="BR77" s="45"/>
      <c r="BS77" s="43"/>
      <c r="BT77" s="45"/>
      <c r="BU77" s="43"/>
      <c r="BV77" s="42" t="s">
        <v>3830</v>
      </c>
      <c r="BW77" s="43"/>
      <c r="BX77" s="43"/>
      <c r="BY77" s="42" t="s">
        <v>3663</v>
      </c>
      <c r="BZ77" s="43"/>
      <c r="CA77" s="42" t="s">
        <v>3591</v>
      </c>
      <c r="CB77" s="46" t="s">
        <v>5348</v>
      </c>
      <c r="CC77" s="41">
        <v>28.51</v>
      </c>
      <c r="CD77" s="42" t="s">
        <v>3593</v>
      </c>
      <c r="CE77" s="41">
        <v>55.91</v>
      </c>
      <c r="CF77" s="42" t="s">
        <v>3697</v>
      </c>
      <c r="CG77" s="42" t="s">
        <v>4977</v>
      </c>
      <c r="CH77" s="43"/>
      <c r="CI77" s="43"/>
      <c r="CJ77" s="42" t="s">
        <v>3663</v>
      </c>
      <c r="CK77" s="45"/>
      <c r="CL77" s="45"/>
      <c r="CM77" s="43"/>
      <c r="CN77" s="42" t="s">
        <v>3591</v>
      </c>
      <c r="CO77" s="47">
        <v>-7.0E-4</v>
      </c>
      <c r="CP77" s="41">
        <v>13.0</v>
      </c>
      <c r="CQ77" s="47">
        <v>0.0014</v>
      </c>
      <c r="CR77" s="47">
        <v>0.6654</v>
      </c>
      <c r="CS77" s="47">
        <v>-7.0E-4</v>
      </c>
      <c r="CT77" s="41">
        <v>11.0</v>
      </c>
      <c r="CU77" s="45"/>
      <c r="CV77" s="45"/>
      <c r="CW77" s="47">
        <v>-7.0E-4</v>
      </c>
      <c r="CX77" s="41">
        <v>11.0</v>
      </c>
      <c r="CY77" s="41" t="s">
        <v>5349</v>
      </c>
      <c r="CZ77" s="41">
        <v>88.0</v>
      </c>
      <c r="DA77" s="41" t="s">
        <v>3598</v>
      </c>
      <c r="DB77" s="47">
        <v>0.0</v>
      </c>
      <c r="DC77" s="41" t="s">
        <v>5349</v>
      </c>
      <c r="DD77" s="41">
        <v>87.0</v>
      </c>
      <c r="DE77" s="45"/>
      <c r="DF77" s="45"/>
      <c r="DG77" s="41" t="s">
        <v>5349</v>
      </c>
      <c r="DH77" s="41">
        <v>85.0</v>
      </c>
      <c r="DI77" s="45"/>
      <c r="DJ77" s="45"/>
      <c r="DK77" s="45"/>
      <c r="DL77" s="41">
        <v>176.0</v>
      </c>
      <c r="DM77" s="41">
        <v>0.0</v>
      </c>
      <c r="DN77" s="47">
        <v>0.0</v>
      </c>
      <c r="DO77" s="41" t="s">
        <v>3600</v>
      </c>
      <c r="DP77" s="46" t="s">
        <v>5350</v>
      </c>
      <c r="DQ77" s="45"/>
      <c r="DR77" s="45"/>
      <c r="DS77" s="45"/>
      <c r="DT77" s="45"/>
      <c r="DU77" s="45"/>
      <c r="DV77" s="45"/>
      <c r="DW77" s="43"/>
      <c r="DX77" s="45"/>
      <c r="DY77" s="43"/>
      <c r="DZ77" s="45"/>
      <c r="EA77" s="45"/>
      <c r="EB77" s="43"/>
      <c r="EC77" s="45"/>
      <c r="ED77" s="45"/>
      <c r="EE77" s="41">
        <v>55.91</v>
      </c>
      <c r="EF77" s="46" t="s">
        <v>5348</v>
      </c>
      <c r="EG77" s="42" t="s">
        <v>4977</v>
      </c>
      <c r="EH77" s="45"/>
      <c r="EI77" s="45"/>
      <c r="EJ77" s="45"/>
      <c r="EK77" s="43"/>
      <c r="EL77" s="45"/>
      <c r="EM77" s="45"/>
      <c r="EN77" s="45"/>
      <c r="EO77" s="45"/>
      <c r="EP77" s="48" t="s">
        <v>3559</v>
      </c>
    </row>
    <row r="78">
      <c r="A78" s="32">
        <v>29.5</v>
      </c>
      <c r="B78" s="35" t="s">
        <v>5351</v>
      </c>
      <c r="C78" s="34"/>
      <c r="D78" s="34"/>
      <c r="E78" s="35" t="s">
        <v>5352</v>
      </c>
      <c r="F78" s="35" t="s">
        <v>5353</v>
      </c>
      <c r="G78" s="35" t="s">
        <v>5354</v>
      </c>
      <c r="H78" s="35" t="s">
        <v>3563</v>
      </c>
      <c r="I78" s="35" t="s">
        <v>3564</v>
      </c>
      <c r="J78" s="35" t="s">
        <v>3565</v>
      </c>
      <c r="K78" s="35" t="s">
        <v>5355</v>
      </c>
      <c r="L78" s="35" t="s">
        <v>5356</v>
      </c>
      <c r="M78" s="35" t="s">
        <v>5357</v>
      </c>
      <c r="N78" s="35" t="s">
        <v>5018</v>
      </c>
      <c r="O78" s="35" t="s">
        <v>5358</v>
      </c>
      <c r="P78" s="35"/>
      <c r="R78" s="35" t="s">
        <v>3571</v>
      </c>
      <c r="S78" s="35" t="s">
        <v>4964</v>
      </c>
      <c r="T78" s="35" t="s">
        <v>3573</v>
      </c>
      <c r="U78" s="36" t="s">
        <v>5359</v>
      </c>
      <c r="V78" s="36" t="s">
        <v>5360</v>
      </c>
      <c r="W78" s="32">
        <v>120.0</v>
      </c>
      <c r="X78" s="35" t="s">
        <v>5361</v>
      </c>
      <c r="Y78" s="34"/>
      <c r="Z78" s="34"/>
      <c r="AA78" s="32">
        <v>2017.0</v>
      </c>
      <c r="AB78" s="35" t="s">
        <v>5362</v>
      </c>
      <c r="AC78" s="34"/>
      <c r="AD78" s="34"/>
      <c r="AE78" s="37"/>
      <c r="AF78" s="37"/>
      <c r="AG78" s="37"/>
      <c r="AH78" s="37"/>
      <c r="AI78" s="37"/>
      <c r="AJ78" s="37"/>
      <c r="AK78" s="37"/>
      <c r="AL78" s="37"/>
      <c r="AM78" s="37"/>
      <c r="AN78" s="37"/>
      <c r="AO78" s="35" t="s">
        <v>5363</v>
      </c>
      <c r="AP78" s="35" t="s">
        <v>5364</v>
      </c>
      <c r="AQ78" s="35" t="s">
        <v>4338</v>
      </c>
      <c r="AR78" s="35" t="s">
        <v>5365</v>
      </c>
      <c r="AS78" s="34"/>
      <c r="AT78" s="35" t="s">
        <v>3581</v>
      </c>
      <c r="AU78" s="35" t="s">
        <v>5366</v>
      </c>
      <c r="AV78" s="34"/>
      <c r="AW78" s="35" t="s">
        <v>75</v>
      </c>
      <c r="AX78" s="34"/>
      <c r="AY78" s="32">
        <v>6721503.0</v>
      </c>
      <c r="AZ78" s="35" t="s">
        <v>41</v>
      </c>
      <c r="BA78" s="37"/>
      <c r="BB78" s="37"/>
      <c r="BC78" s="35" t="s">
        <v>5367</v>
      </c>
      <c r="BD78" s="35" t="s">
        <v>3584</v>
      </c>
      <c r="BE78" s="35" t="s">
        <v>3584</v>
      </c>
      <c r="BF78" s="35" t="s">
        <v>5368</v>
      </c>
      <c r="BG78" s="34"/>
      <c r="BH78" s="37"/>
      <c r="BI78" s="35" t="s">
        <v>5362</v>
      </c>
      <c r="BJ78" s="35" t="s">
        <v>5369</v>
      </c>
      <c r="BK78" s="34"/>
      <c r="BL78" s="34"/>
      <c r="BM78" s="35" t="s">
        <v>5370</v>
      </c>
      <c r="BN78" s="34"/>
      <c r="BO78" s="34"/>
      <c r="BP78" s="35" t="s">
        <v>5371</v>
      </c>
      <c r="BQ78" s="37"/>
      <c r="BR78" s="37"/>
      <c r="BS78" s="34"/>
      <c r="BT78" s="37"/>
      <c r="BU78" s="34"/>
      <c r="BV78" s="35" t="s">
        <v>3589</v>
      </c>
      <c r="BW78" s="34"/>
      <c r="BX78" s="34"/>
      <c r="BY78" s="35" t="s">
        <v>3590</v>
      </c>
      <c r="BZ78" s="34"/>
      <c r="CA78" s="35" t="s">
        <v>3591</v>
      </c>
      <c r="CB78" s="38" t="s">
        <v>5372</v>
      </c>
      <c r="CC78" s="32">
        <v>110.0</v>
      </c>
      <c r="CD78" s="35" t="s">
        <v>3593</v>
      </c>
      <c r="CE78" s="32">
        <v>110.0</v>
      </c>
      <c r="CF78" s="35" t="s">
        <v>3593</v>
      </c>
      <c r="CG78" s="35" t="s">
        <v>4977</v>
      </c>
      <c r="CH78" s="34"/>
      <c r="CI78" s="34"/>
      <c r="CJ78" s="35" t="s">
        <v>3663</v>
      </c>
      <c r="CK78" s="37"/>
      <c r="CL78" s="37"/>
      <c r="CM78" s="34"/>
      <c r="CN78" s="35" t="s">
        <v>3591</v>
      </c>
      <c r="CO78" s="37"/>
      <c r="CP78" s="37"/>
      <c r="CQ78" s="37"/>
      <c r="CR78" s="37"/>
      <c r="CS78" s="37"/>
      <c r="CT78" s="37"/>
      <c r="CU78" s="37"/>
      <c r="CV78" s="37"/>
      <c r="CW78" s="37"/>
      <c r="CX78" s="37"/>
      <c r="CY78" s="37"/>
      <c r="CZ78" s="37"/>
      <c r="DA78" s="37"/>
      <c r="DB78" s="37"/>
      <c r="DC78" s="37"/>
      <c r="DD78" s="37"/>
      <c r="DE78" s="37"/>
      <c r="DF78" s="37"/>
      <c r="DG78" s="37"/>
      <c r="DH78" s="37"/>
      <c r="DI78" s="37"/>
      <c r="DJ78" s="37"/>
      <c r="DK78" s="37"/>
      <c r="DL78" s="37"/>
      <c r="DM78" s="37"/>
      <c r="DN78" s="37"/>
      <c r="DO78" s="32" t="s">
        <v>3600</v>
      </c>
      <c r="DP78" s="38" t="s">
        <v>3601</v>
      </c>
      <c r="DQ78" s="37"/>
      <c r="DR78" s="37"/>
      <c r="DS78" s="37"/>
      <c r="DT78" s="37"/>
      <c r="DU78" s="37"/>
      <c r="DV78" s="37"/>
      <c r="DW78" s="34"/>
      <c r="DX78" s="37"/>
      <c r="DY78" s="34"/>
      <c r="DZ78" s="37"/>
      <c r="EA78" s="37"/>
      <c r="EB78" s="34"/>
      <c r="EC78" s="37"/>
      <c r="ED78" s="37"/>
      <c r="EE78" s="32">
        <v>110.0</v>
      </c>
      <c r="EF78" s="38" t="s">
        <v>5372</v>
      </c>
      <c r="EG78" s="35" t="s">
        <v>4977</v>
      </c>
      <c r="EH78" s="37"/>
      <c r="EI78" s="37"/>
      <c r="EJ78" s="37"/>
      <c r="EK78" s="34"/>
      <c r="EL78" s="37"/>
      <c r="EM78" s="37"/>
      <c r="EN78" s="32">
        <v>3.26</v>
      </c>
      <c r="EO78" s="32">
        <v>3.26</v>
      </c>
      <c r="EP78" s="40" t="s">
        <v>3559</v>
      </c>
    </row>
    <row r="79">
      <c r="A79" s="41">
        <v>110.0</v>
      </c>
      <c r="B79" s="42" t="s">
        <v>5373</v>
      </c>
      <c r="C79" s="43"/>
      <c r="D79" s="43"/>
      <c r="E79" s="42" t="s">
        <v>5374</v>
      </c>
      <c r="F79" s="42" t="s">
        <v>5375</v>
      </c>
      <c r="G79" s="42" t="s">
        <v>5376</v>
      </c>
      <c r="H79" s="42" t="s">
        <v>3563</v>
      </c>
      <c r="I79" s="42" t="s">
        <v>351</v>
      </c>
      <c r="J79" s="42" t="s">
        <v>4111</v>
      </c>
      <c r="K79" s="42" t="s">
        <v>5377</v>
      </c>
      <c r="L79" s="42" t="s">
        <v>5378</v>
      </c>
      <c r="M79" s="42" t="s">
        <v>5379</v>
      </c>
      <c r="N79" s="42" t="s">
        <v>5018</v>
      </c>
      <c r="O79" s="42" t="s">
        <v>5380</v>
      </c>
      <c r="P79" s="42"/>
      <c r="R79" s="42" t="s">
        <v>3571</v>
      </c>
      <c r="S79" s="42" t="s">
        <v>5020</v>
      </c>
      <c r="T79" s="42" t="s">
        <v>4758</v>
      </c>
      <c r="U79" s="44" t="s">
        <v>5381</v>
      </c>
      <c r="V79" s="43"/>
      <c r="W79" s="41">
        <v>123.0</v>
      </c>
      <c r="X79" s="42" t="s">
        <v>5382</v>
      </c>
      <c r="Y79" s="43"/>
      <c r="Z79" s="43"/>
      <c r="AA79" s="41">
        <v>2008.0</v>
      </c>
      <c r="AB79" s="43"/>
      <c r="AC79" s="43"/>
      <c r="AD79" s="43"/>
      <c r="AE79" s="41">
        <v>9.9</v>
      </c>
      <c r="AF79" s="45"/>
      <c r="AG79" s="45"/>
      <c r="AH79" s="45"/>
      <c r="AI79" s="45"/>
      <c r="AJ79" s="45"/>
      <c r="AK79" s="45"/>
      <c r="AL79" s="45"/>
      <c r="AM79" s="45"/>
      <c r="AN79" s="41" t="s">
        <v>5383</v>
      </c>
      <c r="AO79" s="43"/>
      <c r="AP79" s="43"/>
      <c r="AQ79" s="43"/>
      <c r="AR79" s="43"/>
      <c r="AS79" s="43"/>
      <c r="AT79" s="42" t="s">
        <v>5384</v>
      </c>
      <c r="AU79" s="42" t="s">
        <v>5385</v>
      </c>
      <c r="AV79" s="42" t="s">
        <v>5386</v>
      </c>
      <c r="AW79" s="42" t="s">
        <v>5387</v>
      </c>
      <c r="AX79" s="43"/>
      <c r="AY79" s="41">
        <v>40593.0</v>
      </c>
      <c r="AZ79" s="42" t="s">
        <v>41</v>
      </c>
      <c r="BA79" s="45"/>
      <c r="BB79" s="45"/>
      <c r="BC79" s="43"/>
      <c r="BD79" s="42" t="s">
        <v>3584</v>
      </c>
      <c r="BE79" s="42" t="s">
        <v>3584</v>
      </c>
      <c r="BF79" s="42" t="s">
        <v>5388</v>
      </c>
      <c r="BG79" s="43"/>
      <c r="BH79" s="45"/>
      <c r="BI79" s="42" t="s">
        <v>5389</v>
      </c>
      <c r="BJ79" s="42" t="s">
        <v>5390</v>
      </c>
      <c r="BK79" s="43"/>
      <c r="BL79" s="43"/>
      <c r="BM79" s="42" t="s">
        <v>5391</v>
      </c>
      <c r="BN79" s="43"/>
      <c r="BO79" s="43"/>
      <c r="BP79" s="42" t="s">
        <v>5392</v>
      </c>
      <c r="BQ79" s="45"/>
      <c r="BR79" s="41">
        <v>5.5</v>
      </c>
      <c r="BS79" s="42" t="s">
        <v>3593</v>
      </c>
      <c r="BT79" s="45"/>
      <c r="BU79" s="43"/>
      <c r="BV79" s="42" t="s">
        <v>3669</v>
      </c>
      <c r="BW79" s="42" t="s">
        <v>3595</v>
      </c>
      <c r="BX79" s="43"/>
      <c r="BY79" s="42" t="s">
        <v>3573</v>
      </c>
      <c r="BZ79" s="43"/>
      <c r="CA79" s="42" t="s">
        <v>3591</v>
      </c>
      <c r="CB79" s="46" t="s">
        <v>5393</v>
      </c>
      <c r="CC79" s="45"/>
      <c r="CD79" s="43"/>
      <c r="CE79" s="45"/>
      <c r="CF79" s="43"/>
      <c r="CG79" s="42" t="s">
        <v>4977</v>
      </c>
      <c r="CH79" s="43"/>
      <c r="CI79" s="43"/>
      <c r="CJ79" s="42" t="s">
        <v>3663</v>
      </c>
      <c r="CK79" s="45"/>
      <c r="CL79" s="45"/>
      <c r="CM79" s="43"/>
      <c r="CN79" s="42" t="s">
        <v>3591</v>
      </c>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1" t="s">
        <v>3600</v>
      </c>
      <c r="DP79" s="46" t="s">
        <v>4128</v>
      </c>
      <c r="DQ79" s="41">
        <v>16.0</v>
      </c>
      <c r="DR79" s="41">
        <v>9.0</v>
      </c>
      <c r="DS79" s="41">
        <v>4.0</v>
      </c>
      <c r="DT79" s="41">
        <v>2.0</v>
      </c>
      <c r="DU79" s="41">
        <v>2.0</v>
      </c>
      <c r="DV79" s="41">
        <v>10.0</v>
      </c>
      <c r="DW79" s="42" t="s">
        <v>5394</v>
      </c>
      <c r="DX79" s="45"/>
      <c r="DY79" s="43"/>
      <c r="DZ79" s="45"/>
      <c r="EA79" s="45"/>
      <c r="EB79" s="43"/>
      <c r="EC79" s="45"/>
      <c r="ED79" s="45"/>
      <c r="EE79" s="41">
        <v>198.11</v>
      </c>
      <c r="EF79" s="46" t="s">
        <v>5395</v>
      </c>
      <c r="EG79" s="42" t="s">
        <v>3594</v>
      </c>
      <c r="EH79" s="45"/>
      <c r="EI79" s="45"/>
      <c r="EJ79" s="45"/>
      <c r="EK79" s="42" t="s">
        <v>4381</v>
      </c>
      <c r="EL79" s="45"/>
      <c r="EM79" s="45"/>
      <c r="EN79" s="41">
        <v>3.18</v>
      </c>
      <c r="EO79" s="41">
        <v>3.18</v>
      </c>
      <c r="EP79" s="48" t="s">
        <v>3559</v>
      </c>
    </row>
    <row r="80">
      <c r="A80" s="37"/>
      <c r="B80" s="35" t="s">
        <v>5396</v>
      </c>
      <c r="C80" s="34"/>
      <c r="D80" s="34"/>
      <c r="E80" s="34"/>
      <c r="F80" s="34"/>
      <c r="G80" s="35" t="s">
        <v>5397</v>
      </c>
      <c r="H80" s="35" t="s">
        <v>4560</v>
      </c>
      <c r="I80" s="35" t="s">
        <v>4561</v>
      </c>
      <c r="J80" s="35" t="s">
        <v>66</v>
      </c>
      <c r="K80" s="35" t="s">
        <v>4562</v>
      </c>
      <c r="L80" s="34"/>
      <c r="M80" s="34"/>
      <c r="N80" s="35" t="s">
        <v>4923</v>
      </c>
      <c r="O80" s="35" t="s">
        <v>5398</v>
      </c>
      <c r="P80" s="35"/>
      <c r="R80" s="34"/>
      <c r="S80" s="35" t="s">
        <v>4925</v>
      </c>
      <c r="T80" s="35" t="s">
        <v>4926</v>
      </c>
      <c r="U80" s="40" t="s">
        <v>5399</v>
      </c>
      <c r="V80" s="36" t="s">
        <v>5400</v>
      </c>
      <c r="W80" s="37"/>
      <c r="X80" s="34"/>
      <c r="Y80" s="34"/>
      <c r="Z80" s="34"/>
      <c r="AA80" s="32">
        <v>2019.0</v>
      </c>
      <c r="AB80" s="34"/>
      <c r="AC80" s="34"/>
      <c r="AD80" s="34"/>
      <c r="AE80" s="37"/>
      <c r="AF80" s="37"/>
      <c r="AG80" s="37"/>
      <c r="AH80" s="37"/>
      <c r="AI80" s="37"/>
      <c r="AJ80" s="37"/>
      <c r="AK80" s="37"/>
      <c r="AL80" s="37"/>
      <c r="AM80" s="37"/>
      <c r="AN80" s="37"/>
      <c r="AO80" s="34"/>
      <c r="AP80" s="34"/>
      <c r="AQ80" s="34"/>
      <c r="AR80" s="34"/>
      <c r="AS80" s="34"/>
      <c r="AT80" s="35" t="s">
        <v>4718</v>
      </c>
      <c r="AU80" s="34"/>
      <c r="AV80" s="34"/>
      <c r="AW80" s="35" t="s">
        <v>4720</v>
      </c>
      <c r="AX80" s="35" t="s">
        <v>5401</v>
      </c>
      <c r="AY80" s="32">
        <v>44647.0</v>
      </c>
      <c r="AZ80" s="35" t="s">
        <v>41</v>
      </c>
      <c r="BA80" s="37"/>
      <c r="BB80" s="37"/>
      <c r="BC80" s="35" t="s">
        <v>5402</v>
      </c>
      <c r="BD80" s="35" t="s">
        <v>3584</v>
      </c>
      <c r="BE80" s="35" t="s">
        <v>3584</v>
      </c>
      <c r="BF80" s="34"/>
      <c r="BG80" s="34"/>
      <c r="BH80" s="37"/>
      <c r="BI80" s="34"/>
      <c r="BJ80" s="34"/>
      <c r="BK80" s="34"/>
      <c r="BL80" s="34"/>
      <c r="BM80" s="34"/>
      <c r="BN80" s="34"/>
      <c r="BO80" s="34"/>
      <c r="BP80" s="34"/>
      <c r="BQ80" s="37"/>
      <c r="BR80" s="37"/>
      <c r="BS80" s="34"/>
      <c r="BT80" s="37"/>
      <c r="BU80" s="34"/>
      <c r="BV80" s="34"/>
      <c r="BW80" s="34"/>
      <c r="BX80" s="34"/>
      <c r="BY80" s="34"/>
      <c r="BZ80" s="34"/>
      <c r="CA80" s="34"/>
      <c r="CB80" s="37"/>
      <c r="CC80" s="37"/>
      <c r="CD80" s="34"/>
      <c r="CE80" s="37"/>
      <c r="CF80" s="34"/>
      <c r="CG80" s="34"/>
      <c r="CH80" s="34"/>
      <c r="CI80" s="34"/>
      <c r="CJ80" s="34"/>
      <c r="CK80" s="37"/>
      <c r="CL80" s="37"/>
      <c r="CM80" s="34"/>
      <c r="CN80" s="34"/>
      <c r="CO80" s="39">
        <v>0.0</v>
      </c>
      <c r="CP80" s="32">
        <v>14.0</v>
      </c>
      <c r="CQ80" s="39">
        <v>0.0</v>
      </c>
      <c r="CR80" s="39">
        <v>0.0</v>
      </c>
      <c r="CS80" s="39">
        <v>0.0</v>
      </c>
      <c r="CT80" s="32">
        <v>12.0</v>
      </c>
      <c r="CU80" s="37"/>
      <c r="CV80" s="37"/>
      <c r="CW80" s="39">
        <v>0.0</v>
      </c>
      <c r="CX80" s="32">
        <v>12.0</v>
      </c>
      <c r="CY80" s="32" t="s">
        <v>5403</v>
      </c>
      <c r="CZ80" s="32">
        <v>13.0</v>
      </c>
      <c r="DA80" s="32" t="s">
        <v>3598</v>
      </c>
      <c r="DB80" s="39">
        <v>0.0</v>
      </c>
      <c r="DC80" s="32" t="s">
        <v>5403</v>
      </c>
      <c r="DD80" s="32">
        <v>14.0</v>
      </c>
      <c r="DE80" s="37"/>
      <c r="DF80" s="37"/>
      <c r="DG80" s="32" t="s">
        <v>5403</v>
      </c>
      <c r="DH80" s="32">
        <v>12.0</v>
      </c>
      <c r="DI80" s="37"/>
      <c r="DJ80" s="37"/>
      <c r="DK80" s="37"/>
      <c r="DL80" s="32">
        <v>8.0</v>
      </c>
      <c r="DM80" s="32">
        <v>0.0</v>
      </c>
      <c r="DN80" s="39">
        <v>0.0</v>
      </c>
      <c r="DO80" s="32" t="s">
        <v>5066</v>
      </c>
      <c r="DP80" s="38" t="s">
        <v>5404</v>
      </c>
      <c r="DQ80" s="37"/>
      <c r="DR80" s="37"/>
      <c r="DS80" s="37"/>
      <c r="DT80" s="37"/>
      <c r="DU80" s="37"/>
      <c r="DV80" s="37"/>
      <c r="DW80" s="34"/>
      <c r="DX80" s="37"/>
      <c r="DY80" s="34"/>
      <c r="DZ80" s="37"/>
      <c r="EA80" s="37"/>
      <c r="EB80" s="34"/>
      <c r="EC80" s="37"/>
      <c r="ED80" s="37"/>
      <c r="EE80" s="37"/>
      <c r="EF80" s="37"/>
      <c r="EG80" s="34"/>
      <c r="EH80" s="37"/>
      <c r="EI80" s="37"/>
      <c r="EJ80" s="37"/>
      <c r="EK80" s="34"/>
      <c r="EL80" s="37"/>
      <c r="EM80" s="37"/>
      <c r="EN80" s="37"/>
      <c r="EO80" s="37"/>
      <c r="EP80" s="40" t="s">
        <v>3559</v>
      </c>
    </row>
    <row r="81">
      <c r="A81" s="41">
        <v>24.86</v>
      </c>
      <c r="B81" s="42" t="s">
        <v>5405</v>
      </c>
      <c r="C81" s="43"/>
      <c r="D81" s="43"/>
      <c r="E81" s="42" t="s">
        <v>5406</v>
      </c>
      <c r="F81" s="43"/>
      <c r="G81" s="42" t="s">
        <v>5407</v>
      </c>
      <c r="H81" s="42" t="s">
        <v>3563</v>
      </c>
      <c r="I81" s="42" t="s">
        <v>3564</v>
      </c>
      <c r="J81" s="42" t="s">
        <v>3565</v>
      </c>
      <c r="K81" s="42" t="s">
        <v>5408</v>
      </c>
      <c r="L81" s="42" t="s">
        <v>5409</v>
      </c>
      <c r="M81" s="42" t="s">
        <v>5410</v>
      </c>
      <c r="N81" s="42" t="s">
        <v>5018</v>
      </c>
      <c r="O81" s="42" t="s">
        <v>5411</v>
      </c>
      <c r="P81" s="42"/>
      <c r="R81" s="42" t="s">
        <v>5412</v>
      </c>
      <c r="S81" s="42" t="s">
        <v>5236</v>
      </c>
      <c r="T81" s="42" t="s">
        <v>5413</v>
      </c>
      <c r="U81" s="44" t="s">
        <v>5414</v>
      </c>
      <c r="V81" s="44" t="s">
        <v>5415</v>
      </c>
      <c r="W81" s="41">
        <v>43.0</v>
      </c>
      <c r="X81" s="42" t="s">
        <v>5416</v>
      </c>
      <c r="Y81" s="42" t="s">
        <v>5417</v>
      </c>
      <c r="Z81" s="42" t="s">
        <v>5418</v>
      </c>
      <c r="AA81" s="41">
        <v>2009.0</v>
      </c>
      <c r="AB81" s="43"/>
      <c r="AC81" s="43"/>
      <c r="AD81" s="43"/>
      <c r="AE81" s="41">
        <v>0.49</v>
      </c>
      <c r="AF81" s="45"/>
      <c r="AG81" s="41">
        <v>-4.65</v>
      </c>
      <c r="AH81" s="41">
        <v>0.03</v>
      </c>
      <c r="AI81" s="41">
        <v>-4.45</v>
      </c>
      <c r="AJ81" s="41">
        <v>-4.7</v>
      </c>
      <c r="AK81" s="41">
        <v>4.78</v>
      </c>
      <c r="AL81" s="41">
        <v>-2.91</v>
      </c>
      <c r="AM81" s="47">
        <v>-0.2194</v>
      </c>
      <c r="AN81" s="41" t="s">
        <v>5419</v>
      </c>
      <c r="AO81" s="42" t="s">
        <v>5420</v>
      </c>
      <c r="AP81" s="42" t="s">
        <v>5421</v>
      </c>
      <c r="AQ81" s="42" t="s">
        <v>4093</v>
      </c>
      <c r="AR81" s="42" t="s">
        <v>5422</v>
      </c>
      <c r="AS81" s="43" t="str">
        <f>+972 (0)4 834 2360</f>
        <v>#ERROR!</v>
      </c>
      <c r="AT81" s="42" t="s">
        <v>3581</v>
      </c>
      <c r="AU81" s="42" t="s">
        <v>5423</v>
      </c>
      <c r="AV81" s="42" t="s">
        <v>5424</v>
      </c>
      <c r="AW81" s="42" t="s">
        <v>75</v>
      </c>
      <c r="AX81" s="43"/>
      <c r="AY81" s="41">
        <v>6107439.0</v>
      </c>
      <c r="AZ81" s="42" t="s">
        <v>41</v>
      </c>
      <c r="BA81" s="45" t="str">
        <f>+972 (0)4 834 2360</f>
        <v>#ERROR!</v>
      </c>
      <c r="BB81" s="45"/>
      <c r="BC81" s="42" t="s">
        <v>126</v>
      </c>
      <c r="BD81" s="42" t="s">
        <v>3584</v>
      </c>
      <c r="BE81" s="42" t="s">
        <v>3584</v>
      </c>
      <c r="BF81" s="42" t="s">
        <v>5425</v>
      </c>
      <c r="BG81" s="42" t="s">
        <v>5426</v>
      </c>
      <c r="BH81" s="41">
        <v>2.0</v>
      </c>
      <c r="BI81" s="43"/>
      <c r="BJ81" s="42" t="s">
        <v>5427</v>
      </c>
      <c r="BK81" s="43"/>
      <c r="BL81" s="42" t="s">
        <v>5428</v>
      </c>
      <c r="BM81" s="42" t="s">
        <v>5429</v>
      </c>
      <c r="BN81" s="43"/>
      <c r="BO81" s="43"/>
      <c r="BP81" s="42" t="s">
        <v>3695</v>
      </c>
      <c r="BQ81" s="46" t="s">
        <v>5430</v>
      </c>
      <c r="BR81" s="45"/>
      <c r="BS81" s="43"/>
      <c r="BT81" s="45"/>
      <c r="BU81" s="43"/>
      <c r="BV81" s="42" t="s">
        <v>3662</v>
      </c>
      <c r="BW81" s="43"/>
      <c r="BX81" s="43"/>
      <c r="BY81" s="42" t="s">
        <v>3663</v>
      </c>
      <c r="BZ81" s="43"/>
      <c r="CA81" s="42" t="s">
        <v>3591</v>
      </c>
      <c r="CB81" s="46" t="s">
        <v>5431</v>
      </c>
      <c r="CC81" s="41">
        <v>18.86</v>
      </c>
      <c r="CD81" s="42" t="s">
        <v>3593</v>
      </c>
      <c r="CE81" s="45"/>
      <c r="CF81" s="43"/>
      <c r="CG81" s="42" t="s">
        <v>5257</v>
      </c>
      <c r="CH81" s="43"/>
      <c r="CI81" s="43"/>
      <c r="CJ81" s="42" t="s">
        <v>3803</v>
      </c>
      <c r="CK81" s="45"/>
      <c r="CL81" s="45"/>
      <c r="CM81" s="43"/>
      <c r="CN81" s="42" t="s">
        <v>3591</v>
      </c>
      <c r="CO81" s="47">
        <v>0.0121</v>
      </c>
      <c r="CP81" s="41">
        <v>97.0</v>
      </c>
      <c r="CQ81" s="47">
        <v>0.0</v>
      </c>
      <c r="CR81" s="47">
        <v>0.0</v>
      </c>
      <c r="CS81" s="47">
        <v>0.0121</v>
      </c>
      <c r="CT81" s="41">
        <v>98.0</v>
      </c>
      <c r="CU81" s="45"/>
      <c r="CV81" s="45"/>
      <c r="CW81" s="47">
        <v>0.0121</v>
      </c>
      <c r="CX81" s="41">
        <v>98.0</v>
      </c>
      <c r="CY81" s="41" t="s">
        <v>5432</v>
      </c>
      <c r="CZ81" s="41">
        <v>91.0</v>
      </c>
      <c r="DA81" s="41" t="s">
        <v>3598</v>
      </c>
      <c r="DB81" s="47">
        <v>0.0</v>
      </c>
      <c r="DC81" s="41" t="s">
        <v>5432</v>
      </c>
      <c r="DD81" s="41">
        <v>91.0</v>
      </c>
      <c r="DE81" s="45"/>
      <c r="DF81" s="45"/>
      <c r="DG81" s="41" t="s">
        <v>5432</v>
      </c>
      <c r="DH81" s="41">
        <v>90.0</v>
      </c>
      <c r="DI81" s="45"/>
      <c r="DJ81" s="45"/>
      <c r="DK81" s="45"/>
      <c r="DL81" s="41">
        <v>229.0</v>
      </c>
      <c r="DM81" s="41">
        <v>2.0</v>
      </c>
      <c r="DN81" s="47">
        <v>0.0088</v>
      </c>
      <c r="DO81" s="41" t="s">
        <v>3600</v>
      </c>
      <c r="DP81" s="46" t="s">
        <v>5433</v>
      </c>
      <c r="DQ81" s="41">
        <v>8.0</v>
      </c>
      <c r="DR81" s="41">
        <v>2.0</v>
      </c>
      <c r="DS81" s="45"/>
      <c r="DT81" s="45"/>
      <c r="DU81" s="45"/>
      <c r="DV81" s="41">
        <v>8.0</v>
      </c>
      <c r="DW81" s="43"/>
      <c r="DX81" s="45"/>
      <c r="DY81" s="43"/>
      <c r="DZ81" s="45"/>
      <c r="EA81" s="45"/>
      <c r="EB81" s="43"/>
      <c r="EC81" s="45"/>
      <c r="ED81" s="45"/>
      <c r="EE81" s="41">
        <v>386.6</v>
      </c>
      <c r="EF81" s="46" t="s">
        <v>5434</v>
      </c>
      <c r="EG81" s="42" t="s">
        <v>4775</v>
      </c>
      <c r="EH81" s="45"/>
      <c r="EI81" s="45"/>
      <c r="EJ81" s="45"/>
      <c r="EK81" s="43"/>
      <c r="EL81" s="45"/>
      <c r="EM81" s="45"/>
      <c r="EN81" s="45"/>
      <c r="EO81" s="45"/>
      <c r="EP81" s="48" t="s">
        <v>3559</v>
      </c>
    </row>
    <row r="82">
      <c r="A82" s="37"/>
      <c r="B82" s="35" t="s">
        <v>5435</v>
      </c>
      <c r="C82" s="34"/>
      <c r="D82" s="34"/>
      <c r="E82" s="35" t="s">
        <v>5436</v>
      </c>
      <c r="F82" s="34"/>
      <c r="G82" s="35" t="s">
        <v>5437</v>
      </c>
      <c r="H82" s="35" t="s">
        <v>3867</v>
      </c>
      <c r="I82" s="35" t="s">
        <v>3868</v>
      </c>
      <c r="J82" s="35" t="s">
        <v>3869</v>
      </c>
      <c r="K82" s="35" t="s">
        <v>5438</v>
      </c>
      <c r="L82" s="34"/>
      <c r="M82" s="34"/>
      <c r="N82" s="35" t="s">
        <v>4923</v>
      </c>
      <c r="O82" s="35" t="s">
        <v>5439</v>
      </c>
      <c r="P82" s="35"/>
      <c r="R82" s="34"/>
      <c r="S82" s="35" t="s">
        <v>4925</v>
      </c>
      <c r="T82" s="35" t="s">
        <v>4926</v>
      </c>
      <c r="U82" s="36" t="s">
        <v>5440</v>
      </c>
      <c r="V82" s="36" t="s">
        <v>5441</v>
      </c>
      <c r="W82" s="32">
        <v>51.0</v>
      </c>
      <c r="X82" s="35" t="s">
        <v>5442</v>
      </c>
      <c r="Y82" s="34"/>
      <c r="Z82" s="34"/>
      <c r="AA82" s="37"/>
      <c r="AB82" s="34"/>
      <c r="AC82" s="34"/>
      <c r="AD82" s="34"/>
      <c r="AE82" s="37"/>
      <c r="AF82" s="37"/>
      <c r="AG82" s="37"/>
      <c r="AH82" s="37"/>
      <c r="AI82" s="37"/>
      <c r="AJ82" s="37"/>
      <c r="AK82" s="37"/>
      <c r="AL82" s="37"/>
      <c r="AM82" s="37"/>
      <c r="AN82" s="37"/>
      <c r="AO82" s="34"/>
      <c r="AP82" s="34"/>
      <c r="AQ82" s="34"/>
      <c r="AR82" s="34"/>
      <c r="AS82" s="34"/>
      <c r="AT82" s="35" t="s">
        <v>41</v>
      </c>
      <c r="AU82" s="34"/>
      <c r="AV82" s="34"/>
      <c r="AW82" s="34"/>
      <c r="AX82" s="34"/>
      <c r="AY82" s="32">
        <v>61181.0</v>
      </c>
      <c r="AZ82" s="35" t="s">
        <v>41</v>
      </c>
      <c r="BA82" s="37"/>
      <c r="BB82" s="37"/>
      <c r="BC82" s="34"/>
      <c r="BD82" s="35" t="s">
        <v>3584</v>
      </c>
      <c r="BE82" s="35" t="s">
        <v>3584</v>
      </c>
      <c r="BF82" s="34"/>
      <c r="BG82" s="34"/>
      <c r="BH82" s="37"/>
      <c r="BI82" s="34"/>
      <c r="BJ82" s="34"/>
      <c r="BK82" s="34"/>
      <c r="BL82" s="34"/>
      <c r="BM82" s="34"/>
      <c r="BN82" s="34"/>
      <c r="BO82" s="34"/>
      <c r="BP82" s="34"/>
      <c r="BQ82" s="37"/>
      <c r="BR82" s="37"/>
      <c r="BS82" s="34"/>
      <c r="BT82" s="37"/>
      <c r="BU82" s="34"/>
      <c r="BV82" s="34"/>
      <c r="BW82" s="34"/>
      <c r="BX82" s="34"/>
      <c r="BY82" s="34"/>
      <c r="BZ82" s="34"/>
      <c r="CA82" s="34"/>
      <c r="CB82" s="37"/>
      <c r="CC82" s="37"/>
      <c r="CD82" s="34"/>
      <c r="CE82" s="37"/>
      <c r="CF82" s="34"/>
      <c r="CG82" s="34"/>
      <c r="CH82" s="34"/>
      <c r="CI82" s="34"/>
      <c r="CJ82" s="34"/>
      <c r="CK82" s="37"/>
      <c r="CL82" s="37"/>
      <c r="CM82" s="34"/>
      <c r="CN82" s="34"/>
      <c r="CO82" s="39">
        <v>-0.0179</v>
      </c>
      <c r="CP82" s="32">
        <v>4.0</v>
      </c>
      <c r="CQ82" s="39">
        <v>0.0</v>
      </c>
      <c r="CR82" s="39">
        <v>0.0</v>
      </c>
      <c r="CS82" s="39">
        <v>-0.0359</v>
      </c>
      <c r="CT82" s="32">
        <v>3.0</v>
      </c>
      <c r="CU82" s="39">
        <v>-0.079</v>
      </c>
      <c r="CV82" s="32">
        <v>1.0</v>
      </c>
      <c r="CW82" s="39">
        <v>0.0073</v>
      </c>
      <c r="CX82" s="32">
        <v>96.0</v>
      </c>
      <c r="CY82" s="32" t="s">
        <v>5443</v>
      </c>
      <c r="CZ82" s="32">
        <v>91.0</v>
      </c>
      <c r="DA82" s="32" t="s">
        <v>3598</v>
      </c>
      <c r="DB82" s="39">
        <v>0.0</v>
      </c>
      <c r="DC82" s="32" t="s">
        <v>5444</v>
      </c>
      <c r="DD82" s="32">
        <v>94.0</v>
      </c>
      <c r="DE82" s="32" t="s">
        <v>5445</v>
      </c>
      <c r="DF82" s="32">
        <v>87.0</v>
      </c>
      <c r="DG82" s="32" t="s">
        <v>5446</v>
      </c>
      <c r="DH82" s="32">
        <v>94.0</v>
      </c>
      <c r="DI82" s="49">
        <v>1469.0</v>
      </c>
      <c r="DJ82" s="32">
        <v>2.0</v>
      </c>
      <c r="DK82" s="39">
        <v>0.0014</v>
      </c>
      <c r="DL82" s="32">
        <v>320.0</v>
      </c>
      <c r="DM82" s="32">
        <v>2.0</v>
      </c>
      <c r="DN82" s="39">
        <v>0.0063</v>
      </c>
      <c r="DO82" s="32" t="s">
        <v>5066</v>
      </c>
      <c r="DP82" s="38" t="s">
        <v>5447</v>
      </c>
      <c r="DQ82" s="37"/>
      <c r="DR82" s="37"/>
      <c r="DS82" s="37"/>
      <c r="DT82" s="37"/>
      <c r="DU82" s="37"/>
      <c r="DV82" s="37"/>
      <c r="DW82" s="34"/>
      <c r="DX82" s="37"/>
      <c r="DY82" s="34"/>
      <c r="DZ82" s="37"/>
      <c r="EA82" s="37"/>
      <c r="EB82" s="34"/>
      <c r="EC82" s="37"/>
      <c r="ED82" s="37"/>
      <c r="EE82" s="37"/>
      <c r="EF82" s="37"/>
      <c r="EG82" s="34"/>
      <c r="EH82" s="37"/>
      <c r="EI82" s="37"/>
      <c r="EJ82" s="37"/>
      <c r="EK82" s="34"/>
      <c r="EL82" s="37"/>
      <c r="EM82" s="37"/>
      <c r="EN82" s="37"/>
      <c r="EO82" s="37"/>
      <c r="EP82" s="40" t="s">
        <v>3559</v>
      </c>
    </row>
    <row r="83">
      <c r="A83" s="41">
        <v>2.82</v>
      </c>
      <c r="B83" s="42" t="s">
        <v>5448</v>
      </c>
      <c r="C83" s="43"/>
      <c r="D83" s="43"/>
      <c r="E83" s="42" t="s">
        <v>5449</v>
      </c>
      <c r="F83" s="43"/>
      <c r="G83" s="42" t="s">
        <v>5450</v>
      </c>
      <c r="H83" s="42" t="s">
        <v>4560</v>
      </c>
      <c r="I83" s="42" t="s">
        <v>4561</v>
      </c>
      <c r="J83" s="42" t="s">
        <v>66</v>
      </c>
      <c r="K83" s="42" t="s">
        <v>4562</v>
      </c>
      <c r="L83" s="42" t="s">
        <v>5451</v>
      </c>
      <c r="M83" s="42" t="s">
        <v>5452</v>
      </c>
      <c r="N83" s="42" t="s">
        <v>5018</v>
      </c>
      <c r="O83" s="42" t="s">
        <v>5453</v>
      </c>
      <c r="P83" s="42"/>
      <c r="R83" s="42" t="s">
        <v>5222</v>
      </c>
      <c r="S83" s="42" t="s">
        <v>5222</v>
      </c>
      <c r="T83" s="42" t="s">
        <v>3573</v>
      </c>
      <c r="U83" s="44" t="s">
        <v>5454</v>
      </c>
      <c r="V83" s="43"/>
      <c r="W83" s="41">
        <v>2.0</v>
      </c>
      <c r="X83" s="42" t="s">
        <v>5455</v>
      </c>
      <c r="Y83" s="43"/>
      <c r="Z83" s="43"/>
      <c r="AA83" s="41">
        <v>2014.0</v>
      </c>
      <c r="AB83" s="43"/>
      <c r="AC83" s="43"/>
      <c r="AD83" s="43"/>
      <c r="AE83" s="45"/>
      <c r="AF83" s="45"/>
      <c r="AG83" s="45"/>
      <c r="AH83" s="45"/>
      <c r="AI83" s="45"/>
      <c r="AJ83" s="45"/>
      <c r="AK83" s="45"/>
      <c r="AL83" s="45"/>
      <c r="AM83" s="45"/>
      <c r="AN83" s="45"/>
      <c r="AO83" s="43"/>
      <c r="AP83" s="43"/>
      <c r="AQ83" s="43"/>
      <c r="AR83" s="43"/>
      <c r="AS83" s="43"/>
      <c r="AT83" s="42" t="s">
        <v>5456</v>
      </c>
      <c r="AU83" s="43"/>
      <c r="AV83" s="43"/>
      <c r="AW83" s="42" t="s">
        <v>5457</v>
      </c>
      <c r="AX83" s="43"/>
      <c r="AY83" s="41">
        <v>9984500.0</v>
      </c>
      <c r="AZ83" s="42" t="s">
        <v>41</v>
      </c>
      <c r="BA83" s="45" t="str">
        <f>+972 (0)54 458 0413</f>
        <v>#ERROR!</v>
      </c>
      <c r="BB83" s="45"/>
      <c r="BC83" s="43"/>
      <c r="BD83" s="42" t="s">
        <v>3584</v>
      </c>
      <c r="BE83" s="42" t="s">
        <v>3584</v>
      </c>
      <c r="BF83" s="42" t="s">
        <v>5458</v>
      </c>
      <c r="BG83" s="43"/>
      <c r="BH83" s="45"/>
      <c r="BI83" s="43"/>
      <c r="BJ83" s="42" t="s">
        <v>5459</v>
      </c>
      <c r="BK83" s="43"/>
      <c r="BL83" s="43"/>
      <c r="BM83" s="42" t="s">
        <v>5460</v>
      </c>
      <c r="BN83" s="43"/>
      <c r="BO83" s="43"/>
      <c r="BP83" s="42" t="s">
        <v>5461</v>
      </c>
      <c r="BQ83" s="46" t="s">
        <v>3661</v>
      </c>
      <c r="BR83" s="41">
        <v>0.25</v>
      </c>
      <c r="BS83" s="42" t="s">
        <v>3593</v>
      </c>
      <c r="BT83" s="45"/>
      <c r="BU83" s="43"/>
      <c r="BV83" s="42" t="s">
        <v>5462</v>
      </c>
      <c r="BW83" s="43"/>
      <c r="BX83" s="43"/>
      <c r="BY83" s="42" t="s">
        <v>3803</v>
      </c>
      <c r="BZ83" s="43"/>
      <c r="CA83" s="42" t="s">
        <v>3591</v>
      </c>
      <c r="CB83" s="46" t="s">
        <v>5463</v>
      </c>
      <c r="CC83" s="45"/>
      <c r="CD83" s="43"/>
      <c r="CE83" s="45"/>
      <c r="CF83" s="43"/>
      <c r="CG83" s="42" t="s">
        <v>5222</v>
      </c>
      <c r="CH83" s="43"/>
      <c r="CI83" s="43"/>
      <c r="CJ83" s="42" t="s">
        <v>5222</v>
      </c>
      <c r="CK83" s="45"/>
      <c r="CL83" s="45"/>
      <c r="CM83" s="43"/>
      <c r="CN83" s="42" t="s">
        <v>3591</v>
      </c>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1" t="s">
        <v>3600</v>
      </c>
      <c r="DP83" s="46" t="s">
        <v>5464</v>
      </c>
      <c r="DQ83" s="41">
        <v>5.0</v>
      </c>
      <c r="DR83" s="41">
        <v>1.0</v>
      </c>
      <c r="DS83" s="45"/>
      <c r="DT83" s="45"/>
      <c r="DU83" s="45"/>
      <c r="DV83" s="41">
        <v>5.0</v>
      </c>
      <c r="DW83" s="43"/>
      <c r="DX83" s="45"/>
      <c r="DY83" s="43"/>
      <c r="DZ83" s="45"/>
      <c r="EA83" s="45"/>
      <c r="EB83" s="43"/>
      <c r="EC83" s="45"/>
      <c r="ED83" s="45"/>
      <c r="EE83" s="41">
        <v>9.21</v>
      </c>
      <c r="EF83" s="46" t="s">
        <v>5465</v>
      </c>
      <c r="EG83" s="42" t="s">
        <v>3698</v>
      </c>
      <c r="EH83" s="45"/>
      <c r="EI83" s="45"/>
      <c r="EJ83" s="45"/>
      <c r="EK83" s="43"/>
      <c r="EL83" s="45"/>
      <c r="EM83" s="45"/>
      <c r="EN83" s="45"/>
      <c r="EO83" s="45"/>
      <c r="EP83" s="48" t="s">
        <v>3559</v>
      </c>
    </row>
    <row r="84">
      <c r="A84" s="37"/>
      <c r="B84" s="35" t="s">
        <v>5466</v>
      </c>
      <c r="C84" s="34"/>
      <c r="D84" s="34"/>
      <c r="E84" s="34"/>
      <c r="F84" s="34"/>
      <c r="G84" s="35" t="s">
        <v>5467</v>
      </c>
      <c r="H84" s="35" t="s">
        <v>3563</v>
      </c>
      <c r="I84" s="35" t="s">
        <v>3564</v>
      </c>
      <c r="J84" s="35" t="s">
        <v>3565</v>
      </c>
      <c r="K84" s="35" t="s">
        <v>5468</v>
      </c>
      <c r="L84" s="35" t="s">
        <v>5073</v>
      </c>
      <c r="M84" s="35" t="s">
        <v>5469</v>
      </c>
      <c r="N84" s="35" t="s">
        <v>4923</v>
      </c>
      <c r="O84" s="35" t="s">
        <v>5470</v>
      </c>
      <c r="P84" s="35"/>
      <c r="R84" s="35" t="s">
        <v>3571</v>
      </c>
      <c r="S84" s="35" t="s">
        <v>4925</v>
      </c>
      <c r="T84" s="35" t="s">
        <v>4926</v>
      </c>
      <c r="U84" s="36" t="s">
        <v>5471</v>
      </c>
      <c r="V84" s="34"/>
      <c r="W84" s="37"/>
      <c r="X84" s="34"/>
      <c r="Y84" s="34"/>
      <c r="Z84" s="34"/>
      <c r="AA84" s="32">
        <v>2021.0</v>
      </c>
      <c r="AB84" s="34"/>
      <c r="AC84" s="34"/>
      <c r="AD84" s="34"/>
      <c r="AE84" s="37"/>
      <c r="AF84" s="37"/>
      <c r="AG84" s="37"/>
      <c r="AH84" s="37"/>
      <c r="AI84" s="37"/>
      <c r="AJ84" s="37"/>
      <c r="AK84" s="37"/>
      <c r="AL84" s="37"/>
      <c r="AM84" s="37"/>
      <c r="AN84" s="37"/>
      <c r="AO84" s="34"/>
      <c r="AP84" s="34"/>
      <c r="AQ84" s="34"/>
      <c r="AR84" s="34"/>
      <c r="AS84" s="34"/>
      <c r="AT84" s="35" t="s">
        <v>5472</v>
      </c>
      <c r="AU84" s="35" t="s">
        <v>5473</v>
      </c>
      <c r="AV84" s="34"/>
      <c r="AW84" s="35" t="s">
        <v>5474</v>
      </c>
      <c r="AX84" s="34"/>
      <c r="AY84" s="37"/>
      <c r="AZ84" s="35" t="s">
        <v>41</v>
      </c>
      <c r="BA84" s="37" t="str">
        <f>+972 (0)54 631 3796</f>
        <v>#ERROR!</v>
      </c>
      <c r="BB84" s="37"/>
      <c r="BC84" s="34"/>
      <c r="BD84" s="35" t="s">
        <v>3584</v>
      </c>
      <c r="BE84" s="35" t="s">
        <v>3584</v>
      </c>
      <c r="BF84" s="34"/>
      <c r="BG84" s="34"/>
      <c r="BH84" s="37"/>
      <c r="BI84" s="34"/>
      <c r="BJ84" s="34"/>
      <c r="BK84" s="34"/>
      <c r="BL84" s="34"/>
      <c r="BM84" s="34"/>
      <c r="BN84" s="34"/>
      <c r="BO84" s="34"/>
      <c r="BP84" s="34"/>
      <c r="BQ84" s="37"/>
      <c r="BR84" s="37"/>
      <c r="BS84" s="34"/>
      <c r="BT84" s="37"/>
      <c r="BU84" s="34"/>
      <c r="BV84" s="34"/>
      <c r="BW84" s="34"/>
      <c r="BX84" s="34"/>
      <c r="BY84" s="34"/>
      <c r="BZ84" s="34"/>
      <c r="CA84" s="34"/>
      <c r="CB84" s="37"/>
      <c r="CC84" s="37"/>
      <c r="CD84" s="34"/>
      <c r="CE84" s="37"/>
      <c r="CF84" s="34"/>
      <c r="CG84" s="34"/>
      <c r="CH84" s="34"/>
      <c r="CI84" s="34"/>
      <c r="CJ84" s="34"/>
      <c r="CK84" s="37"/>
      <c r="CL84" s="37"/>
      <c r="CM84" s="34"/>
      <c r="CN84" s="34"/>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2" t="s">
        <v>3600</v>
      </c>
      <c r="DP84" s="38" t="s">
        <v>5475</v>
      </c>
      <c r="DQ84" s="37"/>
      <c r="DR84" s="37"/>
      <c r="DS84" s="37"/>
      <c r="DT84" s="37"/>
      <c r="DU84" s="37"/>
      <c r="DV84" s="37"/>
      <c r="DW84" s="34"/>
      <c r="DX84" s="37"/>
      <c r="DY84" s="34"/>
      <c r="DZ84" s="37"/>
      <c r="EA84" s="37"/>
      <c r="EB84" s="34"/>
      <c r="EC84" s="37"/>
      <c r="ED84" s="37"/>
      <c r="EE84" s="37"/>
      <c r="EF84" s="37"/>
      <c r="EG84" s="34"/>
      <c r="EH84" s="37"/>
      <c r="EI84" s="37"/>
      <c r="EJ84" s="37"/>
      <c r="EK84" s="34"/>
      <c r="EL84" s="37"/>
      <c r="EM84" s="37"/>
      <c r="EN84" s="37"/>
      <c r="EO84" s="37"/>
      <c r="EP84" s="40" t="s">
        <v>3559</v>
      </c>
    </row>
    <row r="85">
      <c r="A85" s="45"/>
      <c r="B85" s="42" t="s">
        <v>5476</v>
      </c>
      <c r="C85" s="43"/>
      <c r="D85" s="43"/>
      <c r="E85" s="43"/>
      <c r="F85" s="43"/>
      <c r="G85" s="42" t="s">
        <v>5477</v>
      </c>
      <c r="H85" s="42" t="s">
        <v>3563</v>
      </c>
      <c r="I85" s="42" t="s">
        <v>3564</v>
      </c>
      <c r="J85" s="42" t="s">
        <v>5478</v>
      </c>
      <c r="K85" s="42" t="s">
        <v>5479</v>
      </c>
      <c r="L85" s="42" t="s">
        <v>3612</v>
      </c>
      <c r="M85" s="42" t="s">
        <v>5480</v>
      </c>
      <c r="N85" s="42" t="s">
        <v>5481</v>
      </c>
      <c r="O85" s="42" t="s">
        <v>5482</v>
      </c>
      <c r="P85" s="42"/>
      <c r="R85" s="42" t="s">
        <v>5222</v>
      </c>
      <c r="S85" s="42" t="s">
        <v>5222</v>
      </c>
      <c r="T85" s="42" t="s">
        <v>5147</v>
      </c>
      <c r="U85" s="44" t="s">
        <v>5483</v>
      </c>
      <c r="V85" s="43"/>
      <c r="W85" s="45"/>
      <c r="X85" s="43"/>
      <c r="Y85" s="43"/>
      <c r="Z85" s="43"/>
      <c r="AA85" s="41">
        <v>2010.0</v>
      </c>
      <c r="AB85" s="43"/>
      <c r="AC85" s="43"/>
      <c r="AD85" s="43"/>
      <c r="AE85" s="45"/>
      <c r="AF85" s="45"/>
      <c r="AG85" s="45"/>
      <c r="AH85" s="45"/>
      <c r="AI85" s="45"/>
      <c r="AJ85" s="45"/>
      <c r="AK85" s="45"/>
      <c r="AL85" s="45"/>
      <c r="AM85" s="45"/>
      <c r="AN85" s="45"/>
      <c r="AO85" s="43"/>
      <c r="AP85" s="43"/>
      <c r="AQ85" s="43"/>
      <c r="AR85" s="43"/>
      <c r="AS85" s="43"/>
      <c r="AT85" s="42" t="s">
        <v>3581</v>
      </c>
      <c r="AU85" s="43"/>
      <c r="AV85" s="43"/>
      <c r="AW85" s="42" t="s">
        <v>75</v>
      </c>
      <c r="AX85" s="43"/>
      <c r="AY85" s="45"/>
      <c r="AZ85" s="42" t="s">
        <v>41</v>
      </c>
      <c r="BA85" s="45"/>
      <c r="BB85" s="45"/>
      <c r="BC85" s="43"/>
      <c r="BD85" s="42" t="s">
        <v>3584</v>
      </c>
      <c r="BE85" s="42" t="s">
        <v>3584</v>
      </c>
      <c r="BF85" s="42" t="s">
        <v>5484</v>
      </c>
      <c r="BG85" s="43"/>
      <c r="BH85" s="45"/>
      <c r="BI85" s="43"/>
      <c r="BJ85" s="42" t="s">
        <v>5485</v>
      </c>
      <c r="BK85" s="43"/>
      <c r="BL85" s="43"/>
      <c r="BM85" s="42" t="s">
        <v>5486</v>
      </c>
      <c r="BN85" s="43"/>
      <c r="BO85" s="43"/>
      <c r="BP85" s="43"/>
      <c r="BQ85" s="45"/>
      <c r="BR85" s="45"/>
      <c r="BS85" s="43"/>
      <c r="BT85" s="45"/>
      <c r="BU85" s="43"/>
      <c r="BV85" s="42" t="s">
        <v>3589</v>
      </c>
      <c r="BW85" s="43"/>
      <c r="BX85" s="43"/>
      <c r="BY85" s="42" t="s">
        <v>3590</v>
      </c>
      <c r="BZ85" s="43"/>
      <c r="CA85" s="42" t="s">
        <v>3591</v>
      </c>
      <c r="CB85" s="46" t="s">
        <v>5487</v>
      </c>
      <c r="CC85" s="45"/>
      <c r="CD85" s="43"/>
      <c r="CE85" s="45"/>
      <c r="CF85" s="43"/>
      <c r="CG85" s="42" t="s">
        <v>5222</v>
      </c>
      <c r="CH85" s="43"/>
      <c r="CI85" s="43"/>
      <c r="CJ85" s="42" t="s">
        <v>5222</v>
      </c>
      <c r="CK85" s="45"/>
      <c r="CL85" s="45"/>
      <c r="CM85" s="43"/>
      <c r="CN85" s="42" t="s">
        <v>3591</v>
      </c>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1" t="s">
        <v>3600</v>
      </c>
      <c r="DP85" s="46" t="s">
        <v>5177</v>
      </c>
      <c r="DQ85" s="45"/>
      <c r="DR85" s="45"/>
      <c r="DS85" s="45"/>
      <c r="DT85" s="45"/>
      <c r="DU85" s="45"/>
      <c r="DV85" s="45"/>
      <c r="DW85" s="43"/>
      <c r="DX85" s="45"/>
      <c r="DY85" s="43"/>
      <c r="DZ85" s="45"/>
      <c r="EA85" s="45"/>
      <c r="EB85" s="43"/>
      <c r="EC85" s="45"/>
      <c r="ED85" s="45"/>
      <c r="EE85" s="45"/>
      <c r="EF85" s="45"/>
      <c r="EG85" s="43"/>
      <c r="EH85" s="45"/>
      <c r="EI85" s="45"/>
      <c r="EJ85" s="45"/>
      <c r="EK85" s="43"/>
      <c r="EL85" s="45"/>
      <c r="EM85" s="45"/>
      <c r="EN85" s="45"/>
      <c r="EO85" s="45"/>
      <c r="EP85" s="48" t="s">
        <v>3559</v>
      </c>
    </row>
    <row r="86">
      <c r="A86" s="32">
        <v>6.0</v>
      </c>
      <c r="B86" s="35" t="s">
        <v>5488</v>
      </c>
      <c r="C86" s="34"/>
      <c r="D86" s="34"/>
      <c r="E86" s="35" t="s">
        <v>5489</v>
      </c>
      <c r="F86" s="35" t="s">
        <v>5490</v>
      </c>
      <c r="G86" s="35" t="s">
        <v>5491</v>
      </c>
      <c r="H86" s="35" t="s">
        <v>3563</v>
      </c>
      <c r="I86" s="35" t="s">
        <v>3564</v>
      </c>
      <c r="J86" s="35" t="s">
        <v>2368</v>
      </c>
      <c r="K86" s="35" t="s">
        <v>5492</v>
      </c>
      <c r="L86" s="35" t="s">
        <v>5493</v>
      </c>
      <c r="M86" s="35" t="s">
        <v>5494</v>
      </c>
      <c r="N86" s="35" t="s">
        <v>5018</v>
      </c>
      <c r="O86" s="35" t="s">
        <v>5495</v>
      </c>
      <c r="P86" s="35"/>
      <c r="R86" s="35" t="s">
        <v>5496</v>
      </c>
      <c r="S86" s="35" t="s">
        <v>5222</v>
      </c>
      <c r="T86" s="35" t="s">
        <v>3573</v>
      </c>
      <c r="U86" s="36" t="s">
        <v>5497</v>
      </c>
      <c r="V86" s="34"/>
      <c r="W86" s="32">
        <v>11.0</v>
      </c>
      <c r="X86" s="35" t="s">
        <v>5498</v>
      </c>
      <c r="Y86" s="34"/>
      <c r="Z86" s="34"/>
      <c r="AA86" s="32">
        <v>2017.0</v>
      </c>
      <c r="AB86" s="34"/>
      <c r="AC86" s="34"/>
      <c r="AD86" s="34"/>
      <c r="AE86" s="37"/>
      <c r="AF86" s="37"/>
      <c r="AG86" s="37"/>
      <c r="AH86" s="37"/>
      <c r="AI86" s="37"/>
      <c r="AJ86" s="37"/>
      <c r="AK86" s="37"/>
      <c r="AL86" s="37"/>
      <c r="AM86" s="37"/>
      <c r="AN86" s="37"/>
      <c r="AO86" s="34"/>
      <c r="AP86" s="34"/>
      <c r="AQ86" s="34"/>
      <c r="AR86" s="34"/>
      <c r="AS86" s="34"/>
      <c r="AT86" s="35" t="s">
        <v>3581</v>
      </c>
      <c r="AU86" s="35" t="s">
        <v>5499</v>
      </c>
      <c r="AV86" s="35" t="s">
        <v>5500</v>
      </c>
      <c r="AW86" s="35" t="s">
        <v>75</v>
      </c>
      <c r="AX86" s="34"/>
      <c r="AY86" s="32">
        <v>6971901.0</v>
      </c>
      <c r="AZ86" s="35" t="s">
        <v>41</v>
      </c>
      <c r="BA86" s="37"/>
      <c r="BB86" s="37"/>
      <c r="BC86" s="34"/>
      <c r="BD86" s="35" t="s">
        <v>3584</v>
      </c>
      <c r="BE86" s="35" t="s">
        <v>3584</v>
      </c>
      <c r="BF86" s="35" t="s">
        <v>5501</v>
      </c>
      <c r="BG86" s="34"/>
      <c r="BH86" s="37"/>
      <c r="BI86" s="34"/>
      <c r="BJ86" s="35" t="s">
        <v>5502</v>
      </c>
      <c r="BK86" s="34"/>
      <c r="BL86" s="34"/>
      <c r="BM86" s="35" t="s">
        <v>5503</v>
      </c>
      <c r="BN86" s="34"/>
      <c r="BO86" s="34"/>
      <c r="BP86" s="34"/>
      <c r="BQ86" s="37"/>
      <c r="BR86" s="37"/>
      <c r="BS86" s="34"/>
      <c r="BT86" s="37"/>
      <c r="BU86" s="34"/>
      <c r="BV86" s="35" t="s">
        <v>3589</v>
      </c>
      <c r="BW86" s="34"/>
      <c r="BX86" s="34"/>
      <c r="BY86" s="35" t="s">
        <v>3590</v>
      </c>
      <c r="BZ86" s="34"/>
      <c r="CA86" s="35" t="s">
        <v>3591</v>
      </c>
      <c r="CB86" s="38" t="s">
        <v>5504</v>
      </c>
      <c r="CC86" s="37"/>
      <c r="CD86" s="34"/>
      <c r="CE86" s="37"/>
      <c r="CF86" s="34"/>
      <c r="CG86" s="35" t="s">
        <v>5496</v>
      </c>
      <c r="CH86" s="34"/>
      <c r="CI86" s="34"/>
      <c r="CJ86" s="35" t="s">
        <v>5505</v>
      </c>
      <c r="CK86" s="37"/>
      <c r="CL86" s="37"/>
      <c r="CM86" s="34"/>
      <c r="CN86" s="35" t="s">
        <v>3591</v>
      </c>
      <c r="CO86" s="37"/>
      <c r="CP86" s="37"/>
      <c r="CQ86" s="37"/>
      <c r="CR86" s="37"/>
      <c r="CS86" s="37"/>
      <c r="CT86" s="37"/>
      <c r="CU86" s="37"/>
      <c r="CV86" s="37"/>
      <c r="CW86" s="37"/>
      <c r="CX86" s="37"/>
      <c r="CY86" s="37"/>
      <c r="CZ86" s="37"/>
      <c r="DA86" s="37"/>
      <c r="DB86" s="37"/>
      <c r="DC86" s="37"/>
      <c r="DD86" s="37"/>
      <c r="DE86" s="37"/>
      <c r="DF86" s="37"/>
      <c r="DG86" s="37"/>
      <c r="DH86" s="37"/>
      <c r="DI86" s="37"/>
      <c r="DJ86" s="37"/>
      <c r="DK86" s="37"/>
      <c r="DL86" s="37"/>
      <c r="DM86" s="37"/>
      <c r="DN86" s="37"/>
      <c r="DO86" s="32" t="s">
        <v>3600</v>
      </c>
      <c r="DP86" s="38" t="s">
        <v>5506</v>
      </c>
      <c r="DQ86" s="37"/>
      <c r="DR86" s="37"/>
      <c r="DS86" s="37"/>
      <c r="DT86" s="37"/>
      <c r="DU86" s="37"/>
      <c r="DV86" s="37"/>
      <c r="DW86" s="34"/>
      <c r="DX86" s="37"/>
      <c r="DY86" s="34"/>
      <c r="DZ86" s="37"/>
      <c r="EA86" s="37"/>
      <c r="EB86" s="34"/>
      <c r="EC86" s="37"/>
      <c r="ED86" s="37"/>
      <c r="EE86" s="32">
        <v>23.62</v>
      </c>
      <c r="EF86" s="38" t="s">
        <v>3704</v>
      </c>
      <c r="EG86" s="35" t="s">
        <v>3669</v>
      </c>
      <c r="EH86" s="37"/>
      <c r="EI86" s="37"/>
      <c r="EJ86" s="37"/>
      <c r="EK86" s="35" t="s">
        <v>5507</v>
      </c>
      <c r="EL86" s="37"/>
      <c r="EM86" s="37"/>
      <c r="EN86" s="37"/>
      <c r="EO86" s="37"/>
      <c r="EP86" s="40" t="s">
        <v>3559</v>
      </c>
    </row>
    <row r="87">
      <c r="A87" s="45"/>
      <c r="B87" s="42" t="s">
        <v>5508</v>
      </c>
      <c r="C87" s="43"/>
      <c r="D87" s="43"/>
      <c r="E87" s="42" t="s">
        <v>5509</v>
      </c>
      <c r="F87" s="43"/>
      <c r="G87" s="42" t="s">
        <v>5510</v>
      </c>
      <c r="H87" s="42" t="s">
        <v>4560</v>
      </c>
      <c r="I87" s="42" t="s">
        <v>4561</v>
      </c>
      <c r="J87" s="42" t="s">
        <v>5511</v>
      </c>
      <c r="K87" s="42" t="s">
        <v>5512</v>
      </c>
      <c r="L87" s="42" t="s">
        <v>5513</v>
      </c>
      <c r="M87" s="42" t="s">
        <v>5514</v>
      </c>
      <c r="N87" s="42" t="s">
        <v>5481</v>
      </c>
      <c r="O87" s="42" t="s">
        <v>5515</v>
      </c>
      <c r="P87" s="42"/>
      <c r="R87" s="42" t="s">
        <v>5222</v>
      </c>
      <c r="S87" s="42" t="s">
        <v>5222</v>
      </c>
      <c r="T87" s="42" t="s">
        <v>5147</v>
      </c>
      <c r="U87" s="44" t="s">
        <v>5516</v>
      </c>
      <c r="V87" s="43"/>
      <c r="W87" s="45"/>
      <c r="X87" s="43"/>
      <c r="Y87" s="43"/>
      <c r="Z87" s="43"/>
      <c r="AA87" s="41">
        <v>2011.0</v>
      </c>
      <c r="AB87" s="43"/>
      <c r="AC87" s="43"/>
      <c r="AD87" s="43"/>
      <c r="AE87" s="45"/>
      <c r="AF87" s="45"/>
      <c r="AG87" s="45"/>
      <c r="AH87" s="45"/>
      <c r="AI87" s="45"/>
      <c r="AJ87" s="45"/>
      <c r="AK87" s="45"/>
      <c r="AL87" s="45"/>
      <c r="AM87" s="45"/>
      <c r="AN87" s="45"/>
      <c r="AO87" s="43"/>
      <c r="AP87" s="43"/>
      <c r="AQ87" s="43"/>
      <c r="AR87" s="43"/>
      <c r="AS87" s="43"/>
      <c r="AT87" s="42" t="s">
        <v>3581</v>
      </c>
      <c r="AU87" s="43"/>
      <c r="AV87" s="43"/>
      <c r="AW87" s="42" t="s">
        <v>75</v>
      </c>
      <c r="AX87" s="43"/>
      <c r="AY87" s="45"/>
      <c r="AZ87" s="42" t="s">
        <v>41</v>
      </c>
      <c r="BA87" s="45"/>
      <c r="BB87" s="45"/>
      <c r="BC87" s="43"/>
      <c r="BD87" s="42" t="s">
        <v>3584</v>
      </c>
      <c r="BE87" s="42" t="s">
        <v>3584</v>
      </c>
      <c r="BF87" s="42" t="s">
        <v>5517</v>
      </c>
      <c r="BG87" s="43"/>
      <c r="BH87" s="45"/>
      <c r="BI87" s="43"/>
      <c r="BJ87" s="42" t="s">
        <v>5518</v>
      </c>
      <c r="BK87" s="43"/>
      <c r="BL87" s="43"/>
      <c r="BM87" s="42" t="s">
        <v>5519</v>
      </c>
      <c r="BN87" s="43"/>
      <c r="BO87" s="43"/>
      <c r="BP87" s="43"/>
      <c r="BQ87" s="46" t="s">
        <v>5520</v>
      </c>
      <c r="BR87" s="45"/>
      <c r="BS87" s="43"/>
      <c r="BT87" s="45"/>
      <c r="BU87" s="43"/>
      <c r="BV87" s="42" t="s">
        <v>3589</v>
      </c>
      <c r="BW87" s="43"/>
      <c r="BX87" s="43"/>
      <c r="BY87" s="42" t="s">
        <v>3590</v>
      </c>
      <c r="BZ87" s="43"/>
      <c r="CA87" s="42" t="s">
        <v>3591</v>
      </c>
      <c r="CB87" s="46" t="s">
        <v>4662</v>
      </c>
      <c r="CC87" s="45"/>
      <c r="CD87" s="43"/>
      <c r="CE87" s="45"/>
      <c r="CF87" s="43"/>
      <c r="CG87" s="42" t="s">
        <v>5222</v>
      </c>
      <c r="CH87" s="43"/>
      <c r="CI87" s="43"/>
      <c r="CJ87" s="42" t="s">
        <v>5222</v>
      </c>
      <c r="CK87" s="45"/>
      <c r="CL87" s="45"/>
      <c r="CM87" s="43"/>
      <c r="CN87" s="42" t="s">
        <v>3591</v>
      </c>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1" t="s">
        <v>3600</v>
      </c>
      <c r="DP87" s="46" t="s">
        <v>5177</v>
      </c>
      <c r="DQ87" s="45"/>
      <c r="DR87" s="45"/>
      <c r="DS87" s="45"/>
      <c r="DT87" s="45"/>
      <c r="DU87" s="45"/>
      <c r="DV87" s="45"/>
      <c r="DW87" s="43"/>
      <c r="DX87" s="45"/>
      <c r="DY87" s="43"/>
      <c r="DZ87" s="45"/>
      <c r="EA87" s="45"/>
      <c r="EB87" s="43"/>
      <c r="EC87" s="45"/>
      <c r="ED87" s="45"/>
      <c r="EE87" s="45"/>
      <c r="EF87" s="45"/>
      <c r="EG87" s="43"/>
      <c r="EH87" s="45"/>
      <c r="EI87" s="45"/>
      <c r="EJ87" s="45"/>
      <c r="EK87" s="43"/>
      <c r="EL87" s="45"/>
      <c r="EM87" s="45"/>
      <c r="EN87" s="45"/>
      <c r="EO87" s="45"/>
      <c r="EP87" s="48" t="s">
        <v>3559</v>
      </c>
    </row>
    <row r="88">
      <c r="A88" s="32">
        <v>800.86</v>
      </c>
      <c r="B88" s="35" t="s">
        <v>5521</v>
      </c>
      <c r="C88" s="35" t="s">
        <v>5522</v>
      </c>
      <c r="D88" s="35" t="s">
        <v>5523</v>
      </c>
      <c r="E88" s="35" t="s">
        <v>5524</v>
      </c>
      <c r="F88" s="35" t="s">
        <v>5525</v>
      </c>
      <c r="G88" s="35" t="s">
        <v>5526</v>
      </c>
      <c r="H88" s="35" t="s">
        <v>4560</v>
      </c>
      <c r="I88" s="35" t="s">
        <v>4561</v>
      </c>
      <c r="J88" s="35" t="s">
        <v>66</v>
      </c>
      <c r="K88" s="35" t="s">
        <v>5527</v>
      </c>
      <c r="L88" s="35" t="s">
        <v>5528</v>
      </c>
      <c r="M88" s="35" t="s">
        <v>5529</v>
      </c>
      <c r="N88" s="35" t="s">
        <v>5018</v>
      </c>
      <c r="O88" s="35" t="s">
        <v>5530</v>
      </c>
      <c r="P88" s="35"/>
      <c r="R88" s="35" t="s">
        <v>5222</v>
      </c>
      <c r="S88" s="35" t="s">
        <v>5020</v>
      </c>
      <c r="T88" s="35" t="s">
        <v>3738</v>
      </c>
      <c r="U88" s="36" t="s">
        <v>5531</v>
      </c>
      <c r="V88" s="34"/>
      <c r="W88" s="32">
        <v>85.0</v>
      </c>
      <c r="X88" s="53">
        <v>83.93402777777777</v>
      </c>
      <c r="Y88" s="34"/>
      <c r="Z88" s="34"/>
      <c r="AA88" s="32">
        <v>2007.0</v>
      </c>
      <c r="AB88" s="34"/>
      <c r="AC88" s="34"/>
      <c r="AD88" s="34"/>
      <c r="AE88" s="32">
        <v>6.9</v>
      </c>
      <c r="AF88" s="37"/>
      <c r="AG88" s="37"/>
      <c r="AH88" s="37"/>
      <c r="AI88" s="37"/>
      <c r="AJ88" s="37"/>
      <c r="AK88" s="37"/>
      <c r="AL88" s="37"/>
      <c r="AM88" s="37"/>
      <c r="AN88" s="32" t="s">
        <v>5532</v>
      </c>
      <c r="AO88" s="34"/>
      <c r="AP88" s="34"/>
      <c r="AQ88" s="34"/>
      <c r="AR88" s="34"/>
      <c r="AS88" s="34"/>
      <c r="AT88" s="35" t="s">
        <v>3581</v>
      </c>
      <c r="AU88" s="35" t="s">
        <v>5533</v>
      </c>
      <c r="AV88" s="34"/>
      <c r="AW88" s="35" t="s">
        <v>75</v>
      </c>
      <c r="AX88" s="34"/>
      <c r="AY88" s="37"/>
      <c r="AZ88" s="35" t="s">
        <v>41</v>
      </c>
      <c r="BA88" s="37"/>
      <c r="BB88" s="37"/>
      <c r="BC88" s="34"/>
      <c r="BD88" s="35" t="s">
        <v>3584</v>
      </c>
      <c r="BE88" s="35" t="s">
        <v>3584</v>
      </c>
      <c r="BF88" s="35" t="s">
        <v>5534</v>
      </c>
      <c r="BG88" s="34"/>
      <c r="BH88" s="37"/>
      <c r="BI88" s="35" t="s">
        <v>5535</v>
      </c>
      <c r="BJ88" s="35" t="s">
        <v>5536</v>
      </c>
      <c r="BK88" s="34"/>
      <c r="BL88" s="34"/>
      <c r="BM88" s="35" t="s">
        <v>5537</v>
      </c>
      <c r="BN88" s="34"/>
      <c r="BO88" s="35" t="s">
        <v>5538</v>
      </c>
      <c r="BP88" s="35" t="s">
        <v>5539</v>
      </c>
      <c r="BQ88" s="38" t="s">
        <v>5540</v>
      </c>
      <c r="BR88" s="32">
        <v>110.75</v>
      </c>
      <c r="BS88" s="35" t="s">
        <v>3593</v>
      </c>
      <c r="BT88" s="37"/>
      <c r="BU88" s="34"/>
      <c r="BV88" s="35" t="s">
        <v>3669</v>
      </c>
      <c r="BW88" s="35" t="s">
        <v>3595</v>
      </c>
      <c r="BX88" s="34"/>
      <c r="BY88" s="35" t="s">
        <v>3573</v>
      </c>
      <c r="BZ88" s="34"/>
      <c r="CA88" s="35" t="s">
        <v>3591</v>
      </c>
      <c r="CB88" s="38" t="s">
        <v>5541</v>
      </c>
      <c r="CC88" s="32">
        <v>12.0</v>
      </c>
      <c r="CD88" s="35" t="s">
        <v>3593</v>
      </c>
      <c r="CE88" s="32">
        <v>12.0</v>
      </c>
      <c r="CF88" s="35" t="s">
        <v>3697</v>
      </c>
      <c r="CG88" s="35" t="s">
        <v>4977</v>
      </c>
      <c r="CH88" s="34"/>
      <c r="CI88" s="34"/>
      <c r="CJ88" s="35" t="s">
        <v>3663</v>
      </c>
      <c r="CK88" s="38" t="s">
        <v>5542</v>
      </c>
      <c r="CL88" s="37"/>
      <c r="CM88" s="34"/>
      <c r="CN88" s="35" t="s">
        <v>3591</v>
      </c>
      <c r="CO88" s="37"/>
      <c r="CP88" s="37"/>
      <c r="CQ88" s="37"/>
      <c r="CR88" s="37"/>
      <c r="CS88" s="37"/>
      <c r="CT88" s="37"/>
      <c r="CU88" s="37"/>
      <c r="CV88" s="37"/>
      <c r="CW88" s="37"/>
      <c r="CX88" s="37"/>
      <c r="CY88" s="37"/>
      <c r="CZ88" s="37"/>
      <c r="DA88" s="37"/>
      <c r="DB88" s="37"/>
      <c r="DC88" s="37"/>
      <c r="DD88" s="37"/>
      <c r="DE88" s="37"/>
      <c r="DF88" s="37"/>
      <c r="DG88" s="37"/>
      <c r="DH88" s="37"/>
      <c r="DI88" s="37"/>
      <c r="DJ88" s="37"/>
      <c r="DK88" s="37"/>
      <c r="DL88" s="37"/>
      <c r="DM88" s="37"/>
      <c r="DN88" s="37"/>
      <c r="DO88" s="32" t="s">
        <v>3600</v>
      </c>
      <c r="DP88" s="38" t="s">
        <v>5543</v>
      </c>
      <c r="DQ88" s="37"/>
      <c r="DR88" s="37"/>
      <c r="DS88" s="37"/>
      <c r="DT88" s="37"/>
      <c r="DU88" s="37"/>
      <c r="DV88" s="37"/>
      <c r="DW88" s="34"/>
      <c r="DX88" s="37"/>
      <c r="DY88" s="34"/>
      <c r="DZ88" s="37"/>
      <c r="EA88" s="37"/>
      <c r="EB88" s="34"/>
      <c r="EC88" s="37"/>
      <c r="ED88" s="37"/>
      <c r="EE88" s="32">
        <v>12.0</v>
      </c>
      <c r="EF88" s="38" t="s">
        <v>5541</v>
      </c>
      <c r="EG88" s="35" t="s">
        <v>4977</v>
      </c>
      <c r="EH88" s="37"/>
      <c r="EI88" s="37"/>
      <c r="EJ88" s="37"/>
      <c r="EK88" s="35" t="s">
        <v>4248</v>
      </c>
      <c r="EL88" s="37"/>
      <c r="EM88" s="37"/>
      <c r="EN88" s="37"/>
      <c r="EO88" s="32">
        <v>1.82</v>
      </c>
      <c r="EP88" s="40" t="s">
        <v>3559</v>
      </c>
    </row>
    <row r="89">
      <c r="A89" s="41">
        <v>1.91</v>
      </c>
      <c r="B89" s="42" t="s">
        <v>5544</v>
      </c>
      <c r="C89" s="43"/>
      <c r="D89" s="43"/>
      <c r="E89" s="42" t="s">
        <v>5545</v>
      </c>
      <c r="F89" s="42" t="s">
        <v>5546</v>
      </c>
      <c r="G89" s="42" t="s">
        <v>5547</v>
      </c>
      <c r="H89" s="42" t="s">
        <v>3563</v>
      </c>
      <c r="I89" s="42" t="s">
        <v>3609</v>
      </c>
      <c r="J89" s="42" t="s">
        <v>4050</v>
      </c>
      <c r="K89" s="42" t="s">
        <v>5548</v>
      </c>
      <c r="L89" s="42" t="s">
        <v>5549</v>
      </c>
      <c r="M89" s="42" t="s">
        <v>5550</v>
      </c>
      <c r="N89" s="42" t="s">
        <v>5018</v>
      </c>
      <c r="O89" s="42" t="s">
        <v>5551</v>
      </c>
      <c r="P89" s="42"/>
      <c r="R89" s="42" t="s">
        <v>5496</v>
      </c>
      <c r="S89" s="42" t="s">
        <v>5222</v>
      </c>
      <c r="T89" s="42" t="s">
        <v>3573</v>
      </c>
      <c r="U89" s="44" t="s">
        <v>5552</v>
      </c>
      <c r="V89" s="43"/>
      <c r="W89" s="41">
        <v>30.0</v>
      </c>
      <c r="X89" s="42" t="s">
        <v>5553</v>
      </c>
      <c r="Y89" s="43"/>
      <c r="Z89" s="43"/>
      <c r="AA89" s="41">
        <v>2016.0</v>
      </c>
      <c r="AB89" s="43"/>
      <c r="AC89" s="43"/>
      <c r="AD89" s="43"/>
      <c r="AE89" s="45"/>
      <c r="AF89" s="45"/>
      <c r="AG89" s="45"/>
      <c r="AH89" s="45"/>
      <c r="AI89" s="45"/>
      <c r="AJ89" s="45"/>
      <c r="AK89" s="45"/>
      <c r="AL89" s="45"/>
      <c r="AM89" s="45"/>
      <c r="AN89" s="45"/>
      <c r="AO89" s="43"/>
      <c r="AP89" s="43"/>
      <c r="AQ89" s="43"/>
      <c r="AR89" s="43"/>
      <c r="AS89" s="43"/>
      <c r="AT89" s="42" t="s">
        <v>5554</v>
      </c>
      <c r="AU89" s="42" t="s">
        <v>5555</v>
      </c>
      <c r="AV89" s="42" t="s">
        <v>5556</v>
      </c>
      <c r="AW89" s="42" t="s">
        <v>582</v>
      </c>
      <c r="AX89" s="43"/>
      <c r="AY89" s="45"/>
      <c r="AZ89" s="42" t="s">
        <v>41</v>
      </c>
      <c r="BA89" s="45"/>
      <c r="BB89" s="45"/>
      <c r="BC89" s="43"/>
      <c r="BD89" s="42" t="s">
        <v>3584</v>
      </c>
      <c r="BE89" s="42" t="s">
        <v>3584</v>
      </c>
      <c r="BF89" s="42" t="s">
        <v>5557</v>
      </c>
      <c r="BG89" s="43"/>
      <c r="BH89" s="45"/>
      <c r="BI89" s="43"/>
      <c r="BJ89" s="42" t="s">
        <v>5558</v>
      </c>
      <c r="BK89" s="43"/>
      <c r="BL89" s="43"/>
      <c r="BM89" s="42" t="s">
        <v>5559</v>
      </c>
      <c r="BN89" s="43"/>
      <c r="BO89" s="43"/>
      <c r="BP89" s="42" t="s">
        <v>4681</v>
      </c>
      <c r="BQ89" s="45"/>
      <c r="BR89" s="45"/>
      <c r="BS89" s="43"/>
      <c r="BT89" s="45"/>
      <c r="BU89" s="43"/>
      <c r="BV89" s="42" t="s">
        <v>3589</v>
      </c>
      <c r="BW89" s="43"/>
      <c r="BX89" s="43"/>
      <c r="BY89" s="42" t="s">
        <v>3590</v>
      </c>
      <c r="BZ89" s="43"/>
      <c r="CA89" s="42" t="s">
        <v>3591</v>
      </c>
      <c r="CB89" s="46" t="s">
        <v>5560</v>
      </c>
      <c r="CC89" s="45"/>
      <c r="CD89" s="43"/>
      <c r="CE89" s="45"/>
      <c r="CF89" s="43"/>
      <c r="CG89" s="42" t="s">
        <v>5496</v>
      </c>
      <c r="CH89" s="43"/>
      <c r="CI89" s="43"/>
      <c r="CJ89" s="42" t="s">
        <v>5505</v>
      </c>
      <c r="CK89" s="45"/>
      <c r="CL89" s="45"/>
      <c r="CM89" s="43"/>
      <c r="CN89" s="42" t="s">
        <v>3591</v>
      </c>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1" t="s">
        <v>3600</v>
      </c>
      <c r="DP89" s="46" t="s">
        <v>5560</v>
      </c>
      <c r="DQ89" s="41">
        <v>11.0</v>
      </c>
      <c r="DR89" s="41">
        <v>4.0</v>
      </c>
      <c r="DS89" s="41">
        <v>4.0</v>
      </c>
      <c r="DT89" s="41">
        <v>1.0</v>
      </c>
      <c r="DU89" s="45"/>
      <c r="DV89" s="41">
        <v>6.0</v>
      </c>
      <c r="DW89" s="42" t="s">
        <v>5561</v>
      </c>
      <c r="DX89" s="45"/>
      <c r="DY89" s="43"/>
      <c r="DZ89" s="45"/>
      <c r="EA89" s="45"/>
      <c r="EB89" s="43"/>
      <c r="EC89" s="45"/>
      <c r="ED89" s="45"/>
      <c r="EE89" s="45"/>
      <c r="EF89" s="45"/>
      <c r="EG89" s="43"/>
      <c r="EH89" s="45"/>
      <c r="EI89" s="45"/>
      <c r="EJ89" s="45"/>
      <c r="EK89" s="42" t="s">
        <v>3921</v>
      </c>
      <c r="EL89" s="45"/>
      <c r="EM89" s="45"/>
      <c r="EN89" s="45"/>
      <c r="EO89" s="45"/>
      <c r="EP89" s="48" t="s">
        <v>3559</v>
      </c>
    </row>
    <row r="90">
      <c r="A90" s="37"/>
      <c r="B90" s="35" t="s">
        <v>5562</v>
      </c>
      <c r="C90" s="34"/>
      <c r="D90" s="34"/>
      <c r="E90" s="35" t="s">
        <v>5563</v>
      </c>
      <c r="F90" s="34"/>
      <c r="G90" s="35" t="s">
        <v>5564</v>
      </c>
      <c r="H90" s="35" t="s">
        <v>4560</v>
      </c>
      <c r="I90" s="35" t="s">
        <v>4561</v>
      </c>
      <c r="J90" s="35" t="s">
        <v>66</v>
      </c>
      <c r="K90" s="35" t="s">
        <v>5565</v>
      </c>
      <c r="L90" s="34"/>
      <c r="M90" s="35" t="s">
        <v>5566</v>
      </c>
      <c r="N90" s="35" t="s">
        <v>4923</v>
      </c>
      <c r="O90" s="35" t="s">
        <v>5567</v>
      </c>
      <c r="P90" s="35"/>
      <c r="R90" s="35" t="s">
        <v>3571</v>
      </c>
      <c r="S90" s="35" t="s">
        <v>5236</v>
      </c>
      <c r="T90" s="35" t="s">
        <v>5568</v>
      </c>
      <c r="U90" s="36" t="s">
        <v>5569</v>
      </c>
      <c r="V90" s="36" t="s">
        <v>5570</v>
      </c>
      <c r="W90" s="32">
        <v>12.0</v>
      </c>
      <c r="X90" s="35" t="s">
        <v>5571</v>
      </c>
      <c r="Y90" s="35" t="s">
        <v>5417</v>
      </c>
      <c r="Z90" s="35" t="s">
        <v>5572</v>
      </c>
      <c r="AA90" s="32">
        <v>2012.0</v>
      </c>
      <c r="AB90" s="34"/>
      <c r="AC90" s="34"/>
      <c r="AD90" s="34"/>
      <c r="AE90" s="32">
        <v>1.23</v>
      </c>
      <c r="AF90" s="37"/>
      <c r="AG90" s="32">
        <v>-1.65</v>
      </c>
      <c r="AH90" s="32">
        <v>9.8</v>
      </c>
      <c r="AI90" s="37"/>
      <c r="AJ90" s="37"/>
      <c r="AK90" s="32">
        <v>9.19</v>
      </c>
      <c r="AL90" s="32">
        <v>1.47</v>
      </c>
      <c r="AM90" s="39">
        <v>-0.544</v>
      </c>
      <c r="AN90" s="32" t="s">
        <v>5419</v>
      </c>
      <c r="AO90" s="35" t="s">
        <v>5573</v>
      </c>
      <c r="AP90" s="35" t="s">
        <v>5574</v>
      </c>
      <c r="AQ90" s="35" t="s">
        <v>3982</v>
      </c>
      <c r="AR90" s="35" t="s">
        <v>5575</v>
      </c>
      <c r="AS90" s="34" t="str">
        <f>+972 (0)72 255 5722</f>
        <v>#ERROR!</v>
      </c>
      <c r="AT90" s="35" t="s">
        <v>3581</v>
      </c>
      <c r="AU90" s="35" t="s">
        <v>5576</v>
      </c>
      <c r="AV90" s="34"/>
      <c r="AW90" s="35" t="s">
        <v>75</v>
      </c>
      <c r="AX90" s="34"/>
      <c r="AY90" s="37"/>
      <c r="AZ90" s="35" t="s">
        <v>41</v>
      </c>
      <c r="BA90" s="37" t="str">
        <f>+972 (0)72 255 5722</f>
        <v>#ERROR!</v>
      </c>
      <c r="BB90" s="37" t="str">
        <f>+972 (0)72 255 5722</f>
        <v>#ERROR!</v>
      </c>
      <c r="BC90" s="34"/>
      <c r="BD90" s="35" t="s">
        <v>3584</v>
      </c>
      <c r="BE90" s="35" t="s">
        <v>3584</v>
      </c>
      <c r="BF90" s="35" t="s">
        <v>5577</v>
      </c>
      <c r="BG90" s="35" t="s">
        <v>5578</v>
      </c>
      <c r="BH90" s="32">
        <v>1.0</v>
      </c>
      <c r="BI90" s="34"/>
      <c r="BJ90" s="34"/>
      <c r="BK90" s="34"/>
      <c r="BL90" s="35" t="s">
        <v>5579</v>
      </c>
      <c r="BM90" s="34"/>
      <c r="BN90" s="34"/>
      <c r="BO90" s="34"/>
      <c r="BP90" s="34"/>
      <c r="BQ90" s="38" t="s">
        <v>5580</v>
      </c>
      <c r="BR90" s="37"/>
      <c r="BS90" s="34"/>
      <c r="BT90" s="37"/>
      <c r="BU90" s="34"/>
      <c r="BV90" s="35" t="s">
        <v>4775</v>
      </c>
      <c r="BW90" s="34"/>
      <c r="BX90" s="34"/>
      <c r="BY90" s="35" t="s">
        <v>3663</v>
      </c>
      <c r="BZ90" s="34"/>
      <c r="CA90" s="35" t="s">
        <v>3591</v>
      </c>
      <c r="CB90" s="38" t="s">
        <v>5580</v>
      </c>
      <c r="CC90" s="37"/>
      <c r="CD90" s="34"/>
      <c r="CE90" s="37"/>
      <c r="CF90" s="34"/>
      <c r="CG90" s="35" t="s">
        <v>4775</v>
      </c>
      <c r="CH90" s="34"/>
      <c r="CI90" s="34"/>
      <c r="CJ90" s="35" t="s">
        <v>3663</v>
      </c>
      <c r="CK90" s="37"/>
      <c r="CL90" s="37"/>
      <c r="CM90" s="34"/>
      <c r="CN90" s="35" t="s">
        <v>3591</v>
      </c>
      <c r="CO90" s="39">
        <v>7.0E-4</v>
      </c>
      <c r="CP90" s="32">
        <v>85.0</v>
      </c>
      <c r="CQ90" s="39">
        <v>7.0E-4</v>
      </c>
      <c r="CR90" s="39">
        <v>175.0</v>
      </c>
      <c r="CS90" s="39">
        <v>7.0E-4</v>
      </c>
      <c r="CT90" s="32">
        <v>88.0</v>
      </c>
      <c r="CU90" s="37"/>
      <c r="CV90" s="37"/>
      <c r="CW90" s="39">
        <v>7.0E-4</v>
      </c>
      <c r="CX90" s="32">
        <v>88.0</v>
      </c>
      <c r="CY90" s="32" t="s">
        <v>5349</v>
      </c>
      <c r="CZ90" s="32">
        <v>88.0</v>
      </c>
      <c r="DA90" s="32" t="s">
        <v>3598</v>
      </c>
      <c r="DB90" s="39">
        <v>0.0</v>
      </c>
      <c r="DC90" s="32" t="s">
        <v>5349</v>
      </c>
      <c r="DD90" s="32">
        <v>87.0</v>
      </c>
      <c r="DE90" s="37"/>
      <c r="DF90" s="37"/>
      <c r="DG90" s="32" t="s">
        <v>5349</v>
      </c>
      <c r="DH90" s="32">
        <v>85.0</v>
      </c>
      <c r="DI90" s="32">
        <v>44.0</v>
      </c>
      <c r="DJ90" s="32">
        <v>-13.0</v>
      </c>
      <c r="DK90" s="39">
        <v>-0.2281</v>
      </c>
      <c r="DL90" s="32">
        <v>176.0</v>
      </c>
      <c r="DM90" s="32">
        <v>0.0</v>
      </c>
      <c r="DN90" s="39">
        <v>0.0</v>
      </c>
      <c r="DO90" s="32" t="s">
        <v>3600</v>
      </c>
      <c r="DP90" s="38" t="s">
        <v>4979</v>
      </c>
      <c r="DQ90" s="32">
        <v>2.0</v>
      </c>
      <c r="DR90" s="32">
        <v>1.0</v>
      </c>
      <c r="DS90" s="32">
        <v>2.0</v>
      </c>
      <c r="DT90" s="37"/>
      <c r="DU90" s="37"/>
      <c r="DV90" s="37"/>
      <c r="DW90" s="35" t="s">
        <v>4645</v>
      </c>
      <c r="DX90" s="37"/>
      <c r="DY90" s="34"/>
      <c r="DZ90" s="37"/>
      <c r="EA90" s="37"/>
      <c r="EB90" s="34"/>
      <c r="EC90" s="37"/>
      <c r="ED90" s="37"/>
      <c r="EE90" s="37"/>
      <c r="EF90" s="37"/>
      <c r="EG90" s="34"/>
      <c r="EH90" s="37"/>
      <c r="EI90" s="37"/>
      <c r="EJ90" s="37"/>
      <c r="EK90" s="34"/>
      <c r="EL90" s="37"/>
      <c r="EM90" s="37"/>
      <c r="EN90" s="37"/>
      <c r="EO90" s="37"/>
      <c r="EP90" s="40" t="s">
        <v>3559</v>
      </c>
    </row>
    <row r="91">
      <c r="A91" s="45"/>
      <c r="B91" s="42" t="s">
        <v>5581</v>
      </c>
      <c r="C91" s="43"/>
      <c r="D91" s="43"/>
      <c r="E91" s="43"/>
      <c r="F91" s="43"/>
      <c r="G91" s="42" t="s">
        <v>5582</v>
      </c>
      <c r="H91" s="42" t="s">
        <v>3563</v>
      </c>
      <c r="I91" s="42" t="s">
        <v>3564</v>
      </c>
      <c r="J91" s="42" t="s">
        <v>5583</v>
      </c>
      <c r="K91" s="42" t="s">
        <v>5584</v>
      </c>
      <c r="L91" s="43"/>
      <c r="M91" s="42" t="s">
        <v>5585</v>
      </c>
      <c r="N91" s="42" t="s">
        <v>4923</v>
      </c>
      <c r="O91" s="42" t="s">
        <v>5586</v>
      </c>
      <c r="P91" s="42"/>
      <c r="R91" s="43"/>
      <c r="S91" s="42" t="s">
        <v>4925</v>
      </c>
      <c r="T91" s="42" t="s">
        <v>4926</v>
      </c>
      <c r="U91" s="44" t="s">
        <v>5587</v>
      </c>
      <c r="V91" s="44" t="s">
        <v>5588</v>
      </c>
      <c r="W91" s="41">
        <v>11.0</v>
      </c>
      <c r="X91" s="42" t="s">
        <v>5062</v>
      </c>
      <c r="Y91" s="43"/>
      <c r="Z91" s="43"/>
      <c r="AA91" s="41">
        <v>1999.0</v>
      </c>
      <c r="AB91" s="43"/>
      <c r="AC91" s="43"/>
      <c r="AD91" s="43"/>
      <c r="AE91" s="45"/>
      <c r="AF91" s="45"/>
      <c r="AG91" s="45"/>
      <c r="AH91" s="45"/>
      <c r="AI91" s="45"/>
      <c r="AJ91" s="45"/>
      <c r="AK91" s="45"/>
      <c r="AL91" s="45"/>
      <c r="AM91" s="45"/>
      <c r="AN91" s="45"/>
      <c r="AO91" s="43"/>
      <c r="AP91" s="43"/>
      <c r="AQ91" s="43"/>
      <c r="AR91" s="43"/>
      <c r="AS91" s="43"/>
      <c r="AT91" s="42" t="s">
        <v>3581</v>
      </c>
      <c r="AU91" s="42" t="s">
        <v>5589</v>
      </c>
      <c r="AV91" s="43"/>
      <c r="AW91" s="42" t="s">
        <v>75</v>
      </c>
      <c r="AX91" s="42" t="s">
        <v>41</v>
      </c>
      <c r="AY91" s="41">
        <v>64514.0</v>
      </c>
      <c r="AZ91" s="42" t="s">
        <v>41</v>
      </c>
      <c r="BA91" s="45" t="str">
        <f>+972 (0)3 527 3968</f>
        <v>#ERROR!</v>
      </c>
      <c r="BB91" s="45"/>
      <c r="BC91" s="42" t="s">
        <v>5590</v>
      </c>
      <c r="BD91" s="42" t="s">
        <v>3584</v>
      </c>
      <c r="BE91" s="42" t="s">
        <v>3584</v>
      </c>
      <c r="BF91" s="43"/>
      <c r="BG91" s="43"/>
      <c r="BH91" s="45"/>
      <c r="BI91" s="43"/>
      <c r="BJ91" s="43"/>
      <c r="BK91" s="43"/>
      <c r="BL91" s="43"/>
      <c r="BM91" s="43"/>
      <c r="BN91" s="43"/>
      <c r="BO91" s="43"/>
      <c r="BP91" s="43"/>
      <c r="BQ91" s="45"/>
      <c r="BR91" s="45"/>
      <c r="BS91" s="43"/>
      <c r="BT91" s="45"/>
      <c r="BU91" s="43"/>
      <c r="BV91" s="43"/>
      <c r="BW91" s="43"/>
      <c r="BX91" s="43"/>
      <c r="BY91" s="43"/>
      <c r="BZ91" s="43"/>
      <c r="CA91" s="43"/>
      <c r="CB91" s="45"/>
      <c r="CC91" s="45"/>
      <c r="CD91" s="43"/>
      <c r="CE91" s="45"/>
      <c r="CF91" s="43"/>
      <c r="CG91" s="43"/>
      <c r="CH91" s="43"/>
      <c r="CI91" s="43"/>
      <c r="CJ91" s="43"/>
      <c r="CK91" s="45"/>
      <c r="CL91" s="45"/>
      <c r="CM91" s="43"/>
      <c r="CN91" s="43"/>
      <c r="CO91" s="47">
        <v>0.0</v>
      </c>
      <c r="CP91" s="41">
        <v>14.0</v>
      </c>
      <c r="CQ91" s="47">
        <v>0.0</v>
      </c>
      <c r="CR91" s="47">
        <v>0.0</v>
      </c>
      <c r="CS91" s="47">
        <v>0.0</v>
      </c>
      <c r="CT91" s="41">
        <v>12.0</v>
      </c>
      <c r="CU91" s="45"/>
      <c r="CV91" s="45"/>
      <c r="CW91" s="47">
        <v>0.0</v>
      </c>
      <c r="CX91" s="41">
        <v>12.0</v>
      </c>
      <c r="CY91" s="41" t="s">
        <v>5591</v>
      </c>
      <c r="CZ91" s="41">
        <v>63.0</v>
      </c>
      <c r="DA91" s="41" t="s">
        <v>3598</v>
      </c>
      <c r="DB91" s="47">
        <v>0.0</v>
      </c>
      <c r="DC91" s="41" t="s">
        <v>4827</v>
      </c>
      <c r="DD91" s="41">
        <v>66.0</v>
      </c>
      <c r="DE91" s="45"/>
      <c r="DF91" s="45"/>
      <c r="DG91" s="41" t="s">
        <v>4827</v>
      </c>
      <c r="DH91" s="41">
        <v>65.0</v>
      </c>
      <c r="DI91" s="45"/>
      <c r="DJ91" s="45"/>
      <c r="DK91" s="45"/>
      <c r="DL91" s="41">
        <v>39.0</v>
      </c>
      <c r="DM91" s="41">
        <v>1.0</v>
      </c>
      <c r="DN91" s="47">
        <v>0.0263</v>
      </c>
      <c r="DO91" s="41" t="s">
        <v>5066</v>
      </c>
      <c r="DP91" s="46" t="s">
        <v>5404</v>
      </c>
      <c r="DQ91" s="45"/>
      <c r="DR91" s="45"/>
      <c r="DS91" s="45"/>
      <c r="DT91" s="45"/>
      <c r="DU91" s="45"/>
      <c r="DV91" s="45"/>
      <c r="DW91" s="43"/>
      <c r="DX91" s="45"/>
      <c r="DY91" s="43"/>
      <c r="DZ91" s="45"/>
      <c r="EA91" s="45"/>
      <c r="EB91" s="43"/>
      <c r="EC91" s="45"/>
      <c r="ED91" s="45"/>
      <c r="EE91" s="45"/>
      <c r="EF91" s="45"/>
      <c r="EG91" s="43"/>
      <c r="EH91" s="45"/>
      <c r="EI91" s="45"/>
      <c r="EJ91" s="45"/>
      <c r="EK91" s="43"/>
      <c r="EL91" s="45"/>
      <c r="EM91" s="45"/>
      <c r="EN91" s="45"/>
      <c r="EO91" s="45"/>
      <c r="EP91" s="48" t="s">
        <v>3559</v>
      </c>
    </row>
    <row r="92">
      <c r="A92" s="37"/>
      <c r="B92" s="35" t="s">
        <v>5592</v>
      </c>
      <c r="C92" s="34"/>
      <c r="D92" s="34"/>
      <c r="E92" s="34"/>
      <c r="F92" s="34"/>
      <c r="G92" s="35" t="s">
        <v>5593</v>
      </c>
      <c r="H92" s="35" t="s">
        <v>4560</v>
      </c>
      <c r="I92" s="35" t="s">
        <v>4561</v>
      </c>
      <c r="J92" s="35" t="s">
        <v>66</v>
      </c>
      <c r="K92" s="35" t="s">
        <v>4562</v>
      </c>
      <c r="L92" s="34"/>
      <c r="M92" s="35" t="s">
        <v>5594</v>
      </c>
      <c r="N92" s="35" t="s">
        <v>4923</v>
      </c>
      <c r="O92" s="35" t="s">
        <v>5595</v>
      </c>
      <c r="P92" s="35"/>
      <c r="R92" s="34"/>
      <c r="S92" s="35" t="s">
        <v>4925</v>
      </c>
      <c r="T92" s="35" t="s">
        <v>4926</v>
      </c>
      <c r="U92" s="36" t="s">
        <v>5596</v>
      </c>
      <c r="V92" s="36" t="s">
        <v>5597</v>
      </c>
      <c r="W92" s="32">
        <v>7.0</v>
      </c>
      <c r="X92" s="35" t="s">
        <v>5598</v>
      </c>
      <c r="Y92" s="34"/>
      <c r="Z92" s="34"/>
      <c r="AA92" s="32">
        <v>2002.0</v>
      </c>
      <c r="AB92" s="34"/>
      <c r="AC92" s="34"/>
      <c r="AD92" s="34"/>
      <c r="AE92" s="37"/>
      <c r="AF92" s="37"/>
      <c r="AG92" s="37"/>
      <c r="AH92" s="37"/>
      <c r="AI92" s="37"/>
      <c r="AJ92" s="37"/>
      <c r="AK92" s="37"/>
      <c r="AL92" s="37"/>
      <c r="AM92" s="37"/>
      <c r="AN92" s="37"/>
      <c r="AO92" s="34"/>
      <c r="AP92" s="34"/>
      <c r="AQ92" s="34"/>
      <c r="AR92" s="34"/>
      <c r="AS92" s="34"/>
      <c r="AT92" s="35" t="s">
        <v>4009</v>
      </c>
      <c r="AU92" s="35" t="s">
        <v>5599</v>
      </c>
      <c r="AV92" s="34"/>
      <c r="AW92" s="35" t="s">
        <v>4011</v>
      </c>
      <c r="AX92" s="34"/>
      <c r="AY92" s="32">
        <v>20692.0</v>
      </c>
      <c r="AZ92" s="35" t="s">
        <v>41</v>
      </c>
      <c r="BA92" s="37"/>
      <c r="BB92" s="37"/>
      <c r="BC92" s="34"/>
      <c r="BD92" s="35" t="s">
        <v>3584</v>
      </c>
      <c r="BE92" s="35" t="s">
        <v>3584</v>
      </c>
      <c r="BF92" s="34"/>
      <c r="BG92" s="34"/>
      <c r="BH92" s="37"/>
      <c r="BI92" s="34"/>
      <c r="BJ92" s="34"/>
      <c r="BK92" s="34"/>
      <c r="BL92" s="34"/>
      <c r="BM92" s="34"/>
      <c r="BN92" s="34"/>
      <c r="BO92" s="34"/>
      <c r="BP92" s="34"/>
      <c r="BQ92" s="37"/>
      <c r="BR92" s="37"/>
      <c r="BS92" s="34"/>
      <c r="BT92" s="37"/>
      <c r="BU92" s="34"/>
      <c r="BV92" s="34"/>
      <c r="BW92" s="34"/>
      <c r="BX92" s="34"/>
      <c r="BY92" s="34"/>
      <c r="BZ92" s="34"/>
      <c r="CA92" s="34"/>
      <c r="CB92" s="37"/>
      <c r="CC92" s="37"/>
      <c r="CD92" s="34"/>
      <c r="CE92" s="37"/>
      <c r="CF92" s="34"/>
      <c r="CG92" s="34"/>
      <c r="CH92" s="34"/>
      <c r="CI92" s="34"/>
      <c r="CJ92" s="34"/>
      <c r="CK92" s="37"/>
      <c r="CL92" s="37"/>
      <c r="CM92" s="34"/>
      <c r="CN92" s="34"/>
      <c r="CO92" s="39">
        <v>0.0229</v>
      </c>
      <c r="CP92" s="32">
        <v>99.0</v>
      </c>
      <c r="CQ92" s="39">
        <v>0.0</v>
      </c>
      <c r="CR92" s="39">
        <v>0.0</v>
      </c>
      <c r="CS92" s="39">
        <v>0.0</v>
      </c>
      <c r="CT92" s="32">
        <v>12.0</v>
      </c>
      <c r="CU92" s="37"/>
      <c r="CV92" s="37"/>
      <c r="CW92" s="39">
        <v>0.0</v>
      </c>
      <c r="CX92" s="32">
        <v>12.0</v>
      </c>
      <c r="CY92" s="32" t="s">
        <v>5600</v>
      </c>
      <c r="CZ92" s="32">
        <v>27.0</v>
      </c>
      <c r="DA92" s="32" t="s">
        <v>3598</v>
      </c>
      <c r="DB92" s="39">
        <v>0.0</v>
      </c>
      <c r="DC92" s="32" t="s">
        <v>5601</v>
      </c>
      <c r="DD92" s="32">
        <v>9.0</v>
      </c>
      <c r="DE92" s="37"/>
      <c r="DF92" s="37"/>
      <c r="DG92" s="32" t="s">
        <v>5601</v>
      </c>
      <c r="DH92" s="32">
        <v>7.0</v>
      </c>
      <c r="DI92" s="37"/>
      <c r="DJ92" s="37"/>
      <c r="DK92" s="37"/>
      <c r="DL92" s="32">
        <v>6.0</v>
      </c>
      <c r="DM92" s="32">
        <v>0.0</v>
      </c>
      <c r="DN92" s="39">
        <v>0.0</v>
      </c>
      <c r="DO92" s="32" t="s">
        <v>5066</v>
      </c>
      <c r="DP92" s="38" t="s">
        <v>5404</v>
      </c>
      <c r="DQ92" s="37"/>
      <c r="DR92" s="37"/>
      <c r="DS92" s="37"/>
      <c r="DT92" s="37"/>
      <c r="DU92" s="37"/>
      <c r="DV92" s="37"/>
      <c r="DW92" s="34"/>
      <c r="DX92" s="37"/>
      <c r="DY92" s="34"/>
      <c r="DZ92" s="37"/>
      <c r="EA92" s="37"/>
      <c r="EB92" s="34"/>
      <c r="EC92" s="37"/>
      <c r="ED92" s="37"/>
      <c r="EE92" s="37"/>
      <c r="EF92" s="37"/>
      <c r="EG92" s="34"/>
      <c r="EH92" s="37"/>
      <c r="EI92" s="37"/>
      <c r="EJ92" s="37"/>
      <c r="EK92" s="34"/>
      <c r="EL92" s="37"/>
      <c r="EM92" s="37"/>
      <c r="EN92" s="37"/>
      <c r="EO92" s="37"/>
      <c r="EP92" s="40" t="s">
        <v>3559</v>
      </c>
    </row>
    <row r="93">
      <c r="A93" s="45"/>
      <c r="B93" s="42" t="s">
        <v>5602</v>
      </c>
      <c r="C93" s="43"/>
      <c r="D93" s="43"/>
      <c r="E93" s="43"/>
      <c r="F93" s="43"/>
      <c r="G93" s="42" t="s">
        <v>5603</v>
      </c>
      <c r="H93" s="42" t="s">
        <v>4560</v>
      </c>
      <c r="I93" s="42" t="s">
        <v>4561</v>
      </c>
      <c r="J93" s="42" t="s">
        <v>5604</v>
      </c>
      <c r="K93" s="42" t="s">
        <v>5605</v>
      </c>
      <c r="L93" s="42" t="s">
        <v>5606</v>
      </c>
      <c r="M93" s="42" t="s">
        <v>5607</v>
      </c>
      <c r="N93" s="42" t="s">
        <v>4923</v>
      </c>
      <c r="O93" s="42" t="s">
        <v>5608</v>
      </c>
      <c r="P93" s="42"/>
      <c r="R93" s="42" t="s">
        <v>3571</v>
      </c>
      <c r="S93" s="42" t="s">
        <v>4925</v>
      </c>
      <c r="T93" s="42" t="s">
        <v>4926</v>
      </c>
      <c r="U93" s="44" t="s">
        <v>5609</v>
      </c>
      <c r="V93" s="44" t="s">
        <v>5610</v>
      </c>
      <c r="W93" s="41">
        <v>6.0</v>
      </c>
      <c r="X93" s="42" t="s">
        <v>5611</v>
      </c>
      <c r="Y93" s="43"/>
      <c r="Z93" s="43"/>
      <c r="AA93" s="41">
        <v>2020.0</v>
      </c>
      <c r="AB93" s="43"/>
      <c r="AC93" s="43"/>
      <c r="AD93" s="43"/>
      <c r="AE93" s="45"/>
      <c r="AF93" s="45"/>
      <c r="AG93" s="45"/>
      <c r="AH93" s="45"/>
      <c r="AI93" s="45"/>
      <c r="AJ93" s="45"/>
      <c r="AK93" s="45"/>
      <c r="AL93" s="45"/>
      <c r="AM93" s="45"/>
      <c r="AN93" s="45"/>
      <c r="AO93" s="42" t="s">
        <v>5612</v>
      </c>
      <c r="AP93" s="42" t="s">
        <v>5613</v>
      </c>
      <c r="AQ93" s="42" t="s">
        <v>4930</v>
      </c>
      <c r="AR93" s="42" t="s">
        <v>5614</v>
      </c>
      <c r="AS93" s="43" t="str">
        <f>+972 (0)52 609 0600</f>
        <v>#ERROR!</v>
      </c>
      <c r="AT93" s="42" t="s">
        <v>3718</v>
      </c>
      <c r="AU93" s="43"/>
      <c r="AV93" s="43"/>
      <c r="AW93" s="42" t="s">
        <v>552</v>
      </c>
      <c r="AX93" s="43"/>
      <c r="AY93" s="45"/>
      <c r="AZ93" s="42" t="s">
        <v>41</v>
      </c>
      <c r="BA93" s="45" t="str">
        <f>+972 (0)52 609 0600</f>
        <v>#ERROR!</v>
      </c>
      <c r="BB93" s="45"/>
      <c r="BC93" s="42" t="s">
        <v>5615</v>
      </c>
      <c r="BD93" s="42" t="s">
        <v>3584</v>
      </c>
      <c r="BE93" s="42" t="s">
        <v>3584</v>
      </c>
      <c r="BF93" s="43"/>
      <c r="BG93" s="43"/>
      <c r="BH93" s="45"/>
      <c r="BI93" s="43"/>
      <c r="BJ93" s="43"/>
      <c r="BK93" s="43"/>
      <c r="BL93" s="43"/>
      <c r="BM93" s="43"/>
      <c r="BN93" s="43"/>
      <c r="BO93" s="43"/>
      <c r="BP93" s="43"/>
      <c r="BQ93" s="45"/>
      <c r="BR93" s="45"/>
      <c r="BS93" s="43"/>
      <c r="BT93" s="45"/>
      <c r="BU93" s="43"/>
      <c r="BV93" s="43"/>
      <c r="BW93" s="43"/>
      <c r="BX93" s="43"/>
      <c r="BY93" s="43"/>
      <c r="BZ93" s="43"/>
      <c r="CA93" s="43"/>
      <c r="CB93" s="45"/>
      <c r="CC93" s="45"/>
      <c r="CD93" s="43"/>
      <c r="CE93" s="45"/>
      <c r="CF93" s="43"/>
      <c r="CG93" s="43"/>
      <c r="CH93" s="43"/>
      <c r="CI93" s="43"/>
      <c r="CJ93" s="43"/>
      <c r="CK93" s="45"/>
      <c r="CL93" s="45"/>
      <c r="CM93" s="43"/>
      <c r="CN93" s="43"/>
      <c r="CO93" s="47">
        <v>0.0</v>
      </c>
      <c r="CP93" s="41">
        <v>14.0</v>
      </c>
      <c r="CQ93" s="47">
        <v>0.0</v>
      </c>
      <c r="CR93" s="47">
        <v>0.0</v>
      </c>
      <c r="CS93" s="47">
        <v>0.0</v>
      </c>
      <c r="CT93" s="41">
        <v>12.0</v>
      </c>
      <c r="CU93" s="45"/>
      <c r="CV93" s="45"/>
      <c r="CW93" s="47">
        <v>0.0</v>
      </c>
      <c r="CX93" s="41">
        <v>12.0</v>
      </c>
      <c r="CY93" s="41" t="s">
        <v>5616</v>
      </c>
      <c r="CZ93" s="41">
        <v>18.0</v>
      </c>
      <c r="DA93" s="41" t="s">
        <v>3598</v>
      </c>
      <c r="DB93" s="47">
        <v>0.0</v>
      </c>
      <c r="DC93" s="41" t="s">
        <v>5616</v>
      </c>
      <c r="DD93" s="41">
        <v>20.0</v>
      </c>
      <c r="DE93" s="45"/>
      <c r="DF93" s="45"/>
      <c r="DG93" s="41" t="s">
        <v>5616</v>
      </c>
      <c r="DH93" s="41">
        <v>17.0</v>
      </c>
      <c r="DI93" s="41">
        <v>0.0</v>
      </c>
      <c r="DJ93" s="41">
        <v>0.0</v>
      </c>
      <c r="DK93" s="47">
        <v>0.0</v>
      </c>
      <c r="DL93" s="41">
        <v>10.0</v>
      </c>
      <c r="DM93" s="41">
        <v>1.0</v>
      </c>
      <c r="DN93" s="47">
        <v>0.1111</v>
      </c>
      <c r="DO93" s="41" t="s">
        <v>3600</v>
      </c>
      <c r="DP93" s="46" t="s">
        <v>5617</v>
      </c>
      <c r="DQ93" s="45"/>
      <c r="DR93" s="45"/>
      <c r="DS93" s="45"/>
      <c r="DT93" s="45"/>
      <c r="DU93" s="45"/>
      <c r="DV93" s="45"/>
      <c r="DW93" s="43"/>
      <c r="DX93" s="45"/>
      <c r="DY93" s="43"/>
      <c r="DZ93" s="45"/>
      <c r="EA93" s="45"/>
      <c r="EB93" s="43"/>
      <c r="EC93" s="45"/>
      <c r="ED93" s="45"/>
      <c r="EE93" s="45"/>
      <c r="EF93" s="45"/>
      <c r="EG93" s="43"/>
      <c r="EH93" s="45"/>
      <c r="EI93" s="45"/>
      <c r="EJ93" s="45"/>
      <c r="EK93" s="43"/>
      <c r="EL93" s="45"/>
      <c r="EM93" s="45"/>
      <c r="EN93" s="45"/>
      <c r="EO93" s="45"/>
      <c r="EP93" s="48" t="s">
        <v>3559</v>
      </c>
    </row>
    <row r="94">
      <c r="A94" s="32">
        <v>9.46</v>
      </c>
      <c r="B94" s="35" t="s">
        <v>5618</v>
      </c>
      <c r="C94" s="34"/>
      <c r="D94" s="34"/>
      <c r="E94" s="35" t="s">
        <v>5619</v>
      </c>
      <c r="F94" s="34"/>
      <c r="G94" s="35" t="s">
        <v>5620</v>
      </c>
      <c r="H94" s="35" t="s">
        <v>3867</v>
      </c>
      <c r="I94" s="35" t="s">
        <v>3868</v>
      </c>
      <c r="J94" s="35" t="s">
        <v>3869</v>
      </c>
      <c r="K94" s="35" t="s">
        <v>5621</v>
      </c>
      <c r="L94" s="34"/>
      <c r="M94" s="35" t="s">
        <v>5622</v>
      </c>
      <c r="N94" s="35" t="s">
        <v>4389</v>
      </c>
      <c r="O94" s="35" t="s">
        <v>5623</v>
      </c>
      <c r="P94" s="35"/>
      <c r="R94" s="35" t="s">
        <v>3571</v>
      </c>
      <c r="S94" s="35" t="s">
        <v>3572</v>
      </c>
      <c r="T94" s="35" t="s">
        <v>4989</v>
      </c>
      <c r="U94" s="36" t="s">
        <v>5624</v>
      </c>
      <c r="V94" s="36" t="s">
        <v>5625</v>
      </c>
      <c r="W94" s="32">
        <v>24.0</v>
      </c>
      <c r="X94" s="53">
        <v>84.26666666666667</v>
      </c>
      <c r="Y94" s="34"/>
      <c r="Z94" s="34"/>
      <c r="AA94" s="32">
        <v>1988.0</v>
      </c>
      <c r="AB94" s="34"/>
      <c r="AC94" s="34"/>
      <c r="AD94" s="34"/>
      <c r="AE94" s="37"/>
      <c r="AF94" s="37"/>
      <c r="AG94" s="37"/>
      <c r="AH94" s="37"/>
      <c r="AI94" s="37"/>
      <c r="AJ94" s="37"/>
      <c r="AK94" s="37"/>
      <c r="AL94" s="37"/>
      <c r="AM94" s="37"/>
      <c r="AN94" s="37"/>
      <c r="AO94" s="35" t="s">
        <v>5626</v>
      </c>
      <c r="AP94" s="35" t="s">
        <v>5627</v>
      </c>
      <c r="AQ94" s="35" t="s">
        <v>3982</v>
      </c>
      <c r="AR94" s="35" t="s">
        <v>5628</v>
      </c>
      <c r="AS94" s="34" t="str">
        <f>+972 (0)3 533 3779</f>
        <v>#ERROR!</v>
      </c>
      <c r="AT94" s="35" t="s">
        <v>5629</v>
      </c>
      <c r="AU94" s="35" t="s">
        <v>5630</v>
      </c>
      <c r="AV94" s="34"/>
      <c r="AW94" s="35" t="s">
        <v>1407</v>
      </c>
      <c r="AX94" s="35" t="s">
        <v>75</v>
      </c>
      <c r="AY94" s="37"/>
      <c r="AZ94" s="35" t="s">
        <v>41</v>
      </c>
      <c r="BA94" s="37" t="str">
        <f>+972 (0)3 533 3779</f>
        <v>#ERROR!</v>
      </c>
      <c r="BB94" s="37" t="str">
        <f>+972 (0)3 735 3703</f>
        <v>#ERROR!</v>
      </c>
      <c r="BC94" s="34"/>
      <c r="BD94" s="35" t="s">
        <v>3584</v>
      </c>
      <c r="BE94" s="35" t="s">
        <v>3584</v>
      </c>
      <c r="BF94" s="35" t="s">
        <v>5631</v>
      </c>
      <c r="BG94" s="35" t="s">
        <v>5632</v>
      </c>
      <c r="BH94" s="32">
        <v>2.0</v>
      </c>
      <c r="BI94" s="34"/>
      <c r="BJ94" s="34"/>
      <c r="BK94" s="34"/>
      <c r="BL94" s="35" t="s">
        <v>5633</v>
      </c>
      <c r="BM94" s="34"/>
      <c r="BN94" s="34"/>
      <c r="BO94" s="34"/>
      <c r="BP94" s="34"/>
      <c r="BQ94" s="38" t="s">
        <v>5634</v>
      </c>
      <c r="BR94" s="32">
        <v>9.46</v>
      </c>
      <c r="BS94" s="35" t="s">
        <v>3593</v>
      </c>
      <c r="BT94" s="32">
        <v>28.38</v>
      </c>
      <c r="BU94" s="35" t="s">
        <v>3697</v>
      </c>
      <c r="BV94" s="35" t="s">
        <v>5635</v>
      </c>
      <c r="BW94" s="34"/>
      <c r="BX94" s="34"/>
      <c r="BY94" s="35" t="s">
        <v>4989</v>
      </c>
      <c r="BZ94" s="34"/>
      <c r="CA94" s="35" t="s">
        <v>3591</v>
      </c>
      <c r="CB94" s="38" t="s">
        <v>5636</v>
      </c>
      <c r="CC94" s="32">
        <v>50.81</v>
      </c>
      <c r="CD94" s="35" t="s">
        <v>3593</v>
      </c>
      <c r="CE94" s="32">
        <v>188.2</v>
      </c>
      <c r="CF94" s="35" t="s">
        <v>3697</v>
      </c>
      <c r="CG94" s="35" t="s">
        <v>3830</v>
      </c>
      <c r="CH94" s="34"/>
      <c r="CI94" s="34"/>
      <c r="CJ94" s="35" t="s">
        <v>4989</v>
      </c>
      <c r="CK94" s="37"/>
      <c r="CL94" s="37"/>
      <c r="CM94" s="34"/>
      <c r="CN94" s="35" t="s">
        <v>3591</v>
      </c>
      <c r="CO94" s="39">
        <v>0.0</v>
      </c>
      <c r="CP94" s="32">
        <v>14.0</v>
      </c>
      <c r="CQ94" s="39">
        <v>0.0</v>
      </c>
      <c r="CR94" s="39">
        <v>0.0</v>
      </c>
      <c r="CS94" s="39">
        <v>0.0</v>
      </c>
      <c r="CT94" s="32">
        <v>12.0</v>
      </c>
      <c r="CU94" s="37"/>
      <c r="CV94" s="37"/>
      <c r="CW94" s="39">
        <v>0.0</v>
      </c>
      <c r="CX94" s="32">
        <v>12.0</v>
      </c>
      <c r="CY94" s="32" t="s">
        <v>4932</v>
      </c>
      <c r="CZ94" s="32">
        <v>62.0</v>
      </c>
      <c r="DA94" s="32" t="s">
        <v>3598</v>
      </c>
      <c r="DB94" s="39">
        <v>0.0</v>
      </c>
      <c r="DC94" s="32" t="s">
        <v>4932</v>
      </c>
      <c r="DD94" s="32">
        <v>64.0</v>
      </c>
      <c r="DE94" s="37"/>
      <c r="DF94" s="37"/>
      <c r="DG94" s="32" t="s">
        <v>4932</v>
      </c>
      <c r="DH94" s="32">
        <v>63.0</v>
      </c>
      <c r="DI94" s="37"/>
      <c r="DJ94" s="37"/>
      <c r="DK94" s="37"/>
      <c r="DL94" s="32">
        <v>35.0</v>
      </c>
      <c r="DM94" s="32">
        <v>1.0</v>
      </c>
      <c r="DN94" s="39">
        <v>0.0294</v>
      </c>
      <c r="DO94" s="32" t="s">
        <v>3600</v>
      </c>
      <c r="DP94" s="38" t="s">
        <v>5637</v>
      </c>
      <c r="DQ94" s="37"/>
      <c r="DR94" s="37"/>
      <c r="DS94" s="37"/>
      <c r="DT94" s="37"/>
      <c r="DU94" s="37"/>
      <c r="DV94" s="37"/>
      <c r="DW94" s="34"/>
      <c r="DX94" s="37"/>
      <c r="DY94" s="34"/>
      <c r="DZ94" s="37"/>
      <c r="EA94" s="37"/>
      <c r="EB94" s="34"/>
      <c r="EC94" s="37"/>
      <c r="ED94" s="37"/>
      <c r="EE94" s="32">
        <v>188.2</v>
      </c>
      <c r="EF94" s="38" t="s">
        <v>5636</v>
      </c>
      <c r="EG94" s="35" t="s">
        <v>3830</v>
      </c>
      <c r="EH94" s="37"/>
      <c r="EI94" s="37"/>
      <c r="EJ94" s="37"/>
      <c r="EK94" s="34"/>
      <c r="EL94" s="37"/>
      <c r="EM94" s="37"/>
      <c r="EN94" s="37"/>
      <c r="EO94" s="37"/>
      <c r="EP94" s="40" t="s">
        <v>3559</v>
      </c>
    </row>
    <row r="95">
      <c r="A95" s="41">
        <v>25.0</v>
      </c>
      <c r="B95" s="42" t="s">
        <v>5638</v>
      </c>
      <c r="C95" s="43"/>
      <c r="D95" s="43"/>
      <c r="E95" s="42" t="s">
        <v>5639</v>
      </c>
      <c r="F95" s="42" t="s">
        <v>5640</v>
      </c>
      <c r="G95" s="42" t="s">
        <v>5641</v>
      </c>
      <c r="H95" s="42" t="s">
        <v>3867</v>
      </c>
      <c r="I95" s="42" t="s">
        <v>4199</v>
      </c>
      <c r="J95" s="42" t="s">
        <v>4414</v>
      </c>
      <c r="K95" s="42" t="s">
        <v>5642</v>
      </c>
      <c r="L95" s="42" t="s">
        <v>5643</v>
      </c>
      <c r="M95" s="42" t="s">
        <v>5644</v>
      </c>
      <c r="N95" s="42" t="s">
        <v>3569</v>
      </c>
      <c r="O95" s="42" t="s">
        <v>5645</v>
      </c>
      <c r="P95" s="42"/>
      <c r="R95" s="42" t="s">
        <v>3571</v>
      </c>
      <c r="S95" s="42" t="s">
        <v>3572</v>
      </c>
      <c r="T95" s="42" t="s">
        <v>3573</v>
      </c>
      <c r="U95" s="44" t="s">
        <v>5646</v>
      </c>
      <c r="V95" s="44" t="s">
        <v>5647</v>
      </c>
      <c r="W95" s="41">
        <v>7.0</v>
      </c>
      <c r="X95" s="42" t="s">
        <v>5648</v>
      </c>
      <c r="Y95" s="43"/>
      <c r="Z95" s="43"/>
      <c r="AA95" s="41">
        <v>2011.0</v>
      </c>
      <c r="AB95" s="43"/>
      <c r="AC95" s="43"/>
      <c r="AD95" s="42" t="s">
        <v>5649</v>
      </c>
      <c r="AE95" s="45"/>
      <c r="AF95" s="45"/>
      <c r="AG95" s="45"/>
      <c r="AH95" s="45"/>
      <c r="AI95" s="45"/>
      <c r="AJ95" s="45"/>
      <c r="AK95" s="45"/>
      <c r="AL95" s="45"/>
      <c r="AM95" s="45"/>
      <c r="AN95" s="45"/>
      <c r="AO95" s="42" t="s">
        <v>5650</v>
      </c>
      <c r="AP95" s="42" t="s">
        <v>1456</v>
      </c>
      <c r="AQ95" s="42" t="s">
        <v>3685</v>
      </c>
      <c r="AR95" s="42" t="s">
        <v>5651</v>
      </c>
      <c r="AS95" s="43" t="str">
        <f>+972 (0)54 999 5953</f>
        <v>#ERROR!</v>
      </c>
      <c r="AT95" s="42" t="s">
        <v>5652</v>
      </c>
      <c r="AU95" s="42" t="s">
        <v>5653</v>
      </c>
      <c r="AV95" s="43"/>
      <c r="AW95" s="42" t="s">
        <v>1205</v>
      </c>
      <c r="AX95" s="43"/>
      <c r="AY95" s="41">
        <v>3508504.0</v>
      </c>
      <c r="AZ95" s="42" t="s">
        <v>41</v>
      </c>
      <c r="BA95" s="45" t="str">
        <f>+972 (0)4 646 9900</f>
        <v>#ERROR!</v>
      </c>
      <c r="BB95" s="45"/>
      <c r="BC95" s="42" t="s">
        <v>5654</v>
      </c>
      <c r="BD95" s="42" t="s">
        <v>3584</v>
      </c>
      <c r="BE95" s="42" t="s">
        <v>3584</v>
      </c>
      <c r="BF95" s="42" t="s">
        <v>5655</v>
      </c>
      <c r="BG95" s="42" t="s">
        <v>5656</v>
      </c>
      <c r="BH95" s="41">
        <v>4.0</v>
      </c>
      <c r="BI95" s="43"/>
      <c r="BJ95" s="43"/>
      <c r="BK95" s="43"/>
      <c r="BL95" s="42" t="s">
        <v>5657</v>
      </c>
      <c r="BM95" s="43"/>
      <c r="BN95" s="43"/>
      <c r="BO95" s="43"/>
      <c r="BP95" s="43"/>
      <c r="BQ95" s="46" t="s">
        <v>5658</v>
      </c>
      <c r="BR95" s="45"/>
      <c r="BS95" s="43"/>
      <c r="BT95" s="45"/>
      <c r="BU95" s="43"/>
      <c r="BV95" s="42" t="s">
        <v>3698</v>
      </c>
      <c r="BW95" s="42" t="s">
        <v>3698</v>
      </c>
      <c r="BX95" s="43"/>
      <c r="BY95" s="42" t="s">
        <v>3573</v>
      </c>
      <c r="BZ95" s="43"/>
      <c r="CA95" s="42" t="s">
        <v>3591</v>
      </c>
      <c r="CB95" s="46" t="s">
        <v>5659</v>
      </c>
      <c r="CC95" s="41">
        <v>25.0</v>
      </c>
      <c r="CD95" s="42" t="s">
        <v>3593</v>
      </c>
      <c r="CE95" s="41">
        <v>65.0</v>
      </c>
      <c r="CF95" s="42" t="s">
        <v>3593</v>
      </c>
      <c r="CG95" s="42" t="s">
        <v>3594</v>
      </c>
      <c r="CH95" s="42" t="s">
        <v>4017</v>
      </c>
      <c r="CI95" s="43"/>
      <c r="CJ95" s="42" t="s">
        <v>3573</v>
      </c>
      <c r="CK95" s="45"/>
      <c r="CL95" s="45"/>
      <c r="CM95" s="43"/>
      <c r="CN95" s="42" t="s">
        <v>3591</v>
      </c>
      <c r="CO95" s="47">
        <v>-0.0331</v>
      </c>
      <c r="CP95" s="41">
        <v>3.0</v>
      </c>
      <c r="CQ95" s="47">
        <v>0.0</v>
      </c>
      <c r="CR95" s="47">
        <v>0.0</v>
      </c>
      <c r="CS95" s="47">
        <v>-0.0024</v>
      </c>
      <c r="CT95" s="41">
        <v>9.0</v>
      </c>
      <c r="CU95" s="45"/>
      <c r="CV95" s="45"/>
      <c r="CW95" s="47">
        <v>-0.0024</v>
      </c>
      <c r="CX95" s="41">
        <v>9.0</v>
      </c>
      <c r="CY95" s="41" t="s">
        <v>5660</v>
      </c>
      <c r="CZ95" s="41">
        <v>79.0</v>
      </c>
      <c r="DA95" s="41" t="s">
        <v>3598</v>
      </c>
      <c r="DB95" s="47">
        <v>0.0</v>
      </c>
      <c r="DC95" s="41" t="s">
        <v>5661</v>
      </c>
      <c r="DD95" s="41">
        <v>89.0</v>
      </c>
      <c r="DE95" s="45"/>
      <c r="DF95" s="45"/>
      <c r="DG95" s="41" t="s">
        <v>5661</v>
      </c>
      <c r="DH95" s="41">
        <v>88.0</v>
      </c>
      <c r="DI95" s="45"/>
      <c r="DJ95" s="45"/>
      <c r="DK95" s="45"/>
      <c r="DL95" s="41">
        <v>201.0</v>
      </c>
      <c r="DM95" s="41">
        <v>1.0</v>
      </c>
      <c r="DN95" s="47">
        <v>0.005</v>
      </c>
      <c r="DO95" s="41" t="s">
        <v>3600</v>
      </c>
      <c r="DP95" s="46" t="s">
        <v>5256</v>
      </c>
      <c r="DQ95" s="41">
        <v>121.0</v>
      </c>
      <c r="DR95" s="41">
        <v>32.0</v>
      </c>
      <c r="DS95" s="41">
        <v>63.0</v>
      </c>
      <c r="DT95" s="41">
        <v>13.0</v>
      </c>
      <c r="DU95" s="45"/>
      <c r="DV95" s="41">
        <v>45.0</v>
      </c>
      <c r="DW95" s="42" t="s">
        <v>5662</v>
      </c>
      <c r="DX95" s="45"/>
      <c r="DY95" s="43"/>
      <c r="DZ95" s="45"/>
      <c r="EA95" s="45"/>
      <c r="EB95" s="43"/>
      <c r="EC95" s="45"/>
      <c r="ED95" s="45"/>
      <c r="EE95" s="41">
        <v>65.0</v>
      </c>
      <c r="EF95" s="46" t="s">
        <v>5659</v>
      </c>
      <c r="EG95" s="42" t="s">
        <v>3594</v>
      </c>
      <c r="EH95" s="45"/>
      <c r="EI95" s="45"/>
      <c r="EJ95" s="45"/>
      <c r="EK95" s="43"/>
      <c r="EL95" s="45"/>
      <c r="EM95" s="45"/>
      <c r="EN95" s="45"/>
      <c r="EO95" s="45"/>
      <c r="EP95" s="48" t="s">
        <v>3559</v>
      </c>
    </row>
    <row r="96">
      <c r="A96" s="32">
        <v>23.8</v>
      </c>
      <c r="B96" s="35" t="s">
        <v>5663</v>
      </c>
      <c r="C96" s="34"/>
      <c r="D96" s="34"/>
      <c r="E96" s="35" t="s">
        <v>5664</v>
      </c>
      <c r="F96" s="35" t="s">
        <v>5665</v>
      </c>
      <c r="G96" s="35" t="s">
        <v>5666</v>
      </c>
      <c r="H96" s="35" t="s">
        <v>3563</v>
      </c>
      <c r="I96" s="35" t="s">
        <v>3564</v>
      </c>
      <c r="J96" s="35" t="s">
        <v>3565</v>
      </c>
      <c r="K96" s="35" t="s">
        <v>5667</v>
      </c>
      <c r="L96" s="35" t="s">
        <v>3811</v>
      </c>
      <c r="M96" s="35" t="s">
        <v>5668</v>
      </c>
      <c r="N96" s="35" t="s">
        <v>5018</v>
      </c>
      <c r="O96" s="35" t="s">
        <v>5669</v>
      </c>
      <c r="P96" s="35"/>
      <c r="R96" s="35" t="s">
        <v>5222</v>
      </c>
      <c r="S96" s="35" t="s">
        <v>5222</v>
      </c>
      <c r="T96" s="35" t="s">
        <v>3573</v>
      </c>
      <c r="U96" s="36" t="s">
        <v>5670</v>
      </c>
      <c r="V96" s="34"/>
      <c r="W96" s="32">
        <v>37.0</v>
      </c>
      <c r="X96" s="35" t="s">
        <v>5671</v>
      </c>
      <c r="Y96" s="34"/>
      <c r="Z96" s="34"/>
      <c r="AA96" s="32">
        <v>2016.0</v>
      </c>
      <c r="AB96" s="34"/>
      <c r="AC96" s="34"/>
      <c r="AD96" s="34"/>
      <c r="AE96" s="37"/>
      <c r="AF96" s="37"/>
      <c r="AG96" s="37"/>
      <c r="AH96" s="37"/>
      <c r="AI96" s="37"/>
      <c r="AJ96" s="37"/>
      <c r="AK96" s="37"/>
      <c r="AL96" s="37"/>
      <c r="AM96" s="37"/>
      <c r="AN96" s="37"/>
      <c r="AO96" s="34"/>
      <c r="AP96" s="34"/>
      <c r="AQ96" s="34"/>
      <c r="AR96" s="34"/>
      <c r="AS96" s="34"/>
      <c r="AT96" s="35" t="s">
        <v>3581</v>
      </c>
      <c r="AU96" s="35" t="s">
        <v>5672</v>
      </c>
      <c r="AV96" s="34"/>
      <c r="AW96" s="35" t="s">
        <v>75</v>
      </c>
      <c r="AX96" s="34"/>
      <c r="AY96" s="37"/>
      <c r="AZ96" s="35" t="s">
        <v>41</v>
      </c>
      <c r="BA96" s="37"/>
      <c r="BB96" s="37"/>
      <c r="BC96" s="34"/>
      <c r="BD96" s="35" t="s">
        <v>3584</v>
      </c>
      <c r="BE96" s="35" t="s">
        <v>3584</v>
      </c>
      <c r="BF96" s="35" t="s">
        <v>5673</v>
      </c>
      <c r="BG96" s="34"/>
      <c r="BH96" s="37"/>
      <c r="BI96" s="34"/>
      <c r="BJ96" s="35" t="s">
        <v>5674</v>
      </c>
      <c r="BK96" s="34"/>
      <c r="BL96" s="34"/>
      <c r="BM96" s="35" t="s">
        <v>5675</v>
      </c>
      <c r="BN96" s="34"/>
      <c r="BO96" s="34"/>
      <c r="BP96" s="35" t="s">
        <v>3660</v>
      </c>
      <c r="BQ96" s="38" t="s">
        <v>3661</v>
      </c>
      <c r="BR96" s="37"/>
      <c r="BS96" s="34"/>
      <c r="BT96" s="37"/>
      <c r="BU96" s="34"/>
      <c r="BV96" s="35" t="s">
        <v>3662</v>
      </c>
      <c r="BW96" s="34"/>
      <c r="BX96" s="34"/>
      <c r="BY96" s="35" t="s">
        <v>3663</v>
      </c>
      <c r="BZ96" s="34"/>
      <c r="CA96" s="35" t="s">
        <v>3591</v>
      </c>
      <c r="CB96" s="38" t="s">
        <v>5676</v>
      </c>
      <c r="CC96" s="37"/>
      <c r="CD96" s="34"/>
      <c r="CE96" s="37"/>
      <c r="CF96" s="34"/>
      <c r="CG96" s="35" t="s">
        <v>5222</v>
      </c>
      <c r="CH96" s="34"/>
      <c r="CI96" s="34"/>
      <c r="CJ96" s="35" t="s">
        <v>5222</v>
      </c>
      <c r="CK96" s="38" t="s">
        <v>5677</v>
      </c>
      <c r="CL96" s="32">
        <v>0.9</v>
      </c>
      <c r="CM96" s="34"/>
      <c r="CN96" s="35" t="s">
        <v>3591</v>
      </c>
      <c r="CO96" s="37"/>
      <c r="CP96" s="37"/>
      <c r="CQ96" s="37"/>
      <c r="CR96" s="37"/>
      <c r="CS96" s="37"/>
      <c r="CT96" s="37"/>
      <c r="CU96" s="37"/>
      <c r="CV96" s="37"/>
      <c r="CW96" s="37"/>
      <c r="CX96" s="37"/>
      <c r="CY96" s="37"/>
      <c r="CZ96" s="37"/>
      <c r="DA96" s="37"/>
      <c r="DB96" s="37"/>
      <c r="DC96" s="37"/>
      <c r="DD96" s="37"/>
      <c r="DE96" s="37"/>
      <c r="DF96" s="37"/>
      <c r="DG96" s="37"/>
      <c r="DH96" s="37"/>
      <c r="DI96" s="37"/>
      <c r="DJ96" s="37"/>
      <c r="DK96" s="37"/>
      <c r="DL96" s="37"/>
      <c r="DM96" s="37"/>
      <c r="DN96" s="37"/>
      <c r="DO96" s="32" t="s">
        <v>3600</v>
      </c>
      <c r="DP96" s="38" t="s">
        <v>5637</v>
      </c>
      <c r="DQ96" s="37"/>
      <c r="DR96" s="37"/>
      <c r="DS96" s="37"/>
      <c r="DT96" s="37"/>
      <c r="DU96" s="37"/>
      <c r="DV96" s="37"/>
      <c r="DW96" s="34"/>
      <c r="DX96" s="37"/>
      <c r="DY96" s="34"/>
      <c r="DZ96" s="37"/>
      <c r="EA96" s="37"/>
      <c r="EB96" s="34"/>
      <c r="EC96" s="37"/>
      <c r="ED96" s="37"/>
      <c r="EE96" s="32">
        <v>47.76</v>
      </c>
      <c r="EF96" s="38" t="s">
        <v>5678</v>
      </c>
      <c r="EG96" s="35" t="s">
        <v>3594</v>
      </c>
      <c r="EH96" s="37"/>
      <c r="EI96" s="37"/>
      <c r="EJ96" s="37"/>
      <c r="EK96" s="34"/>
      <c r="EL96" s="37"/>
      <c r="EM96" s="37"/>
      <c r="EN96" s="32">
        <v>1.19</v>
      </c>
      <c r="EO96" s="32">
        <v>1.19</v>
      </c>
      <c r="EP96" s="40" t="s">
        <v>3559</v>
      </c>
    </row>
    <row r="97">
      <c r="A97" s="41">
        <v>3.96</v>
      </c>
      <c r="B97" s="42" t="s">
        <v>5679</v>
      </c>
      <c r="C97" s="43"/>
      <c r="D97" s="43"/>
      <c r="E97" s="42" t="s">
        <v>5680</v>
      </c>
      <c r="F97" s="42" t="s">
        <v>5681</v>
      </c>
      <c r="G97" s="42" t="s">
        <v>5682</v>
      </c>
      <c r="H97" s="42" t="s">
        <v>3563</v>
      </c>
      <c r="I97" s="42" t="s">
        <v>3609</v>
      </c>
      <c r="J97" s="42" t="s">
        <v>3610</v>
      </c>
      <c r="K97" s="42" t="s">
        <v>5683</v>
      </c>
      <c r="L97" s="42" t="s">
        <v>5684</v>
      </c>
      <c r="M97" s="42" t="s">
        <v>5685</v>
      </c>
      <c r="N97" s="42" t="s">
        <v>5018</v>
      </c>
      <c r="O97" s="42" t="s">
        <v>5686</v>
      </c>
      <c r="P97" s="42"/>
      <c r="R97" s="42" t="s">
        <v>3571</v>
      </c>
      <c r="S97" s="42" t="s">
        <v>5020</v>
      </c>
      <c r="T97" s="42" t="s">
        <v>3573</v>
      </c>
      <c r="U97" s="44" t="s">
        <v>5687</v>
      </c>
      <c r="V97" s="43"/>
      <c r="W97" s="41">
        <v>6.0</v>
      </c>
      <c r="X97" s="42" t="s">
        <v>5688</v>
      </c>
      <c r="Y97" s="43"/>
      <c r="Z97" s="43"/>
      <c r="AA97" s="41">
        <v>2016.0</v>
      </c>
      <c r="AB97" s="43"/>
      <c r="AC97" s="43"/>
      <c r="AD97" s="43"/>
      <c r="AE97" s="41">
        <v>6.0</v>
      </c>
      <c r="AF97" s="45"/>
      <c r="AG97" s="45"/>
      <c r="AH97" s="45"/>
      <c r="AI97" s="45"/>
      <c r="AJ97" s="45"/>
      <c r="AK97" s="45"/>
      <c r="AL97" s="45"/>
      <c r="AM97" s="47">
        <v>3.0</v>
      </c>
      <c r="AN97" s="41" t="s">
        <v>4859</v>
      </c>
      <c r="AO97" s="43"/>
      <c r="AP97" s="43"/>
      <c r="AQ97" s="43"/>
      <c r="AR97" s="43"/>
      <c r="AS97" s="43"/>
      <c r="AT97" s="42" t="s">
        <v>5689</v>
      </c>
      <c r="AU97" s="42" t="s">
        <v>5690</v>
      </c>
      <c r="AV97" s="43"/>
      <c r="AW97" s="42" t="s">
        <v>298</v>
      </c>
      <c r="AX97" s="43"/>
      <c r="AY97" s="41">
        <v>4220669.0</v>
      </c>
      <c r="AZ97" s="42" t="s">
        <v>41</v>
      </c>
      <c r="BA97" s="45"/>
      <c r="BB97" s="45"/>
      <c r="BC97" s="43"/>
      <c r="BD97" s="42" t="s">
        <v>3584</v>
      </c>
      <c r="BE97" s="42" t="s">
        <v>3584</v>
      </c>
      <c r="BF97" s="42" t="s">
        <v>5691</v>
      </c>
      <c r="BG97" s="43"/>
      <c r="BH97" s="45"/>
      <c r="BI97" s="42" t="s">
        <v>5692</v>
      </c>
      <c r="BJ97" s="42" t="s">
        <v>5693</v>
      </c>
      <c r="BK97" s="43"/>
      <c r="BL97" s="43"/>
      <c r="BM97" s="42" t="s">
        <v>5694</v>
      </c>
      <c r="BN97" s="43"/>
      <c r="BO97" s="43"/>
      <c r="BP97" s="43"/>
      <c r="BQ97" s="45"/>
      <c r="BR97" s="45"/>
      <c r="BS97" s="43"/>
      <c r="BT97" s="45"/>
      <c r="BU97" s="43"/>
      <c r="BV97" s="42" t="s">
        <v>3589</v>
      </c>
      <c r="BW97" s="43"/>
      <c r="BX97" s="43"/>
      <c r="BY97" s="42" t="s">
        <v>3590</v>
      </c>
      <c r="BZ97" s="43"/>
      <c r="CA97" s="42" t="s">
        <v>3591</v>
      </c>
      <c r="CB97" s="46" t="s">
        <v>5695</v>
      </c>
      <c r="CC97" s="45"/>
      <c r="CD97" s="43"/>
      <c r="CE97" s="45"/>
      <c r="CF97" s="43"/>
      <c r="CG97" s="42" t="s">
        <v>4977</v>
      </c>
      <c r="CH97" s="43"/>
      <c r="CI97" s="43"/>
      <c r="CJ97" s="42" t="s">
        <v>3663</v>
      </c>
      <c r="CK97" s="45"/>
      <c r="CL97" s="45"/>
      <c r="CM97" s="43"/>
      <c r="CN97" s="42" t="s">
        <v>3591</v>
      </c>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1" t="s">
        <v>3600</v>
      </c>
      <c r="DP97" s="46" t="s">
        <v>5696</v>
      </c>
      <c r="DQ97" s="41">
        <v>1.0</v>
      </c>
      <c r="DR97" s="41">
        <v>1.0</v>
      </c>
      <c r="DS97" s="45"/>
      <c r="DT97" s="45"/>
      <c r="DU97" s="45"/>
      <c r="DV97" s="41">
        <v>1.0</v>
      </c>
      <c r="DW97" s="43"/>
      <c r="DX97" s="45"/>
      <c r="DY97" s="43"/>
      <c r="DZ97" s="45"/>
      <c r="EA97" s="45"/>
      <c r="EB97" s="43"/>
      <c r="EC97" s="45"/>
      <c r="ED97" s="45"/>
      <c r="EE97" s="45"/>
      <c r="EF97" s="45"/>
      <c r="EG97" s="43"/>
      <c r="EH97" s="45"/>
      <c r="EI97" s="45"/>
      <c r="EJ97" s="45"/>
      <c r="EK97" s="43"/>
      <c r="EL97" s="45"/>
      <c r="EM97" s="45"/>
      <c r="EN97" s="45"/>
      <c r="EO97" s="45"/>
      <c r="EP97" s="48" t="s">
        <v>3559</v>
      </c>
    </row>
    <row r="98">
      <c r="A98" s="37"/>
      <c r="B98" s="35" t="s">
        <v>5697</v>
      </c>
      <c r="C98" s="34"/>
      <c r="D98" s="34"/>
      <c r="E98" s="34"/>
      <c r="F98" s="34"/>
      <c r="G98" s="35" t="s">
        <v>5698</v>
      </c>
      <c r="H98" s="35" t="s">
        <v>4560</v>
      </c>
      <c r="I98" s="35" t="s">
        <v>4561</v>
      </c>
      <c r="J98" s="35" t="s">
        <v>66</v>
      </c>
      <c r="K98" s="35" t="s">
        <v>5565</v>
      </c>
      <c r="L98" s="34"/>
      <c r="M98" s="35" t="s">
        <v>5699</v>
      </c>
      <c r="N98" s="35" t="s">
        <v>4962</v>
      </c>
      <c r="O98" s="35" t="s">
        <v>5700</v>
      </c>
      <c r="P98" s="35"/>
      <c r="R98" s="35" t="s">
        <v>3571</v>
      </c>
      <c r="S98" s="35" t="s">
        <v>5020</v>
      </c>
      <c r="T98" s="35" t="s">
        <v>3603</v>
      </c>
      <c r="U98" s="36" t="s">
        <v>5701</v>
      </c>
      <c r="V98" s="34"/>
      <c r="W98" s="37"/>
      <c r="X98" s="34"/>
      <c r="Y98" s="34"/>
      <c r="Z98" s="34"/>
      <c r="AA98" s="32">
        <v>1992.0</v>
      </c>
      <c r="AB98" s="34"/>
      <c r="AC98" s="34"/>
      <c r="AD98" s="34"/>
      <c r="AE98" s="37"/>
      <c r="AF98" s="37"/>
      <c r="AG98" s="37"/>
      <c r="AH98" s="37"/>
      <c r="AI98" s="37"/>
      <c r="AJ98" s="37"/>
      <c r="AK98" s="37"/>
      <c r="AL98" s="37"/>
      <c r="AM98" s="37"/>
      <c r="AN98" s="37"/>
      <c r="AO98" s="34"/>
      <c r="AP98" s="34"/>
      <c r="AQ98" s="34"/>
      <c r="AR98" s="34"/>
      <c r="AS98" s="34"/>
      <c r="AT98" s="35" t="s">
        <v>3581</v>
      </c>
      <c r="AU98" s="35" t="s">
        <v>5702</v>
      </c>
      <c r="AV98" s="34"/>
      <c r="AW98" s="35" t="s">
        <v>75</v>
      </c>
      <c r="AX98" s="34"/>
      <c r="AY98" s="37"/>
      <c r="AZ98" s="35" t="s">
        <v>41</v>
      </c>
      <c r="BA98" s="37"/>
      <c r="BB98" s="37"/>
      <c r="BC98" s="34"/>
      <c r="BD98" s="35" t="s">
        <v>3584</v>
      </c>
      <c r="BE98" s="35" t="s">
        <v>3584</v>
      </c>
      <c r="BF98" s="35" t="s">
        <v>5703</v>
      </c>
      <c r="BG98" s="34"/>
      <c r="BH98" s="37"/>
      <c r="BI98" s="35" t="s">
        <v>5704</v>
      </c>
      <c r="BJ98" s="35" t="s">
        <v>5705</v>
      </c>
      <c r="BK98" s="34"/>
      <c r="BL98" s="34"/>
      <c r="BM98" s="34"/>
      <c r="BN98" s="34"/>
      <c r="BO98" s="34"/>
      <c r="BP98" s="35" t="s">
        <v>5706</v>
      </c>
      <c r="BQ98" s="38" t="s">
        <v>5707</v>
      </c>
      <c r="BR98" s="37"/>
      <c r="BS98" s="34"/>
      <c r="BT98" s="37"/>
      <c r="BU98" s="34"/>
      <c r="BV98" s="35" t="s">
        <v>4977</v>
      </c>
      <c r="BW98" s="35" t="s">
        <v>5708</v>
      </c>
      <c r="BX98" s="34"/>
      <c r="BY98" s="35" t="s">
        <v>3663</v>
      </c>
      <c r="BZ98" s="34"/>
      <c r="CA98" s="35" t="s">
        <v>3591</v>
      </c>
      <c r="CB98" s="38" t="s">
        <v>5707</v>
      </c>
      <c r="CC98" s="37"/>
      <c r="CD98" s="34"/>
      <c r="CE98" s="37"/>
      <c r="CF98" s="34"/>
      <c r="CG98" s="35" t="s">
        <v>4977</v>
      </c>
      <c r="CH98" s="35" t="s">
        <v>5708</v>
      </c>
      <c r="CI98" s="34"/>
      <c r="CJ98" s="35" t="s">
        <v>3663</v>
      </c>
      <c r="CK98" s="37"/>
      <c r="CL98" s="37"/>
      <c r="CM98" s="34"/>
      <c r="CN98" s="35" t="s">
        <v>3591</v>
      </c>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c r="DO98" s="32" t="s">
        <v>3600</v>
      </c>
      <c r="DP98" s="38" t="s">
        <v>5709</v>
      </c>
      <c r="DQ98" s="37"/>
      <c r="DR98" s="37"/>
      <c r="DS98" s="37"/>
      <c r="DT98" s="37"/>
      <c r="DU98" s="37"/>
      <c r="DV98" s="37"/>
      <c r="DW98" s="34"/>
      <c r="DX98" s="37"/>
      <c r="DY98" s="34"/>
      <c r="DZ98" s="37"/>
      <c r="EA98" s="37"/>
      <c r="EB98" s="34"/>
      <c r="EC98" s="37"/>
      <c r="ED98" s="37"/>
      <c r="EE98" s="37"/>
      <c r="EF98" s="37"/>
      <c r="EG98" s="34"/>
      <c r="EH98" s="37"/>
      <c r="EI98" s="37"/>
      <c r="EJ98" s="37"/>
      <c r="EK98" s="34"/>
      <c r="EL98" s="37"/>
      <c r="EM98" s="37"/>
      <c r="EN98" s="37"/>
      <c r="EO98" s="37"/>
      <c r="EP98" s="40" t="s">
        <v>3559</v>
      </c>
    </row>
    <row r="99">
      <c r="A99" s="45"/>
      <c r="B99" s="42" t="s">
        <v>5710</v>
      </c>
      <c r="C99" s="43"/>
      <c r="D99" s="43"/>
      <c r="E99" s="43"/>
      <c r="F99" s="43"/>
      <c r="G99" s="42" t="s">
        <v>5711</v>
      </c>
      <c r="H99" s="42" t="s">
        <v>3867</v>
      </c>
      <c r="I99" s="42" t="s">
        <v>3868</v>
      </c>
      <c r="J99" s="42" t="s">
        <v>3869</v>
      </c>
      <c r="K99" s="42" t="s">
        <v>5438</v>
      </c>
      <c r="L99" s="43"/>
      <c r="M99" s="43"/>
      <c r="N99" s="42" t="s">
        <v>4923</v>
      </c>
      <c r="O99" s="42" t="s">
        <v>5712</v>
      </c>
      <c r="P99" s="42"/>
      <c r="R99" s="43"/>
      <c r="S99" s="42" t="s">
        <v>4925</v>
      </c>
      <c r="T99" s="42" t="s">
        <v>4926</v>
      </c>
      <c r="U99" s="44" t="s">
        <v>5713</v>
      </c>
      <c r="V99" s="44" t="s">
        <v>5714</v>
      </c>
      <c r="W99" s="41">
        <v>3.0</v>
      </c>
      <c r="X99" s="42" t="s">
        <v>5715</v>
      </c>
      <c r="Y99" s="43"/>
      <c r="Z99" s="43"/>
      <c r="AA99" s="41">
        <v>2018.0</v>
      </c>
      <c r="AB99" s="43"/>
      <c r="AC99" s="43"/>
      <c r="AD99" s="43"/>
      <c r="AE99" s="45"/>
      <c r="AF99" s="45"/>
      <c r="AG99" s="45"/>
      <c r="AH99" s="45"/>
      <c r="AI99" s="45"/>
      <c r="AJ99" s="45"/>
      <c r="AK99" s="45"/>
      <c r="AL99" s="45"/>
      <c r="AM99" s="45"/>
      <c r="AN99" s="45"/>
      <c r="AO99" s="43"/>
      <c r="AP99" s="43"/>
      <c r="AQ99" s="43"/>
      <c r="AR99" s="43"/>
      <c r="AS99" s="43"/>
      <c r="AT99" s="42" t="s">
        <v>5716</v>
      </c>
      <c r="AU99" s="42" t="s">
        <v>5717</v>
      </c>
      <c r="AV99" s="43"/>
      <c r="AW99" s="42" t="s">
        <v>828</v>
      </c>
      <c r="AX99" s="42" t="s">
        <v>41</v>
      </c>
      <c r="AY99" s="41">
        <v>4355133.0</v>
      </c>
      <c r="AZ99" s="42" t="s">
        <v>41</v>
      </c>
      <c r="BA99" s="45"/>
      <c r="BB99" s="45"/>
      <c r="BC99" s="43"/>
      <c r="BD99" s="42" t="s">
        <v>3584</v>
      </c>
      <c r="BE99" s="42" t="s">
        <v>3584</v>
      </c>
      <c r="BF99" s="43"/>
      <c r="BG99" s="43"/>
      <c r="BH99" s="45"/>
      <c r="BI99" s="43"/>
      <c r="BJ99" s="43"/>
      <c r="BK99" s="43"/>
      <c r="BL99" s="43"/>
      <c r="BM99" s="43"/>
      <c r="BN99" s="43"/>
      <c r="BO99" s="43"/>
      <c r="BP99" s="43"/>
      <c r="BQ99" s="45"/>
      <c r="BR99" s="45"/>
      <c r="BS99" s="43"/>
      <c r="BT99" s="45"/>
      <c r="BU99" s="43"/>
      <c r="BV99" s="43"/>
      <c r="BW99" s="43"/>
      <c r="BX99" s="43"/>
      <c r="BY99" s="43"/>
      <c r="BZ99" s="43"/>
      <c r="CA99" s="43"/>
      <c r="CB99" s="45"/>
      <c r="CC99" s="45"/>
      <c r="CD99" s="43"/>
      <c r="CE99" s="45"/>
      <c r="CF99" s="43"/>
      <c r="CG99" s="43"/>
      <c r="CH99" s="43"/>
      <c r="CI99" s="43"/>
      <c r="CJ99" s="43"/>
      <c r="CK99" s="45"/>
      <c r="CL99" s="45"/>
      <c r="CM99" s="43"/>
      <c r="CN99" s="43"/>
      <c r="CO99" s="47">
        <v>0.0</v>
      </c>
      <c r="CP99" s="41">
        <v>14.0</v>
      </c>
      <c r="CQ99" s="47">
        <v>0.0</v>
      </c>
      <c r="CR99" s="47">
        <v>0.0</v>
      </c>
      <c r="CS99" s="47">
        <v>0.0</v>
      </c>
      <c r="CT99" s="41">
        <v>12.0</v>
      </c>
      <c r="CU99" s="45"/>
      <c r="CV99" s="45"/>
      <c r="CW99" s="47">
        <v>0.0</v>
      </c>
      <c r="CX99" s="41">
        <v>12.0</v>
      </c>
      <c r="CY99" s="41" t="s">
        <v>5718</v>
      </c>
      <c r="CZ99" s="41">
        <v>37.0</v>
      </c>
      <c r="DA99" s="41" t="s">
        <v>3598</v>
      </c>
      <c r="DB99" s="47">
        <v>0.0</v>
      </c>
      <c r="DC99" s="41" t="s">
        <v>5719</v>
      </c>
      <c r="DD99" s="41">
        <v>54.0</v>
      </c>
      <c r="DE99" s="45"/>
      <c r="DF99" s="45"/>
      <c r="DG99" s="41" t="s">
        <v>5719</v>
      </c>
      <c r="DH99" s="41">
        <v>52.0</v>
      </c>
      <c r="DI99" s="45"/>
      <c r="DJ99" s="45"/>
      <c r="DK99" s="45"/>
      <c r="DL99" s="41">
        <v>24.0</v>
      </c>
      <c r="DM99" s="41">
        <v>1.0</v>
      </c>
      <c r="DN99" s="47">
        <v>0.0435</v>
      </c>
      <c r="DO99" s="41" t="s">
        <v>5066</v>
      </c>
      <c r="DP99" s="46" t="s">
        <v>5720</v>
      </c>
      <c r="DQ99" s="45"/>
      <c r="DR99" s="45"/>
      <c r="DS99" s="45"/>
      <c r="DT99" s="45"/>
      <c r="DU99" s="45"/>
      <c r="DV99" s="45"/>
      <c r="DW99" s="43"/>
      <c r="DX99" s="45"/>
      <c r="DY99" s="43"/>
      <c r="DZ99" s="45"/>
      <c r="EA99" s="45"/>
      <c r="EB99" s="43"/>
      <c r="EC99" s="45"/>
      <c r="ED99" s="45"/>
      <c r="EE99" s="45"/>
      <c r="EF99" s="45"/>
      <c r="EG99" s="43"/>
      <c r="EH99" s="45"/>
      <c r="EI99" s="45"/>
      <c r="EJ99" s="45"/>
      <c r="EK99" s="43"/>
      <c r="EL99" s="45"/>
      <c r="EM99" s="45"/>
      <c r="EN99" s="45"/>
      <c r="EO99" s="45"/>
      <c r="EP99" s="48" t="s">
        <v>3559</v>
      </c>
    </row>
    <row r="100">
      <c r="A100" s="37"/>
      <c r="B100" s="35" t="s">
        <v>1627</v>
      </c>
      <c r="C100" s="34"/>
      <c r="D100" s="34"/>
      <c r="E100" s="34"/>
      <c r="F100" s="34"/>
      <c r="G100" s="35" t="s">
        <v>5721</v>
      </c>
      <c r="H100" s="35" t="s">
        <v>3563</v>
      </c>
      <c r="I100" s="35" t="s">
        <v>3564</v>
      </c>
      <c r="J100" s="35" t="s">
        <v>3565</v>
      </c>
      <c r="K100" s="35" t="s">
        <v>3734</v>
      </c>
      <c r="L100" s="35" t="s">
        <v>5722</v>
      </c>
      <c r="M100" s="35" t="s">
        <v>5723</v>
      </c>
      <c r="N100" s="35" t="s">
        <v>4923</v>
      </c>
      <c r="O100" s="35" t="s">
        <v>5724</v>
      </c>
      <c r="P100" s="35"/>
      <c r="R100" s="35" t="s">
        <v>3571</v>
      </c>
      <c r="S100" s="35" t="s">
        <v>4925</v>
      </c>
      <c r="T100" s="35" t="s">
        <v>4926</v>
      </c>
      <c r="U100" s="36" t="s">
        <v>5725</v>
      </c>
      <c r="V100" s="36" t="s">
        <v>5726</v>
      </c>
      <c r="W100" s="37"/>
      <c r="X100" s="34"/>
      <c r="Y100" s="34"/>
      <c r="Z100" s="34"/>
      <c r="AA100" s="32">
        <v>2016.0</v>
      </c>
      <c r="AB100" s="34"/>
      <c r="AC100" s="34"/>
      <c r="AD100" s="34"/>
      <c r="AE100" s="37"/>
      <c r="AF100" s="37"/>
      <c r="AG100" s="37"/>
      <c r="AH100" s="37"/>
      <c r="AI100" s="37"/>
      <c r="AJ100" s="37"/>
      <c r="AK100" s="37"/>
      <c r="AL100" s="37"/>
      <c r="AM100" s="37"/>
      <c r="AN100" s="37"/>
      <c r="AO100" s="35" t="s">
        <v>5727</v>
      </c>
      <c r="AP100" s="35" t="s">
        <v>1629</v>
      </c>
      <c r="AQ100" s="35" t="s">
        <v>4930</v>
      </c>
      <c r="AR100" s="35" t="s">
        <v>5728</v>
      </c>
      <c r="AS100" s="34" t="str">
        <f>+972 (0)58 400 7968</f>
        <v>#ERROR!</v>
      </c>
      <c r="AT100" s="35" t="s">
        <v>5689</v>
      </c>
      <c r="AU100" s="35" t="s">
        <v>5729</v>
      </c>
      <c r="AV100" s="34"/>
      <c r="AW100" s="35" t="s">
        <v>298</v>
      </c>
      <c r="AX100" s="34"/>
      <c r="AY100" s="37"/>
      <c r="AZ100" s="35" t="s">
        <v>41</v>
      </c>
      <c r="BA100" s="37" t="str">
        <f>+972 (0)58 400 7968</f>
        <v>#ERROR!</v>
      </c>
      <c r="BB100" s="37"/>
      <c r="BC100" s="35" t="s">
        <v>1632</v>
      </c>
      <c r="BD100" s="35" t="s">
        <v>3584</v>
      </c>
      <c r="BE100" s="35" t="s">
        <v>3584</v>
      </c>
      <c r="BF100" s="34"/>
      <c r="BG100" s="34"/>
      <c r="BH100" s="37"/>
      <c r="BI100" s="34"/>
      <c r="BJ100" s="34"/>
      <c r="BK100" s="34"/>
      <c r="BL100" s="34"/>
      <c r="BM100" s="34"/>
      <c r="BN100" s="34"/>
      <c r="BO100" s="34"/>
      <c r="BP100" s="34"/>
      <c r="BQ100" s="37"/>
      <c r="BR100" s="37"/>
      <c r="BS100" s="34"/>
      <c r="BT100" s="37"/>
      <c r="BU100" s="34"/>
      <c r="BV100" s="34"/>
      <c r="BW100" s="34"/>
      <c r="BX100" s="34"/>
      <c r="BY100" s="34"/>
      <c r="BZ100" s="34"/>
      <c r="CA100" s="34"/>
      <c r="CB100" s="37"/>
      <c r="CC100" s="37"/>
      <c r="CD100" s="34"/>
      <c r="CE100" s="37"/>
      <c r="CF100" s="34"/>
      <c r="CG100" s="34"/>
      <c r="CH100" s="34"/>
      <c r="CI100" s="34"/>
      <c r="CJ100" s="34"/>
      <c r="CK100" s="37"/>
      <c r="CL100" s="37"/>
      <c r="CM100" s="34"/>
      <c r="CN100" s="34"/>
      <c r="CO100" s="39">
        <v>0.0077</v>
      </c>
      <c r="CP100" s="32">
        <v>95.0</v>
      </c>
      <c r="CQ100" s="39">
        <v>0.0</v>
      </c>
      <c r="CR100" s="39">
        <v>0.0</v>
      </c>
      <c r="CS100" s="39">
        <v>0.0077</v>
      </c>
      <c r="CT100" s="32">
        <v>96.0</v>
      </c>
      <c r="CU100" s="39">
        <v>0.0</v>
      </c>
      <c r="CV100" s="32">
        <v>10.0</v>
      </c>
      <c r="CW100" s="39">
        <v>0.0154</v>
      </c>
      <c r="CX100" s="32">
        <v>99.0</v>
      </c>
      <c r="CY100" s="32" t="s">
        <v>5730</v>
      </c>
      <c r="CZ100" s="32">
        <v>81.0</v>
      </c>
      <c r="DA100" s="32" t="s">
        <v>3598</v>
      </c>
      <c r="DB100" s="39">
        <v>0.0</v>
      </c>
      <c r="DC100" s="32" t="s">
        <v>5730</v>
      </c>
      <c r="DD100" s="32">
        <v>80.0</v>
      </c>
      <c r="DE100" s="32" t="s">
        <v>5160</v>
      </c>
      <c r="DF100" s="32">
        <v>49.0</v>
      </c>
      <c r="DG100" s="32" t="s">
        <v>5432</v>
      </c>
      <c r="DH100" s="32">
        <v>90.0</v>
      </c>
      <c r="DI100" s="32">
        <v>77.0</v>
      </c>
      <c r="DJ100" s="32">
        <v>1.0</v>
      </c>
      <c r="DK100" s="39">
        <v>0.0132</v>
      </c>
      <c r="DL100" s="32">
        <v>229.0</v>
      </c>
      <c r="DM100" s="32">
        <v>1.0</v>
      </c>
      <c r="DN100" s="39">
        <v>0.0044</v>
      </c>
      <c r="DO100" s="32" t="s">
        <v>3600</v>
      </c>
      <c r="DP100" s="38" t="s">
        <v>5731</v>
      </c>
      <c r="DQ100" s="37"/>
      <c r="DR100" s="37"/>
      <c r="DS100" s="37"/>
      <c r="DT100" s="37"/>
      <c r="DU100" s="37"/>
      <c r="DV100" s="37"/>
      <c r="DW100" s="34"/>
      <c r="DX100" s="37"/>
      <c r="DY100" s="34"/>
      <c r="DZ100" s="37"/>
      <c r="EA100" s="37"/>
      <c r="EB100" s="34"/>
      <c r="EC100" s="37"/>
      <c r="ED100" s="37"/>
      <c r="EE100" s="37"/>
      <c r="EF100" s="37"/>
      <c r="EG100" s="34"/>
      <c r="EH100" s="37"/>
      <c r="EI100" s="37"/>
      <c r="EJ100" s="37"/>
      <c r="EK100" s="34"/>
      <c r="EL100" s="37"/>
      <c r="EM100" s="37"/>
      <c r="EN100" s="37"/>
      <c r="EO100" s="37"/>
      <c r="EP100" s="40" t="s">
        <v>3559</v>
      </c>
    </row>
    <row r="101">
      <c r="A101" s="45"/>
      <c r="B101" s="42" t="s">
        <v>5732</v>
      </c>
      <c r="C101" s="43"/>
      <c r="D101" s="43"/>
      <c r="E101" s="42" t="s">
        <v>5733</v>
      </c>
      <c r="F101" s="42" t="s">
        <v>5734</v>
      </c>
      <c r="G101" s="42" t="s">
        <v>5735</v>
      </c>
      <c r="H101" s="42" t="s">
        <v>4560</v>
      </c>
      <c r="I101" s="42" t="s">
        <v>4561</v>
      </c>
      <c r="J101" s="42" t="s">
        <v>66</v>
      </c>
      <c r="K101" s="42" t="s">
        <v>4562</v>
      </c>
      <c r="L101" s="42" t="s">
        <v>5736</v>
      </c>
      <c r="M101" s="42" t="s">
        <v>5737</v>
      </c>
      <c r="N101" s="42" t="s">
        <v>4962</v>
      </c>
      <c r="O101" s="42" t="s">
        <v>5738</v>
      </c>
      <c r="P101" s="42"/>
      <c r="R101" s="42" t="s">
        <v>3571</v>
      </c>
      <c r="S101" s="42" t="s">
        <v>5020</v>
      </c>
      <c r="T101" s="42" t="s">
        <v>3603</v>
      </c>
      <c r="U101" s="44" t="s">
        <v>5739</v>
      </c>
      <c r="V101" s="43"/>
      <c r="W101" s="45"/>
      <c r="X101" s="43"/>
      <c r="Y101" s="43"/>
      <c r="Z101" s="43"/>
      <c r="AA101" s="41">
        <v>2005.0</v>
      </c>
      <c r="AB101" s="43"/>
      <c r="AC101" s="43"/>
      <c r="AD101" s="43"/>
      <c r="AE101" s="45"/>
      <c r="AF101" s="45"/>
      <c r="AG101" s="45"/>
      <c r="AH101" s="45"/>
      <c r="AI101" s="45"/>
      <c r="AJ101" s="45"/>
      <c r="AK101" s="45"/>
      <c r="AL101" s="45"/>
      <c r="AM101" s="45"/>
      <c r="AN101" s="45"/>
      <c r="AO101" s="43"/>
      <c r="AP101" s="43"/>
      <c r="AQ101" s="43"/>
      <c r="AR101" s="43"/>
      <c r="AS101" s="43"/>
      <c r="AT101" s="42" t="s">
        <v>3581</v>
      </c>
      <c r="AU101" s="42" t="s">
        <v>5740</v>
      </c>
      <c r="AV101" s="43"/>
      <c r="AW101" s="42" t="s">
        <v>75</v>
      </c>
      <c r="AX101" s="43"/>
      <c r="AY101" s="45"/>
      <c r="AZ101" s="42" t="s">
        <v>41</v>
      </c>
      <c r="BA101" s="45"/>
      <c r="BB101" s="45"/>
      <c r="BC101" s="43"/>
      <c r="BD101" s="42" t="s">
        <v>3584</v>
      </c>
      <c r="BE101" s="42" t="s">
        <v>3584</v>
      </c>
      <c r="BF101" s="42" t="s">
        <v>5741</v>
      </c>
      <c r="BG101" s="43"/>
      <c r="BH101" s="45"/>
      <c r="BI101" s="42" t="s">
        <v>5742</v>
      </c>
      <c r="BJ101" s="43"/>
      <c r="BK101" s="43"/>
      <c r="BL101" s="43"/>
      <c r="BM101" s="43"/>
      <c r="BN101" s="43"/>
      <c r="BO101" s="43"/>
      <c r="BP101" s="43"/>
      <c r="BQ101" s="46" t="s">
        <v>5743</v>
      </c>
      <c r="BR101" s="45"/>
      <c r="BS101" s="43"/>
      <c r="BT101" s="45"/>
      <c r="BU101" s="43"/>
      <c r="BV101" s="42" t="s">
        <v>4977</v>
      </c>
      <c r="BW101" s="43"/>
      <c r="BX101" s="43"/>
      <c r="BY101" s="42" t="s">
        <v>3663</v>
      </c>
      <c r="BZ101" s="43"/>
      <c r="CA101" s="42" t="s">
        <v>3591</v>
      </c>
      <c r="CB101" s="45"/>
      <c r="CC101" s="45"/>
      <c r="CD101" s="43"/>
      <c r="CE101" s="45"/>
      <c r="CF101" s="43"/>
      <c r="CG101" s="42" t="s">
        <v>3663</v>
      </c>
      <c r="CH101" s="42" t="s">
        <v>3663</v>
      </c>
      <c r="CI101" s="43"/>
      <c r="CJ101" s="42" t="s">
        <v>3663</v>
      </c>
      <c r="CK101" s="45"/>
      <c r="CL101" s="45"/>
      <c r="CM101" s="43"/>
      <c r="CN101" s="42" t="s">
        <v>3591</v>
      </c>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1" t="s">
        <v>3600</v>
      </c>
      <c r="DP101" s="46" t="s">
        <v>5177</v>
      </c>
      <c r="DQ101" s="45"/>
      <c r="DR101" s="45"/>
      <c r="DS101" s="45"/>
      <c r="DT101" s="45"/>
      <c r="DU101" s="45"/>
      <c r="DV101" s="45"/>
      <c r="DW101" s="43"/>
      <c r="DX101" s="45"/>
      <c r="DY101" s="43"/>
      <c r="DZ101" s="45"/>
      <c r="EA101" s="45"/>
      <c r="EB101" s="43"/>
      <c r="EC101" s="45"/>
      <c r="ED101" s="45"/>
      <c r="EE101" s="45"/>
      <c r="EF101" s="45"/>
      <c r="EG101" s="43"/>
      <c r="EH101" s="45"/>
      <c r="EI101" s="45"/>
      <c r="EJ101" s="45"/>
      <c r="EK101" s="43"/>
      <c r="EL101" s="45"/>
      <c r="EM101" s="45"/>
      <c r="EN101" s="45"/>
      <c r="EO101" s="45"/>
      <c r="EP101" s="48" t="s">
        <v>3559</v>
      </c>
    </row>
    <row r="102">
      <c r="A102" s="37"/>
      <c r="B102" s="35" t="s">
        <v>5744</v>
      </c>
      <c r="C102" s="34"/>
      <c r="D102" s="35" t="s">
        <v>5745</v>
      </c>
      <c r="E102" s="35" t="s">
        <v>5746</v>
      </c>
      <c r="F102" s="34"/>
      <c r="G102" s="35" t="s">
        <v>5747</v>
      </c>
      <c r="H102" s="35" t="s">
        <v>4560</v>
      </c>
      <c r="I102" s="35" t="s">
        <v>4561</v>
      </c>
      <c r="J102" s="35" t="s">
        <v>66</v>
      </c>
      <c r="K102" s="35" t="s">
        <v>4562</v>
      </c>
      <c r="L102" s="35" t="s">
        <v>5736</v>
      </c>
      <c r="M102" s="35" t="s">
        <v>5748</v>
      </c>
      <c r="N102" s="35" t="s">
        <v>4923</v>
      </c>
      <c r="O102" s="35" t="s">
        <v>5749</v>
      </c>
      <c r="P102" s="35"/>
      <c r="R102" s="35" t="s">
        <v>5750</v>
      </c>
      <c r="S102" s="35" t="s">
        <v>5236</v>
      </c>
      <c r="T102" s="35" t="s">
        <v>5568</v>
      </c>
      <c r="U102" s="36" t="s">
        <v>5751</v>
      </c>
      <c r="V102" s="36" t="s">
        <v>5752</v>
      </c>
      <c r="W102" s="32">
        <v>504.0</v>
      </c>
      <c r="X102" s="35" t="s">
        <v>5753</v>
      </c>
      <c r="Y102" s="35" t="s">
        <v>5417</v>
      </c>
      <c r="Z102" s="35" t="s">
        <v>5754</v>
      </c>
      <c r="AA102" s="32">
        <v>1933.0</v>
      </c>
      <c r="AB102" s="34"/>
      <c r="AC102" s="34"/>
      <c r="AD102" s="34"/>
      <c r="AE102" s="50">
        <v>2243.49</v>
      </c>
      <c r="AF102" s="32">
        <v>376.54</v>
      </c>
      <c r="AG102" s="32">
        <v>103.0</v>
      </c>
      <c r="AH102" s="50">
        <v>3215.23</v>
      </c>
      <c r="AI102" s="32">
        <v>418.83</v>
      </c>
      <c r="AJ102" s="32">
        <v>222.03</v>
      </c>
      <c r="AK102" s="50">
        <v>1164.9</v>
      </c>
      <c r="AL102" s="50">
        <v>2116.5</v>
      </c>
      <c r="AM102" s="39">
        <v>0.4571</v>
      </c>
      <c r="AN102" s="32" t="s">
        <v>5245</v>
      </c>
      <c r="AO102" s="35" t="s">
        <v>5755</v>
      </c>
      <c r="AP102" s="35" t="s">
        <v>5756</v>
      </c>
      <c r="AQ102" s="35" t="s">
        <v>5757</v>
      </c>
      <c r="AR102" s="34"/>
      <c r="AS102" s="34" t="str">
        <f>+972 (0)8 863 1111</f>
        <v>#ERROR!</v>
      </c>
      <c r="AT102" s="35" t="s">
        <v>5758</v>
      </c>
      <c r="AU102" s="35" t="s">
        <v>5759</v>
      </c>
      <c r="AV102" s="35" t="s">
        <v>5760</v>
      </c>
      <c r="AW102" s="35" t="s">
        <v>5761</v>
      </c>
      <c r="AX102" s="34"/>
      <c r="AY102" s="32">
        <v>6086000.0</v>
      </c>
      <c r="AZ102" s="35" t="s">
        <v>41</v>
      </c>
      <c r="BA102" s="37" t="str">
        <f>+972 (0)8 863 1111</f>
        <v>#ERROR!</v>
      </c>
      <c r="BB102" s="37" t="str">
        <f>+972 (0)8 863 1556</f>
        <v>#ERROR!</v>
      </c>
      <c r="BC102" s="34"/>
      <c r="BD102" s="35" t="s">
        <v>3584</v>
      </c>
      <c r="BE102" s="35" t="s">
        <v>3584</v>
      </c>
      <c r="BF102" s="35" t="s">
        <v>5762</v>
      </c>
      <c r="BG102" s="34"/>
      <c r="BH102" s="37"/>
      <c r="BI102" s="34"/>
      <c r="BJ102" s="34"/>
      <c r="BK102" s="34"/>
      <c r="BL102" s="34"/>
      <c r="BM102" s="34"/>
      <c r="BN102" s="34"/>
      <c r="BO102" s="34"/>
      <c r="BP102" s="34"/>
      <c r="BQ102" s="38" t="s">
        <v>5763</v>
      </c>
      <c r="BR102" s="37"/>
      <c r="BS102" s="34"/>
      <c r="BT102" s="37"/>
      <c r="BU102" s="34"/>
      <c r="BV102" s="35" t="s">
        <v>4532</v>
      </c>
      <c r="BW102" s="34"/>
      <c r="BX102" s="34"/>
      <c r="BY102" s="35" t="s">
        <v>5764</v>
      </c>
      <c r="BZ102" s="34"/>
      <c r="CA102" s="35" t="s">
        <v>3591</v>
      </c>
      <c r="CB102" s="38" t="s">
        <v>5763</v>
      </c>
      <c r="CC102" s="37"/>
      <c r="CD102" s="34"/>
      <c r="CE102" s="37"/>
      <c r="CF102" s="34"/>
      <c r="CG102" s="35" t="s">
        <v>4532</v>
      </c>
      <c r="CH102" s="34"/>
      <c r="CI102" s="34"/>
      <c r="CJ102" s="35" t="s">
        <v>5764</v>
      </c>
      <c r="CK102" s="37"/>
      <c r="CL102" s="37"/>
      <c r="CM102" s="34"/>
      <c r="CN102" s="35" t="s">
        <v>3591</v>
      </c>
      <c r="CO102" s="39">
        <v>0.0108</v>
      </c>
      <c r="CP102" s="32">
        <v>97.0</v>
      </c>
      <c r="CQ102" s="39">
        <v>0.0</v>
      </c>
      <c r="CR102" s="39">
        <v>0.0</v>
      </c>
      <c r="CS102" s="39">
        <v>0.0108</v>
      </c>
      <c r="CT102" s="32">
        <v>98.0</v>
      </c>
      <c r="CU102" s="39">
        <v>0.0199</v>
      </c>
      <c r="CV102" s="32">
        <v>95.0</v>
      </c>
      <c r="CW102" s="39">
        <v>0.0018</v>
      </c>
      <c r="CX102" s="32">
        <v>89.0</v>
      </c>
      <c r="CY102" s="32" t="s">
        <v>5765</v>
      </c>
      <c r="CZ102" s="32">
        <v>99.0</v>
      </c>
      <c r="DA102" s="32" t="s">
        <v>3598</v>
      </c>
      <c r="DB102" s="39">
        <v>0.0</v>
      </c>
      <c r="DC102" s="32" t="s">
        <v>5765</v>
      </c>
      <c r="DD102" s="32">
        <v>99.0</v>
      </c>
      <c r="DE102" s="32" t="s">
        <v>5766</v>
      </c>
      <c r="DF102" s="32">
        <v>98.0</v>
      </c>
      <c r="DG102" s="32" t="s">
        <v>5767</v>
      </c>
      <c r="DH102" s="32">
        <v>94.0</v>
      </c>
      <c r="DI102" s="49">
        <v>19405.0</v>
      </c>
      <c r="DJ102" s="32">
        <v>243.0</v>
      </c>
      <c r="DK102" s="39">
        <v>0.0127</v>
      </c>
      <c r="DL102" s="32">
        <v>357.0</v>
      </c>
      <c r="DM102" s="32">
        <v>2.0</v>
      </c>
      <c r="DN102" s="39">
        <v>0.0056</v>
      </c>
      <c r="DO102" s="32" t="s">
        <v>3600</v>
      </c>
      <c r="DP102" s="38" t="s">
        <v>4193</v>
      </c>
      <c r="DQ102" s="32">
        <v>1.0</v>
      </c>
      <c r="DR102" s="32">
        <v>1.0</v>
      </c>
      <c r="DS102" s="37"/>
      <c r="DT102" s="37"/>
      <c r="DU102" s="37"/>
      <c r="DV102" s="32">
        <v>1.0</v>
      </c>
      <c r="DW102" s="34"/>
      <c r="DX102" s="37"/>
      <c r="DY102" s="34"/>
      <c r="DZ102" s="37"/>
      <c r="EA102" s="37"/>
      <c r="EB102" s="34"/>
      <c r="EC102" s="37"/>
      <c r="ED102" s="37"/>
      <c r="EE102" s="37"/>
      <c r="EF102" s="37"/>
      <c r="EG102" s="34"/>
      <c r="EH102" s="37"/>
      <c r="EI102" s="37"/>
      <c r="EJ102" s="37"/>
      <c r="EK102" s="34"/>
      <c r="EL102" s="37"/>
      <c r="EM102" s="37"/>
      <c r="EN102" s="37"/>
      <c r="EO102" s="37"/>
      <c r="EP102" s="40" t="s">
        <v>3559</v>
      </c>
    </row>
    <row r="103">
      <c r="A103" s="45"/>
      <c r="B103" s="42" t="s">
        <v>5768</v>
      </c>
      <c r="C103" s="43"/>
      <c r="D103" s="43"/>
      <c r="E103" s="42" t="s">
        <v>5769</v>
      </c>
      <c r="F103" s="43"/>
      <c r="G103" s="42" t="s">
        <v>5770</v>
      </c>
      <c r="H103" s="42" t="s">
        <v>3867</v>
      </c>
      <c r="I103" s="42" t="s">
        <v>4199</v>
      </c>
      <c r="J103" s="42" t="s">
        <v>4329</v>
      </c>
      <c r="K103" s="42" t="s">
        <v>5771</v>
      </c>
      <c r="L103" s="43"/>
      <c r="M103" s="42" t="s">
        <v>5772</v>
      </c>
      <c r="N103" s="42" t="s">
        <v>5075</v>
      </c>
      <c r="O103" s="42" t="s">
        <v>5773</v>
      </c>
      <c r="P103" s="42"/>
      <c r="R103" s="42" t="s">
        <v>5222</v>
      </c>
      <c r="S103" s="42" t="s">
        <v>5222</v>
      </c>
      <c r="T103" s="42" t="s">
        <v>4989</v>
      </c>
      <c r="U103" s="44" t="s">
        <v>5774</v>
      </c>
      <c r="V103" s="43"/>
      <c r="W103" s="45"/>
      <c r="X103" s="43"/>
      <c r="Y103" s="43"/>
      <c r="Z103" s="43"/>
      <c r="AA103" s="41">
        <v>2012.0</v>
      </c>
      <c r="AB103" s="43"/>
      <c r="AC103" s="43"/>
      <c r="AD103" s="43"/>
      <c r="AE103" s="45"/>
      <c r="AF103" s="45"/>
      <c r="AG103" s="45"/>
      <c r="AH103" s="45"/>
      <c r="AI103" s="45"/>
      <c r="AJ103" s="45"/>
      <c r="AK103" s="45"/>
      <c r="AL103" s="45"/>
      <c r="AM103" s="45"/>
      <c r="AN103" s="45"/>
      <c r="AO103" s="43"/>
      <c r="AP103" s="43"/>
      <c r="AQ103" s="43"/>
      <c r="AR103" s="43"/>
      <c r="AS103" s="43"/>
      <c r="AT103" s="42" t="s">
        <v>3622</v>
      </c>
      <c r="AU103" s="42" t="s">
        <v>5775</v>
      </c>
      <c r="AV103" s="43"/>
      <c r="AW103" s="42" t="s">
        <v>3625</v>
      </c>
      <c r="AX103" s="43"/>
      <c r="AY103" s="41">
        <v>3088900.0</v>
      </c>
      <c r="AZ103" s="42" t="s">
        <v>41</v>
      </c>
      <c r="BA103" s="45"/>
      <c r="BB103" s="45"/>
      <c r="BC103" s="43"/>
      <c r="BD103" s="42" t="s">
        <v>3584</v>
      </c>
      <c r="BE103" s="42" t="s">
        <v>3584</v>
      </c>
      <c r="BF103" s="42" t="s">
        <v>5776</v>
      </c>
      <c r="BG103" s="43"/>
      <c r="BH103" s="45"/>
      <c r="BI103" s="43"/>
      <c r="BJ103" s="42" t="s">
        <v>5777</v>
      </c>
      <c r="BK103" s="43"/>
      <c r="BL103" s="43"/>
      <c r="BM103" s="42" t="s">
        <v>5778</v>
      </c>
      <c r="BN103" s="43"/>
      <c r="BO103" s="42" t="s">
        <v>4183</v>
      </c>
      <c r="BP103" s="42" t="s">
        <v>5779</v>
      </c>
      <c r="BQ103" s="46" t="s">
        <v>5780</v>
      </c>
      <c r="BR103" s="41">
        <v>0.04</v>
      </c>
      <c r="BS103" s="42" t="s">
        <v>3593</v>
      </c>
      <c r="BT103" s="45"/>
      <c r="BU103" s="43"/>
      <c r="BV103" s="42" t="s">
        <v>5781</v>
      </c>
      <c r="BW103" s="43"/>
      <c r="BX103" s="43"/>
      <c r="BY103" s="42" t="s">
        <v>3803</v>
      </c>
      <c r="BZ103" s="43"/>
      <c r="CA103" s="42" t="s">
        <v>3591</v>
      </c>
      <c r="CB103" s="46" t="s">
        <v>4069</v>
      </c>
      <c r="CC103" s="45"/>
      <c r="CD103" s="43"/>
      <c r="CE103" s="45"/>
      <c r="CF103" s="43"/>
      <c r="CG103" s="42" t="s">
        <v>5222</v>
      </c>
      <c r="CH103" s="43"/>
      <c r="CI103" s="43"/>
      <c r="CJ103" s="42" t="s">
        <v>5222</v>
      </c>
      <c r="CK103" s="45"/>
      <c r="CL103" s="45"/>
      <c r="CM103" s="43"/>
      <c r="CN103" s="42" t="s">
        <v>3591</v>
      </c>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1" t="s">
        <v>3600</v>
      </c>
      <c r="DP103" s="46" t="s">
        <v>5177</v>
      </c>
      <c r="DQ103" s="41">
        <v>103.0</v>
      </c>
      <c r="DR103" s="41">
        <v>15.0</v>
      </c>
      <c r="DS103" s="41">
        <v>45.0</v>
      </c>
      <c r="DT103" s="41">
        <v>4.0</v>
      </c>
      <c r="DU103" s="45"/>
      <c r="DV103" s="41">
        <v>54.0</v>
      </c>
      <c r="DW103" s="42" t="s">
        <v>5782</v>
      </c>
      <c r="DX103" s="45"/>
      <c r="DY103" s="43"/>
      <c r="DZ103" s="45"/>
      <c r="EA103" s="45"/>
      <c r="EB103" s="43"/>
      <c r="EC103" s="45"/>
      <c r="ED103" s="45"/>
      <c r="EE103" s="45"/>
      <c r="EF103" s="45"/>
      <c r="EG103" s="43"/>
      <c r="EH103" s="45"/>
      <c r="EI103" s="45"/>
      <c r="EJ103" s="45"/>
      <c r="EK103" s="43"/>
      <c r="EL103" s="45"/>
      <c r="EM103" s="45"/>
      <c r="EN103" s="45"/>
      <c r="EO103" s="45"/>
      <c r="EP103" s="48" t="s">
        <v>3559</v>
      </c>
    </row>
    <row r="104">
      <c r="A104" s="37"/>
      <c r="B104" s="35" t="s">
        <v>5783</v>
      </c>
      <c r="C104" s="34"/>
      <c r="D104" s="34"/>
      <c r="E104" s="34"/>
      <c r="F104" s="34"/>
      <c r="G104" s="35" t="s">
        <v>5784</v>
      </c>
      <c r="H104" s="35" t="s">
        <v>3867</v>
      </c>
      <c r="I104" s="35" t="s">
        <v>4199</v>
      </c>
      <c r="J104" s="35" t="s">
        <v>4414</v>
      </c>
      <c r="K104" s="35" t="s">
        <v>4415</v>
      </c>
      <c r="L104" s="34"/>
      <c r="M104" s="35" t="s">
        <v>5785</v>
      </c>
      <c r="N104" s="35" t="s">
        <v>4923</v>
      </c>
      <c r="O104" s="35" t="s">
        <v>5786</v>
      </c>
      <c r="P104" s="35"/>
      <c r="R104" s="34"/>
      <c r="S104" s="35" t="s">
        <v>4925</v>
      </c>
      <c r="T104" s="35" t="s">
        <v>4926</v>
      </c>
      <c r="U104" s="36" t="s">
        <v>5787</v>
      </c>
      <c r="V104" s="36" t="s">
        <v>5788</v>
      </c>
      <c r="W104" s="32">
        <v>3.0</v>
      </c>
      <c r="X104" s="35" t="s">
        <v>5789</v>
      </c>
      <c r="Y104" s="34"/>
      <c r="Z104" s="34"/>
      <c r="AA104" s="37"/>
      <c r="AB104" s="34"/>
      <c r="AC104" s="34"/>
      <c r="AD104" s="34"/>
      <c r="AE104" s="37"/>
      <c r="AF104" s="37"/>
      <c r="AG104" s="37"/>
      <c r="AH104" s="37"/>
      <c r="AI104" s="37"/>
      <c r="AJ104" s="37"/>
      <c r="AK104" s="37"/>
      <c r="AL104" s="37"/>
      <c r="AM104" s="37"/>
      <c r="AN104" s="37"/>
      <c r="AO104" s="34"/>
      <c r="AP104" s="34"/>
      <c r="AQ104" s="34"/>
      <c r="AR104" s="34"/>
      <c r="AS104" s="34"/>
      <c r="AT104" s="35" t="s">
        <v>4448</v>
      </c>
      <c r="AU104" s="34"/>
      <c r="AV104" s="34"/>
      <c r="AW104" s="35" t="s">
        <v>485</v>
      </c>
      <c r="AX104" s="34"/>
      <c r="AY104" s="32">
        <v>89129.0</v>
      </c>
      <c r="AZ104" s="35" t="s">
        <v>41</v>
      </c>
      <c r="BA104" s="37"/>
      <c r="BB104" s="37"/>
      <c r="BC104" s="34"/>
      <c r="BD104" s="35" t="s">
        <v>3584</v>
      </c>
      <c r="BE104" s="35" t="s">
        <v>3584</v>
      </c>
      <c r="BF104" s="34"/>
      <c r="BG104" s="34"/>
      <c r="BH104" s="37"/>
      <c r="BI104" s="34"/>
      <c r="BJ104" s="34"/>
      <c r="BK104" s="34"/>
      <c r="BL104" s="34"/>
      <c r="BM104" s="34"/>
      <c r="BN104" s="34"/>
      <c r="BO104" s="34"/>
      <c r="BP104" s="34"/>
      <c r="BQ104" s="37"/>
      <c r="BR104" s="37"/>
      <c r="BS104" s="34"/>
      <c r="BT104" s="37"/>
      <c r="BU104" s="34"/>
      <c r="BV104" s="34"/>
      <c r="BW104" s="34"/>
      <c r="BX104" s="34"/>
      <c r="BY104" s="34"/>
      <c r="BZ104" s="34"/>
      <c r="CA104" s="34"/>
      <c r="CB104" s="37"/>
      <c r="CC104" s="37"/>
      <c r="CD104" s="34"/>
      <c r="CE104" s="37"/>
      <c r="CF104" s="34"/>
      <c r="CG104" s="34"/>
      <c r="CH104" s="34"/>
      <c r="CI104" s="34"/>
      <c r="CJ104" s="34"/>
      <c r="CK104" s="37"/>
      <c r="CL104" s="37"/>
      <c r="CM104" s="34"/>
      <c r="CN104" s="34"/>
      <c r="CO104" s="39">
        <v>0.0</v>
      </c>
      <c r="CP104" s="32">
        <v>14.0</v>
      </c>
      <c r="CQ104" s="39">
        <v>0.0</v>
      </c>
      <c r="CR104" s="39">
        <v>0.0</v>
      </c>
      <c r="CS104" s="39">
        <v>0.0</v>
      </c>
      <c r="CT104" s="32">
        <v>12.0</v>
      </c>
      <c r="CU104" s="37"/>
      <c r="CV104" s="37"/>
      <c r="CW104" s="39">
        <v>0.0</v>
      </c>
      <c r="CX104" s="32">
        <v>12.0</v>
      </c>
      <c r="CY104" s="32" t="s">
        <v>5790</v>
      </c>
      <c r="CZ104" s="32">
        <v>6.0</v>
      </c>
      <c r="DA104" s="32" t="s">
        <v>3598</v>
      </c>
      <c r="DB104" s="39">
        <v>0.0</v>
      </c>
      <c r="DC104" s="32" t="s">
        <v>4157</v>
      </c>
      <c r="DD104" s="32">
        <v>1.0</v>
      </c>
      <c r="DE104" s="37"/>
      <c r="DF104" s="37"/>
      <c r="DG104" s="32" t="s">
        <v>4157</v>
      </c>
      <c r="DH104" s="32">
        <v>1.0</v>
      </c>
      <c r="DI104" s="37"/>
      <c r="DJ104" s="37"/>
      <c r="DK104" s="37"/>
      <c r="DL104" s="32">
        <v>1.0</v>
      </c>
      <c r="DM104" s="32">
        <v>0.0</v>
      </c>
      <c r="DN104" s="39">
        <v>0.0</v>
      </c>
      <c r="DO104" s="32" t="s">
        <v>5066</v>
      </c>
      <c r="DP104" s="38" t="s">
        <v>5067</v>
      </c>
      <c r="DQ104" s="37"/>
      <c r="DR104" s="37"/>
      <c r="DS104" s="37"/>
      <c r="DT104" s="37"/>
      <c r="DU104" s="37"/>
      <c r="DV104" s="37"/>
      <c r="DW104" s="34"/>
      <c r="DX104" s="37"/>
      <c r="DY104" s="34"/>
      <c r="DZ104" s="37"/>
      <c r="EA104" s="37"/>
      <c r="EB104" s="34"/>
      <c r="EC104" s="37"/>
      <c r="ED104" s="37"/>
      <c r="EE104" s="37"/>
      <c r="EF104" s="37"/>
      <c r="EG104" s="34"/>
      <c r="EH104" s="37"/>
      <c r="EI104" s="37"/>
      <c r="EJ104" s="37"/>
      <c r="EK104" s="35" t="s">
        <v>4807</v>
      </c>
      <c r="EL104" s="37"/>
      <c r="EM104" s="37"/>
      <c r="EN104" s="37"/>
      <c r="EO104" s="37"/>
      <c r="EP104" s="40" t="s">
        <v>3559</v>
      </c>
    </row>
    <row r="105">
      <c r="A105" s="45"/>
      <c r="B105" s="42" t="s">
        <v>5791</v>
      </c>
      <c r="C105" s="43"/>
      <c r="D105" s="43"/>
      <c r="E105" s="42" t="s">
        <v>5792</v>
      </c>
      <c r="F105" s="43"/>
      <c r="G105" s="42" t="s">
        <v>5793</v>
      </c>
      <c r="H105" s="42" t="s">
        <v>3563</v>
      </c>
      <c r="I105" s="42" t="s">
        <v>3609</v>
      </c>
      <c r="J105" s="42" t="s">
        <v>4050</v>
      </c>
      <c r="K105" s="42" t="s">
        <v>5794</v>
      </c>
      <c r="L105" s="42" t="s">
        <v>5795</v>
      </c>
      <c r="M105" s="42" t="s">
        <v>5796</v>
      </c>
      <c r="N105" s="42" t="s">
        <v>4923</v>
      </c>
      <c r="O105" s="42" t="s">
        <v>5797</v>
      </c>
      <c r="P105" s="42"/>
      <c r="R105" s="42" t="s">
        <v>5222</v>
      </c>
      <c r="S105" s="42" t="s">
        <v>5222</v>
      </c>
      <c r="T105" s="42" t="s">
        <v>4926</v>
      </c>
      <c r="U105" s="44" t="s">
        <v>5798</v>
      </c>
      <c r="V105" s="43"/>
      <c r="W105" s="45"/>
      <c r="X105" s="43"/>
      <c r="Y105" s="43"/>
      <c r="Z105" s="43"/>
      <c r="AA105" s="41">
        <v>2016.0</v>
      </c>
      <c r="AB105" s="43"/>
      <c r="AC105" s="43"/>
      <c r="AD105" s="43"/>
      <c r="AE105" s="45"/>
      <c r="AF105" s="45"/>
      <c r="AG105" s="45"/>
      <c r="AH105" s="45"/>
      <c r="AI105" s="45"/>
      <c r="AJ105" s="45"/>
      <c r="AK105" s="45"/>
      <c r="AL105" s="45"/>
      <c r="AM105" s="45"/>
      <c r="AN105" s="45"/>
      <c r="AO105" s="43"/>
      <c r="AP105" s="43"/>
      <c r="AQ105" s="43"/>
      <c r="AR105" s="43"/>
      <c r="AS105" s="43"/>
      <c r="AT105" s="42" t="s">
        <v>3581</v>
      </c>
      <c r="AU105" s="42" t="s">
        <v>5799</v>
      </c>
      <c r="AV105" s="43"/>
      <c r="AW105" s="42" t="s">
        <v>75</v>
      </c>
      <c r="AX105" s="43"/>
      <c r="AY105" s="45"/>
      <c r="AZ105" s="42" t="s">
        <v>41</v>
      </c>
      <c r="BA105" s="45"/>
      <c r="BB105" s="45"/>
      <c r="BC105" s="42" t="s">
        <v>5800</v>
      </c>
      <c r="BD105" s="42" t="s">
        <v>3584</v>
      </c>
      <c r="BE105" s="42" t="s">
        <v>3584</v>
      </c>
      <c r="BF105" s="42" t="s">
        <v>5332</v>
      </c>
      <c r="BG105" s="43"/>
      <c r="BH105" s="45"/>
      <c r="BI105" s="43"/>
      <c r="BJ105" s="43"/>
      <c r="BK105" s="43"/>
      <c r="BL105" s="43"/>
      <c r="BM105" s="43"/>
      <c r="BN105" s="43"/>
      <c r="BO105" s="43"/>
      <c r="BP105" s="43"/>
      <c r="BQ105" s="45"/>
      <c r="BR105" s="45"/>
      <c r="BS105" s="43"/>
      <c r="BT105" s="45"/>
      <c r="BU105" s="43"/>
      <c r="BV105" s="43"/>
      <c r="BW105" s="43"/>
      <c r="BX105" s="43"/>
      <c r="BY105" s="43"/>
      <c r="BZ105" s="43"/>
      <c r="CA105" s="43"/>
      <c r="CB105" s="45"/>
      <c r="CC105" s="45"/>
      <c r="CD105" s="43"/>
      <c r="CE105" s="45"/>
      <c r="CF105" s="43"/>
      <c r="CG105" s="43"/>
      <c r="CH105" s="43"/>
      <c r="CI105" s="43"/>
      <c r="CJ105" s="43"/>
      <c r="CK105" s="45"/>
      <c r="CL105" s="45"/>
      <c r="CM105" s="43"/>
      <c r="CN105" s="43"/>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1" t="s">
        <v>3600</v>
      </c>
      <c r="DP105" s="46" t="s">
        <v>5801</v>
      </c>
      <c r="DQ105" s="45"/>
      <c r="DR105" s="45"/>
      <c r="DS105" s="45"/>
      <c r="DT105" s="45"/>
      <c r="DU105" s="45"/>
      <c r="DV105" s="45"/>
      <c r="DW105" s="43"/>
      <c r="DX105" s="45"/>
      <c r="DY105" s="43"/>
      <c r="DZ105" s="45"/>
      <c r="EA105" s="45"/>
      <c r="EB105" s="43"/>
      <c r="EC105" s="45"/>
      <c r="ED105" s="45"/>
      <c r="EE105" s="45"/>
      <c r="EF105" s="45"/>
      <c r="EG105" s="43"/>
      <c r="EH105" s="45"/>
      <c r="EI105" s="45"/>
      <c r="EJ105" s="45"/>
      <c r="EK105" s="43"/>
      <c r="EL105" s="45"/>
      <c r="EM105" s="45"/>
      <c r="EN105" s="45"/>
      <c r="EO105" s="45"/>
      <c r="EP105" s="48" t="s">
        <v>3559</v>
      </c>
    </row>
    <row r="106">
      <c r="A106" s="32">
        <v>23.0</v>
      </c>
      <c r="B106" s="35" t="s">
        <v>5802</v>
      </c>
      <c r="C106" s="34"/>
      <c r="D106" s="34"/>
      <c r="E106" s="35" t="s">
        <v>5803</v>
      </c>
      <c r="F106" s="34"/>
      <c r="G106" s="35" t="s">
        <v>5804</v>
      </c>
      <c r="H106" s="35" t="s">
        <v>3563</v>
      </c>
      <c r="I106" s="35" t="s">
        <v>351</v>
      </c>
      <c r="J106" s="35" t="s">
        <v>4111</v>
      </c>
      <c r="K106" s="35" t="s">
        <v>5805</v>
      </c>
      <c r="L106" s="35" t="s">
        <v>5806</v>
      </c>
      <c r="M106" s="35" t="s">
        <v>5807</v>
      </c>
      <c r="N106" s="35" t="s">
        <v>5018</v>
      </c>
      <c r="O106" s="35" t="s">
        <v>5808</v>
      </c>
      <c r="P106" s="35"/>
      <c r="R106" s="35" t="s">
        <v>3571</v>
      </c>
      <c r="S106" s="35" t="s">
        <v>5020</v>
      </c>
      <c r="T106" s="35" t="s">
        <v>3573</v>
      </c>
      <c r="U106" s="36" t="s">
        <v>5809</v>
      </c>
      <c r="V106" s="34"/>
      <c r="W106" s="32">
        <v>11.0</v>
      </c>
      <c r="X106" s="35" t="s">
        <v>5810</v>
      </c>
      <c r="Y106" s="34"/>
      <c r="Z106" s="34"/>
      <c r="AA106" s="32">
        <v>1999.0</v>
      </c>
      <c r="AB106" s="34"/>
      <c r="AC106" s="34"/>
      <c r="AD106" s="34"/>
      <c r="AE106" s="37"/>
      <c r="AF106" s="37"/>
      <c r="AG106" s="37"/>
      <c r="AH106" s="37"/>
      <c r="AI106" s="37"/>
      <c r="AJ106" s="37"/>
      <c r="AK106" s="37"/>
      <c r="AL106" s="37"/>
      <c r="AM106" s="37"/>
      <c r="AN106" s="37"/>
      <c r="AO106" s="34"/>
      <c r="AP106" s="34"/>
      <c r="AQ106" s="34"/>
      <c r="AR106" s="34"/>
      <c r="AS106" s="34"/>
      <c r="AT106" s="35" t="s">
        <v>5689</v>
      </c>
      <c r="AU106" s="35" t="s">
        <v>5811</v>
      </c>
      <c r="AV106" s="35" t="s">
        <v>5812</v>
      </c>
      <c r="AW106" s="35" t="s">
        <v>298</v>
      </c>
      <c r="AX106" s="34"/>
      <c r="AY106" s="32">
        <v>4250410.0</v>
      </c>
      <c r="AZ106" s="35" t="s">
        <v>41</v>
      </c>
      <c r="BA106" s="37"/>
      <c r="BB106" s="37"/>
      <c r="BC106" s="34"/>
      <c r="BD106" s="35" t="s">
        <v>3584</v>
      </c>
      <c r="BE106" s="35" t="s">
        <v>3584</v>
      </c>
      <c r="BF106" s="35" t="s">
        <v>5813</v>
      </c>
      <c r="BG106" s="34"/>
      <c r="BH106" s="37"/>
      <c r="BI106" s="35" t="s">
        <v>5814</v>
      </c>
      <c r="BJ106" s="35" t="s">
        <v>5815</v>
      </c>
      <c r="BK106" s="34"/>
      <c r="BL106" s="34"/>
      <c r="BM106" s="35" t="s">
        <v>5816</v>
      </c>
      <c r="BN106" s="34"/>
      <c r="BO106" s="34"/>
      <c r="BP106" s="35" t="s">
        <v>5817</v>
      </c>
      <c r="BQ106" s="37"/>
      <c r="BR106" s="32">
        <v>15.0</v>
      </c>
      <c r="BS106" s="35" t="s">
        <v>3697</v>
      </c>
      <c r="BT106" s="37"/>
      <c r="BU106" s="34"/>
      <c r="BV106" s="35" t="s">
        <v>3669</v>
      </c>
      <c r="BW106" s="34"/>
      <c r="BX106" s="34"/>
      <c r="BY106" s="35" t="s">
        <v>3573</v>
      </c>
      <c r="BZ106" s="34"/>
      <c r="CA106" s="35" t="s">
        <v>3591</v>
      </c>
      <c r="CB106" s="38" t="s">
        <v>5818</v>
      </c>
      <c r="CC106" s="37"/>
      <c r="CD106" s="34"/>
      <c r="CE106" s="37"/>
      <c r="CF106" s="34"/>
      <c r="CG106" s="35" t="s">
        <v>4977</v>
      </c>
      <c r="CH106" s="34"/>
      <c r="CI106" s="34"/>
      <c r="CJ106" s="35" t="s">
        <v>3663</v>
      </c>
      <c r="CK106" s="37"/>
      <c r="CL106" s="37"/>
      <c r="CM106" s="34"/>
      <c r="CN106" s="35" t="s">
        <v>3591</v>
      </c>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c r="DO106" s="32" t="s">
        <v>3600</v>
      </c>
      <c r="DP106" s="38" t="s">
        <v>5177</v>
      </c>
      <c r="DQ106" s="32">
        <v>71.0</v>
      </c>
      <c r="DR106" s="32">
        <v>21.0</v>
      </c>
      <c r="DS106" s="32">
        <v>10.0</v>
      </c>
      <c r="DT106" s="37"/>
      <c r="DU106" s="37"/>
      <c r="DV106" s="32">
        <v>61.0</v>
      </c>
      <c r="DW106" s="35" t="s">
        <v>5819</v>
      </c>
      <c r="DX106" s="37"/>
      <c r="DY106" s="34"/>
      <c r="DZ106" s="37"/>
      <c r="EA106" s="37"/>
      <c r="EB106" s="34"/>
      <c r="EC106" s="37"/>
      <c r="ED106" s="37"/>
      <c r="EE106" s="37"/>
      <c r="EF106" s="37"/>
      <c r="EG106" s="34"/>
      <c r="EH106" s="37"/>
      <c r="EI106" s="37"/>
      <c r="EJ106" s="37"/>
      <c r="EK106" s="34"/>
      <c r="EL106" s="37"/>
      <c r="EM106" s="37"/>
      <c r="EN106" s="37"/>
      <c r="EO106" s="37"/>
      <c r="EP106" s="40" t="s">
        <v>3559</v>
      </c>
    </row>
    <row r="107">
      <c r="A107" s="45"/>
      <c r="B107" s="42" t="s">
        <v>5820</v>
      </c>
      <c r="C107" s="42" t="s">
        <v>5821</v>
      </c>
      <c r="D107" s="43"/>
      <c r="E107" s="42" t="s">
        <v>5822</v>
      </c>
      <c r="F107" s="43"/>
      <c r="G107" s="42" t="s">
        <v>5823</v>
      </c>
      <c r="H107" s="42" t="s">
        <v>3867</v>
      </c>
      <c r="I107" s="42" t="s">
        <v>3868</v>
      </c>
      <c r="J107" s="42" t="s">
        <v>3869</v>
      </c>
      <c r="K107" s="42" t="s">
        <v>5824</v>
      </c>
      <c r="L107" s="43"/>
      <c r="M107" s="42" t="s">
        <v>5825</v>
      </c>
      <c r="N107" s="42" t="s">
        <v>4389</v>
      </c>
      <c r="O107" s="42" t="s">
        <v>5826</v>
      </c>
      <c r="P107" s="42"/>
      <c r="R107" s="42" t="s">
        <v>3571</v>
      </c>
      <c r="S107" s="42" t="s">
        <v>3572</v>
      </c>
      <c r="T107" s="42" t="s">
        <v>4989</v>
      </c>
      <c r="U107" s="44" t="s">
        <v>5827</v>
      </c>
      <c r="V107" s="44" t="s">
        <v>5828</v>
      </c>
      <c r="W107" s="41">
        <v>70.0</v>
      </c>
      <c r="X107" s="42" t="s">
        <v>5829</v>
      </c>
      <c r="Y107" s="43"/>
      <c r="Z107" s="43"/>
      <c r="AA107" s="41">
        <v>2004.0</v>
      </c>
      <c r="AB107" s="43"/>
      <c r="AC107" s="43"/>
      <c r="AD107" s="43"/>
      <c r="AE107" s="45"/>
      <c r="AF107" s="45"/>
      <c r="AG107" s="45"/>
      <c r="AH107" s="45"/>
      <c r="AI107" s="45"/>
      <c r="AJ107" s="45"/>
      <c r="AK107" s="45"/>
      <c r="AL107" s="45"/>
      <c r="AM107" s="45"/>
      <c r="AN107" s="45"/>
      <c r="AO107" s="42" t="s">
        <v>5830</v>
      </c>
      <c r="AP107" s="42" t="s">
        <v>3108</v>
      </c>
      <c r="AQ107" s="42" t="s">
        <v>4093</v>
      </c>
      <c r="AR107" s="42" t="s">
        <v>5831</v>
      </c>
      <c r="AS107" s="43" t="str">
        <f>+972 (0)3 718 7711</f>
        <v>#ERROR!</v>
      </c>
      <c r="AT107" s="42" t="s">
        <v>4095</v>
      </c>
      <c r="AU107" s="42" t="s">
        <v>5832</v>
      </c>
      <c r="AV107" s="43"/>
      <c r="AW107" s="42" t="s">
        <v>323</v>
      </c>
      <c r="AX107" s="43"/>
      <c r="AY107" s="41">
        <v>5885849.0</v>
      </c>
      <c r="AZ107" s="42" t="s">
        <v>41</v>
      </c>
      <c r="BA107" s="45" t="str">
        <f>+972 (0)3 718 7711</f>
        <v>#ERROR!</v>
      </c>
      <c r="BB107" s="45"/>
      <c r="BC107" s="43"/>
      <c r="BD107" s="42" t="s">
        <v>3584</v>
      </c>
      <c r="BE107" s="42" t="s">
        <v>3584</v>
      </c>
      <c r="BF107" s="42" t="s">
        <v>5833</v>
      </c>
      <c r="BG107" s="42" t="s">
        <v>5834</v>
      </c>
      <c r="BH107" s="41">
        <v>1.0</v>
      </c>
      <c r="BI107" s="43"/>
      <c r="BJ107" s="43"/>
      <c r="BK107" s="43"/>
      <c r="BL107" s="42" t="s">
        <v>5835</v>
      </c>
      <c r="BM107" s="43"/>
      <c r="BN107" s="43"/>
      <c r="BO107" s="43"/>
      <c r="BP107" s="43"/>
      <c r="BQ107" s="46" t="s">
        <v>5836</v>
      </c>
      <c r="BR107" s="45"/>
      <c r="BS107" s="43"/>
      <c r="BT107" s="45"/>
      <c r="BU107" s="43"/>
      <c r="BV107" s="42" t="s">
        <v>5005</v>
      </c>
      <c r="BW107" s="43"/>
      <c r="BX107" s="43"/>
      <c r="BY107" s="42" t="s">
        <v>4989</v>
      </c>
      <c r="BZ107" s="43"/>
      <c r="CA107" s="42" t="s">
        <v>3591</v>
      </c>
      <c r="CB107" s="46" t="s">
        <v>5836</v>
      </c>
      <c r="CC107" s="45"/>
      <c r="CD107" s="43"/>
      <c r="CE107" s="45"/>
      <c r="CF107" s="43"/>
      <c r="CG107" s="42" t="s">
        <v>5005</v>
      </c>
      <c r="CH107" s="43"/>
      <c r="CI107" s="43"/>
      <c r="CJ107" s="42" t="s">
        <v>4989</v>
      </c>
      <c r="CK107" s="45"/>
      <c r="CL107" s="45"/>
      <c r="CM107" s="43"/>
      <c r="CN107" s="42" t="s">
        <v>3591</v>
      </c>
      <c r="CO107" s="47">
        <v>0.0515</v>
      </c>
      <c r="CP107" s="41">
        <v>100.0</v>
      </c>
      <c r="CQ107" s="47">
        <v>0.0056</v>
      </c>
      <c r="CR107" s="47">
        <v>0.1211</v>
      </c>
      <c r="CS107" s="47">
        <v>0.0515</v>
      </c>
      <c r="CT107" s="41">
        <v>100.0</v>
      </c>
      <c r="CU107" s="47">
        <v>0.0408</v>
      </c>
      <c r="CV107" s="41">
        <v>97.0</v>
      </c>
      <c r="CW107" s="47">
        <v>0.0623</v>
      </c>
      <c r="CX107" s="41">
        <v>100.0</v>
      </c>
      <c r="CY107" s="41" t="s">
        <v>5837</v>
      </c>
      <c r="CZ107" s="41">
        <v>97.0</v>
      </c>
      <c r="DA107" s="41" t="s">
        <v>5838</v>
      </c>
      <c r="DB107" s="47">
        <v>0.0025</v>
      </c>
      <c r="DC107" s="41" t="s">
        <v>5837</v>
      </c>
      <c r="DD107" s="41">
        <v>97.0</v>
      </c>
      <c r="DE107" s="41" t="s">
        <v>5839</v>
      </c>
      <c r="DF107" s="41">
        <v>94.0</v>
      </c>
      <c r="DG107" s="41" t="s">
        <v>5840</v>
      </c>
      <c r="DH107" s="41">
        <v>83.0</v>
      </c>
      <c r="DI107" s="52">
        <v>5563.0</v>
      </c>
      <c r="DJ107" s="41">
        <v>-202.0</v>
      </c>
      <c r="DK107" s="47">
        <v>-0.035</v>
      </c>
      <c r="DL107" s="41">
        <v>159.0</v>
      </c>
      <c r="DM107" s="41">
        <v>13.0</v>
      </c>
      <c r="DN107" s="47">
        <v>0.089</v>
      </c>
      <c r="DO107" s="41" t="s">
        <v>3600</v>
      </c>
      <c r="DP107" s="46" t="s">
        <v>5841</v>
      </c>
      <c r="DQ107" s="41">
        <v>4.0</v>
      </c>
      <c r="DR107" s="41">
        <v>2.0</v>
      </c>
      <c r="DS107" s="45"/>
      <c r="DT107" s="45"/>
      <c r="DU107" s="45"/>
      <c r="DV107" s="41">
        <v>4.0</v>
      </c>
      <c r="DW107" s="43"/>
      <c r="DX107" s="45"/>
      <c r="DY107" s="43"/>
      <c r="DZ107" s="45"/>
      <c r="EA107" s="45"/>
      <c r="EB107" s="43"/>
      <c r="EC107" s="45"/>
      <c r="ED107" s="45"/>
      <c r="EE107" s="45"/>
      <c r="EF107" s="45"/>
      <c r="EG107" s="43"/>
      <c r="EH107" s="45"/>
      <c r="EI107" s="45"/>
      <c r="EJ107" s="45"/>
      <c r="EK107" s="43"/>
      <c r="EL107" s="45"/>
      <c r="EM107" s="45"/>
      <c r="EN107" s="45"/>
      <c r="EO107" s="45"/>
      <c r="EP107" s="48" t="s">
        <v>3559</v>
      </c>
    </row>
    <row r="108">
      <c r="A108" s="37"/>
      <c r="B108" s="35" t="s">
        <v>5842</v>
      </c>
      <c r="C108" s="34"/>
      <c r="D108" s="34"/>
      <c r="E108" s="35" t="s">
        <v>5843</v>
      </c>
      <c r="F108" s="34"/>
      <c r="G108" s="35" t="s">
        <v>5844</v>
      </c>
      <c r="H108" s="35" t="s">
        <v>3867</v>
      </c>
      <c r="I108" s="35" t="s">
        <v>3897</v>
      </c>
      <c r="J108" s="35" t="s">
        <v>3898</v>
      </c>
      <c r="K108" s="35" t="s">
        <v>5845</v>
      </c>
      <c r="L108" s="34"/>
      <c r="M108" s="35" t="s">
        <v>5846</v>
      </c>
      <c r="N108" s="35" t="s">
        <v>4962</v>
      </c>
      <c r="O108" s="35" t="s">
        <v>5847</v>
      </c>
      <c r="P108" s="35"/>
      <c r="R108" s="35" t="s">
        <v>3571</v>
      </c>
      <c r="S108" s="35" t="s">
        <v>4964</v>
      </c>
      <c r="T108" s="35" t="s">
        <v>3603</v>
      </c>
      <c r="U108" s="36" t="s">
        <v>5848</v>
      </c>
      <c r="V108" s="34"/>
      <c r="W108" s="37"/>
      <c r="X108" s="34"/>
      <c r="Y108" s="34"/>
      <c r="Z108" s="34"/>
      <c r="AA108" s="32">
        <v>1987.0</v>
      </c>
      <c r="AB108" s="35" t="s">
        <v>5849</v>
      </c>
      <c r="AC108" s="34"/>
      <c r="AD108" s="34"/>
      <c r="AE108" s="37"/>
      <c r="AF108" s="37"/>
      <c r="AG108" s="37"/>
      <c r="AH108" s="37"/>
      <c r="AI108" s="37"/>
      <c r="AJ108" s="37"/>
      <c r="AK108" s="37"/>
      <c r="AL108" s="37"/>
      <c r="AM108" s="37"/>
      <c r="AN108" s="37"/>
      <c r="AO108" s="35" t="s">
        <v>5850</v>
      </c>
      <c r="AP108" s="35" t="s">
        <v>5851</v>
      </c>
      <c r="AQ108" s="35" t="s">
        <v>4093</v>
      </c>
      <c r="AR108" s="35" t="s">
        <v>5852</v>
      </c>
      <c r="AS108" s="34" t="str">
        <f>+972 (0)8 852 3883</f>
        <v>#ERROR!</v>
      </c>
      <c r="AT108" s="35" t="s">
        <v>4997</v>
      </c>
      <c r="AU108" s="35" t="s">
        <v>5853</v>
      </c>
      <c r="AV108" s="35" t="s">
        <v>5854</v>
      </c>
      <c r="AW108" s="35" t="s">
        <v>2433</v>
      </c>
      <c r="AX108" s="34"/>
      <c r="AY108" s="37"/>
      <c r="AZ108" s="35" t="s">
        <v>41</v>
      </c>
      <c r="BA108" s="37" t="str">
        <f>+972 (0)8 852 3883</f>
        <v>#ERROR!</v>
      </c>
      <c r="BB108" s="37" t="str">
        <f>+972 (0)8 852 1236</f>
        <v>#ERROR!</v>
      </c>
      <c r="BC108" s="34"/>
      <c r="BD108" s="35" t="s">
        <v>3584</v>
      </c>
      <c r="BE108" s="35" t="s">
        <v>3584</v>
      </c>
      <c r="BF108" s="35" t="s">
        <v>5855</v>
      </c>
      <c r="BG108" s="34"/>
      <c r="BH108" s="37"/>
      <c r="BI108" s="35" t="s">
        <v>5849</v>
      </c>
      <c r="BJ108" s="34"/>
      <c r="BK108" s="34"/>
      <c r="BL108" s="34"/>
      <c r="BM108" s="34"/>
      <c r="BN108" s="34"/>
      <c r="BO108" s="34"/>
      <c r="BP108" s="34"/>
      <c r="BQ108" s="38" t="s">
        <v>5347</v>
      </c>
      <c r="BR108" s="37"/>
      <c r="BS108" s="34"/>
      <c r="BT108" s="37"/>
      <c r="BU108" s="34"/>
      <c r="BV108" s="35" t="s">
        <v>4977</v>
      </c>
      <c r="BW108" s="34"/>
      <c r="BX108" s="34"/>
      <c r="BY108" s="35" t="s">
        <v>3663</v>
      </c>
      <c r="BZ108" s="34"/>
      <c r="CA108" s="35" t="s">
        <v>3591</v>
      </c>
      <c r="CB108" s="38" t="s">
        <v>5347</v>
      </c>
      <c r="CC108" s="37"/>
      <c r="CD108" s="34"/>
      <c r="CE108" s="37"/>
      <c r="CF108" s="34"/>
      <c r="CG108" s="35" t="s">
        <v>4977</v>
      </c>
      <c r="CH108" s="34"/>
      <c r="CI108" s="34"/>
      <c r="CJ108" s="35" t="s">
        <v>3663</v>
      </c>
      <c r="CK108" s="37"/>
      <c r="CL108" s="37"/>
      <c r="CM108" s="34"/>
      <c r="CN108" s="35" t="s">
        <v>3591</v>
      </c>
      <c r="CO108" s="39">
        <v>0.0</v>
      </c>
      <c r="CP108" s="32">
        <v>14.0</v>
      </c>
      <c r="CQ108" s="39">
        <v>0.0</v>
      </c>
      <c r="CR108" s="39">
        <v>0.0</v>
      </c>
      <c r="CS108" s="39">
        <v>0.0</v>
      </c>
      <c r="CT108" s="32">
        <v>12.0</v>
      </c>
      <c r="CU108" s="37"/>
      <c r="CV108" s="37"/>
      <c r="CW108" s="39">
        <v>0.0</v>
      </c>
      <c r="CX108" s="32">
        <v>12.0</v>
      </c>
      <c r="CY108" s="32" t="s">
        <v>5856</v>
      </c>
      <c r="CZ108" s="32">
        <v>3.0</v>
      </c>
      <c r="DA108" s="32" t="s">
        <v>3598</v>
      </c>
      <c r="DB108" s="39">
        <v>0.0</v>
      </c>
      <c r="DC108" s="32" t="s">
        <v>5856</v>
      </c>
      <c r="DD108" s="32">
        <v>3.0</v>
      </c>
      <c r="DE108" s="37"/>
      <c r="DF108" s="37"/>
      <c r="DG108" s="32" t="s">
        <v>5856</v>
      </c>
      <c r="DH108" s="32">
        <v>3.0</v>
      </c>
      <c r="DI108" s="32">
        <v>0.0</v>
      </c>
      <c r="DJ108" s="32">
        <v>0.0</v>
      </c>
      <c r="DK108" s="39">
        <v>0.0</v>
      </c>
      <c r="DL108" s="32">
        <v>3.0</v>
      </c>
      <c r="DM108" s="32">
        <v>0.0</v>
      </c>
      <c r="DN108" s="39">
        <v>0.0</v>
      </c>
      <c r="DO108" s="32" t="s">
        <v>3600</v>
      </c>
      <c r="DP108" s="38" t="s">
        <v>5857</v>
      </c>
      <c r="DQ108" s="37"/>
      <c r="DR108" s="37"/>
      <c r="DS108" s="37"/>
      <c r="DT108" s="37"/>
      <c r="DU108" s="37"/>
      <c r="DV108" s="37"/>
      <c r="DW108" s="34"/>
      <c r="DX108" s="37"/>
      <c r="DY108" s="34"/>
      <c r="DZ108" s="37"/>
      <c r="EA108" s="37"/>
      <c r="EB108" s="34"/>
      <c r="EC108" s="37"/>
      <c r="ED108" s="37"/>
      <c r="EE108" s="37"/>
      <c r="EF108" s="37"/>
      <c r="EG108" s="34"/>
      <c r="EH108" s="37"/>
      <c r="EI108" s="37"/>
      <c r="EJ108" s="37"/>
      <c r="EK108" s="34"/>
      <c r="EL108" s="37"/>
      <c r="EM108" s="37"/>
      <c r="EN108" s="37"/>
      <c r="EO108" s="37"/>
      <c r="EP108" s="40" t="s">
        <v>3559</v>
      </c>
    </row>
    <row r="109">
      <c r="A109" s="41">
        <v>77.39</v>
      </c>
      <c r="B109" s="42" t="s">
        <v>5858</v>
      </c>
      <c r="C109" s="42" t="s">
        <v>5859</v>
      </c>
      <c r="D109" s="43"/>
      <c r="E109" s="42" t="s">
        <v>5860</v>
      </c>
      <c r="F109" s="42" t="s">
        <v>5861</v>
      </c>
      <c r="G109" s="42" t="s">
        <v>5862</v>
      </c>
      <c r="H109" s="42" t="s">
        <v>3563</v>
      </c>
      <c r="I109" s="42" t="s">
        <v>3609</v>
      </c>
      <c r="J109" s="42" t="s">
        <v>3610</v>
      </c>
      <c r="K109" s="42" t="s">
        <v>5863</v>
      </c>
      <c r="L109" s="42" t="s">
        <v>5864</v>
      </c>
      <c r="M109" s="42" t="s">
        <v>5865</v>
      </c>
      <c r="N109" s="42" t="s">
        <v>4962</v>
      </c>
      <c r="O109" s="42" t="s">
        <v>5866</v>
      </c>
      <c r="P109" s="42"/>
      <c r="R109" s="42" t="s">
        <v>3571</v>
      </c>
      <c r="S109" s="42" t="s">
        <v>5020</v>
      </c>
      <c r="T109" s="42" t="s">
        <v>5867</v>
      </c>
      <c r="U109" s="44" t="s">
        <v>5868</v>
      </c>
      <c r="V109" s="43"/>
      <c r="W109" s="41">
        <v>77.0</v>
      </c>
      <c r="X109" s="42" t="s">
        <v>5869</v>
      </c>
      <c r="Y109" s="43"/>
      <c r="Z109" s="43"/>
      <c r="AA109" s="41">
        <v>2006.0</v>
      </c>
      <c r="AB109" s="43"/>
      <c r="AC109" s="43"/>
      <c r="AD109" s="42" t="s">
        <v>5243</v>
      </c>
      <c r="AE109" s="45"/>
      <c r="AF109" s="45"/>
      <c r="AG109" s="45"/>
      <c r="AH109" s="45"/>
      <c r="AI109" s="45"/>
      <c r="AJ109" s="45"/>
      <c r="AK109" s="41">
        <v>16.86</v>
      </c>
      <c r="AL109" s="45"/>
      <c r="AM109" s="45"/>
      <c r="AN109" s="45"/>
      <c r="AO109" s="43"/>
      <c r="AP109" s="43"/>
      <c r="AQ109" s="43"/>
      <c r="AR109" s="43"/>
      <c r="AS109" s="43"/>
      <c r="AT109" s="42" t="s">
        <v>3718</v>
      </c>
      <c r="AU109" s="42" t="s">
        <v>5870</v>
      </c>
      <c r="AV109" s="42" t="s">
        <v>5871</v>
      </c>
      <c r="AW109" s="42" t="s">
        <v>552</v>
      </c>
      <c r="AX109" s="43"/>
      <c r="AY109" s="41">
        <v>4673308.0</v>
      </c>
      <c r="AZ109" s="42" t="s">
        <v>41</v>
      </c>
      <c r="BA109" s="45"/>
      <c r="BB109" s="45"/>
      <c r="BC109" s="43"/>
      <c r="BD109" s="42" t="s">
        <v>3584</v>
      </c>
      <c r="BE109" s="42" t="s">
        <v>3584</v>
      </c>
      <c r="BF109" s="42" t="s">
        <v>5872</v>
      </c>
      <c r="BG109" s="43"/>
      <c r="BH109" s="45"/>
      <c r="BI109" s="42" t="s">
        <v>5692</v>
      </c>
      <c r="BJ109" s="42" t="s">
        <v>5873</v>
      </c>
      <c r="BK109" s="43"/>
      <c r="BL109" s="43"/>
      <c r="BM109" s="42" t="s">
        <v>5874</v>
      </c>
      <c r="BN109" s="43"/>
      <c r="BO109" s="42" t="s">
        <v>5875</v>
      </c>
      <c r="BP109" s="42" t="s">
        <v>5876</v>
      </c>
      <c r="BQ109" s="45"/>
      <c r="BR109" s="45"/>
      <c r="BS109" s="43"/>
      <c r="BT109" s="45"/>
      <c r="BU109" s="43"/>
      <c r="BV109" s="42" t="s">
        <v>3589</v>
      </c>
      <c r="BW109" s="43"/>
      <c r="BX109" s="43"/>
      <c r="BY109" s="42" t="s">
        <v>3590</v>
      </c>
      <c r="BZ109" s="43"/>
      <c r="CA109" s="42" t="s">
        <v>3591</v>
      </c>
      <c r="CB109" s="46" t="s">
        <v>5877</v>
      </c>
      <c r="CC109" s="45"/>
      <c r="CD109" s="43"/>
      <c r="CE109" s="45"/>
      <c r="CF109" s="43"/>
      <c r="CG109" s="42" t="s">
        <v>4977</v>
      </c>
      <c r="CH109" s="43"/>
      <c r="CI109" s="43"/>
      <c r="CJ109" s="42" t="s">
        <v>3663</v>
      </c>
      <c r="CK109" s="45"/>
      <c r="CL109" s="45"/>
      <c r="CM109" s="43"/>
      <c r="CN109" s="42" t="s">
        <v>3591</v>
      </c>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1" t="s">
        <v>3600</v>
      </c>
      <c r="DP109" s="46" t="s">
        <v>5333</v>
      </c>
      <c r="DQ109" s="41">
        <v>3.0</v>
      </c>
      <c r="DR109" s="41">
        <v>2.0</v>
      </c>
      <c r="DS109" s="45"/>
      <c r="DT109" s="45"/>
      <c r="DU109" s="45"/>
      <c r="DV109" s="41">
        <v>3.0</v>
      </c>
      <c r="DW109" s="43"/>
      <c r="DX109" s="45"/>
      <c r="DY109" s="43"/>
      <c r="DZ109" s="45"/>
      <c r="EA109" s="45"/>
      <c r="EB109" s="43"/>
      <c r="EC109" s="45"/>
      <c r="ED109" s="45"/>
      <c r="EE109" s="41">
        <v>101.58</v>
      </c>
      <c r="EF109" s="46" t="s">
        <v>5878</v>
      </c>
      <c r="EG109" s="42" t="s">
        <v>4532</v>
      </c>
      <c r="EH109" s="45"/>
      <c r="EI109" s="45"/>
      <c r="EJ109" s="45"/>
      <c r="EK109" s="43"/>
      <c r="EL109" s="45"/>
      <c r="EM109" s="45"/>
      <c r="EN109" s="41">
        <v>0.51</v>
      </c>
      <c r="EO109" s="41">
        <v>0.51</v>
      </c>
      <c r="EP109" s="48" t="s">
        <v>3559</v>
      </c>
    </row>
    <row r="110">
      <c r="A110" s="37"/>
      <c r="B110" s="35" t="s">
        <v>5879</v>
      </c>
      <c r="C110" s="34"/>
      <c r="D110" s="35" t="s">
        <v>5880</v>
      </c>
      <c r="E110" s="35" t="s">
        <v>5881</v>
      </c>
      <c r="F110" s="34"/>
      <c r="G110" s="35" t="s">
        <v>5882</v>
      </c>
      <c r="H110" s="35" t="s">
        <v>4560</v>
      </c>
      <c r="I110" s="35" t="s">
        <v>4561</v>
      </c>
      <c r="J110" s="35" t="s">
        <v>5883</v>
      </c>
      <c r="K110" s="35" t="s">
        <v>5884</v>
      </c>
      <c r="L110" s="35" t="s">
        <v>3612</v>
      </c>
      <c r="M110" s="35" t="s">
        <v>5885</v>
      </c>
      <c r="N110" s="35" t="s">
        <v>5075</v>
      </c>
      <c r="O110" s="35" t="s">
        <v>5886</v>
      </c>
      <c r="P110" s="35"/>
      <c r="R110" s="35" t="s">
        <v>5222</v>
      </c>
      <c r="S110" s="35" t="s">
        <v>5222</v>
      </c>
      <c r="T110" s="35" t="s">
        <v>4391</v>
      </c>
      <c r="U110" s="36" t="s">
        <v>5887</v>
      </c>
      <c r="V110" s="34"/>
      <c r="W110" s="37"/>
      <c r="X110" s="34"/>
      <c r="Y110" s="34"/>
      <c r="Z110" s="34"/>
      <c r="AA110" s="37"/>
      <c r="AB110" s="34"/>
      <c r="AC110" s="34"/>
      <c r="AD110" s="34"/>
      <c r="AE110" s="37"/>
      <c r="AF110" s="37"/>
      <c r="AG110" s="37"/>
      <c r="AH110" s="37"/>
      <c r="AI110" s="37"/>
      <c r="AJ110" s="37"/>
      <c r="AK110" s="37"/>
      <c r="AL110" s="37"/>
      <c r="AM110" s="37"/>
      <c r="AN110" s="37"/>
      <c r="AO110" s="34"/>
      <c r="AP110" s="34"/>
      <c r="AQ110" s="34"/>
      <c r="AR110" s="34"/>
      <c r="AS110" s="34"/>
      <c r="AT110" s="35" t="s">
        <v>3654</v>
      </c>
      <c r="AU110" s="35" t="s">
        <v>5888</v>
      </c>
      <c r="AV110" s="35" t="s">
        <v>5889</v>
      </c>
      <c r="AW110" s="35" t="s">
        <v>147</v>
      </c>
      <c r="AX110" s="34"/>
      <c r="AY110" s="37"/>
      <c r="AZ110" s="35" t="s">
        <v>41</v>
      </c>
      <c r="BA110" s="37"/>
      <c r="BB110" s="37"/>
      <c r="BC110" s="34"/>
      <c r="BD110" s="35" t="s">
        <v>3584</v>
      </c>
      <c r="BE110" s="35" t="s">
        <v>3584</v>
      </c>
      <c r="BF110" s="35" t="s">
        <v>5890</v>
      </c>
      <c r="BG110" s="34"/>
      <c r="BH110" s="37"/>
      <c r="BI110" s="34"/>
      <c r="BJ110" s="35" t="s">
        <v>5891</v>
      </c>
      <c r="BK110" s="34"/>
      <c r="BL110" s="34"/>
      <c r="BM110" s="35" t="s">
        <v>5892</v>
      </c>
      <c r="BN110" s="34"/>
      <c r="BO110" s="34"/>
      <c r="BP110" s="34"/>
      <c r="BQ110" s="37"/>
      <c r="BR110" s="37"/>
      <c r="BS110" s="34"/>
      <c r="BT110" s="37"/>
      <c r="BU110" s="34"/>
      <c r="BV110" s="35" t="s">
        <v>3669</v>
      </c>
      <c r="BW110" s="34"/>
      <c r="BX110" s="34"/>
      <c r="BY110" s="35" t="s">
        <v>3573</v>
      </c>
      <c r="BZ110" s="34"/>
      <c r="CA110" s="35" t="s">
        <v>3591</v>
      </c>
      <c r="CB110" s="38" t="s">
        <v>5893</v>
      </c>
      <c r="CC110" s="37"/>
      <c r="CD110" s="34"/>
      <c r="CE110" s="37"/>
      <c r="CF110" s="34"/>
      <c r="CG110" s="35" t="s">
        <v>5222</v>
      </c>
      <c r="CH110" s="34"/>
      <c r="CI110" s="34"/>
      <c r="CJ110" s="35" t="s">
        <v>5222</v>
      </c>
      <c r="CK110" s="37"/>
      <c r="CL110" s="37"/>
      <c r="CM110" s="34"/>
      <c r="CN110" s="35" t="s">
        <v>3591</v>
      </c>
      <c r="CO110" s="37"/>
      <c r="CP110" s="37"/>
      <c r="CQ110" s="37"/>
      <c r="CR110" s="37"/>
      <c r="CS110" s="37"/>
      <c r="CT110" s="37"/>
      <c r="CU110" s="37"/>
      <c r="CV110" s="37"/>
      <c r="CW110" s="37"/>
      <c r="CX110" s="37"/>
      <c r="CY110" s="37"/>
      <c r="CZ110" s="37"/>
      <c r="DA110" s="37"/>
      <c r="DB110" s="37"/>
      <c r="DC110" s="37"/>
      <c r="DD110" s="37"/>
      <c r="DE110" s="37"/>
      <c r="DF110" s="37"/>
      <c r="DG110" s="37"/>
      <c r="DH110" s="37"/>
      <c r="DI110" s="37"/>
      <c r="DJ110" s="37"/>
      <c r="DK110" s="37"/>
      <c r="DL110" s="37"/>
      <c r="DM110" s="37"/>
      <c r="DN110" s="37"/>
      <c r="DO110" s="32" t="s">
        <v>3600</v>
      </c>
      <c r="DP110" s="38" t="s">
        <v>5894</v>
      </c>
      <c r="DQ110" s="37"/>
      <c r="DR110" s="37"/>
      <c r="DS110" s="37"/>
      <c r="DT110" s="37"/>
      <c r="DU110" s="37"/>
      <c r="DV110" s="37"/>
      <c r="DW110" s="34"/>
      <c r="DX110" s="37"/>
      <c r="DY110" s="34"/>
      <c r="DZ110" s="37"/>
      <c r="EA110" s="37"/>
      <c r="EB110" s="34"/>
      <c r="EC110" s="37"/>
      <c r="ED110" s="37"/>
      <c r="EE110" s="37"/>
      <c r="EF110" s="37"/>
      <c r="EG110" s="34"/>
      <c r="EH110" s="37"/>
      <c r="EI110" s="37"/>
      <c r="EJ110" s="37"/>
      <c r="EK110" s="34"/>
      <c r="EL110" s="37"/>
      <c r="EM110" s="37"/>
      <c r="EN110" s="37"/>
      <c r="EO110" s="37"/>
      <c r="EP110" s="40" t="s">
        <v>3559</v>
      </c>
    </row>
    <row r="111">
      <c r="A111" s="45"/>
      <c r="B111" s="42" t="s">
        <v>5895</v>
      </c>
      <c r="C111" s="43"/>
      <c r="D111" s="43"/>
      <c r="E111" s="42" t="s">
        <v>5896</v>
      </c>
      <c r="F111" s="43"/>
      <c r="G111" s="42" t="s">
        <v>5897</v>
      </c>
      <c r="H111" s="42" t="s">
        <v>3867</v>
      </c>
      <c r="I111" s="42" t="s">
        <v>4199</v>
      </c>
      <c r="J111" s="42" t="s">
        <v>4200</v>
      </c>
      <c r="K111" s="42" t="s">
        <v>5898</v>
      </c>
      <c r="L111" s="42" t="s">
        <v>5736</v>
      </c>
      <c r="M111" s="42" t="s">
        <v>5899</v>
      </c>
      <c r="N111" s="42" t="s">
        <v>5481</v>
      </c>
      <c r="O111" s="42" t="s">
        <v>5900</v>
      </c>
      <c r="P111" s="42"/>
      <c r="R111" s="42" t="s">
        <v>5222</v>
      </c>
      <c r="S111" s="42" t="s">
        <v>5222</v>
      </c>
      <c r="T111" s="42" t="s">
        <v>5147</v>
      </c>
      <c r="U111" s="44" t="s">
        <v>5901</v>
      </c>
      <c r="V111" s="43"/>
      <c r="W111" s="45"/>
      <c r="X111" s="43"/>
      <c r="Y111" s="43"/>
      <c r="Z111" s="43"/>
      <c r="AA111" s="41">
        <v>2017.0</v>
      </c>
      <c r="AB111" s="43"/>
      <c r="AC111" s="43"/>
      <c r="AD111" s="43"/>
      <c r="AE111" s="45"/>
      <c r="AF111" s="45"/>
      <c r="AG111" s="45"/>
      <c r="AH111" s="45"/>
      <c r="AI111" s="45"/>
      <c r="AJ111" s="45"/>
      <c r="AK111" s="45"/>
      <c r="AL111" s="45"/>
      <c r="AM111" s="45"/>
      <c r="AN111" s="45"/>
      <c r="AO111" s="43"/>
      <c r="AP111" s="43"/>
      <c r="AQ111" s="43"/>
      <c r="AR111" s="43"/>
      <c r="AS111" s="43"/>
      <c r="AT111" s="42" t="s">
        <v>5902</v>
      </c>
      <c r="AU111" s="43"/>
      <c r="AV111" s="43"/>
      <c r="AW111" s="42" t="s">
        <v>4475</v>
      </c>
      <c r="AX111" s="43"/>
      <c r="AY111" s="45"/>
      <c r="AZ111" s="42" t="s">
        <v>41</v>
      </c>
      <c r="BA111" s="45"/>
      <c r="BB111" s="45"/>
      <c r="BC111" s="43"/>
      <c r="BD111" s="42" t="s">
        <v>3584</v>
      </c>
      <c r="BE111" s="42" t="s">
        <v>3584</v>
      </c>
      <c r="BF111" s="42" t="s">
        <v>5903</v>
      </c>
      <c r="BG111" s="43"/>
      <c r="BH111" s="45"/>
      <c r="BI111" s="43"/>
      <c r="BJ111" s="42" t="s">
        <v>5904</v>
      </c>
      <c r="BK111" s="43"/>
      <c r="BL111" s="43"/>
      <c r="BM111" s="42" t="s">
        <v>5905</v>
      </c>
      <c r="BN111" s="43"/>
      <c r="BO111" s="43"/>
      <c r="BP111" s="43"/>
      <c r="BQ111" s="46" t="s">
        <v>5906</v>
      </c>
      <c r="BR111" s="45"/>
      <c r="BS111" s="43"/>
      <c r="BT111" s="45"/>
      <c r="BU111" s="43"/>
      <c r="BV111" s="42" t="s">
        <v>3589</v>
      </c>
      <c r="BW111" s="43"/>
      <c r="BX111" s="43"/>
      <c r="BY111" s="42" t="s">
        <v>3590</v>
      </c>
      <c r="BZ111" s="43"/>
      <c r="CA111" s="42" t="s">
        <v>3591</v>
      </c>
      <c r="CB111" s="46" t="s">
        <v>5907</v>
      </c>
      <c r="CC111" s="45"/>
      <c r="CD111" s="43"/>
      <c r="CE111" s="45"/>
      <c r="CF111" s="43"/>
      <c r="CG111" s="42" t="s">
        <v>5222</v>
      </c>
      <c r="CH111" s="43"/>
      <c r="CI111" s="43"/>
      <c r="CJ111" s="42" t="s">
        <v>5222</v>
      </c>
      <c r="CK111" s="45"/>
      <c r="CL111" s="45"/>
      <c r="CM111" s="43"/>
      <c r="CN111" s="42" t="s">
        <v>3591</v>
      </c>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1" t="s">
        <v>3600</v>
      </c>
      <c r="DP111" s="46" t="s">
        <v>5177</v>
      </c>
      <c r="DQ111" s="45"/>
      <c r="DR111" s="45"/>
      <c r="DS111" s="45"/>
      <c r="DT111" s="45"/>
      <c r="DU111" s="45"/>
      <c r="DV111" s="45"/>
      <c r="DW111" s="43"/>
      <c r="DX111" s="45"/>
      <c r="DY111" s="43"/>
      <c r="DZ111" s="45"/>
      <c r="EA111" s="45"/>
      <c r="EB111" s="43"/>
      <c r="EC111" s="45"/>
      <c r="ED111" s="45"/>
      <c r="EE111" s="45"/>
      <c r="EF111" s="45"/>
      <c r="EG111" s="43"/>
      <c r="EH111" s="45"/>
      <c r="EI111" s="45"/>
      <c r="EJ111" s="45"/>
      <c r="EK111" s="43"/>
      <c r="EL111" s="45"/>
      <c r="EM111" s="45"/>
      <c r="EN111" s="45"/>
      <c r="EO111" s="45"/>
      <c r="EP111" s="48" t="s">
        <v>3559</v>
      </c>
    </row>
    <row r="112">
      <c r="A112" s="37"/>
      <c r="B112" s="35" t="s">
        <v>5908</v>
      </c>
      <c r="C112" s="34"/>
      <c r="D112" s="34"/>
      <c r="E112" s="35" t="s">
        <v>5909</v>
      </c>
      <c r="F112" s="34"/>
      <c r="G112" s="35" t="s">
        <v>5910</v>
      </c>
      <c r="H112" s="35" t="s">
        <v>3867</v>
      </c>
      <c r="I112" s="35" t="s">
        <v>4199</v>
      </c>
      <c r="J112" s="35" t="s">
        <v>5911</v>
      </c>
      <c r="K112" s="35" t="s">
        <v>5912</v>
      </c>
      <c r="L112" s="34"/>
      <c r="M112" s="35" t="s">
        <v>5913</v>
      </c>
      <c r="N112" s="35" t="s">
        <v>4962</v>
      </c>
      <c r="O112" s="35" t="s">
        <v>5914</v>
      </c>
      <c r="P112" s="35"/>
      <c r="R112" s="35" t="s">
        <v>3571</v>
      </c>
      <c r="S112" s="35" t="s">
        <v>4964</v>
      </c>
      <c r="T112" s="35" t="s">
        <v>3603</v>
      </c>
      <c r="U112" s="36" t="s">
        <v>5915</v>
      </c>
      <c r="V112" s="36" t="s">
        <v>5916</v>
      </c>
      <c r="W112" s="37"/>
      <c r="X112" s="34"/>
      <c r="Y112" s="34"/>
      <c r="Z112" s="34"/>
      <c r="AA112" s="32">
        <v>1957.0</v>
      </c>
      <c r="AB112" s="35" t="s">
        <v>5704</v>
      </c>
      <c r="AC112" s="34"/>
      <c r="AD112" s="34"/>
      <c r="AE112" s="37"/>
      <c r="AF112" s="37"/>
      <c r="AG112" s="37"/>
      <c r="AH112" s="37"/>
      <c r="AI112" s="37"/>
      <c r="AJ112" s="37"/>
      <c r="AK112" s="37"/>
      <c r="AL112" s="37"/>
      <c r="AM112" s="37"/>
      <c r="AN112" s="37"/>
      <c r="AO112" s="34"/>
      <c r="AP112" s="34"/>
      <c r="AQ112" s="34"/>
      <c r="AR112" s="34"/>
      <c r="AS112" s="34"/>
      <c r="AT112" s="35" t="s">
        <v>5917</v>
      </c>
      <c r="AU112" s="35" t="s">
        <v>5918</v>
      </c>
      <c r="AV112" s="35" t="s">
        <v>5919</v>
      </c>
      <c r="AW112" s="35" t="s">
        <v>1442</v>
      </c>
      <c r="AX112" s="34"/>
      <c r="AY112" s="32">
        <v>7255811.0</v>
      </c>
      <c r="AZ112" s="35" t="s">
        <v>41</v>
      </c>
      <c r="BA112" s="37" t="str">
        <f>+972 (0)73 222 2900</f>
        <v>#ERROR!</v>
      </c>
      <c r="BB112" s="37" t="str">
        <f>+972 (0)8 921 5370</f>
        <v>#ERROR!</v>
      </c>
      <c r="BC112" s="35" t="s">
        <v>5920</v>
      </c>
      <c r="BD112" s="35" t="s">
        <v>3584</v>
      </c>
      <c r="BE112" s="35" t="s">
        <v>3584</v>
      </c>
      <c r="BF112" s="35" t="s">
        <v>5921</v>
      </c>
      <c r="BG112" s="34"/>
      <c r="BH112" s="37"/>
      <c r="BI112" s="35" t="s">
        <v>5704</v>
      </c>
      <c r="BJ112" s="34"/>
      <c r="BK112" s="34"/>
      <c r="BL112" s="34"/>
      <c r="BM112" s="34"/>
      <c r="BN112" s="34"/>
      <c r="BO112" s="34"/>
      <c r="BP112" s="35" t="s">
        <v>5922</v>
      </c>
      <c r="BQ112" s="38" t="s">
        <v>5923</v>
      </c>
      <c r="BR112" s="32">
        <v>13.73</v>
      </c>
      <c r="BS112" s="35" t="s">
        <v>3593</v>
      </c>
      <c r="BT112" s="32">
        <v>21.13</v>
      </c>
      <c r="BU112" s="35" t="s">
        <v>3697</v>
      </c>
      <c r="BV112" s="35" t="s">
        <v>4977</v>
      </c>
      <c r="BW112" s="34"/>
      <c r="BX112" s="34"/>
      <c r="BY112" s="35" t="s">
        <v>3663</v>
      </c>
      <c r="BZ112" s="34"/>
      <c r="CA112" s="35" t="s">
        <v>3591</v>
      </c>
      <c r="CB112" s="38" t="s">
        <v>5923</v>
      </c>
      <c r="CC112" s="32">
        <v>13.73</v>
      </c>
      <c r="CD112" s="35" t="s">
        <v>3593</v>
      </c>
      <c r="CE112" s="32">
        <v>21.13</v>
      </c>
      <c r="CF112" s="35" t="s">
        <v>3697</v>
      </c>
      <c r="CG112" s="35" t="s">
        <v>4977</v>
      </c>
      <c r="CH112" s="34"/>
      <c r="CI112" s="34"/>
      <c r="CJ112" s="35" t="s">
        <v>3663</v>
      </c>
      <c r="CK112" s="37"/>
      <c r="CL112" s="37"/>
      <c r="CM112" s="34"/>
      <c r="CN112" s="35" t="s">
        <v>3591</v>
      </c>
      <c r="CO112" s="39">
        <v>0.0012</v>
      </c>
      <c r="CP112" s="32">
        <v>86.0</v>
      </c>
      <c r="CQ112" s="39">
        <v>0.0</v>
      </c>
      <c r="CR112" s="39">
        <v>0.0</v>
      </c>
      <c r="CS112" s="39">
        <v>0.0012</v>
      </c>
      <c r="CT112" s="32">
        <v>89.0</v>
      </c>
      <c r="CU112" s="39">
        <v>0.0</v>
      </c>
      <c r="CV112" s="32">
        <v>10.0</v>
      </c>
      <c r="CW112" s="39">
        <v>0.0023</v>
      </c>
      <c r="CX112" s="32">
        <v>90.0</v>
      </c>
      <c r="CY112" s="32" t="s">
        <v>5924</v>
      </c>
      <c r="CZ112" s="32">
        <v>75.0</v>
      </c>
      <c r="DA112" s="32" t="s">
        <v>3598</v>
      </c>
      <c r="DB112" s="39">
        <v>0.0</v>
      </c>
      <c r="DC112" s="32" t="s">
        <v>5924</v>
      </c>
      <c r="DD112" s="32">
        <v>76.0</v>
      </c>
      <c r="DE112" s="32" t="s">
        <v>4189</v>
      </c>
      <c r="DF112" s="32">
        <v>21.0</v>
      </c>
      <c r="DG112" s="32" t="s">
        <v>5925</v>
      </c>
      <c r="DH112" s="32">
        <v>83.0</v>
      </c>
      <c r="DI112" s="32">
        <v>4.0</v>
      </c>
      <c r="DJ112" s="32">
        <v>-14.0</v>
      </c>
      <c r="DK112" s="39">
        <v>-0.7778</v>
      </c>
      <c r="DL112" s="32">
        <v>163.0</v>
      </c>
      <c r="DM112" s="32">
        <v>1.0</v>
      </c>
      <c r="DN112" s="39">
        <v>0.0062</v>
      </c>
      <c r="DO112" s="32" t="s">
        <v>3600</v>
      </c>
      <c r="DP112" s="38" t="s">
        <v>5350</v>
      </c>
      <c r="DQ112" s="37"/>
      <c r="DR112" s="37"/>
      <c r="DS112" s="37"/>
      <c r="DT112" s="37"/>
      <c r="DU112" s="37"/>
      <c r="DV112" s="37"/>
      <c r="DW112" s="34"/>
      <c r="DX112" s="37"/>
      <c r="DY112" s="34"/>
      <c r="DZ112" s="37"/>
      <c r="EA112" s="37"/>
      <c r="EB112" s="34"/>
      <c r="EC112" s="37"/>
      <c r="ED112" s="37"/>
      <c r="EE112" s="32">
        <v>21.13</v>
      </c>
      <c r="EF112" s="38" t="s">
        <v>5923</v>
      </c>
      <c r="EG112" s="35" t="s">
        <v>4977</v>
      </c>
      <c r="EH112" s="37"/>
      <c r="EI112" s="37"/>
      <c r="EJ112" s="37"/>
      <c r="EK112" s="34"/>
      <c r="EL112" s="37"/>
      <c r="EM112" s="37"/>
      <c r="EN112" s="37"/>
      <c r="EO112" s="37"/>
      <c r="EP112" s="40" t="s">
        <v>3559</v>
      </c>
    </row>
    <row r="113">
      <c r="A113" s="45"/>
      <c r="B113" s="42" t="s">
        <v>5926</v>
      </c>
      <c r="C113" s="43"/>
      <c r="D113" s="43"/>
      <c r="E113" s="42" t="s">
        <v>5927</v>
      </c>
      <c r="F113" s="43"/>
      <c r="G113" s="42" t="s">
        <v>5928</v>
      </c>
      <c r="H113" s="42" t="s">
        <v>3563</v>
      </c>
      <c r="I113" s="42" t="s">
        <v>3564</v>
      </c>
      <c r="J113" s="42" t="s">
        <v>3565</v>
      </c>
      <c r="K113" s="42" t="s">
        <v>5929</v>
      </c>
      <c r="L113" s="43"/>
      <c r="M113" s="42" t="s">
        <v>5930</v>
      </c>
      <c r="N113" s="42" t="s">
        <v>4923</v>
      </c>
      <c r="O113" s="42" t="s">
        <v>5931</v>
      </c>
      <c r="P113" s="42"/>
      <c r="R113" s="42" t="s">
        <v>3571</v>
      </c>
      <c r="S113" s="42" t="s">
        <v>4925</v>
      </c>
      <c r="T113" s="42" t="s">
        <v>4926</v>
      </c>
      <c r="U113" s="44" t="s">
        <v>5932</v>
      </c>
      <c r="V113" s="43"/>
      <c r="W113" s="45"/>
      <c r="X113" s="43"/>
      <c r="Y113" s="43"/>
      <c r="Z113" s="43"/>
      <c r="AA113" s="41">
        <v>2020.0</v>
      </c>
      <c r="AB113" s="43"/>
      <c r="AC113" s="43"/>
      <c r="AD113" s="43"/>
      <c r="AE113" s="45"/>
      <c r="AF113" s="45"/>
      <c r="AG113" s="45"/>
      <c r="AH113" s="45"/>
      <c r="AI113" s="45"/>
      <c r="AJ113" s="45"/>
      <c r="AK113" s="45"/>
      <c r="AL113" s="45"/>
      <c r="AM113" s="45"/>
      <c r="AN113" s="45"/>
      <c r="AO113" s="42" t="s">
        <v>5933</v>
      </c>
      <c r="AP113" s="42" t="s">
        <v>5934</v>
      </c>
      <c r="AQ113" s="42" t="s">
        <v>4397</v>
      </c>
      <c r="AR113" s="42" t="s">
        <v>5935</v>
      </c>
      <c r="AS113" s="43"/>
      <c r="AT113" s="42" t="s">
        <v>3581</v>
      </c>
      <c r="AU113" s="42" t="s">
        <v>5936</v>
      </c>
      <c r="AV113" s="43"/>
      <c r="AW113" s="42" t="s">
        <v>75</v>
      </c>
      <c r="AX113" s="43"/>
      <c r="AY113" s="41">
        <v>6722032.0</v>
      </c>
      <c r="AZ113" s="42" t="s">
        <v>41</v>
      </c>
      <c r="BA113" s="45"/>
      <c r="BB113" s="45"/>
      <c r="BC113" s="42" t="s">
        <v>5937</v>
      </c>
      <c r="BD113" s="42" t="s">
        <v>3584</v>
      </c>
      <c r="BE113" s="42" t="s">
        <v>3584</v>
      </c>
      <c r="BF113" s="43"/>
      <c r="BG113" s="43"/>
      <c r="BH113" s="45"/>
      <c r="BI113" s="43"/>
      <c r="BJ113" s="43"/>
      <c r="BK113" s="43"/>
      <c r="BL113" s="43"/>
      <c r="BM113" s="43"/>
      <c r="BN113" s="43"/>
      <c r="BO113" s="43"/>
      <c r="BP113" s="43"/>
      <c r="BQ113" s="45"/>
      <c r="BR113" s="45"/>
      <c r="BS113" s="43"/>
      <c r="BT113" s="45"/>
      <c r="BU113" s="43"/>
      <c r="BV113" s="43"/>
      <c r="BW113" s="43"/>
      <c r="BX113" s="43"/>
      <c r="BY113" s="43"/>
      <c r="BZ113" s="43"/>
      <c r="CA113" s="43"/>
      <c r="CB113" s="45"/>
      <c r="CC113" s="45"/>
      <c r="CD113" s="43"/>
      <c r="CE113" s="45"/>
      <c r="CF113" s="43"/>
      <c r="CG113" s="43"/>
      <c r="CH113" s="43"/>
      <c r="CI113" s="43"/>
      <c r="CJ113" s="43"/>
      <c r="CK113" s="45"/>
      <c r="CL113" s="45"/>
      <c r="CM113" s="43"/>
      <c r="CN113" s="43"/>
      <c r="CO113" s="47">
        <v>0.0</v>
      </c>
      <c r="CP113" s="41">
        <v>14.0</v>
      </c>
      <c r="CQ113" s="47">
        <v>0.0</v>
      </c>
      <c r="CR113" s="47">
        <v>0.0</v>
      </c>
      <c r="CS113" s="47">
        <v>0.0</v>
      </c>
      <c r="CT113" s="41">
        <v>12.0</v>
      </c>
      <c r="CU113" s="45"/>
      <c r="CV113" s="45"/>
      <c r="CW113" s="47">
        <v>0.0</v>
      </c>
      <c r="CX113" s="41">
        <v>12.0</v>
      </c>
      <c r="CY113" s="41" t="s">
        <v>5856</v>
      </c>
      <c r="CZ113" s="41">
        <v>3.0</v>
      </c>
      <c r="DA113" s="41" t="s">
        <v>3598</v>
      </c>
      <c r="DB113" s="47">
        <v>0.0</v>
      </c>
      <c r="DC113" s="41" t="s">
        <v>5856</v>
      </c>
      <c r="DD113" s="41">
        <v>3.0</v>
      </c>
      <c r="DE113" s="45"/>
      <c r="DF113" s="45"/>
      <c r="DG113" s="41" t="s">
        <v>5856</v>
      </c>
      <c r="DH113" s="41">
        <v>3.0</v>
      </c>
      <c r="DI113" s="45"/>
      <c r="DJ113" s="45"/>
      <c r="DK113" s="45"/>
      <c r="DL113" s="41">
        <v>3.0</v>
      </c>
      <c r="DM113" s="41">
        <v>0.0</v>
      </c>
      <c r="DN113" s="47">
        <v>0.0</v>
      </c>
      <c r="DO113" s="41" t="s">
        <v>3600</v>
      </c>
      <c r="DP113" s="46" t="s">
        <v>5938</v>
      </c>
      <c r="DQ113" s="45"/>
      <c r="DR113" s="45"/>
      <c r="DS113" s="45"/>
      <c r="DT113" s="45"/>
      <c r="DU113" s="45"/>
      <c r="DV113" s="45"/>
      <c r="DW113" s="43"/>
      <c r="DX113" s="45"/>
      <c r="DY113" s="43"/>
      <c r="DZ113" s="45"/>
      <c r="EA113" s="45"/>
      <c r="EB113" s="43"/>
      <c r="EC113" s="45"/>
      <c r="ED113" s="45"/>
      <c r="EE113" s="45"/>
      <c r="EF113" s="45"/>
      <c r="EG113" s="43"/>
      <c r="EH113" s="45"/>
      <c r="EI113" s="45"/>
      <c r="EJ113" s="45"/>
      <c r="EK113" s="43"/>
      <c r="EL113" s="45"/>
      <c r="EM113" s="45"/>
      <c r="EN113" s="45"/>
      <c r="EO113" s="45"/>
      <c r="EP113" s="48" t="s">
        <v>3559</v>
      </c>
    </row>
    <row r="114">
      <c r="A114" s="37"/>
      <c r="B114" s="35" t="s">
        <v>5939</v>
      </c>
      <c r="C114" s="34"/>
      <c r="D114" s="34"/>
      <c r="E114" s="35" t="s">
        <v>5940</v>
      </c>
      <c r="F114" s="34"/>
      <c r="G114" s="35" t="s">
        <v>5941</v>
      </c>
      <c r="H114" s="35" t="s">
        <v>4560</v>
      </c>
      <c r="I114" s="35" t="s">
        <v>4561</v>
      </c>
      <c r="J114" s="35" t="s">
        <v>66</v>
      </c>
      <c r="K114" s="35" t="s">
        <v>5942</v>
      </c>
      <c r="L114" s="34"/>
      <c r="M114" s="35" t="s">
        <v>5943</v>
      </c>
      <c r="N114" s="35" t="s">
        <v>5944</v>
      </c>
      <c r="O114" s="35" t="s">
        <v>5945</v>
      </c>
      <c r="P114" s="35"/>
      <c r="R114" s="35" t="s">
        <v>3571</v>
      </c>
      <c r="S114" s="35" t="s">
        <v>4925</v>
      </c>
      <c r="T114" s="35" t="s">
        <v>3603</v>
      </c>
      <c r="U114" s="36" t="s">
        <v>5946</v>
      </c>
      <c r="V114" s="34"/>
      <c r="W114" s="49">
        <v>1500.0</v>
      </c>
      <c r="X114" s="35" t="s">
        <v>5947</v>
      </c>
      <c r="Y114" s="34"/>
      <c r="Z114" s="34"/>
      <c r="AA114" s="32">
        <v>1906.0</v>
      </c>
      <c r="AB114" s="34"/>
      <c r="AC114" s="34"/>
      <c r="AD114" s="34"/>
      <c r="AE114" s="37"/>
      <c r="AF114" s="37"/>
      <c r="AG114" s="37"/>
      <c r="AH114" s="37"/>
      <c r="AI114" s="37"/>
      <c r="AJ114" s="37"/>
      <c r="AK114" s="37"/>
      <c r="AL114" s="37"/>
      <c r="AM114" s="37"/>
      <c r="AN114" s="37"/>
      <c r="AO114" s="35" t="s">
        <v>5948</v>
      </c>
      <c r="AP114" s="35" t="s">
        <v>5949</v>
      </c>
      <c r="AQ114" s="35" t="s">
        <v>5950</v>
      </c>
      <c r="AR114" s="35" t="s">
        <v>5951</v>
      </c>
      <c r="AS114" s="34"/>
      <c r="AT114" s="35" t="s">
        <v>5952</v>
      </c>
      <c r="AU114" s="35" t="s">
        <v>5953</v>
      </c>
      <c r="AV114" s="34"/>
      <c r="AW114" s="35" t="s">
        <v>1928</v>
      </c>
      <c r="AX114" s="34"/>
      <c r="AY114" s="32">
        <v>4809262.0</v>
      </c>
      <c r="AZ114" s="35" t="s">
        <v>41</v>
      </c>
      <c r="BA114" s="37"/>
      <c r="BB114" s="37"/>
      <c r="BC114" s="34"/>
      <c r="BD114" s="35" t="s">
        <v>3584</v>
      </c>
      <c r="BE114" s="35" t="s">
        <v>3584</v>
      </c>
      <c r="BF114" s="35" t="s">
        <v>5954</v>
      </c>
      <c r="BG114" s="34"/>
      <c r="BH114" s="37"/>
      <c r="BI114" s="34"/>
      <c r="BJ114" s="34"/>
      <c r="BK114" s="34"/>
      <c r="BL114" s="34"/>
      <c r="BM114" s="34"/>
      <c r="BN114" s="34"/>
      <c r="BO114" s="34"/>
      <c r="BP114" s="34"/>
      <c r="BQ114" s="38" t="s">
        <v>5955</v>
      </c>
      <c r="BR114" s="37"/>
      <c r="BS114" s="34"/>
      <c r="BT114" s="37"/>
      <c r="BU114" s="34"/>
      <c r="BV114" s="35" t="s">
        <v>3830</v>
      </c>
      <c r="BW114" s="34"/>
      <c r="BX114" s="34"/>
      <c r="BY114" s="35" t="s">
        <v>3663</v>
      </c>
      <c r="BZ114" s="34"/>
      <c r="CA114" s="35" t="s">
        <v>3966</v>
      </c>
      <c r="CB114" s="38" t="s">
        <v>5955</v>
      </c>
      <c r="CC114" s="37"/>
      <c r="CD114" s="34"/>
      <c r="CE114" s="37"/>
      <c r="CF114" s="34"/>
      <c r="CG114" s="35" t="s">
        <v>3830</v>
      </c>
      <c r="CH114" s="34"/>
      <c r="CI114" s="34"/>
      <c r="CJ114" s="35" t="s">
        <v>3663</v>
      </c>
      <c r="CK114" s="37"/>
      <c r="CL114" s="37"/>
      <c r="CM114" s="34"/>
      <c r="CN114" s="35" t="s">
        <v>3966</v>
      </c>
      <c r="CO114" s="39">
        <v>9.0E-4</v>
      </c>
      <c r="CP114" s="32">
        <v>86.0</v>
      </c>
      <c r="CQ114" s="39">
        <v>0.0</v>
      </c>
      <c r="CR114" s="39">
        <v>0.0</v>
      </c>
      <c r="CS114" s="39">
        <v>-9.0E-4</v>
      </c>
      <c r="CT114" s="32">
        <v>11.0</v>
      </c>
      <c r="CU114" s="39">
        <v>-0.0044</v>
      </c>
      <c r="CV114" s="32">
        <v>9.0</v>
      </c>
      <c r="CW114" s="39">
        <v>0.0026</v>
      </c>
      <c r="CX114" s="32">
        <v>91.0</v>
      </c>
      <c r="CY114" s="32" t="s">
        <v>5956</v>
      </c>
      <c r="CZ114" s="32">
        <v>100.0</v>
      </c>
      <c r="DA114" s="32" t="s">
        <v>3598</v>
      </c>
      <c r="DB114" s="39">
        <v>0.0</v>
      </c>
      <c r="DC114" s="32" t="s">
        <v>5957</v>
      </c>
      <c r="DD114" s="32">
        <v>99.0</v>
      </c>
      <c r="DE114" s="32" t="s">
        <v>5958</v>
      </c>
      <c r="DF114" s="32">
        <v>97.0</v>
      </c>
      <c r="DG114" s="32" t="s">
        <v>5959</v>
      </c>
      <c r="DH114" s="32">
        <v>91.0</v>
      </c>
      <c r="DI114" s="49">
        <v>15334.0</v>
      </c>
      <c r="DJ114" s="32">
        <v>-463.0</v>
      </c>
      <c r="DK114" s="39">
        <v>-0.0293</v>
      </c>
      <c r="DL114" s="32">
        <v>248.0</v>
      </c>
      <c r="DM114" s="32">
        <v>1.0</v>
      </c>
      <c r="DN114" s="39">
        <v>0.004</v>
      </c>
      <c r="DO114" s="32" t="s">
        <v>3600</v>
      </c>
      <c r="DP114" s="38" t="s">
        <v>5960</v>
      </c>
      <c r="DQ114" s="37"/>
      <c r="DR114" s="37"/>
      <c r="DS114" s="37"/>
      <c r="DT114" s="37"/>
      <c r="DU114" s="37"/>
      <c r="DV114" s="37"/>
      <c r="DW114" s="34"/>
      <c r="DX114" s="37"/>
      <c r="DY114" s="34"/>
      <c r="DZ114" s="37"/>
      <c r="EA114" s="37"/>
      <c r="EB114" s="34"/>
      <c r="EC114" s="37"/>
      <c r="ED114" s="37"/>
      <c r="EE114" s="37"/>
      <c r="EF114" s="37"/>
      <c r="EG114" s="34"/>
      <c r="EH114" s="37"/>
      <c r="EI114" s="37"/>
      <c r="EJ114" s="37"/>
      <c r="EK114" s="34"/>
      <c r="EL114" s="37"/>
      <c r="EM114" s="37"/>
      <c r="EN114" s="37"/>
      <c r="EO114" s="37"/>
      <c r="EP114" s="40" t="s">
        <v>3559</v>
      </c>
    </row>
    <row r="115">
      <c r="A115" s="41">
        <v>8.5</v>
      </c>
      <c r="B115" s="42" t="s">
        <v>5961</v>
      </c>
      <c r="C115" s="43"/>
      <c r="D115" s="43"/>
      <c r="E115" s="42" t="s">
        <v>5962</v>
      </c>
      <c r="F115" s="42" t="s">
        <v>4779</v>
      </c>
      <c r="G115" s="42" t="s">
        <v>5963</v>
      </c>
      <c r="H115" s="42" t="s">
        <v>3563</v>
      </c>
      <c r="I115" s="42" t="s">
        <v>3609</v>
      </c>
      <c r="J115" s="42" t="s">
        <v>4050</v>
      </c>
      <c r="K115" s="42" t="s">
        <v>5964</v>
      </c>
      <c r="L115" s="42" t="s">
        <v>5965</v>
      </c>
      <c r="M115" s="42" t="s">
        <v>5966</v>
      </c>
      <c r="N115" s="42" t="s">
        <v>4962</v>
      </c>
      <c r="O115" s="42" t="s">
        <v>5967</v>
      </c>
      <c r="P115" s="42"/>
      <c r="R115" s="42" t="s">
        <v>3571</v>
      </c>
      <c r="S115" s="42" t="s">
        <v>3572</v>
      </c>
      <c r="T115" s="42" t="s">
        <v>3603</v>
      </c>
      <c r="U115" s="44" t="s">
        <v>5968</v>
      </c>
      <c r="V115" s="44" t="s">
        <v>5969</v>
      </c>
      <c r="W115" s="41">
        <v>15.0</v>
      </c>
      <c r="X115" s="42" t="s">
        <v>5970</v>
      </c>
      <c r="Y115" s="43"/>
      <c r="Z115" s="43"/>
      <c r="AA115" s="41">
        <v>2016.0</v>
      </c>
      <c r="AB115" s="43"/>
      <c r="AC115" s="43"/>
      <c r="AD115" s="43"/>
      <c r="AE115" s="41">
        <v>4.0</v>
      </c>
      <c r="AF115" s="45"/>
      <c r="AG115" s="45"/>
      <c r="AH115" s="45"/>
      <c r="AI115" s="45"/>
      <c r="AJ115" s="45"/>
      <c r="AK115" s="45"/>
      <c r="AL115" s="45"/>
      <c r="AM115" s="45"/>
      <c r="AN115" s="41" t="s">
        <v>3716</v>
      </c>
      <c r="AO115" s="42" t="s">
        <v>5971</v>
      </c>
      <c r="AP115" s="42" t="s">
        <v>5972</v>
      </c>
      <c r="AQ115" s="42" t="s">
        <v>5973</v>
      </c>
      <c r="AR115" s="42" t="s">
        <v>5974</v>
      </c>
      <c r="AS115" s="43" t="str">
        <f>+972 (0)54 882 4450</f>
        <v>#ERROR!</v>
      </c>
      <c r="AT115" s="42" t="s">
        <v>4473</v>
      </c>
      <c r="AU115" s="42" t="s">
        <v>5975</v>
      </c>
      <c r="AV115" s="43"/>
      <c r="AW115" s="42" t="s">
        <v>530</v>
      </c>
      <c r="AX115" s="43"/>
      <c r="AY115" s="45"/>
      <c r="AZ115" s="42" t="s">
        <v>41</v>
      </c>
      <c r="BA115" s="45" t="str">
        <f>+972 (0)54 882 4450</f>
        <v>#ERROR!</v>
      </c>
      <c r="BB115" s="45"/>
      <c r="BC115" s="43"/>
      <c r="BD115" s="42" t="s">
        <v>3584</v>
      </c>
      <c r="BE115" s="42" t="s">
        <v>3584</v>
      </c>
      <c r="BF115" s="42" t="s">
        <v>5976</v>
      </c>
      <c r="BG115" s="42" t="s">
        <v>5977</v>
      </c>
      <c r="BH115" s="41">
        <v>3.0</v>
      </c>
      <c r="BI115" s="43"/>
      <c r="BJ115" s="43"/>
      <c r="BK115" s="43"/>
      <c r="BL115" s="42" t="s">
        <v>5978</v>
      </c>
      <c r="BM115" s="43"/>
      <c r="BN115" s="43"/>
      <c r="BO115" s="43"/>
      <c r="BP115" s="43"/>
      <c r="BQ115" s="46" t="s">
        <v>4130</v>
      </c>
      <c r="BR115" s="41">
        <v>0.01</v>
      </c>
      <c r="BS115" s="42" t="s">
        <v>3593</v>
      </c>
      <c r="BT115" s="45"/>
      <c r="BU115" s="43"/>
      <c r="BV115" s="42" t="s">
        <v>4102</v>
      </c>
      <c r="BW115" s="43"/>
      <c r="BX115" s="43"/>
      <c r="BY115" s="42" t="s">
        <v>3590</v>
      </c>
      <c r="BZ115" s="43"/>
      <c r="CA115" s="42" t="s">
        <v>3591</v>
      </c>
      <c r="CB115" s="46" t="s">
        <v>5979</v>
      </c>
      <c r="CC115" s="41">
        <v>8.5</v>
      </c>
      <c r="CD115" s="42" t="s">
        <v>3593</v>
      </c>
      <c r="CE115" s="45"/>
      <c r="CF115" s="43"/>
      <c r="CG115" s="42" t="s">
        <v>3663</v>
      </c>
      <c r="CH115" s="42" t="s">
        <v>3663</v>
      </c>
      <c r="CI115" s="43"/>
      <c r="CJ115" s="42" t="s">
        <v>3663</v>
      </c>
      <c r="CK115" s="45"/>
      <c r="CL115" s="45"/>
      <c r="CM115" s="43"/>
      <c r="CN115" s="42" t="s">
        <v>3591</v>
      </c>
      <c r="CO115" s="47">
        <v>0.006</v>
      </c>
      <c r="CP115" s="41">
        <v>94.0</v>
      </c>
      <c r="CQ115" s="47">
        <v>0.0015</v>
      </c>
      <c r="CR115" s="47">
        <v>0.3314</v>
      </c>
      <c r="CS115" s="47">
        <v>0.006</v>
      </c>
      <c r="CT115" s="41">
        <v>95.0</v>
      </c>
      <c r="CU115" s="45"/>
      <c r="CV115" s="45"/>
      <c r="CW115" s="47">
        <v>0.006</v>
      </c>
      <c r="CX115" s="41">
        <v>95.0</v>
      </c>
      <c r="CY115" s="41" t="s">
        <v>5980</v>
      </c>
      <c r="CZ115" s="41">
        <v>87.0</v>
      </c>
      <c r="DA115" s="41" t="s">
        <v>3598</v>
      </c>
      <c r="DB115" s="47">
        <v>0.0</v>
      </c>
      <c r="DC115" s="41" t="s">
        <v>5980</v>
      </c>
      <c r="DD115" s="41">
        <v>86.0</v>
      </c>
      <c r="DE115" s="45"/>
      <c r="DF115" s="45"/>
      <c r="DG115" s="41" t="s">
        <v>5980</v>
      </c>
      <c r="DH115" s="41">
        <v>84.0</v>
      </c>
      <c r="DI115" s="41">
        <v>39.0</v>
      </c>
      <c r="DJ115" s="41">
        <v>7.0</v>
      </c>
      <c r="DK115" s="47">
        <v>0.2188</v>
      </c>
      <c r="DL115" s="41">
        <v>171.0</v>
      </c>
      <c r="DM115" s="41">
        <v>1.0</v>
      </c>
      <c r="DN115" s="47">
        <v>0.0059</v>
      </c>
      <c r="DO115" s="41" t="s">
        <v>3600</v>
      </c>
      <c r="DP115" s="46" t="s">
        <v>5981</v>
      </c>
      <c r="DQ115" s="41">
        <v>23.0</v>
      </c>
      <c r="DR115" s="41">
        <v>4.0</v>
      </c>
      <c r="DS115" s="41">
        <v>10.0</v>
      </c>
      <c r="DT115" s="41">
        <v>8.0</v>
      </c>
      <c r="DU115" s="45"/>
      <c r="DV115" s="41">
        <v>5.0</v>
      </c>
      <c r="DW115" s="42" t="s">
        <v>5982</v>
      </c>
      <c r="DX115" s="45"/>
      <c r="DY115" s="43"/>
      <c r="DZ115" s="45"/>
      <c r="EA115" s="45"/>
      <c r="EB115" s="43"/>
      <c r="EC115" s="45"/>
      <c r="ED115" s="45"/>
      <c r="EE115" s="45"/>
      <c r="EF115" s="45"/>
      <c r="EG115" s="43"/>
      <c r="EH115" s="45"/>
      <c r="EI115" s="45"/>
      <c r="EJ115" s="45"/>
      <c r="EK115" s="42" t="s">
        <v>4807</v>
      </c>
      <c r="EL115" s="45"/>
      <c r="EM115" s="45"/>
      <c r="EN115" s="45"/>
      <c r="EO115" s="45"/>
      <c r="EP115" s="48" t="s">
        <v>3559</v>
      </c>
    </row>
    <row r="116">
      <c r="A116" s="37"/>
      <c r="B116" s="35" t="s">
        <v>5983</v>
      </c>
      <c r="C116" s="35" t="s">
        <v>5984</v>
      </c>
      <c r="D116" s="35" t="s">
        <v>5985</v>
      </c>
      <c r="E116" s="35" t="s">
        <v>5986</v>
      </c>
      <c r="F116" s="34"/>
      <c r="G116" s="35" t="s">
        <v>5987</v>
      </c>
      <c r="H116" s="35" t="s">
        <v>4560</v>
      </c>
      <c r="I116" s="35" t="s">
        <v>4561</v>
      </c>
      <c r="J116" s="35" t="s">
        <v>5883</v>
      </c>
      <c r="K116" s="35" t="s">
        <v>5884</v>
      </c>
      <c r="L116" s="34"/>
      <c r="M116" s="35" t="s">
        <v>5988</v>
      </c>
      <c r="N116" s="35" t="s">
        <v>4389</v>
      </c>
      <c r="O116" s="35" t="s">
        <v>5989</v>
      </c>
      <c r="P116" s="35"/>
      <c r="R116" s="35" t="s">
        <v>3571</v>
      </c>
      <c r="S116" s="35" t="s">
        <v>5020</v>
      </c>
      <c r="T116" s="35" t="s">
        <v>4989</v>
      </c>
      <c r="U116" s="34"/>
      <c r="V116" s="36" t="s">
        <v>5990</v>
      </c>
      <c r="W116" s="37"/>
      <c r="X116" s="34"/>
      <c r="Y116" s="34"/>
      <c r="Z116" s="34"/>
      <c r="AA116" s="32">
        <v>2003.0</v>
      </c>
      <c r="AB116" s="34"/>
      <c r="AC116" s="34"/>
      <c r="AD116" s="34"/>
      <c r="AE116" s="37"/>
      <c r="AF116" s="37"/>
      <c r="AG116" s="37"/>
      <c r="AH116" s="37"/>
      <c r="AI116" s="37"/>
      <c r="AJ116" s="37"/>
      <c r="AK116" s="37"/>
      <c r="AL116" s="37"/>
      <c r="AM116" s="37"/>
      <c r="AN116" s="37"/>
      <c r="AO116" s="35" t="s">
        <v>5991</v>
      </c>
      <c r="AP116" s="35" t="s">
        <v>5992</v>
      </c>
      <c r="AQ116" s="35" t="s">
        <v>5993</v>
      </c>
      <c r="AR116" s="34"/>
      <c r="AS116" s="34"/>
      <c r="AT116" s="35" t="s">
        <v>3654</v>
      </c>
      <c r="AU116" s="35" t="s">
        <v>5994</v>
      </c>
      <c r="AV116" s="34"/>
      <c r="AW116" s="35" t="s">
        <v>147</v>
      </c>
      <c r="AX116" s="34"/>
      <c r="AY116" s="37"/>
      <c r="AZ116" s="35" t="s">
        <v>41</v>
      </c>
      <c r="BA116" s="37"/>
      <c r="BB116" s="37"/>
      <c r="BC116" s="34"/>
      <c r="BD116" s="35" t="s">
        <v>3584</v>
      </c>
      <c r="BE116" s="35" t="s">
        <v>3584</v>
      </c>
      <c r="BF116" s="35" t="s">
        <v>5995</v>
      </c>
      <c r="BG116" s="35" t="s">
        <v>5996</v>
      </c>
      <c r="BH116" s="32">
        <v>1.0</v>
      </c>
      <c r="BI116" s="34"/>
      <c r="BJ116" s="35" t="s">
        <v>5997</v>
      </c>
      <c r="BK116" s="34"/>
      <c r="BL116" s="35" t="s">
        <v>5998</v>
      </c>
      <c r="BM116" s="35" t="s">
        <v>5999</v>
      </c>
      <c r="BN116" s="34"/>
      <c r="BO116" s="34"/>
      <c r="BP116" s="34"/>
      <c r="BQ116" s="38" t="s">
        <v>6000</v>
      </c>
      <c r="BR116" s="32">
        <v>26.38</v>
      </c>
      <c r="BS116" s="35" t="s">
        <v>3697</v>
      </c>
      <c r="BT116" s="32">
        <v>26.38</v>
      </c>
      <c r="BU116" s="35" t="s">
        <v>3697</v>
      </c>
      <c r="BV116" s="35" t="s">
        <v>5005</v>
      </c>
      <c r="BW116" s="35" t="s">
        <v>5708</v>
      </c>
      <c r="BX116" s="34"/>
      <c r="BY116" s="35" t="s">
        <v>4989</v>
      </c>
      <c r="BZ116" s="34"/>
      <c r="CA116" s="35" t="s">
        <v>3591</v>
      </c>
      <c r="CB116" s="38" t="s">
        <v>3664</v>
      </c>
      <c r="CC116" s="37"/>
      <c r="CD116" s="34"/>
      <c r="CE116" s="37"/>
      <c r="CF116" s="34"/>
      <c r="CG116" s="35" t="s">
        <v>4977</v>
      </c>
      <c r="CH116" s="34"/>
      <c r="CI116" s="34"/>
      <c r="CJ116" s="35" t="s">
        <v>3590</v>
      </c>
      <c r="CK116" s="37"/>
      <c r="CL116" s="37"/>
      <c r="CM116" s="34"/>
      <c r="CN116" s="35" t="s">
        <v>3591</v>
      </c>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c r="DO116" s="32" t="s">
        <v>3600</v>
      </c>
      <c r="DP116" s="38" t="s">
        <v>5350</v>
      </c>
      <c r="DQ116" s="37"/>
      <c r="DR116" s="37"/>
      <c r="DS116" s="37"/>
      <c r="DT116" s="37"/>
      <c r="DU116" s="37"/>
      <c r="DV116" s="37"/>
      <c r="DW116" s="34"/>
      <c r="DX116" s="37"/>
      <c r="DY116" s="34"/>
      <c r="DZ116" s="37"/>
      <c r="EA116" s="37"/>
      <c r="EB116" s="34"/>
      <c r="EC116" s="37"/>
      <c r="ED116" s="37"/>
      <c r="EE116" s="32">
        <v>26.38</v>
      </c>
      <c r="EF116" s="38" t="s">
        <v>6000</v>
      </c>
      <c r="EG116" s="35" t="s">
        <v>5005</v>
      </c>
      <c r="EH116" s="37"/>
      <c r="EI116" s="37"/>
      <c r="EJ116" s="37"/>
      <c r="EK116" s="34"/>
      <c r="EL116" s="37"/>
      <c r="EM116" s="37"/>
      <c r="EN116" s="37"/>
      <c r="EO116" s="37"/>
      <c r="EP116" s="40" t="s">
        <v>3559</v>
      </c>
    </row>
    <row r="117">
      <c r="A117" s="45"/>
      <c r="B117" s="42" t="s">
        <v>1969</v>
      </c>
      <c r="C117" s="43"/>
      <c r="D117" s="43"/>
      <c r="E117" s="42" t="s">
        <v>6001</v>
      </c>
      <c r="F117" s="43"/>
      <c r="G117" s="42" t="s">
        <v>6002</v>
      </c>
      <c r="H117" s="42" t="s">
        <v>3563</v>
      </c>
      <c r="I117" s="42" t="s">
        <v>3564</v>
      </c>
      <c r="J117" s="42" t="s">
        <v>3565</v>
      </c>
      <c r="K117" s="42" t="s">
        <v>6003</v>
      </c>
      <c r="L117" s="42" t="s">
        <v>4387</v>
      </c>
      <c r="M117" s="42" t="s">
        <v>6004</v>
      </c>
      <c r="N117" s="42" t="s">
        <v>4923</v>
      </c>
      <c r="O117" s="42" t="s">
        <v>6005</v>
      </c>
      <c r="P117" s="42"/>
      <c r="R117" s="42" t="s">
        <v>3571</v>
      </c>
      <c r="S117" s="42" t="s">
        <v>4925</v>
      </c>
      <c r="T117" s="42" t="s">
        <v>4926</v>
      </c>
      <c r="U117" s="44" t="s">
        <v>6006</v>
      </c>
      <c r="V117" s="44" t="s">
        <v>6007</v>
      </c>
      <c r="W117" s="41">
        <v>7.0</v>
      </c>
      <c r="X117" s="42" t="s">
        <v>6008</v>
      </c>
      <c r="Y117" s="43"/>
      <c r="Z117" s="43"/>
      <c r="AA117" s="41">
        <v>2021.0</v>
      </c>
      <c r="AB117" s="43"/>
      <c r="AC117" s="43"/>
      <c r="AD117" s="43"/>
      <c r="AE117" s="45"/>
      <c r="AF117" s="45"/>
      <c r="AG117" s="45"/>
      <c r="AH117" s="45"/>
      <c r="AI117" s="45"/>
      <c r="AJ117" s="45"/>
      <c r="AK117" s="45"/>
      <c r="AL117" s="45"/>
      <c r="AM117" s="45"/>
      <c r="AN117" s="45"/>
      <c r="AO117" s="42" t="s">
        <v>6009</v>
      </c>
      <c r="AP117" s="42" t="s">
        <v>6010</v>
      </c>
      <c r="AQ117" s="42" t="s">
        <v>3579</v>
      </c>
      <c r="AR117" s="42" t="s">
        <v>1972</v>
      </c>
      <c r="AS117" s="43" t="str">
        <f>+972 (0)54 466 0939</f>
        <v>#ERROR!</v>
      </c>
      <c r="AT117" s="42" t="s">
        <v>4448</v>
      </c>
      <c r="AU117" s="42" t="s">
        <v>6011</v>
      </c>
      <c r="AV117" s="42" t="s">
        <v>6012</v>
      </c>
      <c r="AW117" s="42" t="s">
        <v>485</v>
      </c>
      <c r="AX117" s="43"/>
      <c r="AY117" s="41">
        <v>3244756.0</v>
      </c>
      <c r="AZ117" s="42" t="s">
        <v>41</v>
      </c>
      <c r="BA117" s="45" t="str">
        <f>+972 (0)54 466 0939</f>
        <v>#ERROR!</v>
      </c>
      <c r="BB117" s="45"/>
      <c r="BC117" s="43"/>
      <c r="BD117" s="42" t="s">
        <v>3584</v>
      </c>
      <c r="BE117" s="42" t="s">
        <v>3584</v>
      </c>
      <c r="BF117" s="43"/>
      <c r="BG117" s="43"/>
      <c r="BH117" s="45"/>
      <c r="BI117" s="43"/>
      <c r="BJ117" s="43"/>
      <c r="BK117" s="43"/>
      <c r="BL117" s="43"/>
      <c r="BM117" s="43"/>
      <c r="BN117" s="43"/>
      <c r="BO117" s="43"/>
      <c r="BP117" s="43"/>
      <c r="BQ117" s="45"/>
      <c r="BR117" s="45"/>
      <c r="BS117" s="43"/>
      <c r="BT117" s="45"/>
      <c r="BU117" s="43"/>
      <c r="BV117" s="43"/>
      <c r="BW117" s="43"/>
      <c r="BX117" s="43"/>
      <c r="BY117" s="43"/>
      <c r="BZ117" s="43"/>
      <c r="CA117" s="43"/>
      <c r="CB117" s="45"/>
      <c r="CC117" s="45"/>
      <c r="CD117" s="43"/>
      <c r="CE117" s="45"/>
      <c r="CF117" s="43"/>
      <c r="CG117" s="43"/>
      <c r="CH117" s="43"/>
      <c r="CI117" s="43"/>
      <c r="CJ117" s="43"/>
      <c r="CK117" s="45"/>
      <c r="CL117" s="45"/>
      <c r="CM117" s="43"/>
      <c r="CN117" s="43"/>
      <c r="CO117" s="47">
        <v>0.0</v>
      </c>
      <c r="CP117" s="41">
        <v>14.0</v>
      </c>
      <c r="CQ117" s="47">
        <v>0.0</v>
      </c>
      <c r="CR117" s="47">
        <v>0.0</v>
      </c>
      <c r="CS117" s="47">
        <v>0.0</v>
      </c>
      <c r="CT117" s="41">
        <v>12.0</v>
      </c>
      <c r="CU117" s="45"/>
      <c r="CV117" s="45"/>
      <c r="CW117" s="47">
        <v>0.0</v>
      </c>
      <c r="CX117" s="41">
        <v>12.0</v>
      </c>
      <c r="CY117" s="41" t="s">
        <v>6013</v>
      </c>
      <c r="CZ117" s="41">
        <v>37.0</v>
      </c>
      <c r="DA117" s="41" t="s">
        <v>3598</v>
      </c>
      <c r="DB117" s="47">
        <v>0.0</v>
      </c>
      <c r="DC117" s="41" t="s">
        <v>6014</v>
      </c>
      <c r="DD117" s="41">
        <v>32.0</v>
      </c>
      <c r="DE117" s="45"/>
      <c r="DF117" s="45"/>
      <c r="DG117" s="41" t="s">
        <v>6014</v>
      </c>
      <c r="DH117" s="41">
        <v>29.0</v>
      </c>
      <c r="DI117" s="45"/>
      <c r="DJ117" s="45"/>
      <c r="DK117" s="45"/>
      <c r="DL117" s="41">
        <v>14.0</v>
      </c>
      <c r="DM117" s="41">
        <v>0.0</v>
      </c>
      <c r="DN117" s="47">
        <v>0.0</v>
      </c>
      <c r="DO117" s="41" t="s">
        <v>3600</v>
      </c>
      <c r="DP117" s="46" t="s">
        <v>6015</v>
      </c>
      <c r="DQ117" s="45"/>
      <c r="DR117" s="45"/>
      <c r="DS117" s="45"/>
      <c r="DT117" s="45"/>
      <c r="DU117" s="45"/>
      <c r="DV117" s="45"/>
      <c r="DW117" s="43"/>
      <c r="DX117" s="45"/>
      <c r="DY117" s="43"/>
      <c r="DZ117" s="45"/>
      <c r="EA117" s="45"/>
      <c r="EB117" s="43"/>
      <c r="EC117" s="45"/>
      <c r="ED117" s="45"/>
      <c r="EE117" s="45"/>
      <c r="EF117" s="45"/>
      <c r="EG117" s="43"/>
      <c r="EH117" s="45"/>
      <c r="EI117" s="45"/>
      <c r="EJ117" s="45"/>
      <c r="EK117" s="43"/>
      <c r="EL117" s="45"/>
      <c r="EM117" s="45"/>
      <c r="EN117" s="45"/>
      <c r="EO117" s="45"/>
      <c r="EP117" s="48" t="s">
        <v>3559</v>
      </c>
    </row>
    <row r="118">
      <c r="A118" s="32">
        <v>8.51</v>
      </c>
      <c r="B118" s="35" t="s">
        <v>6016</v>
      </c>
      <c r="C118" s="35" t="s">
        <v>6017</v>
      </c>
      <c r="D118" s="34"/>
      <c r="E118" s="35" t="s">
        <v>6018</v>
      </c>
      <c r="F118" s="34"/>
      <c r="G118" s="35" t="s">
        <v>6019</v>
      </c>
      <c r="H118" s="35" t="s">
        <v>3563</v>
      </c>
      <c r="I118" s="35" t="s">
        <v>4648</v>
      </c>
      <c r="J118" s="35" t="s">
        <v>4649</v>
      </c>
      <c r="K118" s="35" t="s">
        <v>6020</v>
      </c>
      <c r="L118" s="35" t="s">
        <v>6021</v>
      </c>
      <c r="M118" s="35" t="s">
        <v>6022</v>
      </c>
      <c r="N118" s="35" t="s">
        <v>5018</v>
      </c>
      <c r="O118" s="35" t="s">
        <v>6023</v>
      </c>
      <c r="P118" s="35"/>
      <c r="R118" s="35" t="s">
        <v>3571</v>
      </c>
      <c r="S118" s="35" t="s">
        <v>5020</v>
      </c>
      <c r="T118" s="35" t="s">
        <v>5413</v>
      </c>
      <c r="U118" s="36" t="s">
        <v>6024</v>
      </c>
      <c r="V118" s="34"/>
      <c r="W118" s="32">
        <v>29.0</v>
      </c>
      <c r="X118" s="35" t="s">
        <v>6025</v>
      </c>
      <c r="Y118" s="34"/>
      <c r="Z118" s="34"/>
      <c r="AA118" s="32">
        <v>2013.0</v>
      </c>
      <c r="AB118" s="34"/>
      <c r="AC118" s="34"/>
      <c r="AD118" s="34"/>
      <c r="AE118" s="37"/>
      <c r="AF118" s="37"/>
      <c r="AG118" s="37"/>
      <c r="AH118" s="37"/>
      <c r="AI118" s="37"/>
      <c r="AJ118" s="37"/>
      <c r="AK118" s="32">
        <v>1.71</v>
      </c>
      <c r="AL118" s="37"/>
      <c r="AM118" s="37"/>
      <c r="AN118" s="37"/>
      <c r="AO118" s="34"/>
      <c r="AP118" s="34"/>
      <c r="AQ118" s="34"/>
      <c r="AR118" s="34"/>
      <c r="AS118" s="34"/>
      <c r="AT118" s="35" t="s">
        <v>3622</v>
      </c>
      <c r="AU118" s="35" t="s">
        <v>6026</v>
      </c>
      <c r="AV118" s="34"/>
      <c r="AW118" s="35" t="s">
        <v>3625</v>
      </c>
      <c r="AX118" s="34"/>
      <c r="AY118" s="32">
        <v>30889.0</v>
      </c>
      <c r="AZ118" s="35" t="s">
        <v>41</v>
      </c>
      <c r="BA118" s="37"/>
      <c r="BB118" s="37"/>
      <c r="BC118" s="34"/>
      <c r="BD118" s="35" t="s">
        <v>3584</v>
      </c>
      <c r="BE118" s="35" t="s">
        <v>3584</v>
      </c>
      <c r="BF118" s="35" t="s">
        <v>6027</v>
      </c>
      <c r="BG118" s="34"/>
      <c r="BH118" s="37"/>
      <c r="BI118" s="35" t="s">
        <v>6028</v>
      </c>
      <c r="BJ118" s="35" t="s">
        <v>6029</v>
      </c>
      <c r="BK118" s="34"/>
      <c r="BL118" s="34"/>
      <c r="BM118" s="35" t="s">
        <v>6030</v>
      </c>
      <c r="BN118" s="34"/>
      <c r="BO118" s="34"/>
      <c r="BP118" s="34"/>
      <c r="BQ118" s="37"/>
      <c r="BR118" s="37"/>
      <c r="BS118" s="34"/>
      <c r="BT118" s="37"/>
      <c r="BU118" s="34"/>
      <c r="BV118" s="35" t="s">
        <v>3589</v>
      </c>
      <c r="BW118" s="34"/>
      <c r="BX118" s="34"/>
      <c r="BY118" s="35" t="s">
        <v>3590</v>
      </c>
      <c r="BZ118" s="34"/>
      <c r="CA118" s="35" t="s">
        <v>3591</v>
      </c>
      <c r="CB118" s="38" t="s">
        <v>5923</v>
      </c>
      <c r="CC118" s="32">
        <v>2.5</v>
      </c>
      <c r="CD118" s="35" t="s">
        <v>3593</v>
      </c>
      <c r="CE118" s="32">
        <v>2.5</v>
      </c>
      <c r="CF118" s="35" t="s">
        <v>3697</v>
      </c>
      <c r="CG118" s="35" t="s">
        <v>4977</v>
      </c>
      <c r="CH118" s="34"/>
      <c r="CI118" s="34"/>
      <c r="CJ118" s="35" t="s">
        <v>3663</v>
      </c>
      <c r="CK118" s="37"/>
      <c r="CL118" s="37"/>
      <c r="CM118" s="34"/>
      <c r="CN118" s="35" t="s">
        <v>3591</v>
      </c>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c r="DO118" s="32" t="s">
        <v>3600</v>
      </c>
      <c r="DP118" s="38" t="s">
        <v>6031</v>
      </c>
      <c r="DQ118" s="32">
        <v>4.0</v>
      </c>
      <c r="DR118" s="32">
        <v>3.0</v>
      </c>
      <c r="DS118" s="37"/>
      <c r="DT118" s="37"/>
      <c r="DU118" s="37"/>
      <c r="DV118" s="32">
        <v>4.0</v>
      </c>
      <c r="DW118" s="34"/>
      <c r="DX118" s="37"/>
      <c r="DY118" s="34"/>
      <c r="DZ118" s="37"/>
      <c r="EA118" s="37"/>
      <c r="EB118" s="34"/>
      <c r="EC118" s="37"/>
      <c r="ED118" s="37"/>
      <c r="EE118" s="32">
        <v>2.5</v>
      </c>
      <c r="EF118" s="38" t="s">
        <v>5923</v>
      </c>
      <c r="EG118" s="35" t="s">
        <v>4977</v>
      </c>
      <c r="EH118" s="37"/>
      <c r="EI118" s="37"/>
      <c r="EJ118" s="37"/>
      <c r="EK118" s="34"/>
      <c r="EL118" s="37"/>
      <c r="EM118" s="37"/>
      <c r="EN118" s="32">
        <v>0.67</v>
      </c>
      <c r="EO118" s="32">
        <v>0.67</v>
      </c>
      <c r="EP118" s="40" t="s">
        <v>3559</v>
      </c>
    </row>
    <row r="119">
      <c r="A119" s="41">
        <v>0.75</v>
      </c>
      <c r="B119" s="42" t="s">
        <v>6032</v>
      </c>
      <c r="C119" s="43"/>
      <c r="D119" s="43"/>
      <c r="E119" s="43"/>
      <c r="F119" s="43"/>
      <c r="G119" s="42" t="s">
        <v>6033</v>
      </c>
      <c r="H119" s="42" t="s">
        <v>4560</v>
      </c>
      <c r="I119" s="42" t="s">
        <v>6034</v>
      </c>
      <c r="J119" s="42" t="s">
        <v>6035</v>
      </c>
      <c r="K119" s="42" t="s">
        <v>6036</v>
      </c>
      <c r="L119" s="42" t="s">
        <v>6037</v>
      </c>
      <c r="M119" s="42" t="s">
        <v>6038</v>
      </c>
      <c r="N119" s="42" t="s">
        <v>6039</v>
      </c>
      <c r="O119" s="42" t="s">
        <v>6040</v>
      </c>
      <c r="P119" s="42"/>
      <c r="R119" s="42" t="s">
        <v>6041</v>
      </c>
      <c r="S119" s="42" t="s">
        <v>3572</v>
      </c>
      <c r="T119" s="42" t="s">
        <v>5147</v>
      </c>
      <c r="U119" s="43"/>
      <c r="V119" s="43"/>
      <c r="W119" s="45"/>
      <c r="X119" s="43"/>
      <c r="Y119" s="43"/>
      <c r="Z119" s="43"/>
      <c r="AA119" s="45"/>
      <c r="AB119" s="43"/>
      <c r="AC119" s="43"/>
      <c r="AD119" s="43"/>
      <c r="AE119" s="45"/>
      <c r="AF119" s="45"/>
      <c r="AG119" s="45"/>
      <c r="AH119" s="45"/>
      <c r="AI119" s="45"/>
      <c r="AJ119" s="45"/>
      <c r="AK119" s="45"/>
      <c r="AL119" s="45"/>
      <c r="AM119" s="45"/>
      <c r="AN119" s="45"/>
      <c r="AO119" s="42" t="s">
        <v>6042</v>
      </c>
      <c r="AP119" s="42" t="s">
        <v>6043</v>
      </c>
      <c r="AQ119" s="42" t="s">
        <v>265</v>
      </c>
      <c r="AR119" s="43"/>
      <c r="AS119" s="43"/>
      <c r="AT119" s="42" t="s">
        <v>4448</v>
      </c>
      <c r="AU119" s="43"/>
      <c r="AV119" s="43"/>
      <c r="AW119" s="42" t="s">
        <v>485</v>
      </c>
      <c r="AX119" s="43"/>
      <c r="AY119" s="45"/>
      <c r="AZ119" s="42" t="s">
        <v>41</v>
      </c>
      <c r="BA119" s="45"/>
      <c r="BB119" s="45"/>
      <c r="BC119" s="43"/>
      <c r="BD119" s="42" t="s">
        <v>3584</v>
      </c>
      <c r="BE119" s="42" t="s">
        <v>3584</v>
      </c>
      <c r="BF119" s="42" t="s">
        <v>6044</v>
      </c>
      <c r="BG119" s="42" t="s">
        <v>6045</v>
      </c>
      <c r="BH119" s="41">
        <v>1.0</v>
      </c>
      <c r="BI119" s="43"/>
      <c r="BJ119" s="43"/>
      <c r="BK119" s="43"/>
      <c r="BL119" s="43"/>
      <c r="BM119" s="43"/>
      <c r="BN119" s="43"/>
      <c r="BO119" s="43"/>
      <c r="BP119" s="42" t="s">
        <v>6046</v>
      </c>
      <c r="BQ119" s="46" t="s">
        <v>6047</v>
      </c>
      <c r="BR119" s="41">
        <v>0.75</v>
      </c>
      <c r="BS119" s="42" t="s">
        <v>3593</v>
      </c>
      <c r="BT119" s="45"/>
      <c r="BU119" s="43"/>
      <c r="BV119" s="42" t="s">
        <v>3802</v>
      </c>
      <c r="BW119" s="42" t="s">
        <v>3802</v>
      </c>
      <c r="BX119" s="43"/>
      <c r="BY119" s="42" t="s">
        <v>3803</v>
      </c>
      <c r="BZ119" s="43"/>
      <c r="CA119" s="42" t="s">
        <v>3591</v>
      </c>
      <c r="CB119" s="46" t="s">
        <v>6047</v>
      </c>
      <c r="CC119" s="41">
        <v>0.75</v>
      </c>
      <c r="CD119" s="42" t="s">
        <v>3593</v>
      </c>
      <c r="CE119" s="45"/>
      <c r="CF119" s="43"/>
      <c r="CG119" s="42" t="s">
        <v>3802</v>
      </c>
      <c r="CH119" s="42" t="s">
        <v>3802</v>
      </c>
      <c r="CI119" s="43"/>
      <c r="CJ119" s="42" t="s">
        <v>3803</v>
      </c>
      <c r="CK119" s="45"/>
      <c r="CL119" s="45"/>
      <c r="CM119" s="43"/>
      <c r="CN119" s="42" t="s">
        <v>3591</v>
      </c>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1" t="s">
        <v>3600</v>
      </c>
      <c r="DP119" s="46" t="s">
        <v>6048</v>
      </c>
      <c r="DQ119" s="45"/>
      <c r="DR119" s="45"/>
      <c r="DS119" s="45"/>
      <c r="DT119" s="45"/>
      <c r="DU119" s="45"/>
      <c r="DV119" s="45"/>
      <c r="DW119" s="43"/>
      <c r="DX119" s="45"/>
      <c r="DY119" s="43"/>
      <c r="DZ119" s="45"/>
      <c r="EA119" s="45"/>
      <c r="EB119" s="43"/>
      <c r="EC119" s="45"/>
      <c r="ED119" s="45"/>
      <c r="EE119" s="45"/>
      <c r="EF119" s="45"/>
      <c r="EG119" s="43"/>
      <c r="EH119" s="45"/>
      <c r="EI119" s="45"/>
      <c r="EJ119" s="45"/>
      <c r="EK119" s="43"/>
      <c r="EL119" s="45"/>
      <c r="EM119" s="45"/>
      <c r="EN119" s="45"/>
      <c r="EO119" s="45"/>
      <c r="EP119" s="48" t="s">
        <v>3559</v>
      </c>
    </row>
    <row r="120">
      <c r="A120" s="32">
        <v>14.5</v>
      </c>
      <c r="B120" s="35" t="s">
        <v>6049</v>
      </c>
      <c r="C120" s="35" t="s">
        <v>6050</v>
      </c>
      <c r="D120" s="34"/>
      <c r="E120" s="35" t="s">
        <v>6051</v>
      </c>
      <c r="F120" s="35" t="s">
        <v>6052</v>
      </c>
      <c r="G120" s="35" t="s">
        <v>6053</v>
      </c>
      <c r="H120" s="35" t="s">
        <v>3563</v>
      </c>
      <c r="I120" s="35" t="s">
        <v>3564</v>
      </c>
      <c r="J120" s="35" t="s">
        <v>3642</v>
      </c>
      <c r="K120" s="35" t="s">
        <v>6054</v>
      </c>
      <c r="L120" s="35" t="s">
        <v>6055</v>
      </c>
      <c r="M120" s="35" t="s">
        <v>6056</v>
      </c>
      <c r="N120" s="35" t="s">
        <v>5018</v>
      </c>
      <c r="O120" s="35" t="s">
        <v>6057</v>
      </c>
      <c r="P120" s="35"/>
      <c r="R120" s="35" t="s">
        <v>3571</v>
      </c>
      <c r="S120" s="35" t="s">
        <v>4964</v>
      </c>
      <c r="T120" s="35" t="s">
        <v>3573</v>
      </c>
      <c r="U120" s="36" t="s">
        <v>6058</v>
      </c>
      <c r="V120" s="36" t="s">
        <v>6059</v>
      </c>
      <c r="W120" s="32">
        <v>74.0</v>
      </c>
      <c r="X120" s="35" t="s">
        <v>6060</v>
      </c>
      <c r="Y120" s="34"/>
      <c r="Z120" s="34"/>
      <c r="AA120" s="32">
        <v>2016.0</v>
      </c>
      <c r="AB120" s="35" t="s">
        <v>6061</v>
      </c>
      <c r="AC120" s="34"/>
      <c r="AD120" s="34"/>
      <c r="AE120" s="37"/>
      <c r="AF120" s="37"/>
      <c r="AG120" s="32">
        <v>-9.16</v>
      </c>
      <c r="AH120" s="37"/>
      <c r="AI120" s="37"/>
      <c r="AJ120" s="37"/>
      <c r="AK120" s="37"/>
      <c r="AL120" s="37"/>
      <c r="AM120" s="37"/>
      <c r="AN120" s="32" t="s">
        <v>3716</v>
      </c>
      <c r="AO120" s="35" t="s">
        <v>6062</v>
      </c>
      <c r="AP120" s="35" t="s">
        <v>6063</v>
      </c>
      <c r="AQ120" s="35" t="s">
        <v>3685</v>
      </c>
      <c r="AR120" s="35" t="s">
        <v>6064</v>
      </c>
      <c r="AS120" s="34" t="str">
        <f>+972 (0)3 914 9140</f>
        <v>#ERROR!</v>
      </c>
      <c r="AT120" s="35" t="s">
        <v>3581</v>
      </c>
      <c r="AU120" s="35" t="s">
        <v>6065</v>
      </c>
      <c r="AV120" s="34"/>
      <c r="AW120" s="35" t="s">
        <v>75</v>
      </c>
      <c r="AX120" s="34"/>
      <c r="AY120" s="32">
        <v>6706703.0</v>
      </c>
      <c r="AZ120" s="35" t="s">
        <v>41</v>
      </c>
      <c r="BA120" s="37" t="str">
        <f>+972 (0)3 914 9140</f>
        <v>#ERROR!</v>
      </c>
      <c r="BB120" s="37"/>
      <c r="BC120" s="35" t="s">
        <v>6066</v>
      </c>
      <c r="BD120" s="35" t="s">
        <v>3584</v>
      </c>
      <c r="BE120" s="35" t="s">
        <v>3584</v>
      </c>
      <c r="BF120" s="35" t="s">
        <v>6067</v>
      </c>
      <c r="BG120" s="35" t="s">
        <v>6068</v>
      </c>
      <c r="BH120" s="32">
        <v>1.0</v>
      </c>
      <c r="BI120" s="35" t="s">
        <v>6061</v>
      </c>
      <c r="BJ120" s="35" t="s">
        <v>6069</v>
      </c>
      <c r="BK120" s="34"/>
      <c r="BL120" s="34"/>
      <c r="BM120" s="35" t="s">
        <v>6070</v>
      </c>
      <c r="BN120" s="34"/>
      <c r="BO120" s="34"/>
      <c r="BP120" s="35" t="s">
        <v>6071</v>
      </c>
      <c r="BQ120" s="37"/>
      <c r="BR120" s="37"/>
      <c r="BS120" s="34"/>
      <c r="BT120" s="37"/>
      <c r="BU120" s="34"/>
      <c r="BV120" s="35" t="s">
        <v>3589</v>
      </c>
      <c r="BW120" s="34"/>
      <c r="BX120" s="34"/>
      <c r="BY120" s="35" t="s">
        <v>3590</v>
      </c>
      <c r="BZ120" s="34"/>
      <c r="CA120" s="35" t="s">
        <v>3591</v>
      </c>
      <c r="CB120" s="38" t="s">
        <v>4294</v>
      </c>
      <c r="CC120" s="37"/>
      <c r="CD120" s="34"/>
      <c r="CE120" s="37"/>
      <c r="CF120" s="34"/>
      <c r="CG120" s="35" t="s">
        <v>3589</v>
      </c>
      <c r="CH120" s="34"/>
      <c r="CI120" s="34"/>
      <c r="CJ120" s="35" t="s">
        <v>3590</v>
      </c>
      <c r="CK120" s="37"/>
      <c r="CL120" s="37"/>
      <c r="CM120" s="34"/>
      <c r="CN120" s="35" t="s">
        <v>3591</v>
      </c>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c r="DO120" s="32" t="s">
        <v>3600</v>
      </c>
      <c r="DP120" s="38" t="s">
        <v>6072</v>
      </c>
      <c r="DQ120" s="37"/>
      <c r="DR120" s="37"/>
      <c r="DS120" s="37"/>
      <c r="DT120" s="37"/>
      <c r="DU120" s="37"/>
      <c r="DV120" s="37"/>
      <c r="DW120" s="34"/>
      <c r="DX120" s="37"/>
      <c r="DY120" s="34"/>
      <c r="DZ120" s="37"/>
      <c r="EA120" s="37"/>
      <c r="EB120" s="34"/>
      <c r="EC120" s="37"/>
      <c r="ED120" s="37"/>
      <c r="EE120" s="32">
        <v>220.0</v>
      </c>
      <c r="EF120" s="38" t="s">
        <v>6073</v>
      </c>
      <c r="EG120" s="35" t="s">
        <v>4977</v>
      </c>
      <c r="EH120" s="37"/>
      <c r="EI120" s="37"/>
      <c r="EJ120" s="37"/>
      <c r="EK120" s="34"/>
      <c r="EL120" s="37"/>
      <c r="EM120" s="37"/>
      <c r="EN120" s="37"/>
      <c r="EO120" s="37"/>
      <c r="EP120" s="40" t="s">
        <v>3559</v>
      </c>
    </row>
    <row r="121">
      <c r="A121" s="45"/>
      <c r="B121" s="42" t="s">
        <v>6074</v>
      </c>
      <c r="C121" s="43"/>
      <c r="D121" s="42" t="s">
        <v>977</v>
      </c>
      <c r="E121" s="42" t="s">
        <v>6075</v>
      </c>
      <c r="F121" s="43"/>
      <c r="G121" s="42" t="s">
        <v>6076</v>
      </c>
      <c r="H121" s="42" t="s">
        <v>3563</v>
      </c>
      <c r="I121" s="42" t="s">
        <v>3564</v>
      </c>
      <c r="J121" s="42" t="s">
        <v>3642</v>
      </c>
      <c r="K121" s="42" t="s">
        <v>6077</v>
      </c>
      <c r="L121" s="42" t="s">
        <v>6078</v>
      </c>
      <c r="M121" s="42" t="s">
        <v>6079</v>
      </c>
      <c r="N121" s="42" t="s">
        <v>4962</v>
      </c>
      <c r="O121" s="42" t="s">
        <v>6080</v>
      </c>
      <c r="P121" s="42"/>
      <c r="R121" s="42" t="s">
        <v>3571</v>
      </c>
      <c r="S121" s="42" t="s">
        <v>3572</v>
      </c>
      <c r="T121" s="42" t="s">
        <v>3603</v>
      </c>
      <c r="U121" s="44" t="s">
        <v>6081</v>
      </c>
      <c r="V121" s="44" t="s">
        <v>6082</v>
      </c>
      <c r="W121" s="41">
        <v>140.0</v>
      </c>
      <c r="X121" s="42" t="s">
        <v>6083</v>
      </c>
      <c r="Y121" s="43"/>
      <c r="Z121" s="43"/>
      <c r="AA121" s="41">
        <v>2016.0</v>
      </c>
      <c r="AB121" s="43"/>
      <c r="AC121" s="43"/>
      <c r="AD121" s="43"/>
      <c r="AE121" s="45"/>
      <c r="AF121" s="45"/>
      <c r="AG121" s="45"/>
      <c r="AH121" s="45"/>
      <c r="AI121" s="45"/>
      <c r="AJ121" s="45"/>
      <c r="AK121" s="45"/>
      <c r="AL121" s="45"/>
      <c r="AM121" s="45"/>
      <c r="AN121" s="45"/>
      <c r="AO121" s="42" t="s">
        <v>6084</v>
      </c>
      <c r="AP121" s="42" t="s">
        <v>6085</v>
      </c>
      <c r="AQ121" s="42" t="s">
        <v>6086</v>
      </c>
      <c r="AR121" s="42" t="s">
        <v>6087</v>
      </c>
      <c r="AS121" s="43" t="str">
        <f>+972 (0)79 572 9960</f>
        <v>#ERROR!</v>
      </c>
      <c r="AT121" s="42" t="s">
        <v>3581</v>
      </c>
      <c r="AU121" s="42" t="s">
        <v>3582</v>
      </c>
      <c r="AV121" s="42" t="s">
        <v>6088</v>
      </c>
      <c r="AW121" s="42" t="s">
        <v>75</v>
      </c>
      <c r="AX121" s="43"/>
      <c r="AY121" s="41">
        <v>6789155.0</v>
      </c>
      <c r="AZ121" s="42" t="s">
        <v>41</v>
      </c>
      <c r="BA121" s="45" t="str">
        <f>+972 (0)79 572 9960</f>
        <v>#ERROR!</v>
      </c>
      <c r="BB121" s="45"/>
      <c r="BC121" s="42" t="s">
        <v>983</v>
      </c>
      <c r="BD121" s="42" t="s">
        <v>3584</v>
      </c>
      <c r="BE121" s="42" t="s">
        <v>3584</v>
      </c>
      <c r="BF121" s="42" t="s">
        <v>6089</v>
      </c>
      <c r="BG121" s="42" t="s">
        <v>6090</v>
      </c>
      <c r="BH121" s="41">
        <v>1.0</v>
      </c>
      <c r="BI121" s="43"/>
      <c r="BJ121" s="43"/>
      <c r="BK121" s="43"/>
      <c r="BL121" s="42" t="s">
        <v>6091</v>
      </c>
      <c r="BM121" s="43"/>
      <c r="BN121" s="43"/>
      <c r="BO121" s="43"/>
      <c r="BP121" s="43"/>
      <c r="BQ121" s="46" t="s">
        <v>6092</v>
      </c>
      <c r="BR121" s="45"/>
      <c r="BS121" s="43"/>
      <c r="BT121" s="45"/>
      <c r="BU121" s="43"/>
      <c r="BV121" s="42" t="s">
        <v>6093</v>
      </c>
      <c r="BW121" s="43"/>
      <c r="BX121" s="43"/>
      <c r="BY121" s="42" t="s">
        <v>3663</v>
      </c>
      <c r="BZ121" s="43"/>
      <c r="CA121" s="42" t="s">
        <v>3591</v>
      </c>
      <c r="CB121" s="46" t="s">
        <v>6092</v>
      </c>
      <c r="CC121" s="45"/>
      <c r="CD121" s="43"/>
      <c r="CE121" s="45"/>
      <c r="CF121" s="43"/>
      <c r="CG121" s="42" t="s">
        <v>6093</v>
      </c>
      <c r="CH121" s="43"/>
      <c r="CI121" s="43"/>
      <c r="CJ121" s="42" t="s">
        <v>3663</v>
      </c>
      <c r="CK121" s="45"/>
      <c r="CL121" s="45"/>
      <c r="CM121" s="43"/>
      <c r="CN121" s="42" t="s">
        <v>3591</v>
      </c>
      <c r="CO121" s="47">
        <v>0.0</v>
      </c>
      <c r="CP121" s="41">
        <v>14.0</v>
      </c>
      <c r="CQ121" s="47">
        <v>0.0</v>
      </c>
      <c r="CR121" s="47">
        <v>0.0</v>
      </c>
      <c r="CS121" s="47">
        <v>0.0</v>
      </c>
      <c r="CT121" s="41">
        <v>12.0</v>
      </c>
      <c r="CU121" s="45"/>
      <c r="CV121" s="45"/>
      <c r="CW121" s="47">
        <v>0.0</v>
      </c>
      <c r="CX121" s="41">
        <v>12.0</v>
      </c>
      <c r="CY121" s="41" t="s">
        <v>4223</v>
      </c>
      <c r="CZ121" s="41">
        <v>76.0</v>
      </c>
      <c r="DA121" s="41" t="s">
        <v>3598</v>
      </c>
      <c r="DB121" s="47">
        <v>0.0</v>
      </c>
      <c r="DC121" s="41" t="s">
        <v>4223</v>
      </c>
      <c r="DD121" s="41">
        <v>76.0</v>
      </c>
      <c r="DE121" s="45"/>
      <c r="DF121" s="45"/>
      <c r="DG121" s="41" t="s">
        <v>4223</v>
      </c>
      <c r="DH121" s="41">
        <v>75.0</v>
      </c>
      <c r="DI121" s="45"/>
      <c r="DJ121" s="45"/>
      <c r="DK121" s="45"/>
      <c r="DL121" s="41">
        <v>86.0</v>
      </c>
      <c r="DM121" s="41">
        <v>0.0</v>
      </c>
      <c r="DN121" s="47">
        <v>0.0</v>
      </c>
      <c r="DO121" s="41" t="s">
        <v>3600</v>
      </c>
      <c r="DP121" s="46" t="s">
        <v>6094</v>
      </c>
      <c r="DQ121" s="41">
        <v>10.0</v>
      </c>
      <c r="DR121" s="41">
        <v>2.0</v>
      </c>
      <c r="DS121" s="41">
        <v>5.0</v>
      </c>
      <c r="DT121" s="41">
        <v>3.0</v>
      </c>
      <c r="DU121" s="45"/>
      <c r="DV121" s="41">
        <v>2.0</v>
      </c>
      <c r="DW121" s="42" t="s">
        <v>6095</v>
      </c>
      <c r="DX121" s="45"/>
      <c r="DY121" s="43"/>
      <c r="DZ121" s="45"/>
      <c r="EA121" s="45"/>
      <c r="EB121" s="43"/>
      <c r="EC121" s="45"/>
      <c r="ED121" s="45"/>
      <c r="EE121" s="45"/>
      <c r="EF121" s="45"/>
      <c r="EG121" s="43"/>
      <c r="EH121" s="45"/>
      <c r="EI121" s="45"/>
      <c r="EJ121" s="45"/>
      <c r="EK121" s="43"/>
      <c r="EL121" s="45"/>
      <c r="EM121" s="45"/>
      <c r="EN121" s="45"/>
      <c r="EO121" s="45"/>
      <c r="EP121" s="48" t="s">
        <v>3559</v>
      </c>
    </row>
    <row r="122">
      <c r="A122" s="32">
        <v>130.48</v>
      </c>
      <c r="B122" s="35" t="s">
        <v>6096</v>
      </c>
      <c r="C122" s="34"/>
      <c r="D122" s="34"/>
      <c r="E122" s="35" t="s">
        <v>6097</v>
      </c>
      <c r="F122" s="35" t="s">
        <v>6098</v>
      </c>
      <c r="G122" s="35" t="s">
        <v>6099</v>
      </c>
      <c r="H122" s="35" t="s">
        <v>4560</v>
      </c>
      <c r="I122" s="35" t="s">
        <v>4561</v>
      </c>
      <c r="J122" s="35" t="s">
        <v>66</v>
      </c>
      <c r="K122" s="35" t="s">
        <v>4562</v>
      </c>
      <c r="L122" s="34"/>
      <c r="M122" s="35" t="s">
        <v>6100</v>
      </c>
      <c r="N122" s="35" t="s">
        <v>4962</v>
      </c>
      <c r="O122" s="35" t="s">
        <v>6101</v>
      </c>
      <c r="P122" s="35"/>
      <c r="R122" s="35" t="s">
        <v>3571</v>
      </c>
      <c r="S122" s="35" t="s">
        <v>3572</v>
      </c>
      <c r="T122" s="35" t="s">
        <v>3603</v>
      </c>
      <c r="U122" s="36" t="s">
        <v>6102</v>
      </c>
      <c r="V122" s="34"/>
      <c r="W122" s="49">
        <v>4500.0</v>
      </c>
      <c r="X122" s="53">
        <v>87.375</v>
      </c>
      <c r="Y122" s="34"/>
      <c r="Z122" s="34"/>
      <c r="AA122" s="32">
        <v>1945.0</v>
      </c>
      <c r="AB122" s="34"/>
      <c r="AC122" s="34"/>
      <c r="AD122" s="34"/>
      <c r="AE122" s="37"/>
      <c r="AF122" s="37"/>
      <c r="AG122" s="37"/>
      <c r="AH122" s="37"/>
      <c r="AI122" s="37"/>
      <c r="AJ122" s="37"/>
      <c r="AK122" s="37"/>
      <c r="AL122" s="37"/>
      <c r="AM122" s="37"/>
      <c r="AN122" s="37"/>
      <c r="AO122" s="35" t="s">
        <v>6103</v>
      </c>
      <c r="AP122" s="35" t="s">
        <v>6104</v>
      </c>
      <c r="AQ122" s="35" t="s">
        <v>6105</v>
      </c>
      <c r="AR122" s="35" t="s">
        <v>6106</v>
      </c>
      <c r="AS122" s="34" t="str">
        <f>+972 (0)3 687 1341</f>
        <v>#ERROR!</v>
      </c>
      <c r="AT122" s="35" t="s">
        <v>3851</v>
      </c>
      <c r="AU122" s="35" t="s">
        <v>6107</v>
      </c>
      <c r="AV122" s="35" t="s">
        <v>6108</v>
      </c>
      <c r="AW122" s="35" t="s">
        <v>616</v>
      </c>
      <c r="AX122" s="34"/>
      <c r="AY122" s="32">
        <v>52521.0</v>
      </c>
      <c r="AZ122" s="35" t="s">
        <v>41</v>
      </c>
      <c r="BA122" s="37" t="str">
        <f>+972 (0)3 687 1341</f>
        <v>#ERROR!</v>
      </c>
      <c r="BB122" s="37"/>
      <c r="BC122" s="34"/>
      <c r="BD122" s="35" t="s">
        <v>3584</v>
      </c>
      <c r="BE122" s="35" t="s">
        <v>3584</v>
      </c>
      <c r="BF122" s="35" t="s">
        <v>6109</v>
      </c>
      <c r="BG122" s="35" t="s">
        <v>6110</v>
      </c>
      <c r="BH122" s="32">
        <v>5.0</v>
      </c>
      <c r="BI122" s="34"/>
      <c r="BJ122" s="34"/>
      <c r="BK122" s="34"/>
      <c r="BL122" s="35" t="s">
        <v>6111</v>
      </c>
      <c r="BM122" s="34"/>
      <c r="BN122" s="34"/>
      <c r="BO122" s="34"/>
      <c r="BP122" s="34"/>
      <c r="BQ122" s="38" t="s">
        <v>6112</v>
      </c>
      <c r="BR122" s="32">
        <v>130.48</v>
      </c>
      <c r="BS122" s="35" t="s">
        <v>3697</v>
      </c>
      <c r="BT122" s="32">
        <v>326.21</v>
      </c>
      <c r="BU122" s="35" t="s">
        <v>3697</v>
      </c>
      <c r="BV122" s="35" t="s">
        <v>3663</v>
      </c>
      <c r="BW122" s="35" t="s">
        <v>3663</v>
      </c>
      <c r="BX122" s="34"/>
      <c r="BY122" s="35" t="s">
        <v>3663</v>
      </c>
      <c r="BZ122" s="34"/>
      <c r="CA122" s="35" t="s">
        <v>3591</v>
      </c>
      <c r="CB122" s="38" t="s">
        <v>6112</v>
      </c>
      <c r="CC122" s="32">
        <v>130.48</v>
      </c>
      <c r="CD122" s="35" t="s">
        <v>3697</v>
      </c>
      <c r="CE122" s="32">
        <v>326.21</v>
      </c>
      <c r="CF122" s="35" t="s">
        <v>3697</v>
      </c>
      <c r="CG122" s="35" t="s">
        <v>3663</v>
      </c>
      <c r="CH122" s="35" t="s">
        <v>3663</v>
      </c>
      <c r="CI122" s="34"/>
      <c r="CJ122" s="35" t="s">
        <v>3663</v>
      </c>
      <c r="CK122" s="37"/>
      <c r="CL122" s="37"/>
      <c r="CM122" s="34"/>
      <c r="CN122" s="35" t="s">
        <v>3591</v>
      </c>
      <c r="CO122" s="39">
        <v>-0.0238</v>
      </c>
      <c r="CP122" s="32">
        <v>3.0</v>
      </c>
      <c r="CQ122" s="39">
        <v>0.0</v>
      </c>
      <c r="CR122" s="39">
        <v>0.0</v>
      </c>
      <c r="CS122" s="39">
        <v>-0.0238</v>
      </c>
      <c r="CT122" s="32">
        <v>4.0</v>
      </c>
      <c r="CU122" s="37"/>
      <c r="CV122" s="37"/>
      <c r="CW122" s="39">
        <v>-0.0238</v>
      </c>
      <c r="CX122" s="32">
        <v>4.0</v>
      </c>
      <c r="CY122" s="32" t="s">
        <v>6113</v>
      </c>
      <c r="CZ122" s="32">
        <v>97.0</v>
      </c>
      <c r="DA122" s="32" t="s">
        <v>3598</v>
      </c>
      <c r="DB122" s="39">
        <v>0.0</v>
      </c>
      <c r="DC122" s="32" t="s">
        <v>6113</v>
      </c>
      <c r="DD122" s="32">
        <v>98.0</v>
      </c>
      <c r="DE122" s="37"/>
      <c r="DF122" s="37"/>
      <c r="DG122" s="32" t="s">
        <v>6113</v>
      </c>
      <c r="DH122" s="32">
        <v>98.0</v>
      </c>
      <c r="DI122" s="37"/>
      <c r="DJ122" s="37"/>
      <c r="DK122" s="37"/>
      <c r="DL122" s="32">
        <v>702.0</v>
      </c>
      <c r="DM122" s="32">
        <v>-9.0</v>
      </c>
      <c r="DN122" s="39">
        <v>-0.0127</v>
      </c>
      <c r="DO122" s="32" t="s">
        <v>3600</v>
      </c>
      <c r="DP122" s="38" t="s">
        <v>6114</v>
      </c>
      <c r="DQ122" s="37"/>
      <c r="DR122" s="37"/>
      <c r="DS122" s="37"/>
      <c r="DT122" s="37"/>
      <c r="DU122" s="37"/>
      <c r="DV122" s="37"/>
      <c r="DW122" s="34"/>
      <c r="DX122" s="37"/>
      <c r="DY122" s="34"/>
      <c r="DZ122" s="37"/>
      <c r="EA122" s="37"/>
      <c r="EB122" s="34"/>
      <c r="EC122" s="37"/>
      <c r="ED122" s="37"/>
      <c r="EE122" s="32">
        <v>326.21</v>
      </c>
      <c r="EF122" s="38" t="s">
        <v>6112</v>
      </c>
      <c r="EG122" s="35" t="s">
        <v>3663</v>
      </c>
      <c r="EH122" s="37"/>
      <c r="EI122" s="37"/>
      <c r="EJ122" s="37"/>
      <c r="EK122" s="34"/>
      <c r="EL122" s="37"/>
      <c r="EM122" s="37"/>
      <c r="EN122" s="37"/>
      <c r="EO122" s="37"/>
      <c r="EP122" s="40" t="s">
        <v>3559</v>
      </c>
    </row>
    <row r="123">
      <c r="A123" s="45"/>
      <c r="B123" s="42" t="s">
        <v>6115</v>
      </c>
      <c r="C123" s="43"/>
      <c r="D123" s="43"/>
      <c r="E123" s="43"/>
      <c r="F123" s="43"/>
      <c r="G123" s="42" t="s">
        <v>6116</v>
      </c>
      <c r="H123" s="42" t="s">
        <v>4560</v>
      </c>
      <c r="I123" s="42" t="s">
        <v>4561</v>
      </c>
      <c r="J123" s="42" t="s">
        <v>5511</v>
      </c>
      <c r="K123" s="42" t="s">
        <v>6117</v>
      </c>
      <c r="L123" s="42" t="s">
        <v>6118</v>
      </c>
      <c r="M123" s="42" t="s">
        <v>6119</v>
      </c>
      <c r="N123" s="42" t="s">
        <v>4923</v>
      </c>
      <c r="O123" s="42" t="s">
        <v>6120</v>
      </c>
      <c r="P123" s="42"/>
      <c r="R123" s="42" t="s">
        <v>6041</v>
      </c>
      <c r="S123" s="42" t="s">
        <v>4925</v>
      </c>
      <c r="T123" s="42" t="s">
        <v>4926</v>
      </c>
      <c r="U123" s="44" t="s">
        <v>6121</v>
      </c>
      <c r="V123" s="43"/>
      <c r="W123" s="45"/>
      <c r="X123" s="43"/>
      <c r="Y123" s="43"/>
      <c r="Z123" s="43"/>
      <c r="AA123" s="45"/>
      <c r="AB123" s="43"/>
      <c r="AC123" s="43"/>
      <c r="AD123" s="43"/>
      <c r="AE123" s="45"/>
      <c r="AF123" s="45"/>
      <c r="AG123" s="45"/>
      <c r="AH123" s="45"/>
      <c r="AI123" s="45"/>
      <c r="AJ123" s="45"/>
      <c r="AK123" s="45"/>
      <c r="AL123" s="45"/>
      <c r="AM123" s="45"/>
      <c r="AN123" s="45"/>
      <c r="AO123" s="43"/>
      <c r="AP123" s="43"/>
      <c r="AQ123" s="43"/>
      <c r="AR123" s="43"/>
      <c r="AS123" s="43"/>
      <c r="AT123" s="42" t="s">
        <v>3581</v>
      </c>
      <c r="AU123" s="42" t="s">
        <v>6122</v>
      </c>
      <c r="AV123" s="43"/>
      <c r="AW123" s="42" t="s">
        <v>75</v>
      </c>
      <c r="AX123" s="43"/>
      <c r="AY123" s="41">
        <v>65603.0</v>
      </c>
      <c r="AZ123" s="42" t="s">
        <v>41</v>
      </c>
      <c r="BA123" s="45" t="str">
        <f>+972 (0)55 997 5010</f>
        <v>#ERROR!</v>
      </c>
      <c r="BB123" s="45"/>
      <c r="BC123" s="42" t="s">
        <v>6123</v>
      </c>
      <c r="BD123" s="42" t="s">
        <v>3584</v>
      </c>
      <c r="BE123" s="42" t="s">
        <v>3584</v>
      </c>
      <c r="BF123" s="43"/>
      <c r="BG123" s="43"/>
      <c r="BH123" s="45"/>
      <c r="BI123" s="43"/>
      <c r="BJ123" s="43"/>
      <c r="BK123" s="43"/>
      <c r="BL123" s="43"/>
      <c r="BM123" s="43"/>
      <c r="BN123" s="43"/>
      <c r="BO123" s="43"/>
      <c r="BP123" s="43"/>
      <c r="BQ123" s="45"/>
      <c r="BR123" s="45"/>
      <c r="BS123" s="43"/>
      <c r="BT123" s="45"/>
      <c r="BU123" s="43"/>
      <c r="BV123" s="43"/>
      <c r="BW123" s="43"/>
      <c r="BX123" s="43"/>
      <c r="BY123" s="43"/>
      <c r="BZ123" s="43"/>
      <c r="CA123" s="43"/>
      <c r="CB123" s="45"/>
      <c r="CC123" s="45"/>
      <c r="CD123" s="43"/>
      <c r="CE123" s="45"/>
      <c r="CF123" s="43"/>
      <c r="CG123" s="43"/>
      <c r="CH123" s="43"/>
      <c r="CI123" s="43"/>
      <c r="CJ123" s="43"/>
      <c r="CK123" s="45"/>
      <c r="CL123" s="45"/>
      <c r="CM123" s="43"/>
      <c r="CN123" s="43"/>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1" t="s">
        <v>3600</v>
      </c>
      <c r="DP123" s="46" t="s">
        <v>6124</v>
      </c>
      <c r="DQ123" s="45"/>
      <c r="DR123" s="45"/>
      <c r="DS123" s="45"/>
      <c r="DT123" s="45"/>
      <c r="DU123" s="45"/>
      <c r="DV123" s="45"/>
      <c r="DW123" s="43"/>
      <c r="DX123" s="45"/>
      <c r="DY123" s="43"/>
      <c r="DZ123" s="45"/>
      <c r="EA123" s="45"/>
      <c r="EB123" s="43"/>
      <c r="EC123" s="45"/>
      <c r="ED123" s="45"/>
      <c r="EE123" s="45"/>
      <c r="EF123" s="45"/>
      <c r="EG123" s="43"/>
      <c r="EH123" s="45"/>
      <c r="EI123" s="45"/>
      <c r="EJ123" s="45"/>
      <c r="EK123" s="43"/>
      <c r="EL123" s="45"/>
      <c r="EM123" s="45"/>
      <c r="EN123" s="45"/>
      <c r="EO123" s="45"/>
      <c r="EP123" s="48" t="s">
        <v>3559</v>
      </c>
    </row>
    <row r="124">
      <c r="A124" s="37"/>
      <c r="B124" s="35" t="s">
        <v>6125</v>
      </c>
      <c r="C124" s="35" t="s">
        <v>6126</v>
      </c>
      <c r="D124" s="34"/>
      <c r="E124" s="35" t="s">
        <v>6127</v>
      </c>
      <c r="F124" s="34"/>
      <c r="G124" s="35" t="s">
        <v>6128</v>
      </c>
      <c r="H124" s="35" t="s">
        <v>3867</v>
      </c>
      <c r="I124" s="35" t="s">
        <v>4199</v>
      </c>
      <c r="J124" s="35" t="s">
        <v>5911</v>
      </c>
      <c r="K124" s="35" t="s">
        <v>6129</v>
      </c>
      <c r="L124" s="35" t="s">
        <v>5736</v>
      </c>
      <c r="M124" s="35" t="s">
        <v>6130</v>
      </c>
      <c r="N124" s="35" t="s">
        <v>4962</v>
      </c>
      <c r="O124" s="35" t="s">
        <v>6131</v>
      </c>
      <c r="P124" s="35"/>
      <c r="R124" s="35" t="s">
        <v>5750</v>
      </c>
      <c r="S124" s="35" t="s">
        <v>5236</v>
      </c>
      <c r="T124" s="35" t="s">
        <v>6132</v>
      </c>
      <c r="U124" s="34"/>
      <c r="V124" s="34"/>
      <c r="W124" s="32">
        <v>162.0</v>
      </c>
      <c r="X124" s="35" t="s">
        <v>6133</v>
      </c>
      <c r="Y124" s="35" t="s">
        <v>5417</v>
      </c>
      <c r="Z124" s="35" t="s">
        <v>6134</v>
      </c>
      <c r="AA124" s="32">
        <v>1965.0</v>
      </c>
      <c r="AB124" s="34"/>
      <c r="AC124" s="34"/>
      <c r="AD124" s="34"/>
      <c r="AE124" s="50">
        <v>1673.74</v>
      </c>
      <c r="AF124" s="32">
        <v>230.73</v>
      </c>
      <c r="AG124" s="32">
        <v>59.05</v>
      </c>
      <c r="AH124" s="50">
        <v>2722.93</v>
      </c>
      <c r="AI124" s="32">
        <v>292.47</v>
      </c>
      <c r="AJ124" s="32">
        <v>170.61</v>
      </c>
      <c r="AK124" s="32">
        <v>708.05</v>
      </c>
      <c r="AL124" s="50">
        <v>1728.54</v>
      </c>
      <c r="AM124" s="39">
        <v>-0.027</v>
      </c>
      <c r="AN124" s="32" t="s">
        <v>5245</v>
      </c>
      <c r="AO124" s="35" t="s">
        <v>6135</v>
      </c>
      <c r="AP124" s="35" t="s">
        <v>6136</v>
      </c>
      <c r="AQ124" s="35" t="s">
        <v>6137</v>
      </c>
      <c r="AR124" s="34"/>
      <c r="AS124" s="34" t="str">
        <f>+972 (0)8 913 9999</f>
        <v>#ERROR!</v>
      </c>
      <c r="AT124" s="35" t="s">
        <v>6138</v>
      </c>
      <c r="AU124" s="35" t="s">
        <v>6139</v>
      </c>
      <c r="AV124" s="35" t="s">
        <v>6140</v>
      </c>
      <c r="AW124" s="35" t="s">
        <v>6141</v>
      </c>
      <c r="AX124" s="34"/>
      <c r="AY124" s="32">
        <v>7290500.0</v>
      </c>
      <c r="AZ124" s="35" t="s">
        <v>41</v>
      </c>
      <c r="BA124" s="37" t="str">
        <f>+972 (0)8 913 9999</f>
        <v>#ERROR!</v>
      </c>
      <c r="BB124" s="37"/>
      <c r="BC124" s="34"/>
      <c r="BD124" s="35" t="s">
        <v>3584</v>
      </c>
      <c r="BE124" s="35" t="s">
        <v>3584</v>
      </c>
      <c r="BF124" s="35" t="s">
        <v>6142</v>
      </c>
      <c r="BG124" s="34"/>
      <c r="BH124" s="37"/>
      <c r="BI124" s="34"/>
      <c r="BJ124" s="35" t="s">
        <v>6143</v>
      </c>
      <c r="BK124" s="34"/>
      <c r="BL124" s="34"/>
      <c r="BM124" s="35" t="s">
        <v>6144</v>
      </c>
      <c r="BN124" s="34"/>
      <c r="BO124" s="34"/>
      <c r="BP124" s="34"/>
      <c r="BQ124" s="38" t="s">
        <v>6145</v>
      </c>
      <c r="BR124" s="37"/>
      <c r="BS124" s="34"/>
      <c r="BT124" s="37"/>
      <c r="BU124" s="34"/>
      <c r="BV124" s="35" t="s">
        <v>4532</v>
      </c>
      <c r="BW124" s="34"/>
      <c r="BX124" s="34"/>
      <c r="BY124" s="35" t="s">
        <v>5764</v>
      </c>
      <c r="BZ124" s="34"/>
      <c r="CA124" s="35" t="s">
        <v>3591</v>
      </c>
      <c r="CB124" s="38" t="s">
        <v>6146</v>
      </c>
      <c r="CC124" s="32">
        <v>77.41</v>
      </c>
      <c r="CD124" s="35" t="s">
        <v>3593</v>
      </c>
      <c r="CE124" s="32">
        <v>516.39</v>
      </c>
      <c r="CF124" s="35" t="s">
        <v>3697</v>
      </c>
      <c r="CG124" s="35" t="s">
        <v>3830</v>
      </c>
      <c r="CH124" s="34"/>
      <c r="CI124" s="34"/>
      <c r="CJ124" s="35" t="s">
        <v>3663</v>
      </c>
      <c r="CK124" s="37"/>
      <c r="CL124" s="37"/>
      <c r="CM124" s="34"/>
      <c r="CN124" s="35" t="s">
        <v>3591</v>
      </c>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2" t="s">
        <v>3600</v>
      </c>
      <c r="DP124" s="38" t="s">
        <v>6147</v>
      </c>
      <c r="DQ124" s="37"/>
      <c r="DR124" s="37"/>
      <c r="DS124" s="37"/>
      <c r="DT124" s="37"/>
      <c r="DU124" s="37"/>
      <c r="DV124" s="37"/>
      <c r="DW124" s="34"/>
      <c r="DX124" s="37"/>
      <c r="DY124" s="34"/>
      <c r="DZ124" s="37"/>
      <c r="EA124" s="37"/>
      <c r="EB124" s="34"/>
      <c r="EC124" s="37"/>
      <c r="ED124" s="37"/>
      <c r="EE124" s="32">
        <v>516.39</v>
      </c>
      <c r="EF124" s="38" t="s">
        <v>6146</v>
      </c>
      <c r="EG124" s="35" t="s">
        <v>3830</v>
      </c>
      <c r="EH124" s="37"/>
      <c r="EI124" s="37"/>
      <c r="EJ124" s="37"/>
      <c r="EK124" s="34"/>
      <c r="EL124" s="37"/>
      <c r="EM124" s="37"/>
      <c r="EN124" s="37"/>
      <c r="EO124" s="37"/>
      <c r="EP124" s="40" t="s">
        <v>3559</v>
      </c>
    </row>
    <row r="125">
      <c r="A125" s="41">
        <v>2.0</v>
      </c>
      <c r="B125" s="42" t="s">
        <v>6148</v>
      </c>
      <c r="C125" s="43"/>
      <c r="D125" s="43"/>
      <c r="E125" s="42" t="s">
        <v>6149</v>
      </c>
      <c r="F125" s="43"/>
      <c r="G125" s="42" t="s">
        <v>6150</v>
      </c>
      <c r="H125" s="42" t="s">
        <v>3867</v>
      </c>
      <c r="I125" s="42" t="s">
        <v>3897</v>
      </c>
      <c r="J125" s="42" t="s">
        <v>3898</v>
      </c>
      <c r="K125" s="42" t="s">
        <v>6151</v>
      </c>
      <c r="L125" s="42" t="s">
        <v>6152</v>
      </c>
      <c r="M125" s="42" t="s">
        <v>6153</v>
      </c>
      <c r="N125" s="42" t="s">
        <v>3569</v>
      </c>
      <c r="O125" s="42" t="s">
        <v>6154</v>
      </c>
      <c r="P125" s="42"/>
      <c r="R125" s="42" t="s">
        <v>3571</v>
      </c>
      <c r="S125" s="42" t="s">
        <v>3572</v>
      </c>
      <c r="T125" s="42" t="s">
        <v>3573</v>
      </c>
      <c r="U125" s="44" t="s">
        <v>6155</v>
      </c>
      <c r="V125" s="44" t="s">
        <v>6156</v>
      </c>
      <c r="W125" s="45"/>
      <c r="X125" s="43"/>
      <c r="Y125" s="43"/>
      <c r="Z125" s="43"/>
      <c r="AA125" s="41">
        <v>2021.0</v>
      </c>
      <c r="AB125" s="43"/>
      <c r="AC125" s="43"/>
      <c r="AD125" s="43"/>
      <c r="AE125" s="45"/>
      <c r="AF125" s="45"/>
      <c r="AG125" s="45"/>
      <c r="AH125" s="45"/>
      <c r="AI125" s="45"/>
      <c r="AJ125" s="45"/>
      <c r="AK125" s="45"/>
      <c r="AL125" s="45"/>
      <c r="AM125" s="45"/>
      <c r="AN125" s="45"/>
      <c r="AO125" s="42" t="s">
        <v>6157</v>
      </c>
      <c r="AP125" s="42" t="s">
        <v>6158</v>
      </c>
      <c r="AQ125" s="42" t="s">
        <v>3579</v>
      </c>
      <c r="AR125" s="42" t="s">
        <v>6159</v>
      </c>
      <c r="AS125" s="43"/>
      <c r="AT125" s="42" t="s">
        <v>3581</v>
      </c>
      <c r="AU125" s="42" t="s">
        <v>6160</v>
      </c>
      <c r="AV125" s="42" t="s">
        <v>6161</v>
      </c>
      <c r="AW125" s="42" t="s">
        <v>75</v>
      </c>
      <c r="AX125" s="43"/>
      <c r="AY125" s="45"/>
      <c r="AZ125" s="42" t="s">
        <v>41</v>
      </c>
      <c r="BA125" s="45"/>
      <c r="BB125" s="45"/>
      <c r="BC125" s="42" t="s">
        <v>6162</v>
      </c>
      <c r="BD125" s="42" t="s">
        <v>3584</v>
      </c>
      <c r="BE125" s="42" t="s">
        <v>3584</v>
      </c>
      <c r="BF125" s="42" t="s">
        <v>6163</v>
      </c>
      <c r="BG125" s="42" t="s">
        <v>6164</v>
      </c>
      <c r="BH125" s="41">
        <v>2.0</v>
      </c>
      <c r="BI125" s="43"/>
      <c r="BJ125" s="43"/>
      <c r="BK125" s="43"/>
      <c r="BL125" s="42" t="s">
        <v>6165</v>
      </c>
      <c r="BM125" s="43"/>
      <c r="BN125" s="43"/>
      <c r="BO125" s="43"/>
      <c r="BP125" s="43"/>
      <c r="BQ125" s="46" t="s">
        <v>6166</v>
      </c>
      <c r="BR125" s="41">
        <v>2.0</v>
      </c>
      <c r="BS125" s="42" t="s">
        <v>3593</v>
      </c>
      <c r="BT125" s="45"/>
      <c r="BU125" s="43"/>
      <c r="BV125" s="42" t="s">
        <v>3698</v>
      </c>
      <c r="BW125" s="42" t="s">
        <v>3698</v>
      </c>
      <c r="BX125" s="43"/>
      <c r="BY125" s="42" t="s">
        <v>3573</v>
      </c>
      <c r="BZ125" s="43"/>
      <c r="CA125" s="42" t="s">
        <v>3591</v>
      </c>
      <c r="CB125" s="46" t="s">
        <v>6166</v>
      </c>
      <c r="CC125" s="41">
        <v>2.0</v>
      </c>
      <c r="CD125" s="42" t="s">
        <v>3593</v>
      </c>
      <c r="CE125" s="45"/>
      <c r="CF125" s="43"/>
      <c r="CG125" s="42" t="s">
        <v>3698</v>
      </c>
      <c r="CH125" s="42" t="s">
        <v>3698</v>
      </c>
      <c r="CI125" s="43"/>
      <c r="CJ125" s="42" t="s">
        <v>3573</v>
      </c>
      <c r="CK125" s="45"/>
      <c r="CL125" s="45"/>
      <c r="CM125" s="43"/>
      <c r="CN125" s="42" t="s">
        <v>3591</v>
      </c>
      <c r="CO125" s="47">
        <v>0.0</v>
      </c>
      <c r="CP125" s="41">
        <v>14.0</v>
      </c>
      <c r="CQ125" s="47">
        <v>0.0</v>
      </c>
      <c r="CR125" s="47">
        <v>0.0</v>
      </c>
      <c r="CS125" s="47">
        <v>0.0</v>
      </c>
      <c r="CT125" s="41">
        <v>12.0</v>
      </c>
      <c r="CU125" s="45"/>
      <c r="CV125" s="45"/>
      <c r="CW125" s="47">
        <v>0.0</v>
      </c>
      <c r="CX125" s="41">
        <v>12.0</v>
      </c>
      <c r="CY125" s="41" t="s">
        <v>5403</v>
      </c>
      <c r="CZ125" s="41">
        <v>13.0</v>
      </c>
      <c r="DA125" s="41" t="s">
        <v>3598</v>
      </c>
      <c r="DB125" s="47">
        <v>0.0</v>
      </c>
      <c r="DC125" s="41" t="s">
        <v>5403</v>
      </c>
      <c r="DD125" s="41">
        <v>14.0</v>
      </c>
      <c r="DE125" s="45"/>
      <c r="DF125" s="45"/>
      <c r="DG125" s="41" t="s">
        <v>5403</v>
      </c>
      <c r="DH125" s="41">
        <v>12.0</v>
      </c>
      <c r="DI125" s="45"/>
      <c r="DJ125" s="45"/>
      <c r="DK125" s="45"/>
      <c r="DL125" s="41">
        <v>8.0</v>
      </c>
      <c r="DM125" s="41">
        <v>0.0</v>
      </c>
      <c r="DN125" s="47">
        <v>0.0</v>
      </c>
      <c r="DO125" s="41" t="s">
        <v>3600</v>
      </c>
      <c r="DP125" s="46" t="s">
        <v>5841</v>
      </c>
      <c r="DQ125" s="41">
        <v>3.0</v>
      </c>
      <c r="DR125" s="41">
        <v>1.0</v>
      </c>
      <c r="DS125" s="45"/>
      <c r="DT125" s="41">
        <v>2.0</v>
      </c>
      <c r="DU125" s="45"/>
      <c r="DV125" s="41">
        <v>1.0</v>
      </c>
      <c r="DW125" s="42" t="s">
        <v>4506</v>
      </c>
      <c r="DX125" s="45"/>
      <c r="DY125" s="43"/>
      <c r="DZ125" s="45"/>
      <c r="EA125" s="45"/>
      <c r="EB125" s="43"/>
      <c r="EC125" s="45"/>
      <c r="ED125" s="45"/>
      <c r="EE125" s="45"/>
      <c r="EF125" s="45"/>
      <c r="EG125" s="43"/>
      <c r="EH125" s="45"/>
      <c r="EI125" s="45"/>
      <c r="EJ125" s="45"/>
      <c r="EK125" s="43"/>
      <c r="EL125" s="45"/>
      <c r="EM125" s="45"/>
      <c r="EN125" s="45"/>
      <c r="EO125" s="45"/>
      <c r="EP125" s="48" t="s">
        <v>3559</v>
      </c>
    </row>
    <row r="126">
      <c r="A126" s="37"/>
      <c r="B126" s="35" t="s">
        <v>6167</v>
      </c>
      <c r="C126" s="34"/>
      <c r="D126" s="34"/>
      <c r="E126" s="35" t="s">
        <v>6168</v>
      </c>
      <c r="F126" s="34"/>
      <c r="G126" s="35" t="s">
        <v>6169</v>
      </c>
      <c r="H126" s="35" t="s">
        <v>3867</v>
      </c>
      <c r="I126" s="35" t="s">
        <v>3868</v>
      </c>
      <c r="J126" s="35" t="s">
        <v>3869</v>
      </c>
      <c r="K126" s="35" t="s">
        <v>6170</v>
      </c>
      <c r="L126" s="34"/>
      <c r="M126" s="35" t="s">
        <v>6171</v>
      </c>
      <c r="N126" s="35" t="s">
        <v>5075</v>
      </c>
      <c r="O126" s="35" t="s">
        <v>6172</v>
      </c>
      <c r="P126" s="35"/>
      <c r="R126" s="35" t="s">
        <v>5222</v>
      </c>
      <c r="S126" s="35" t="s">
        <v>5222</v>
      </c>
      <c r="T126" s="35" t="s">
        <v>6173</v>
      </c>
      <c r="U126" s="36" t="s">
        <v>6174</v>
      </c>
      <c r="V126" s="34"/>
      <c r="W126" s="37"/>
      <c r="X126" s="34"/>
      <c r="Y126" s="34"/>
      <c r="Z126" s="34"/>
      <c r="AA126" s="32">
        <v>1997.0</v>
      </c>
      <c r="AB126" s="34"/>
      <c r="AC126" s="34"/>
      <c r="AD126" s="34"/>
      <c r="AE126" s="37"/>
      <c r="AF126" s="37"/>
      <c r="AG126" s="37"/>
      <c r="AH126" s="37"/>
      <c r="AI126" s="37"/>
      <c r="AJ126" s="37"/>
      <c r="AK126" s="37"/>
      <c r="AL126" s="37"/>
      <c r="AM126" s="37"/>
      <c r="AN126" s="37"/>
      <c r="AO126" s="34"/>
      <c r="AP126" s="34"/>
      <c r="AQ126" s="34"/>
      <c r="AR126" s="34"/>
      <c r="AS126" s="34"/>
      <c r="AT126" s="35" t="s">
        <v>5952</v>
      </c>
      <c r="AU126" s="35" t="s">
        <v>6175</v>
      </c>
      <c r="AV126" s="34"/>
      <c r="AW126" s="35" t="s">
        <v>1928</v>
      </c>
      <c r="AX126" s="34"/>
      <c r="AY126" s="32">
        <v>4810301.0</v>
      </c>
      <c r="AZ126" s="35" t="s">
        <v>41</v>
      </c>
      <c r="BA126" s="37"/>
      <c r="BB126" s="37"/>
      <c r="BC126" s="34"/>
      <c r="BD126" s="35" t="s">
        <v>3584</v>
      </c>
      <c r="BE126" s="35" t="s">
        <v>3584</v>
      </c>
      <c r="BF126" s="35" t="s">
        <v>6176</v>
      </c>
      <c r="BG126" s="34"/>
      <c r="BH126" s="37"/>
      <c r="BI126" s="34"/>
      <c r="BJ126" s="35" t="s">
        <v>6177</v>
      </c>
      <c r="BK126" s="34"/>
      <c r="BL126" s="34"/>
      <c r="BM126" s="35" t="s">
        <v>6178</v>
      </c>
      <c r="BN126" s="34"/>
      <c r="BO126" s="34"/>
      <c r="BP126" s="35" t="s">
        <v>6179</v>
      </c>
      <c r="BQ126" s="38" t="s">
        <v>6180</v>
      </c>
      <c r="BR126" s="37"/>
      <c r="BS126" s="34"/>
      <c r="BT126" s="37"/>
      <c r="BU126" s="34"/>
      <c r="BV126" s="35" t="s">
        <v>6181</v>
      </c>
      <c r="BW126" s="34"/>
      <c r="BX126" s="34"/>
      <c r="BY126" s="35" t="s">
        <v>6182</v>
      </c>
      <c r="BZ126" s="35" t="s">
        <v>6183</v>
      </c>
      <c r="CA126" s="35" t="s">
        <v>3591</v>
      </c>
      <c r="CB126" s="38" t="s">
        <v>6184</v>
      </c>
      <c r="CC126" s="37"/>
      <c r="CD126" s="34"/>
      <c r="CE126" s="37"/>
      <c r="CF126" s="34"/>
      <c r="CG126" s="35" t="s">
        <v>5222</v>
      </c>
      <c r="CH126" s="34"/>
      <c r="CI126" s="34"/>
      <c r="CJ126" s="35" t="s">
        <v>5222</v>
      </c>
      <c r="CK126" s="38" t="s">
        <v>6180</v>
      </c>
      <c r="CL126" s="37"/>
      <c r="CM126" s="34"/>
      <c r="CN126" s="35" t="s">
        <v>3591</v>
      </c>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2" t="s">
        <v>3600</v>
      </c>
      <c r="DP126" s="38" t="s">
        <v>5350</v>
      </c>
      <c r="DQ126" s="37"/>
      <c r="DR126" s="37"/>
      <c r="DS126" s="37"/>
      <c r="DT126" s="37"/>
      <c r="DU126" s="37"/>
      <c r="DV126" s="37"/>
      <c r="DW126" s="34"/>
      <c r="DX126" s="37"/>
      <c r="DY126" s="34"/>
      <c r="DZ126" s="37"/>
      <c r="EA126" s="37"/>
      <c r="EB126" s="34"/>
      <c r="EC126" s="37"/>
      <c r="ED126" s="37"/>
      <c r="EE126" s="50">
        <v>1142.27</v>
      </c>
      <c r="EF126" s="38" t="s">
        <v>6185</v>
      </c>
      <c r="EG126" s="35" t="s">
        <v>3830</v>
      </c>
      <c r="EH126" s="37"/>
      <c r="EI126" s="37"/>
      <c r="EJ126" s="37"/>
      <c r="EK126" s="34"/>
      <c r="EL126" s="37"/>
      <c r="EM126" s="37"/>
      <c r="EN126" s="37"/>
      <c r="EO126" s="37"/>
      <c r="EP126" s="40" t="s">
        <v>3559</v>
      </c>
    </row>
    <row r="127">
      <c r="A127" s="41">
        <v>1.0</v>
      </c>
      <c r="B127" s="42" t="s">
        <v>6186</v>
      </c>
      <c r="C127" s="43"/>
      <c r="D127" s="43"/>
      <c r="E127" s="42" t="s">
        <v>6187</v>
      </c>
      <c r="F127" s="43"/>
      <c r="G127" s="42" t="s">
        <v>6188</v>
      </c>
      <c r="H127" s="42" t="s">
        <v>3867</v>
      </c>
      <c r="I127" s="42" t="s">
        <v>3897</v>
      </c>
      <c r="J127" s="42" t="s">
        <v>3898</v>
      </c>
      <c r="K127" s="42" t="s">
        <v>6189</v>
      </c>
      <c r="L127" s="42" t="s">
        <v>6190</v>
      </c>
      <c r="M127" s="42" t="s">
        <v>6191</v>
      </c>
      <c r="N127" s="42" t="s">
        <v>4923</v>
      </c>
      <c r="O127" s="42" t="s">
        <v>6192</v>
      </c>
      <c r="P127" s="42"/>
      <c r="R127" s="42" t="s">
        <v>6041</v>
      </c>
      <c r="S127" s="42" t="s">
        <v>4925</v>
      </c>
      <c r="T127" s="42" t="s">
        <v>3573</v>
      </c>
      <c r="U127" s="44" t="s">
        <v>6193</v>
      </c>
      <c r="V127" s="44" t="s">
        <v>6194</v>
      </c>
      <c r="W127" s="41">
        <v>6.0</v>
      </c>
      <c r="X127" s="42" t="s">
        <v>6195</v>
      </c>
      <c r="Y127" s="43"/>
      <c r="Z127" s="43"/>
      <c r="AA127" s="41">
        <v>2019.0</v>
      </c>
      <c r="AB127" s="43"/>
      <c r="AC127" s="43"/>
      <c r="AD127" s="43"/>
      <c r="AE127" s="45"/>
      <c r="AF127" s="45"/>
      <c r="AG127" s="45"/>
      <c r="AH127" s="45"/>
      <c r="AI127" s="45"/>
      <c r="AJ127" s="45"/>
      <c r="AK127" s="45"/>
      <c r="AL127" s="45"/>
      <c r="AM127" s="45"/>
      <c r="AN127" s="45"/>
      <c r="AO127" s="42" t="s">
        <v>6196</v>
      </c>
      <c r="AP127" s="42" t="s">
        <v>6197</v>
      </c>
      <c r="AQ127" s="42" t="s">
        <v>3685</v>
      </c>
      <c r="AR127" s="42" t="s">
        <v>6198</v>
      </c>
      <c r="AS127" s="43" t="str">
        <f>+972 (0)54 725 0838</f>
        <v>#ERROR!</v>
      </c>
      <c r="AT127" s="42" t="s">
        <v>3851</v>
      </c>
      <c r="AU127" s="42" t="s">
        <v>6199</v>
      </c>
      <c r="AV127" s="42" t="s">
        <v>6200</v>
      </c>
      <c r="AW127" s="42" t="s">
        <v>616</v>
      </c>
      <c r="AX127" s="43"/>
      <c r="AY127" s="41">
        <v>5268104.0</v>
      </c>
      <c r="AZ127" s="42" t="s">
        <v>41</v>
      </c>
      <c r="BA127" s="45" t="str">
        <f>+972 (0)54 725 0838</f>
        <v>#ERROR!</v>
      </c>
      <c r="BB127" s="45"/>
      <c r="BC127" s="42" t="s">
        <v>6201</v>
      </c>
      <c r="BD127" s="42" t="s">
        <v>3584</v>
      </c>
      <c r="BE127" s="42" t="s">
        <v>3584</v>
      </c>
      <c r="BF127" s="42" t="s">
        <v>6202</v>
      </c>
      <c r="BG127" s="43"/>
      <c r="BH127" s="45"/>
      <c r="BI127" s="43"/>
      <c r="BJ127" s="43"/>
      <c r="BK127" s="43"/>
      <c r="BL127" s="43"/>
      <c r="BM127" s="43"/>
      <c r="BN127" s="43"/>
      <c r="BO127" s="43"/>
      <c r="BP127" s="43"/>
      <c r="BQ127" s="45"/>
      <c r="BR127" s="41">
        <v>1.0</v>
      </c>
      <c r="BS127" s="42" t="s">
        <v>3593</v>
      </c>
      <c r="BT127" s="45"/>
      <c r="BU127" s="43"/>
      <c r="BV127" s="42" t="s">
        <v>5320</v>
      </c>
      <c r="BW127" s="43"/>
      <c r="BX127" s="43"/>
      <c r="BY127" s="42" t="s">
        <v>3803</v>
      </c>
      <c r="BZ127" s="43"/>
      <c r="CA127" s="42" t="s">
        <v>3591</v>
      </c>
      <c r="CB127" s="46" t="s">
        <v>6203</v>
      </c>
      <c r="CC127" s="41">
        <v>5.0</v>
      </c>
      <c r="CD127" s="42" t="s">
        <v>3593</v>
      </c>
      <c r="CE127" s="45"/>
      <c r="CF127" s="43"/>
      <c r="CG127" s="42" t="s">
        <v>3698</v>
      </c>
      <c r="CH127" s="42" t="s">
        <v>3698</v>
      </c>
      <c r="CI127" s="43"/>
      <c r="CJ127" s="42" t="s">
        <v>3573</v>
      </c>
      <c r="CK127" s="45"/>
      <c r="CL127" s="45"/>
      <c r="CM127" s="43"/>
      <c r="CN127" s="42" t="s">
        <v>4321</v>
      </c>
      <c r="CO127" s="47">
        <v>0.0</v>
      </c>
      <c r="CP127" s="41">
        <v>14.0</v>
      </c>
      <c r="CQ127" s="47">
        <v>0.0</v>
      </c>
      <c r="CR127" s="47">
        <v>0.0</v>
      </c>
      <c r="CS127" s="47">
        <v>0.0</v>
      </c>
      <c r="CT127" s="41">
        <v>12.0</v>
      </c>
      <c r="CU127" s="47">
        <v>0.0</v>
      </c>
      <c r="CV127" s="41">
        <v>10.0</v>
      </c>
      <c r="CW127" s="47">
        <v>0.0</v>
      </c>
      <c r="CX127" s="41">
        <v>12.0</v>
      </c>
      <c r="CY127" s="41" t="s">
        <v>6204</v>
      </c>
      <c r="CZ127" s="41">
        <v>50.0</v>
      </c>
      <c r="DA127" s="41" t="s">
        <v>3598</v>
      </c>
      <c r="DB127" s="47">
        <v>0.0</v>
      </c>
      <c r="DC127" s="41" t="s">
        <v>6204</v>
      </c>
      <c r="DD127" s="41">
        <v>52.0</v>
      </c>
      <c r="DE127" s="41" t="s">
        <v>6205</v>
      </c>
      <c r="DF127" s="41">
        <v>60.0</v>
      </c>
      <c r="DG127" s="41" t="s">
        <v>6014</v>
      </c>
      <c r="DH127" s="41">
        <v>29.0</v>
      </c>
      <c r="DI127" s="41">
        <v>159.0</v>
      </c>
      <c r="DJ127" s="41">
        <v>24.0</v>
      </c>
      <c r="DK127" s="47">
        <v>0.1778</v>
      </c>
      <c r="DL127" s="41">
        <v>14.0</v>
      </c>
      <c r="DM127" s="41">
        <v>0.0</v>
      </c>
      <c r="DN127" s="47">
        <v>0.0</v>
      </c>
      <c r="DO127" s="41" t="s">
        <v>3600</v>
      </c>
      <c r="DP127" s="46" t="s">
        <v>4042</v>
      </c>
      <c r="DQ127" s="45"/>
      <c r="DR127" s="45"/>
      <c r="DS127" s="45"/>
      <c r="DT127" s="45"/>
      <c r="DU127" s="45"/>
      <c r="DV127" s="45"/>
      <c r="DW127" s="43"/>
      <c r="DX127" s="45"/>
      <c r="DY127" s="43"/>
      <c r="DZ127" s="45"/>
      <c r="EA127" s="45"/>
      <c r="EB127" s="43"/>
      <c r="EC127" s="45"/>
      <c r="ED127" s="45"/>
      <c r="EE127" s="45"/>
      <c r="EF127" s="45"/>
      <c r="EG127" s="43"/>
      <c r="EH127" s="45"/>
      <c r="EI127" s="45"/>
      <c r="EJ127" s="45"/>
      <c r="EK127" s="43"/>
      <c r="EL127" s="45"/>
      <c r="EM127" s="45"/>
      <c r="EN127" s="45"/>
      <c r="EO127" s="45"/>
      <c r="EP127" s="48" t="s">
        <v>3559</v>
      </c>
    </row>
    <row r="128">
      <c r="A128" s="32">
        <v>0.1</v>
      </c>
      <c r="B128" s="35" t="s">
        <v>6206</v>
      </c>
      <c r="C128" s="34"/>
      <c r="D128" s="34"/>
      <c r="E128" s="35" t="s">
        <v>6207</v>
      </c>
      <c r="F128" s="35" t="s">
        <v>6208</v>
      </c>
      <c r="G128" s="35" t="s">
        <v>6209</v>
      </c>
      <c r="H128" s="35" t="s">
        <v>3563</v>
      </c>
      <c r="I128" s="35" t="s">
        <v>3564</v>
      </c>
      <c r="J128" s="35" t="s">
        <v>3565</v>
      </c>
      <c r="K128" s="35" t="s">
        <v>4303</v>
      </c>
      <c r="L128" s="35" t="s">
        <v>6210</v>
      </c>
      <c r="M128" s="35" t="s">
        <v>6211</v>
      </c>
      <c r="N128" s="35" t="s">
        <v>5018</v>
      </c>
      <c r="O128" s="35" t="s">
        <v>6212</v>
      </c>
      <c r="P128" s="35"/>
      <c r="R128" s="35" t="s">
        <v>3571</v>
      </c>
      <c r="S128" s="35" t="s">
        <v>4964</v>
      </c>
      <c r="T128" s="35" t="s">
        <v>3573</v>
      </c>
      <c r="U128" s="36" t="s">
        <v>6213</v>
      </c>
      <c r="V128" s="36" t="s">
        <v>6214</v>
      </c>
      <c r="W128" s="32">
        <v>120.0</v>
      </c>
      <c r="X128" s="35" t="s">
        <v>6215</v>
      </c>
      <c r="Y128" s="34"/>
      <c r="Z128" s="34"/>
      <c r="AA128" s="32">
        <v>2012.0</v>
      </c>
      <c r="AB128" s="35" t="s">
        <v>6216</v>
      </c>
      <c r="AC128" s="34"/>
      <c r="AD128" s="34"/>
      <c r="AE128" s="37"/>
      <c r="AF128" s="37"/>
      <c r="AG128" s="37"/>
      <c r="AH128" s="37"/>
      <c r="AI128" s="37"/>
      <c r="AJ128" s="37"/>
      <c r="AK128" s="37"/>
      <c r="AL128" s="37"/>
      <c r="AM128" s="37"/>
      <c r="AN128" s="37"/>
      <c r="AO128" s="35" t="s">
        <v>6217</v>
      </c>
      <c r="AP128" s="35" t="s">
        <v>6218</v>
      </c>
      <c r="AQ128" s="35" t="s">
        <v>3982</v>
      </c>
      <c r="AR128" s="35" t="s">
        <v>6219</v>
      </c>
      <c r="AS128" s="34" t="str">
        <f>+972 (0)73 223 9850</f>
        <v>#ERROR!</v>
      </c>
      <c r="AT128" s="35" t="s">
        <v>6220</v>
      </c>
      <c r="AU128" s="35" t="s">
        <v>6221</v>
      </c>
      <c r="AV128" s="34"/>
      <c r="AW128" s="35" t="s">
        <v>6222</v>
      </c>
      <c r="AX128" s="34"/>
      <c r="AY128" s="32">
        <v>4524075.0</v>
      </c>
      <c r="AZ128" s="35" t="s">
        <v>41</v>
      </c>
      <c r="BA128" s="37" t="str">
        <f>+972 (0)73 223 9850</f>
        <v>#ERROR!</v>
      </c>
      <c r="BB128" s="37"/>
      <c r="BC128" s="35" t="s">
        <v>6223</v>
      </c>
      <c r="BD128" s="35" t="s">
        <v>3584</v>
      </c>
      <c r="BE128" s="35" t="s">
        <v>3584</v>
      </c>
      <c r="BF128" s="35" t="s">
        <v>6224</v>
      </c>
      <c r="BG128" s="35" t="s">
        <v>6225</v>
      </c>
      <c r="BH128" s="32">
        <v>1.0</v>
      </c>
      <c r="BI128" s="35" t="s">
        <v>6216</v>
      </c>
      <c r="BJ128" s="35" t="s">
        <v>6226</v>
      </c>
      <c r="BK128" s="34"/>
      <c r="BL128" s="35" t="s">
        <v>6227</v>
      </c>
      <c r="BM128" s="35" t="s">
        <v>6228</v>
      </c>
      <c r="BN128" s="34"/>
      <c r="BO128" s="34"/>
      <c r="BP128" s="34"/>
      <c r="BQ128" s="38" t="s">
        <v>6229</v>
      </c>
      <c r="BR128" s="37"/>
      <c r="BS128" s="34"/>
      <c r="BT128" s="37"/>
      <c r="BU128" s="34"/>
      <c r="BV128" s="35" t="s">
        <v>3589</v>
      </c>
      <c r="BW128" s="34"/>
      <c r="BX128" s="34"/>
      <c r="BY128" s="35" t="s">
        <v>3590</v>
      </c>
      <c r="BZ128" s="34"/>
      <c r="CA128" s="35" t="s">
        <v>3591</v>
      </c>
      <c r="CB128" s="38" t="s">
        <v>6230</v>
      </c>
      <c r="CC128" s="32">
        <v>0.1</v>
      </c>
      <c r="CD128" s="35" t="s">
        <v>3593</v>
      </c>
      <c r="CE128" s="37"/>
      <c r="CF128" s="34"/>
      <c r="CG128" s="35" t="s">
        <v>3589</v>
      </c>
      <c r="CH128" s="34"/>
      <c r="CI128" s="34"/>
      <c r="CJ128" s="35" t="s">
        <v>3590</v>
      </c>
      <c r="CK128" s="37"/>
      <c r="CL128" s="37"/>
      <c r="CM128" s="34"/>
      <c r="CN128" s="35" t="s">
        <v>3591</v>
      </c>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2" t="s">
        <v>3600</v>
      </c>
      <c r="DP128" s="38" t="s">
        <v>6231</v>
      </c>
      <c r="DQ128" s="37"/>
      <c r="DR128" s="37"/>
      <c r="DS128" s="37"/>
      <c r="DT128" s="37"/>
      <c r="DU128" s="37"/>
      <c r="DV128" s="37"/>
      <c r="DW128" s="34"/>
      <c r="DX128" s="37"/>
      <c r="DY128" s="34"/>
      <c r="DZ128" s="37"/>
      <c r="EA128" s="37"/>
      <c r="EB128" s="34"/>
      <c r="EC128" s="37"/>
      <c r="ED128" s="37"/>
      <c r="EE128" s="32">
        <v>200.0</v>
      </c>
      <c r="EF128" s="38" t="s">
        <v>6232</v>
      </c>
      <c r="EG128" s="35" t="s">
        <v>4977</v>
      </c>
      <c r="EH128" s="37"/>
      <c r="EI128" s="37"/>
      <c r="EJ128" s="37"/>
      <c r="EK128" s="35" t="s">
        <v>4248</v>
      </c>
      <c r="EL128" s="37"/>
      <c r="EM128" s="37"/>
      <c r="EN128" s="37"/>
      <c r="EO128" s="32">
        <v>1.34</v>
      </c>
      <c r="EP128" s="40" t="s">
        <v>3559</v>
      </c>
    </row>
    <row r="129">
      <c r="A129" s="45"/>
      <c r="B129" s="42" t="s">
        <v>6233</v>
      </c>
      <c r="C129" s="43"/>
      <c r="D129" s="43"/>
      <c r="E129" s="43"/>
      <c r="F129" s="43"/>
      <c r="G129" s="42" t="s">
        <v>6234</v>
      </c>
      <c r="H129" s="42" t="s">
        <v>3563</v>
      </c>
      <c r="I129" s="42" t="s">
        <v>3564</v>
      </c>
      <c r="J129" s="42" t="s">
        <v>3565</v>
      </c>
      <c r="K129" s="42" t="s">
        <v>3566</v>
      </c>
      <c r="L129" s="42" t="s">
        <v>6235</v>
      </c>
      <c r="M129" s="42" t="s">
        <v>6236</v>
      </c>
      <c r="N129" s="42" t="s">
        <v>5145</v>
      </c>
      <c r="O129" s="42" t="s">
        <v>6237</v>
      </c>
      <c r="P129" s="42"/>
      <c r="R129" s="42" t="s">
        <v>3571</v>
      </c>
      <c r="S129" s="42" t="s">
        <v>3572</v>
      </c>
      <c r="T129" s="42" t="s">
        <v>5147</v>
      </c>
      <c r="U129" s="44" t="s">
        <v>6238</v>
      </c>
      <c r="V129" s="44" t="s">
        <v>6239</v>
      </c>
      <c r="W129" s="41">
        <v>3.0</v>
      </c>
      <c r="X129" s="42" t="s">
        <v>6240</v>
      </c>
      <c r="Y129" s="43"/>
      <c r="Z129" s="43"/>
      <c r="AA129" s="41">
        <v>2021.0</v>
      </c>
      <c r="AB129" s="43"/>
      <c r="AC129" s="43"/>
      <c r="AD129" s="43"/>
      <c r="AE129" s="45"/>
      <c r="AF129" s="45"/>
      <c r="AG129" s="45"/>
      <c r="AH129" s="45"/>
      <c r="AI129" s="45"/>
      <c r="AJ129" s="45"/>
      <c r="AK129" s="45"/>
      <c r="AL129" s="45"/>
      <c r="AM129" s="45"/>
      <c r="AN129" s="45"/>
      <c r="AO129" s="42" t="s">
        <v>6241</v>
      </c>
      <c r="AP129" s="42" t="s">
        <v>6242</v>
      </c>
      <c r="AQ129" s="42" t="s">
        <v>3579</v>
      </c>
      <c r="AR129" s="42" t="s">
        <v>6243</v>
      </c>
      <c r="AS129" s="43" t="str">
        <f>+972 (0)58 612 3456</f>
        <v>#ERROR!</v>
      </c>
      <c r="AT129" s="42" t="s">
        <v>6244</v>
      </c>
      <c r="AU129" s="42" t="s">
        <v>6245</v>
      </c>
      <c r="AV129" s="43"/>
      <c r="AW129" s="42" t="s">
        <v>6246</v>
      </c>
      <c r="AX129" s="43"/>
      <c r="AY129" s="45"/>
      <c r="AZ129" s="42" t="s">
        <v>41</v>
      </c>
      <c r="BA129" s="45" t="str">
        <f>+972 (0)58 612 3456</f>
        <v>#ERROR!</v>
      </c>
      <c r="BB129" s="45"/>
      <c r="BC129" s="43"/>
      <c r="BD129" s="42" t="s">
        <v>3584</v>
      </c>
      <c r="BE129" s="42" t="s">
        <v>3584</v>
      </c>
      <c r="BF129" s="42" t="s">
        <v>6247</v>
      </c>
      <c r="BG129" s="42" t="s">
        <v>6248</v>
      </c>
      <c r="BH129" s="41">
        <v>2.0</v>
      </c>
      <c r="BI129" s="43"/>
      <c r="BJ129" s="43"/>
      <c r="BK129" s="43"/>
      <c r="BL129" s="42" t="s">
        <v>6249</v>
      </c>
      <c r="BM129" s="43"/>
      <c r="BN129" s="43"/>
      <c r="BO129" s="43"/>
      <c r="BP129" s="43"/>
      <c r="BQ129" s="45"/>
      <c r="BR129" s="45"/>
      <c r="BS129" s="43"/>
      <c r="BT129" s="45"/>
      <c r="BU129" s="43"/>
      <c r="BV129" s="42" t="s">
        <v>3589</v>
      </c>
      <c r="BW129" s="43"/>
      <c r="BX129" s="43"/>
      <c r="BY129" s="42" t="s">
        <v>3590</v>
      </c>
      <c r="BZ129" s="43"/>
      <c r="CA129" s="42" t="s">
        <v>3591</v>
      </c>
      <c r="CB129" s="45"/>
      <c r="CC129" s="45"/>
      <c r="CD129" s="43"/>
      <c r="CE129" s="45"/>
      <c r="CF129" s="43"/>
      <c r="CG129" s="42" t="s">
        <v>3589</v>
      </c>
      <c r="CH129" s="43"/>
      <c r="CI129" s="43"/>
      <c r="CJ129" s="42" t="s">
        <v>3590</v>
      </c>
      <c r="CK129" s="45"/>
      <c r="CL129" s="45"/>
      <c r="CM129" s="43"/>
      <c r="CN129" s="42" t="s">
        <v>3591</v>
      </c>
      <c r="CO129" s="47">
        <v>0.0</v>
      </c>
      <c r="CP129" s="41">
        <v>14.0</v>
      </c>
      <c r="CQ129" s="47">
        <v>0.0</v>
      </c>
      <c r="CR129" s="47">
        <v>0.0</v>
      </c>
      <c r="CS129" s="47">
        <v>0.0</v>
      </c>
      <c r="CT129" s="41">
        <v>12.0</v>
      </c>
      <c r="CU129" s="45"/>
      <c r="CV129" s="45"/>
      <c r="CW129" s="47">
        <v>0.0</v>
      </c>
      <c r="CX129" s="41">
        <v>12.0</v>
      </c>
      <c r="CY129" s="41" t="s">
        <v>5051</v>
      </c>
      <c r="CZ129" s="41">
        <v>7.0</v>
      </c>
      <c r="DA129" s="41" t="s">
        <v>3598</v>
      </c>
      <c r="DB129" s="47">
        <v>0.0</v>
      </c>
      <c r="DC129" s="41" t="s">
        <v>5856</v>
      </c>
      <c r="DD129" s="41">
        <v>3.0</v>
      </c>
      <c r="DE129" s="45"/>
      <c r="DF129" s="45"/>
      <c r="DG129" s="41" t="s">
        <v>5856</v>
      </c>
      <c r="DH129" s="41">
        <v>3.0</v>
      </c>
      <c r="DI129" s="45"/>
      <c r="DJ129" s="45"/>
      <c r="DK129" s="45"/>
      <c r="DL129" s="41">
        <v>3.0</v>
      </c>
      <c r="DM129" s="41">
        <v>0.0</v>
      </c>
      <c r="DN129" s="47">
        <v>0.0</v>
      </c>
      <c r="DO129" s="41" t="s">
        <v>3600</v>
      </c>
      <c r="DP129" s="46" t="s">
        <v>6250</v>
      </c>
      <c r="DQ129" s="45"/>
      <c r="DR129" s="45"/>
      <c r="DS129" s="45"/>
      <c r="DT129" s="45"/>
      <c r="DU129" s="45"/>
      <c r="DV129" s="45"/>
      <c r="DW129" s="43"/>
      <c r="DX129" s="45"/>
      <c r="DY129" s="43"/>
      <c r="DZ129" s="45"/>
      <c r="EA129" s="45"/>
      <c r="EB129" s="43"/>
      <c r="EC129" s="45"/>
      <c r="ED129" s="45"/>
      <c r="EE129" s="45"/>
      <c r="EF129" s="45"/>
      <c r="EG129" s="43"/>
      <c r="EH129" s="45"/>
      <c r="EI129" s="45"/>
      <c r="EJ129" s="45"/>
      <c r="EK129" s="43"/>
      <c r="EL129" s="45"/>
      <c r="EM129" s="45"/>
      <c r="EN129" s="45"/>
      <c r="EO129" s="45"/>
      <c r="EP129" s="48" t="s">
        <v>3559</v>
      </c>
    </row>
    <row r="130">
      <c r="A130" s="37"/>
      <c r="B130" s="35" t="s">
        <v>6251</v>
      </c>
      <c r="C130" s="34"/>
      <c r="D130" s="34"/>
      <c r="E130" s="34"/>
      <c r="F130" s="34"/>
      <c r="G130" s="35" t="s">
        <v>6252</v>
      </c>
      <c r="H130" s="35" t="s">
        <v>4560</v>
      </c>
      <c r="I130" s="35" t="s">
        <v>4561</v>
      </c>
      <c r="J130" s="35" t="s">
        <v>66</v>
      </c>
      <c r="K130" s="35" t="s">
        <v>4562</v>
      </c>
      <c r="L130" s="34"/>
      <c r="M130" s="35" t="s">
        <v>6253</v>
      </c>
      <c r="N130" s="35" t="s">
        <v>4923</v>
      </c>
      <c r="O130" s="35" t="s">
        <v>6254</v>
      </c>
      <c r="P130" s="35"/>
      <c r="R130" s="34"/>
      <c r="S130" s="35" t="s">
        <v>4925</v>
      </c>
      <c r="T130" s="35" t="s">
        <v>4926</v>
      </c>
      <c r="U130" s="36" t="s">
        <v>6255</v>
      </c>
      <c r="V130" s="36" t="s">
        <v>6256</v>
      </c>
      <c r="W130" s="32">
        <v>26.0</v>
      </c>
      <c r="X130" s="53">
        <v>84.39305555555555</v>
      </c>
      <c r="Y130" s="34"/>
      <c r="Z130" s="34"/>
      <c r="AA130" s="32">
        <v>1988.0</v>
      </c>
      <c r="AB130" s="34"/>
      <c r="AC130" s="34"/>
      <c r="AD130" s="34"/>
      <c r="AE130" s="37"/>
      <c r="AF130" s="37"/>
      <c r="AG130" s="37"/>
      <c r="AH130" s="37"/>
      <c r="AI130" s="37"/>
      <c r="AJ130" s="37"/>
      <c r="AK130" s="37"/>
      <c r="AL130" s="37"/>
      <c r="AM130" s="37"/>
      <c r="AN130" s="37"/>
      <c r="AO130" s="34"/>
      <c r="AP130" s="34"/>
      <c r="AQ130" s="34"/>
      <c r="AR130" s="34"/>
      <c r="AS130" s="34"/>
      <c r="AT130" s="35" t="s">
        <v>6257</v>
      </c>
      <c r="AU130" s="35" t="s">
        <v>6258</v>
      </c>
      <c r="AV130" s="34"/>
      <c r="AW130" s="35" t="s">
        <v>6259</v>
      </c>
      <c r="AX130" s="35" t="s">
        <v>485</v>
      </c>
      <c r="AY130" s="37"/>
      <c r="AZ130" s="35" t="s">
        <v>41</v>
      </c>
      <c r="BA130" s="37"/>
      <c r="BB130" s="37"/>
      <c r="BC130" s="35" t="s">
        <v>1206</v>
      </c>
      <c r="BD130" s="35" t="s">
        <v>3584</v>
      </c>
      <c r="BE130" s="35" t="s">
        <v>3584</v>
      </c>
      <c r="BF130" s="34"/>
      <c r="BG130" s="34"/>
      <c r="BH130" s="37"/>
      <c r="BI130" s="34"/>
      <c r="BJ130" s="34"/>
      <c r="BK130" s="34"/>
      <c r="BL130" s="34"/>
      <c r="BM130" s="34"/>
      <c r="BN130" s="34"/>
      <c r="BO130" s="34"/>
      <c r="BP130" s="34"/>
      <c r="BQ130" s="37"/>
      <c r="BR130" s="37"/>
      <c r="BS130" s="34"/>
      <c r="BT130" s="37"/>
      <c r="BU130" s="34"/>
      <c r="BV130" s="34"/>
      <c r="BW130" s="34"/>
      <c r="BX130" s="34"/>
      <c r="BY130" s="34"/>
      <c r="BZ130" s="34"/>
      <c r="CA130" s="34"/>
      <c r="CB130" s="37"/>
      <c r="CC130" s="37"/>
      <c r="CD130" s="34"/>
      <c r="CE130" s="37"/>
      <c r="CF130" s="34"/>
      <c r="CG130" s="34"/>
      <c r="CH130" s="34"/>
      <c r="CI130" s="34"/>
      <c r="CJ130" s="34"/>
      <c r="CK130" s="37"/>
      <c r="CL130" s="37"/>
      <c r="CM130" s="34"/>
      <c r="CN130" s="34"/>
      <c r="CO130" s="39">
        <v>0.0</v>
      </c>
      <c r="CP130" s="32">
        <v>14.0</v>
      </c>
      <c r="CQ130" s="39">
        <v>0.0</v>
      </c>
      <c r="CR130" s="39">
        <v>0.0</v>
      </c>
      <c r="CS130" s="39">
        <v>0.0</v>
      </c>
      <c r="CT130" s="32">
        <v>12.0</v>
      </c>
      <c r="CU130" s="37"/>
      <c r="CV130" s="37"/>
      <c r="CW130" s="39">
        <v>0.0</v>
      </c>
      <c r="CX130" s="32">
        <v>12.0</v>
      </c>
      <c r="CY130" s="32" t="s">
        <v>6260</v>
      </c>
      <c r="CZ130" s="32">
        <v>72.0</v>
      </c>
      <c r="DA130" s="32" t="s">
        <v>3598</v>
      </c>
      <c r="DB130" s="39">
        <v>0.0</v>
      </c>
      <c r="DC130" s="32" t="s">
        <v>6261</v>
      </c>
      <c r="DD130" s="32">
        <v>72.0</v>
      </c>
      <c r="DE130" s="37"/>
      <c r="DF130" s="37"/>
      <c r="DG130" s="32" t="s">
        <v>6261</v>
      </c>
      <c r="DH130" s="32">
        <v>72.0</v>
      </c>
      <c r="DI130" s="37"/>
      <c r="DJ130" s="37"/>
      <c r="DK130" s="37"/>
      <c r="DL130" s="32">
        <v>60.0</v>
      </c>
      <c r="DM130" s="32">
        <v>2.0</v>
      </c>
      <c r="DN130" s="39">
        <v>0.0345</v>
      </c>
      <c r="DO130" s="32" t="s">
        <v>5066</v>
      </c>
      <c r="DP130" s="38" t="s">
        <v>6262</v>
      </c>
      <c r="DQ130" s="37"/>
      <c r="DR130" s="37"/>
      <c r="DS130" s="37"/>
      <c r="DT130" s="37"/>
      <c r="DU130" s="37"/>
      <c r="DV130" s="37"/>
      <c r="DW130" s="34"/>
      <c r="DX130" s="37"/>
      <c r="DY130" s="34"/>
      <c r="DZ130" s="37"/>
      <c r="EA130" s="37"/>
      <c r="EB130" s="34"/>
      <c r="EC130" s="37"/>
      <c r="ED130" s="37"/>
      <c r="EE130" s="37"/>
      <c r="EF130" s="37"/>
      <c r="EG130" s="34"/>
      <c r="EH130" s="37"/>
      <c r="EI130" s="37"/>
      <c r="EJ130" s="37"/>
      <c r="EK130" s="34"/>
      <c r="EL130" s="37"/>
      <c r="EM130" s="37"/>
      <c r="EN130" s="37"/>
      <c r="EO130" s="37"/>
      <c r="EP130" s="40" t="s">
        <v>3559</v>
      </c>
    </row>
    <row r="131">
      <c r="A131" s="45"/>
      <c r="B131" s="42" t="s">
        <v>6098</v>
      </c>
      <c r="C131" s="43"/>
      <c r="D131" s="43"/>
      <c r="E131" s="42" t="s">
        <v>6263</v>
      </c>
      <c r="F131" s="43"/>
      <c r="G131" s="42" t="s">
        <v>6264</v>
      </c>
      <c r="H131" s="42" t="s">
        <v>4560</v>
      </c>
      <c r="I131" s="42" t="s">
        <v>4561</v>
      </c>
      <c r="J131" s="42" t="s">
        <v>66</v>
      </c>
      <c r="K131" s="42" t="s">
        <v>4562</v>
      </c>
      <c r="L131" s="43"/>
      <c r="M131" s="42" t="s">
        <v>6265</v>
      </c>
      <c r="N131" s="42" t="s">
        <v>4389</v>
      </c>
      <c r="O131" s="42" t="s">
        <v>6266</v>
      </c>
      <c r="P131" s="42"/>
      <c r="R131" s="42" t="s">
        <v>3571</v>
      </c>
      <c r="S131" s="42" t="s">
        <v>3572</v>
      </c>
      <c r="T131" s="42" t="s">
        <v>4989</v>
      </c>
      <c r="U131" s="44" t="s">
        <v>6267</v>
      </c>
      <c r="V131" s="44" t="s">
        <v>6268</v>
      </c>
      <c r="W131" s="52">
        <v>9000.0</v>
      </c>
      <c r="X131" s="42" t="s">
        <v>6269</v>
      </c>
      <c r="Y131" s="43"/>
      <c r="Z131" s="43"/>
      <c r="AA131" s="41">
        <v>1933.0</v>
      </c>
      <c r="AB131" s="43"/>
      <c r="AC131" s="43"/>
      <c r="AD131" s="43"/>
      <c r="AE131" s="51">
        <v>1071.94</v>
      </c>
      <c r="AF131" s="45"/>
      <c r="AG131" s="45"/>
      <c r="AH131" s="45"/>
      <c r="AI131" s="45"/>
      <c r="AJ131" s="45"/>
      <c r="AK131" s="45"/>
      <c r="AL131" s="45"/>
      <c r="AM131" s="45"/>
      <c r="AN131" s="41" t="s">
        <v>3716</v>
      </c>
      <c r="AO131" s="42" t="s">
        <v>6270</v>
      </c>
      <c r="AP131" s="42" t="s">
        <v>6271</v>
      </c>
      <c r="AQ131" s="42" t="s">
        <v>6272</v>
      </c>
      <c r="AR131" s="42" t="s">
        <v>6273</v>
      </c>
      <c r="AS131" s="43"/>
      <c r="AT131" s="42" t="s">
        <v>6274</v>
      </c>
      <c r="AU131" s="42" t="s">
        <v>6275</v>
      </c>
      <c r="AV131" s="42" t="s">
        <v>6276</v>
      </c>
      <c r="AW131" s="42" t="s">
        <v>223</v>
      </c>
      <c r="AX131" s="43"/>
      <c r="AY131" s="41">
        <v>5020000.0</v>
      </c>
      <c r="AZ131" s="42" t="s">
        <v>41</v>
      </c>
      <c r="BA131" s="45"/>
      <c r="BB131" s="45"/>
      <c r="BC131" s="43"/>
      <c r="BD131" s="42" t="s">
        <v>3584</v>
      </c>
      <c r="BE131" s="42" t="s">
        <v>3584</v>
      </c>
      <c r="BF131" s="42" t="s">
        <v>6277</v>
      </c>
      <c r="BG131" s="42" t="s">
        <v>6278</v>
      </c>
      <c r="BH131" s="41">
        <v>1.0</v>
      </c>
      <c r="BI131" s="43"/>
      <c r="BJ131" s="43"/>
      <c r="BK131" s="43"/>
      <c r="BL131" s="42" t="s">
        <v>6279</v>
      </c>
      <c r="BM131" s="43"/>
      <c r="BN131" s="43"/>
      <c r="BO131" s="43"/>
      <c r="BP131" s="42" t="s">
        <v>6280</v>
      </c>
      <c r="BQ131" s="46" t="s">
        <v>6281</v>
      </c>
      <c r="BR131" s="41">
        <v>826.64</v>
      </c>
      <c r="BS131" s="42" t="s">
        <v>3593</v>
      </c>
      <c r="BT131" s="51">
        <v>1408.24</v>
      </c>
      <c r="BU131" s="42" t="s">
        <v>3697</v>
      </c>
      <c r="BV131" s="42" t="s">
        <v>5005</v>
      </c>
      <c r="BW131" s="43"/>
      <c r="BX131" s="43"/>
      <c r="BY131" s="42" t="s">
        <v>4989</v>
      </c>
      <c r="BZ131" s="43"/>
      <c r="CA131" s="42" t="s">
        <v>3591</v>
      </c>
      <c r="CB131" s="46" t="s">
        <v>6281</v>
      </c>
      <c r="CC131" s="41">
        <v>826.64</v>
      </c>
      <c r="CD131" s="42" t="s">
        <v>3593</v>
      </c>
      <c r="CE131" s="51">
        <v>1408.24</v>
      </c>
      <c r="CF131" s="42" t="s">
        <v>3697</v>
      </c>
      <c r="CG131" s="42" t="s">
        <v>5005</v>
      </c>
      <c r="CH131" s="43"/>
      <c r="CI131" s="43"/>
      <c r="CJ131" s="42" t="s">
        <v>4989</v>
      </c>
      <c r="CK131" s="45"/>
      <c r="CL131" s="45"/>
      <c r="CM131" s="43"/>
      <c r="CN131" s="42" t="s">
        <v>3591</v>
      </c>
      <c r="CO131" s="47">
        <v>-0.0443</v>
      </c>
      <c r="CP131" s="41">
        <v>2.0</v>
      </c>
      <c r="CQ131" s="47">
        <v>0.0</v>
      </c>
      <c r="CR131" s="47">
        <v>0.0</v>
      </c>
      <c r="CS131" s="47">
        <v>-0.0443</v>
      </c>
      <c r="CT131" s="41">
        <v>2.0</v>
      </c>
      <c r="CU131" s="47">
        <v>-0.0277</v>
      </c>
      <c r="CV131" s="41">
        <v>5.0</v>
      </c>
      <c r="CW131" s="47">
        <v>-0.061</v>
      </c>
      <c r="CX131" s="41">
        <v>2.0</v>
      </c>
      <c r="CY131" s="41" t="s">
        <v>6282</v>
      </c>
      <c r="CZ131" s="41">
        <v>100.0</v>
      </c>
      <c r="DA131" s="41" t="s">
        <v>3598</v>
      </c>
      <c r="DB131" s="47">
        <v>0.0</v>
      </c>
      <c r="DC131" s="41" t="s">
        <v>6282</v>
      </c>
      <c r="DD131" s="41">
        <v>100.0</v>
      </c>
      <c r="DE131" s="41" t="s">
        <v>6283</v>
      </c>
      <c r="DF131" s="41">
        <v>97.0</v>
      </c>
      <c r="DG131" s="41" t="s">
        <v>6284</v>
      </c>
      <c r="DH131" s="41">
        <v>100.0</v>
      </c>
      <c r="DI131" s="52">
        <v>15396.0</v>
      </c>
      <c r="DJ131" s="41">
        <v>-94.0</v>
      </c>
      <c r="DK131" s="47">
        <v>-0.0061</v>
      </c>
      <c r="DL131" s="52">
        <v>2194.0</v>
      </c>
      <c r="DM131" s="41">
        <v>-112.0</v>
      </c>
      <c r="DN131" s="47">
        <v>-0.0486</v>
      </c>
      <c r="DO131" s="41" t="s">
        <v>3600</v>
      </c>
      <c r="DP131" s="46" t="s">
        <v>6285</v>
      </c>
      <c r="DQ131" s="45"/>
      <c r="DR131" s="45"/>
      <c r="DS131" s="45"/>
      <c r="DT131" s="45"/>
      <c r="DU131" s="45"/>
      <c r="DV131" s="45"/>
      <c r="DW131" s="43"/>
      <c r="DX131" s="45"/>
      <c r="DY131" s="43"/>
      <c r="DZ131" s="45"/>
      <c r="EA131" s="45"/>
      <c r="EB131" s="43"/>
      <c r="EC131" s="45"/>
      <c r="ED131" s="45"/>
      <c r="EE131" s="51">
        <v>1408.24</v>
      </c>
      <c r="EF131" s="46" t="s">
        <v>6281</v>
      </c>
      <c r="EG131" s="42" t="s">
        <v>5005</v>
      </c>
      <c r="EH131" s="45"/>
      <c r="EI131" s="45"/>
      <c r="EJ131" s="45"/>
      <c r="EK131" s="43"/>
      <c r="EL131" s="45"/>
      <c r="EM131" s="45"/>
      <c r="EN131" s="45"/>
      <c r="EO131" s="45"/>
      <c r="EP131" s="48" t="s">
        <v>3559</v>
      </c>
    </row>
    <row r="132">
      <c r="A132" s="37"/>
      <c r="B132" s="35" t="s">
        <v>6286</v>
      </c>
      <c r="C132" s="34"/>
      <c r="D132" s="34"/>
      <c r="E132" s="35" t="s">
        <v>6287</v>
      </c>
      <c r="F132" s="34"/>
      <c r="G132" s="35" t="s">
        <v>6288</v>
      </c>
      <c r="H132" s="35" t="s">
        <v>4560</v>
      </c>
      <c r="I132" s="35" t="s">
        <v>4561</v>
      </c>
      <c r="J132" s="35" t="s">
        <v>5511</v>
      </c>
      <c r="K132" s="35" t="s">
        <v>6289</v>
      </c>
      <c r="L132" s="34"/>
      <c r="M132" s="35" t="s">
        <v>6290</v>
      </c>
      <c r="N132" s="35" t="s">
        <v>4962</v>
      </c>
      <c r="O132" s="35" t="s">
        <v>6291</v>
      </c>
      <c r="P132" s="35"/>
      <c r="R132" s="35" t="s">
        <v>3571</v>
      </c>
      <c r="S132" s="35" t="s">
        <v>5020</v>
      </c>
      <c r="T132" s="35" t="s">
        <v>3603</v>
      </c>
      <c r="U132" s="36" t="s">
        <v>6292</v>
      </c>
      <c r="V132" s="34"/>
      <c r="W132" s="37"/>
      <c r="X132" s="34"/>
      <c r="Y132" s="34"/>
      <c r="Z132" s="34"/>
      <c r="AA132" s="37"/>
      <c r="AB132" s="34"/>
      <c r="AC132" s="34"/>
      <c r="AD132" s="34"/>
      <c r="AE132" s="32">
        <v>101.97</v>
      </c>
      <c r="AF132" s="37"/>
      <c r="AG132" s="37"/>
      <c r="AH132" s="37"/>
      <c r="AI132" s="37"/>
      <c r="AJ132" s="37"/>
      <c r="AK132" s="37"/>
      <c r="AL132" s="37"/>
      <c r="AM132" s="37"/>
      <c r="AN132" s="32" t="s">
        <v>6293</v>
      </c>
      <c r="AO132" s="34"/>
      <c r="AP132" s="34"/>
      <c r="AQ132" s="34"/>
      <c r="AR132" s="34"/>
      <c r="AS132" s="34"/>
      <c r="AT132" s="35" t="s">
        <v>5952</v>
      </c>
      <c r="AU132" s="35" t="s">
        <v>6294</v>
      </c>
      <c r="AV132" s="35" t="s">
        <v>6295</v>
      </c>
      <c r="AW132" s="35" t="s">
        <v>1928</v>
      </c>
      <c r="AX132" s="34"/>
      <c r="AY132" s="32">
        <v>4809157.0</v>
      </c>
      <c r="AZ132" s="35" t="s">
        <v>41</v>
      </c>
      <c r="BA132" s="37"/>
      <c r="BB132" s="37"/>
      <c r="BC132" s="34"/>
      <c r="BD132" s="35" t="s">
        <v>3584</v>
      </c>
      <c r="BE132" s="35" t="s">
        <v>3584</v>
      </c>
      <c r="BF132" s="35" t="s">
        <v>6296</v>
      </c>
      <c r="BG132" s="34"/>
      <c r="BH132" s="37"/>
      <c r="BI132" s="34"/>
      <c r="BJ132" s="35" t="s">
        <v>6297</v>
      </c>
      <c r="BK132" s="34"/>
      <c r="BL132" s="34"/>
      <c r="BM132" s="35" t="s">
        <v>6298</v>
      </c>
      <c r="BN132" s="34"/>
      <c r="BO132" s="34"/>
      <c r="BP132" s="35" t="s">
        <v>6299</v>
      </c>
      <c r="BQ132" s="38" t="s">
        <v>6300</v>
      </c>
      <c r="BR132" s="32">
        <v>61.76</v>
      </c>
      <c r="BS132" s="35" t="s">
        <v>3593</v>
      </c>
      <c r="BT132" s="32">
        <v>61.76</v>
      </c>
      <c r="BU132" s="35" t="s">
        <v>3697</v>
      </c>
      <c r="BV132" s="35" t="s">
        <v>4977</v>
      </c>
      <c r="BW132" s="35" t="s">
        <v>5708</v>
      </c>
      <c r="BX132" s="34"/>
      <c r="BY132" s="35" t="s">
        <v>3663</v>
      </c>
      <c r="BZ132" s="34"/>
      <c r="CA132" s="35" t="s">
        <v>3591</v>
      </c>
      <c r="CB132" s="38" t="s">
        <v>6300</v>
      </c>
      <c r="CC132" s="32">
        <v>61.76</v>
      </c>
      <c r="CD132" s="35" t="s">
        <v>3593</v>
      </c>
      <c r="CE132" s="32">
        <v>61.76</v>
      </c>
      <c r="CF132" s="35" t="s">
        <v>3697</v>
      </c>
      <c r="CG132" s="35" t="s">
        <v>4977</v>
      </c>
      <c r="CH132" s="35" t="s">
        <v>5708</v>
      </c>
      <c r="CI132" s="34"/>
      <c r="CJ132" s="35" t="s">
        <v>3663</v>
      </c>
      <c r="CK132" s="37"/>
      <c r="CL132" s="37"/>
      <c r="CM132" s="34"/>
      <c r="CN132" s="35" t="s">
        <v>3591</v>
      </c>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2" t="s">
        <v>3600</v>
      </c>
      <c r="DP132" s="38" t="s">
        <v>5350</v>
      </c>
      <c r="DQ132" s="37"/>
      <c r="DR132" s="37"/>
      <c r="DS132" s="37"/>
      <c r="DT132" s="37"/>
      <c r="DU132" s="37"/>
      <c r="DV132" s="37"/>
      <c r="DW132" s="34"/>
      <c r="DX132" s="37"/>
      <c r="DY132" s="34"/>
      <c r="DZ132" s="37"/>
      <c r="EA132" s="37"/>
      <c r="EB132" s="34"/>
      <c r="EC132" s="37"/>
      <c r="ED132" s="37"/>
      <c r="EE132" s="32">
        <v>61.76</v>
      </c>
      <c r="EF132" s="38" t="s">
        <v>6300</v>
      </c>
      <c r="EG132" s="35" t="s">
        <v>4977</v>
      </c>
      <c r="EH132" s="37"/>
      <c r="EI132" s="37"/>
      <c r="EJ132" s="37"/>
      <c r="EK132" s="34"/>
      <c r="EL132" s="37"/>
      <c r="EM132" s="37"/>
      <c r="EN132" s="37"/>
      <c r="EO132" s="37"/>
      <c r="EP132" s="40" t="s">
        <v>3559</v>
      </c>
    </row>
    <row r="133">
      <c r="A133" s="45"/>
      <c r="B133" s="42" t="s">
        <v>6301</v>
      </c>
      <c r="C133" s="43"/>
      <c r="D133" s="42" t="s">
        <v>6302</v>
      </c>
      <c r="E133" s="42" t="s">
        <v>6303</v>
      </c>
      <c r="F133" s="42" t="s">
        <v>6304</v>
      </c>
      <c r="G133" s="42" t="s">
        <v>6305</v>
      </c>
      <c r="H133" s="42" t="s">
        <v>4560</v>
      </c>
      <c r="I133" s="42" t="s">
        <v>4561</v>
      </c>
      <c r="J133" s="42" t="s">
        <v>5057</v>
      </c>
      <c r="K133" s="42" t="s">
        <v>6306</v>
      </c>
      <c r="L133" s="42" t="s">
        <v>6307</v>
      </c>
      <c r="M133" s="42" t="s">
        <v>6308</v>
      </c>
      <c r="N133" s="42" t="s">
        <v>4962</v>
      </c>
      <c r="O133" s="42" t="s">
        <v>6309</v>
      </c>
      <c r="P133" s="42"/>
      <c r="R133" s="42" t="s">
        <v>5412</v>
      </c>
      <c r="S133" s="42" t="s">
        <v>5236</v>
      </c>
      <c r="T133" s="42" t="s">
        <v>6132</v>
      </c>
      <c r="U133" s="44" t="s">
        <v>6310</v>
      </c>
      <c r="V133" s="44" t="s">
        <v>6311</v>
      </c>
      <c r="W133" s="52">
        <v>5540.0</v>
      </c>
      <c r="X133" s="42" t="s">
        <v>6312</v>
      </c>
      <c r="Y133" s="42" t="s">
        <v>5417</v>
      </c>
      <c r="Z133" s="42" t="s">
        <v>6313</v>
      </c>
      <c r="AA133" s="41">
        <v>1948.0</v>
      </c>
      <c r="AB133" s="43"/>
      <c r="AC133" s="43"/>
      <c r="AD133" s="43"/>
      <c r="AE133" s="51">
        <v>3475.5</v>
      </c>
      <c r="AF133" s="41">
        <v>846.0</v>
      </c>
      <c r="AG133" s="41">
        <v>483.6</v>
      </c>
      <c r="AH133" s="51">
        <v>2068.36</v>
      </c>
      <c r="AI133" s="41">
        <v>895.2</v>
      </c>
      <c r="AJ133" s="41">
        <v>621.7</v>
      </c>
      <c r="AK133" s="51">
        <v>3229.82</v>
      </c>
      <c r="AL133" s="41">
        <v>-464.9</v>
      </c>
      <c r="AM133" s="47">
        <v>0.0666</v>
      </c>
      <c r="AN133" s="41" t="s">
        <v>5245</v>
      </c>
      <c r="AO133" s="42" t="s">
        <v>6314</v>
      </c>
      <c r="AP133" s="42" t="s">
        <v>6315</v>
      </c>
      <c r="AQ133" s="42" t="s">
        <v>3982</v>
      </c>
      <c r="AR133" s="42" t="s">
        <v>6316</v>
      </c>
      <c r="AS133" s="43" t="str">
        <f>+972 (0)3 977 1111</f>
        <v>#ERROR!</v>
      </c>
      <c r="AT133" s="42" t="s">
        <v>6317</v>
      </c>
      <c r="AU133" s="42" t="s">
        <v>6318</v>
      </c>
      <c r="AV133" s="43"/>
      <c r="AW133" s="42" t="s">
        <v>246</v>
      </c>
      <c r="AX133" s="43"/>
      <c r="AY133" s="41">
        <v>7015001.0</v>
      </c>
      <c r="AZ133" s="42" t="s">
        <v>41</v>
      </c>
      <c r="BA133" s="45" t="str">
        <f>+972 (0)3 977 1111</f>
        <v>#ERROR!</v>
      </c>
      <c r="BB133" s="45" t="str">
        <f>+972 (0)3 971 7334</f>
        <v>#ERROR!</v>
      </c>
      <c r="BC133" s="43"/>
      <c r="BD133" s="42" t="s">
        <v>3584</v>
      </c>
      <c r="BE133" s="42" t="s">
        <v>3584</v>
      </c>
      <c r="BF133" s="42" t="s">
        <v>6319</v>
      </c>
      <c r="BG133" s="42" t="s">
        <v>6320</v>
      </c>
      <c r="BH133" s="41">
        <v>3.0</v>
      </c>
      <c r="BI133" s="43"/>
      <c r="BJ133" s="43"/>
      <c r="BK133" s="43"/>
      <c r="BL133" s="42" t="s">
        <v>6321</v>
      </c>
      <c r="BM133" s="43"/>
      <c r="BN133" s="43"/>
      <c r="BO133" s="42" t="s">
        <v>6322</v>
      </c>
      <c r="BP133" s="43"/>
      <c r="BQ133" s="46" t="s">
        <v>6323</v>
      </c>
      <c r="BR133" s="45"/>
      <c r="BS133" s="43"/>
      <c r="BT133" s="45"/>
      <c r="BU133" s="43"/>
      <c r="BV133" s="42" t="s">
        <v>4532</v>
      </c>
      <c r="BW133" s="43"/>
      <c r="BX133" s="43"/>
      <c r="BY133" s="42" t="s">
        <v>5764</v>
      </c>
      <c r="BZ133" s="43"/>
      <c r="CA133" s="42" t="s">
        <v>3591</v>
      </c>
      <c r="CB133" s="46" t="s">
        <v>4826</v>
      </c>
      <c r="CC133" s="41">
        <v>180.0</v>
      </c>
      <c r="CD133" s="42" t="s">
        <v>3593</v>
      </c>
      <c r="CE133" s="41">
        <v>319.43</v>
      </c>
      <c r="CF133" s="42" t="s">
        <v>3697</v>
      </c>
      <c r="CG133" s="42" t="s">
        <v>4977</v>
      </c>
      <c r="CH133" s="43"/>
      <c r="CI133" s="43"/>
      <c r="CJ133" s="42" t="s">
        <v>3663</v>
      </c>
      <c r="CK133" s="45"/>
      <c r="CL133" s="45"/>
      <c r="CM133" s="43"/>
      <c r="CN133" s="42" t="s">
        <v>3591</v>
      </c>
      <c r="CO133" s="47">
        <v>-0.0108</v>
      </c>
      <c r="CP133" s="41">
        <v>6.0</v>
      </c>
      <c r="CQ133" s="47">
        <v>0.0</v>
      </c>
      <c r="CR133" s="47">
        <v>-1.0E-4</v>
      </c>
      <c r="CS133" s="47">
        <v>-0.0229</v>
      </c>
      <c r="CT133" s="41">
        <v>4.0</v>
      </c>
      <c r="CU133" s="47">
        <v>-0.0084</v>
      </c>
      <c r="CV133" s="41">
        <v>8.0</v>
      </c>
      <c r="CW133" s="47">
        <v>-0.0374</v>
      </c>
      <c r="CX133" s="41">
        <v>3.0</v>
      </c>
      <c r="CY133" s="41" t="s">
        <v>6324</v>
      </c>
      <c r="CZ133" s="41">
        <v>100.0</v>
      </c>
      <c r="DA133" s="41" t="s">
        <v>4157</v>
      </c>
      <c r="DB133" s="47">
        <v>0.0</v>
      </c>
      <c r="DC133" s="41" t="s">
        <v>6325</v>
      </c>
      <c r="DD133" s="41">
        <v>100.0</v>
      </c>
      <c r="DE133" s="41" t="s">
        <v>6326</v>
      </c>
      <c r="DF133" s="41">
        <v>100.0</v>
      </c>
      <c r="DG133" s="41" t="s">
        <v>6327</v>
      </c>
      <c r="DH133" s="41">
        <v>100.0</v>
      </c>
      <c r="DI133" s="52">
        <v>414841.0</v>
      </c>
      <c r="DJ133" s="52">
        <v>-4272.0</v>
      </c>
      <c r="DK133" s="47">
        <v>-0.0102</v>
      </c>
      <c r="DL133" s="52">
        <v>6769.0</v>
      </c>
      <c r="DM133" s="41">
        <v>-197.0</v>
      </c>
      <c r="DN133" s="47">
        <v>-0.0283</v>
      </c>
      <c r="DO133" s="41" t="s">
        <v>3600</v>
      </c>
      <c r="DP133" s="46" t="s">
        <v>6328</v>
      </c>
      <c r="DQ133" s="45"/>
      <c r="DR133" s="45"/>
      <c r="DS133" s="45"/>
      <c r="DT133" s="45"/>
      <c r="DU133" s="45"/>
      <c r="DV133" s="45"/>
      <c r="DW133" s="43"/>
      <c r="DX133" s="45"/>
      <c r="DY133" s="43"/>
      <c r="DZ133" s="45"/>
      <c r="EA133" s="45"/>
      <c r="EB133" s="43"/>
      <c r="EC133" s="45"/>
      <c r="ED133" s="45"/>
      <c r="EE133" s="41">
        <v>319.43</v>
      </c>
      <c r="EF133" s="46" t="s">
        <v>4826</v>
      </c>
      <c r="EG133" s="42" t="s">
        <v>4977</v>
      </c>
      <c r="EH133" s="45"/>
      <c r="EI133" s="45"/>
      <c r="EJ133" s="45"/>
      <c r="EK133" s="43"/>
      <c r="EL133" s="45"/>
      <c r="EM133" s="45"/>
      <c r="EN133" s="45"/>
      <c r="EO133" s="45"/>
      <c r="EP133" s="48" t="s">
        <v>3559</v>
      </c>
    </row>
    <row r="134">
      <c r="A134" s="32">
        <v>17.7</v>
      </c>
      <c r="B134" s="35" t="s">
        <v>6329</v>
      </c>
      <c r="C134" s="34"/>
      <c r="D134" s="34"/>
      <c r="E134" s="34"/>
      <c r="F134" s="34"/>
      <c r="G134" s="35" t="s">
        <v>6330</v>
      </c>
      <c r="H134" s="35" t="s">
        <v>30</v>
      </c>
      <c r="I134" s="35" t="s">
        <v>6331</v>
      </c>
      <c r="J134" s="35" t="s">
        <v>6331</v>
      </c>
      <c r="K134" s="35" t="s">
        <v>6332</v>
      </c>
      <c r="L134" s="35" t="s">
        <v>6333</v>
      </c>
      <c r="M134" s="35" t="s">
        <v>6334</v>
      </c>
      <c r="N134" s="35" t="s">
        <v>5018</v>
      </c>
      <c r="O134" s="35" t="s">
        <v>6335</v>
      </c>
      <c r="P134" s="35"/>
      <c r="R134" s="35" t="s">
        <v>6336</v>
      </c>
      <c r="S134" s="35" t="s">
        <v>3572</v>
      </c>
      <c r="T134" s="35" t="s">
        <v>3573</v>
      </c>
      <c r="U134" s="34"/>
      <c r="V134" s="34"/>
      <c r="W134" s="37"/>
      <c r="X134" s="34"/>
      <c r="Y134" s="34"/>
      <c r="Z134" s="34"/>
      <c r="AA134" s="32">
        <v>2016.0</v>
      </c>
      <c r="AB134" s="34"/>
      <c r="AC134" s="34"/>
      <c r="AD134" s="34"/>
      <c r="AE134" s="37"/>
      <c r="AF134" s="37"/>
      <c r="AG134" s="37"/>
      <c r="AH134" s="37"/>
      <c r="AI134" s="37"/>
      <c r="AJ134" s="37"/>
      <c r="AK134" s="37"/>
      <c r="AL134" s="37"/>
      <c r="AM134" s="37"/>
      <c r="AN134" s="37"/>
      <c r="AO134" s="34"/>
      <c r="AP134" s="34"/>
      <c r="AQ134" s="34"/>
      <c r="AR134" s="34"/>
      <c r="AS134" s="34"/>
      <c r="AT134" s="35" t="s">
        <v>4448</v>
      </c>
      <c r="AU134" s="35" t="s">
        <v>6337</v>
      </c>
      <c r="AV134" s="35" t="s">
        <v>6338</v>
      </c>
      <c r="AW134" s="35" t="s">
        <v>485</v>
      </c>
      <c r="AX134" s="34"/>
      <c r="AY134" s="32">
        <v>3100401.0</v>
      </c>
      <c r="AZ134" s="35" t="s">
        <v>41</v>
      </c>
      <c r="BA134" s="37"/>
      <c r="BB134" s="37"/>
      <c r="BC134" s="34"/>
      <c r="BD134" s="35" t="s">
        <v>3584</v>
      </c>
      <c r="BE134" s="35" t="s">
        <v>3584</v>
      </c>
      <c r="BF134" s="35" t="s">
        <v>6339</v>
      </c>
      <c r="BG134" s="34"/>
      <c r="BH134" s="37"/>
      <c r="BI134" s="34"/>
      <c r="BJ134" s="34"/>
      <c r="BK134" s="34"/>
      <c r="BL134" s="34"/>
      <c r="BM134" s="34"/>
      <c r="BN134" s="34"/>
      <c r="BO134" s="34"/>
      <c r="BP134" s="34"/>
      <c r="BQ134" s="38" t="s">
        <v>6340</v>
      </c>
      <c r="BR134" s="32">
        <v>17.7</v>
      </c>
      <c r="BS134" s="35" t="s">
        <v>3593</v>
      </c>
      <c r="BT134" s="32">
        <v>88.5</v>
      </c>
      <c r="BU134" s="35" t="s">
        <v>3593</v>
      </c>
      <c r="BV134" s="35" t="s">
        <v>3669</v>
      </c>
      <c r="BW134" s="35" t="s">
        <v>3595</v>
      </c>
      <c r="BX134" s="34"/>
      <c r="BY134" s="35" t="s">
        <v>3573</v>
      </c>
      <c r="BZ134" s="34"/>
      <c r="CA134" s="35" t="s">
        <v>3591</v>
      </c>
      <c r="CB134" s="38" t="s">
        <v>6341</v>
      </c>
      <c r="CC134" s="37"/>
      <c r="CD134" s="34"/>
      <c r="CE134" s="37"/>
      <c r="CF134" s="34"/>
      <c r="CG134" s="35" t="s">
        <v>3830</v>
      </c>
      <c r="CH134" s="34"/>
      <c r="CI134" s="34"/>
      <c r="CJ134" s="35" t="s">
        <v>3590</v>
      </c>
      <c r="CK134" s="37"/>
      <c r="CL134" s="37"/>
      <c r="CM134" s="34"/>
      <c r="CN134" s="35" t="s">
        <v>3591</v>
      </c>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2" t="s">
        <v>3600</v>
      </c>
      <c r="DP134" s="38" t="s">
        <v>6342</v>
      </c>
      <c r="DQ134" s="37"/>
      <c r="DR134" s="37"/>
      <c r="DS134" s="37"/>
      <c r="DT134" s="37"/>
      <c r="DU134" s="37"/>
      <c r="DV134" s="37"/>
      <c r="DW134" s="34"/>
      <c r="DX134" s="37"/>
      <c r="DY134" s="34"/>
      <c r="DZ134" s="37"/>
      <c r="EA134" s="37"/>
      <c r="EB134" s="34"/>
      <c r="EC134" s="37"/>
      <c r="ED134" s="37"/>
      <c r="EE134" s="32">
        <v>88.5</v>
      </c>
      <c r="EF134" s="38" t="s">
        <v>6340</v>
      </c>
      <c r="EG134" s="35" t="s">
        <v>3669</v>
      </c>
      <c r="EH134" s="37"/>
      <c r="EI134" s="37"/>
      <c r="EJ134" s="37"/>
      <c r="EK134" s="34"/>
      <c r="EL134" s="37"/>
      <c r="EM134" s="37"/>
      <c r="EN134" s="37"/>
      <c r="EO134" s="37"/>
      <c r="EP134" s="40" t="s">
        <v>3559</v>
      </c>
    </row>
    <row r="135">
      <c r="A135" s="41">
        <v>44.04</v>
      </c>
      <c r="B135" s="42" t="s">
        <v>6343</v>
      </c>
      <c r="C135" s="43"/>
      <c r="D135" s="43"/>
      <c r="E135" s="42" t="s">
        <v>6344</v>
      </c>
      <c r="F135" s="43"/>
      <c r="G135" s="42" t="s">
        <v>6345</v>
      </c>
      <c r="H135" s="42" t="s">
        <v>4560</v>
      </c>
      <c r="I135" s="42" t="s">
        <v>4561</v>
      </c>
      <c r="J135" s="42" t="s">
        <v>66</v>
      </c>
      <c r="K135" s="42" t="s">
        <v>4562</v>
      </c>
      <c r="L135" s="43"/>
      <c r="M135" s="42" t="s">
        <v>6346</v>
      </c>
      <c r="N135" s="42" t="s">
        <v>4923</v>
      </c>
      <c r="O135" s="42" t="s">
        <v>6347</v>
      </c>
      <c r="P135" s="42"/>
      <c r="R135" s="42" t="s">
        <v>3571</v>
      </c>
      <c r="S135" s="42" t="s">
        <v>5236</v>
      </c>
      <c r="T135" s="42" t="s">
        <v>5568</v>
      </c>
      <c r="U135" s="44" t="s">
        <v>6348</v>
      </c>
      <c r="V135" s="44" t="s">
        <v>6349</v>
      </c>
      <c r="W135" s="45"/>
      <c r="X135" s="43"/>
      <c r="Y135" s="42" t="s">
        <v>5417</v>
      </c>
      <c r="Z135" s="42" t="s">
        <v>6350</v>
      </c>
      <c r="AA135" s="41">
        <v>1965.0</v>
      </c>
      <c r="AB135" s="43"/>
      <c r="AC135" s="43"/>
      <c r="AD135" s="43"/>
      <c r="AE135" s="45"/>
      <c r="AF135" s="45"/>
      <c r="AG135" s="45"/>
      <c r="AH135" s="45"/>
      <c r="AI135" s="45"/>
      <c r="AJ135" s="45"/>
      <c r="AK135" s="41">
        <v>271.03</v>
      </c>
      <c r="AL135" s="45"/>
      <c r="AM135" s="45"/>
      <c r="AN135" s="45"/>
      <c r="AO135" s="42" t="s">
        <v>6351</v>
      </c>
      <c r="AP135" s="42" t="s">
        <v>6352</v>
      </c>
      <c r="AQ135" s="42" t="s">
        <v>6353</v>
      </c>
      <c r="AR135" s="42" t="s">
        <v>6354</v>
      </c>
      <c r="AS135" s="43"/>
      <c r="AT135" s="42" t="s">
        <v>3581</v>
      </c>
      <c r="AU135" s="42" t="s">
        <v>6355</v>
      </c>
      <c r="AV135" s="43"/>
      <c r="AW135" s="42" t="s">
        <v>75</v>
      </c>
      <c r="AX135" s="43"/>
      <c r="AY135" s="45"/>
      <c r="AZ135" s="42" t="s">
        <v>41</v>
      </c>
      <c r="BA135" s="45"/>
      <c r="BB135" s="45"/>
      <c r="BC135" s="43"/>
      <c r="BD135" s="42" t="s">
        <v>3584</v>
      </c>
      <c r="BE135" s="42" t="s">
        <v>3584</v>
      </c>
      <c r="BF135" s="42" t="s">
        <v>6356</v>
      </c>
      <c r="BG135" s="43"/>
      <c r="BH135" s="45"/>
      <c r="BI135" s="43"/>
      <c r="BJ135" s="43"/>
      <c r="BK135" s="43"/>
      <c r="BL135" s="43"/>
      <c r="BM135" s="43"/>
      <c r="BN135" s="43"/>
      <c r="BO135" s="43"/>
      <c r="BP135" s="43"/>
      <c r="BQ135" s="46" t="s">
        <v>6357</v>
      </c>
      <c r="BR135" s="41">
        <v>44.04</v>
      </c>
      <c r="BS135" s="42" t="s">
        <v>3593</v>
      </c>
      <c r="BT135" s="41">
        <v>209.19</v>
      </c>
      <c r="BU135" s="42" t="s">
        <v>3697</v>
      </c>
      <c r="BV135" s="42" t="s">
        <v>4532</v>
      </c>
      <c r="BW135" s="43"/>
      <c r="BX135" s="43"/>
      <c r="BY135" s="42" t="s">
        <v>5764</v>
      </c>
      <c r="BZ135" s="43"/>
      <c r="CA135" s="42" t="s">
        <v>3591</v>
      </c>
      <c r="CB135" s="46" t="s">
        <v>6357</v>
      </c>
      <c r="CC135" s="41">
        <v>44.04</v>
      </c>
      <c r="CD135" s="42" t="s">
        <v>3593</v>
      </c>
      <c r="CE135" s="41">
        <v>209.19</v>
      </c>
      <c r="CF135" s="42" t="s">
        <v>3697</v>
      </c>
      <c r="CG135" s="42" t="s">
        <v>4532</v>
      </c>
      <c r="CH135" s="43"/>
      <c r="CI135" s="43"/>
      <c r="CJ135" s="42" t="s">
        <v>5764</v>
      </c>
      <c r="CK135" s="45"/>
      <c r="CL135" s="45"/>
      <c r="CM135" s="43"/>
      <c r="CN135" s="42" t="s">
        <v>3591</v>
      </c>
      <c r="CO135" s="47">
        <v>0.0074</v>
      </c>
      <c r="CP135" s="41">
        <v>95.0</v>
      </c>
      <c r="CQ135" s="47">
        <v>-0.0015</v>
      </c>
      <c r="CR135" s="47">
        <v>-0.1654</v>
      </c>
      <c r="CS135" s="47">
        <v>0.0074</v>
      </c>
      <c r="CT135" s="41">
        <v>96.0</v>
      </c>
      <c r="CU135" s="45"/>
      <c r="CV135" s="45"/>
      <c r="CW135" s="47">
        <v>0.0074</v>
      </c>
      <c r="CX135" s="41">
        <v>96.0</v>
      </c>
      <c r="CY135" s="41" t="s">
        <v>6358</v>
      </c>
      <c r="CZ135" s="41">
        <v>96.0</v>
      </c>
      <c r="DA135" s="41" t="s">
        <v>3598</v>
      </c>
      <c r="DB135" s="47">
        <v>0.0</v>
      </c>
      <c r="DC135" s="41" t="s">
        <v>6358</v>
      </c>
      <c r="DD135" s="41">
        <v>96.0</v>
      </c>
      <c r="DE135" s="45"/>
      <c r="DF135" s="45"/>
      <c r="DG135" s="41" t="s">
        <v>6358</v>
      </c>
      <c r="DH135" s="41">
        <v>96.0</v>
      </c>
      <c r="DI135" s="52">
        <v>16156.0</v>
      </c>
      <c r="DJ135" s="52">
        <v>1226.0</v>
      </c>
      <c r="DK135" s="47">
        <v>0.0821</v>
      </c>
      <c r="DL135" s="41">
        <v>471.0</v>
      </c>
      <c r="DM135" s="41">
        <v>2.0</v>
      </c>
      <c r="DN135" s="47">
        <v>0.0043</v>
      </c>
      <c r="DO135" s="41" t="s">
        <v>3600</v>
      </c>
      <c r="DP135" s="46" t="s">
        <v>6359</v>
      </c>
      <c r="DQ135" s="45"/>
      <c r="DR135" s="45"/>
      <c r="DS135" s="45"/>
      <c r="DT135" s="45"/>
      <c r="DU135" s="45"/>
      <c r="DV135" s="45"/>
      <c r="DW135" s="43"/>
      <c r="DX135" s="45"/>
      <c r="DY135" s="43"/>
      <c r="DZ135" s="45"/>
      <c r="EA135" s="45"/>
      <c r="EB135" s="43"/>
      <c r="EC135" s="45"/>
      <c r="ED135" s="45"/>
      <c r="EE135" s="41">
        <v>209.19</v>
      </c>
      <c r="EF135" s="46" t="s">
        <v>6357</v>
      </c>
      <c r="EG135" s="42" t="s">
        <v>4532</v>
      </c>
      <c r="EH135" s="45"/>
      <c r="EI135" s="45"/>
      <c r="EJ135" s="45"/>
      <c r="EK135" s="43"/>
      <c r="EL135" s="45"/>
      <c r="EM135" s="45"/>
      <c r="EN135" s="45"/>
      <c r="EO135" s="45"/>
      <c r="EP135" s="48" t="s">
        <v>3559</v>
      </c>
    </row>
    <row r="136">
      <c r="A136" s="32">
        <v>71.91</v>
      </c>
      <c r="B136" s="35" t="s">
        <v>6360</v>
      </c>
      <c r="C136" s="35" t="s">
        <v>6361</v>
      </c>
      <c r="D136" s="35" t="s">
        <v>6362</v>
      </c>
      <c r="E136" s="35" t="s">
        <v>6363</v>
      </c>
      <c r="F136" s="34"/>
      <c r="G136" s="35" t="s">
        <v>6364</v>
      </c>
      <c r="H136" s="35" t="s">
        <v>4560</v>
      </c>
      <c r="I136" s="35" t="s">
        <v>4561</v>
      </c>
      <c r="J136" s="35" t="s">
        <v>66</v>
      </c>
      <c r="K136" s="35" t="s">
        <v>6365</v>
      </c>
      <c r="L136" s="35" t="s">
        <v>4563</v>
      </c>
      <c r="M136" s="35" t="s">
        <v>6366</v>
      </c>
      <c r="N136" s="35" t="s">
        <v>5018</v>
      </c>
      <c r="O136" s="35" t="s">
        <v>6367</v>
      </c>
      <c r="P136" s="35"/>
      <c r="R136" s="35" t="s">
        <v>5412</v>
      </c>
      <c r="S136" s="35" t="s">
        <v>5236</v>
      </c>
      <c r="T136" s="35" t="s">
        <v>5413</v>
      </c>
      <c r="U136" s="36" t="s">
        <v>6368</v>
      </c>
      <c r="V136" s="36" t="s">
        <v>6369</v>
      </c>
      <c r="W136" s="32">
        <v>153.0</v>
      </c>
      <c r="X136" s="35" t="s">
        <v>6370</v>
      </c>
      <c r="Y136" s="35" t="s">
        <v>5417</v>
      </c>
      <c r="Z136" s="35" t="s">
        <v>6371</v>
      </c>
      <c r="AA136" s="32">
        <v>2013.0</v>
      </c>
      <c r="AB136" s="34"/>
      <c r="AC136" s="34"/>
      <c r="AD136" s="34"/>
      <c r="AE136" s="32">
        <v>3.69</v>
      </c>
      <c r="AF136" s="32">
        <v>1.11</v>
      </c>
      <c r="AG136" s="32">
        <v>-30.01</v>
      </c>
      <c r="AH136" s="32">
        <v>241.69</v>
      </c>
      <c r="AI136" s="32">
        <v>-29.69</v>
      </c>
      <c r="AJ136" s="32">
        <v>-30.48</v>
      </c>
      <c r="AK136" s="32">
        <v>337.36</v>
      </c>
      <c r="AL136" s="32">
        <v>-9.33</v>
      </c>
      <c r="AM136" s="39">
        <v>-0.6615</v>
      </c>
      <c r="AN136" s="32" t="s">
        <v>5245</v>
      </c>
      <c r="AO136" s="35" t="s">
        <v>6372</v>
      </c>
      <c r="AP136" s="35" t="s">
        <v>599</v>
      </c>
      <c r="AQ136" s="35" t="s">
        <v>3579</v>
      </c>
      <c r="AR136" s="35" t="s">
        <v>600</v>
      </c>
      <c r="AS136" s="34"/>
      <c r="AT136" s="35" t="s">
        <v>6373</v>
      </c>
      <c r="AU136" s="35" t="s">
        <v>6374</v>
      </c>
      <c r="AV136" s="34"/>
      <c r="AW136" s="35" t="s">
        <v>603</v>
      </c>
      <c r="AX136" s="34"/>
      <c r="AY136" s="32">
        <v>4029800.0</v>
      </c>
      <c r="AZ136" s="35" t="s">
        <v>41</v>
      </c>
      <c r="BA136" s="37"/>
      <c r="BB136" s="37"/>
      <c r="BC136" s="35" t="s">
        <v>604</v>
      </c>
      <c r="BD136" s="35" t="s">
        <v>3584</v>
      </c>
      <c r="BE136" s="35" t="s">
        <v>3584</v>
      </c>
      <c r="BF136" s="35" t="s">
        <v>6375</v>
      </c>
      <c r="BG136" s="35" t="s">
        <v>6376</v>
      </c>
      <c r="BH136" s="32">
        <v>7.0</v>
      </c>
      <c r="BI136" s="34"/>
      <c r="BJ136" s="35" t="s">
        <v>6377</v>
      </c>
      <c r="BK136" s="34"/>
      <c r="BL136" s="35" t="s">
        <v>6378</v>
      </c>
      <c r="BM136" s="35" t="s">
        <v>6379</v>
      </c>
      <c r="BN136" s="34"/>
      <c r="BO136" s="34"/>
      <c r="BP136" s="35" t="s">
        <v>6380</v>
      </c>
      <c r="BQ136" s="38" t="s">
        <v>6381</v>
      </c>
      <c r="BR136" s="37"/>
      <c r="BS136" s="34"/>
      <c r="BT136" s="37"/>
      <c r="BU136" s="34"/>
      <c r="BV136" s="35" t="s">
        <v>3669</v>
      </c>
      <c r="BW136" s="34"/>
      <c r="BX136" s="34"/>
      <c r="BY136" s="35" t="s">
        <v>3573</v>
      </c>
      <c r="BZ136" s="34"/>
      <c r="CA136" s="35" t="s">
        <v>3591</v>
      </c>
      <c r="CB136" s="38" t="s">
        <v>6382</v>
      </c>
      <c r="CC136" s="32">
        <v>13.34</v>
      </c>
      <c r="CD136" s="35" t="s">
        <v>3593</v>
      </c>
      <c r="CE136" s="37"/>
      <c r="CF136" s="34"/>
      <c r="CG136" s="35" t="s">
        <v>5257</v>
      </c>
      <c r="CH136" s="34"/>
      <c r="CI136" s="34"/>
      <c r="CJ136" s="35" t="s">
        <v>3663</v>
      </c>
      <c r="CK136" s="37"/>
      <c r="CL136" s="37"/>
      <c r="CM136" s="34"/>
      <c r="CN136" s="35" t="s">
        <v>3591</v>
      </c>
      <c r="CO136" s="39">
        <v>-0.0103</v>
      </c>
      <c r="CP136" s="32">
        <v>6.0</v>
      </c>
      <c r="CQ136" s="39">
        <v>0.0</v>
      </c>
      <c r="CR136" s="39">
        <v>0.0</v>
      </c>
      <c r="CS136" s="39">
        <v>-0.0103</v>
      </c>
      <c r="CT136" s="32">
        <v>6.0</v>
      </c>
      <c r="CU136" s="37"/>
      <c r="CV136" s="37"/>
      <c r="CW136" s="39">
        <v>-0.0103</v>
      </c>
      <c r="CX136" s="32">
        <v>5.0</v>
      </c>
      <c r="CY136" s="32" t="s">
        <v>6383</v>
      </c>
      <c r="CZ136" s="32">
        <v>98.0</v>
      </c>
      <c r="DA136" s="32" t="s">
        <v>3598</v>
      </c>
      <c r="DB136" s="39">
        <v>0.0</v>
      </c>
      <c r="DC136" s="32" t="s">
        <v>6383</v>
      </c>
      <c r="DD136" s="32">
        <v>98.0</v>
      </c>
      <c r="DE136" s="37"/>
      <c r="DF136" s="37"/>
      <c r="DG136" s="32" t="s">
        <v>6383</v>
      </c>
      <c r="DH136" s="32">
        <v>98.0</v>
      </c>
      <c r="DI136" s="37"/>
      <c r="DJ136" s="37"/>
      <c r="DK136" s="37"/>
      <c r="DL136" s="32">
        <v>875.0</v>
      </c>
      <c r="DM136" s="32">
        <v>-4.0</v>
      </c>
      <c r="DN136" s="39">
        <v>-0.0046</v>
      </c>
      <c r="DO136" s="32" t="s">
        <v>3600</v>
      </c>
      <c r="DP136" s="38" t="s">
        <v>4020</v>
      </c>
      <c r="DQ136" s="32">
        <v>37.0</v>
      </c>
      <c r="DR136" s="32">
        <v>12.0</v>
      </c>
      <c r="DS136" s="32">
        <v>17.0</v>
      </c>
      <c r="DT136" s="32">
        <v>18.0</v>
      </c>
      <c r="DU136" s="32">
        <v>2.0</v>
      </c>
      <c r="DV136" s="32">
        <v>2.0</v>
      </c>
      <c r="DW136" s="35" t="s">
        <v>6384</v>
      </c>
      <c r="DX136" s="37"/>
      <c r="DY136" s="34"/>
      <c r="DZ136" s="37"/>
      <c r="EA136" s="37"/>
      <c r="EB136" s="34"/>
      <c r="EC136" s="37"/>
      <c r="ED136" s="37"/>
      <c r="EE136" s="32">
        <v>286.03</v>
      </c>
      <c r="EF136" s="38" t="s">
        <v>6385</v>
      </c>
      <c r="EG136" s="35" t="s">
        <v>5257</v>
      </c>
      <c r="EH136" s="37"/>
      <c r="EI136" s="37"/>
      <c r="EJ136" s="37"/>
      <c r="EK136" s="34"/>
      <c r="EL136" s="37"/>
      <c r="EM136" s="37"/>
      <c r="EN136" s="37"/>
      <c r="EO136" s="37"/>
      <c r="EP136" s="40" t="s">
        <v>3559</v>
      </c>
    </row>
    <row r="137">
      <c r="A137" s="45"/>
      <c r="B137" s="42" t="s">
        <v>6386</v>
      </c>
      <c r="C137" s="43"/>
      <c r="D137" s="43"/>
      <c r="E137" s="42" t="s">
        <v>6387</v>
      </c>
      <c r="F137" s="43"/>
      <c r="G137" s="42" t="s">
        <v>6388</v>
      </c>
      <c r="H137" s="42" t="s">
        <v>3867</v>
      </c>
      <c r="I137" s="42" t="s">
        <v>3868</v>
      </c>
      <c r="J137" s="42" t="s">
        <v>3869</v>
      </c>
      <c r="K137" s="42" t="s">
        <v>6389</v>
      </c>
      <c r="L137" s="42" t="s">
        <v>6390</v>
      </c>
      <c r="M137" s="42" t="s">
        <v>6391</v>
      </c>
      <c r="N137" s="42" t="s">
        <v>4923</v>
      </c>
      <c r="O137" s="42" t="s">
        <v>6392</v>
      </c>
      <c r="P137" s="42"/>
      <c r="R137" s="42" t="s">
        <v>5222</v>
      </c>
      <c r="S137" s="42" t="s">
        <v>5222</v>
      </c>
      <c r="T137" s="42" t="s">
        <v>4926</v>
      </c>
      <c r="U137" s="44" t="s">
        <v>6393</v>
      </c>
      <c r="V137" s="43"/>
      <c r="W137" s="45"/>
      <c r="X137" s="43"/>
      <c r="Y137" s="43"/>
      <c r="Z137" s="43"/>
      <c r="AA137" s="41">
        <v>2021.0</v>
      </c>
      <c r="AB137" s="43"/>
      <c r="AC137" s="43"/>
      <c r="AD137" s="43"/>
      <c r="AE137" s="45"/>
      <c r="AF137" s="45"/>
      <c r="AG137" s="45"/>
      <c r="AH137" s="45"/>
      <c r="AI137" s="45"/>
      <c r="AJ137" s="45"/>
      <c r="AK137" s="45"/>
      <c r="AL137" s="45"/>
      <c r="AM137" s="45"/>
      <c r="AN137" s="45"/>
      <c r="AO137" s="43"/>
      <c r="AP137" s="43"/>
      <c r="AQ137" s="43"/>
      <c r="AR137" s="43"/>
      <c r="AS137" s="43"/>
      <c r="AT137" s="42" t="s">
        <v>41</v>
      </c>
      <c r="AU137" s="43"/>
      <c r="AV137" s="43"/>
      <c r="AW137" s="43"/>
      <c r="AX137" s="43"/>
      <c r="AY137" s="45"/>
      <c r="AZ137" s="42" t="s">
        <v>41</v>
      </c>
      <c r="BA137" s="45"/>
      <c r="BB137" s="45"/>
      <c r="BC137" s="43"/>
      <c r="BD137" s="42" t="s">
        <v>3584</v>
      </c>
      <c r="BE137" s="42" t="s">
        <v>3584</v>
      </c>
      <c r="BF137" s="42" t="s">
        <v>5332</v>
      </c>
      <c r="BG137" s="43"/>
      <c r="BH137" s="45"/>
      <c r="BI137" s="43"/>
      <c r="BJ137" s="43"/>
      <c r="BK137" s="43"/>
      <c r="BL137" s="43"/>
      <c r="BM137" s="43"/>
      <c r="BN137" s="43"/>
      <c r="BO137" s="43"/>
      <c r="BP137" s="43"/>
      <c r="BQ137" s="45"/>
      <c r="BR137" s="45"/>
      <c r="BS137" s="43"/>
      <c r="BT137" s="45"/>
      <c r="BU137" s="43"/>
      <c r="BV137" s="43"/>
      <c r="BW137" s="43"/>
      <c r="BX137" s="43"/>
      <c r="BY137" s="43"/>
      <c r="BZ137" s="43"/>
      <c r="CA137" s="43"/>
      <c r="CB137" s="45"/>
      <c r="CC137" s="45"/>
      <c r="CD137" s="43"/>
      <c r="CE137" s="45"/>
      <c r="CF137" s="43"/>
      <c r="CG137" s="43"/>
      <c r="CH137" s="43"/>
      <c r="CI137" s="43"/>
      <c r="CJ137" s="43"/>
      <c r="CK137" s="45"/>
      <c r="CL137" s="45"/>
      <c r="CM137" s="43"/>
      <c r="CN137" s="43"/>
      <c r="CO137" s="45"/>
      <c r="CP137" s="45"/>
      <c r="CQ137" s="45"/>
      <c r="CR137" s="45"/>
      <c r="CS137" s="45"/>
      <c r="CT137" s="45"/>
      <c r="CU137" s="45"/>
      <c r="CV137" s="45"/>
      <c r="CW137" s="45"/>
      <c r="CX137" s="45"/>
      <c r="CY137" s="45"/>
      <c r="CZ137" s="45"/>
      <c r="DA137" s="45"/>
      <c r="DB137" s="45"/>
      <c r="DC137" s="45"/>
      <c r="DD137" s="45"/>
      <c r="DE137" s="45"/>
      <c r="DF137" s="45"/>
      <c r="DG137" s="45"/>
      <c r="DH137" s="45"/>
      <c r="DI137" s="45"/>
      <c r="DJ137" s="45"/>
      <c r="DK137" s="45"/>
      <c r="DL137" s="45"/>
      <c r="DM137" s="45"/>
      <c r="DN137" s="45"/>
      <c r="DO137" s="41" t="s">
        <v>3600</v>
      </c>
      <c r="DP137" s="46" t="s">
        <v>6394</v>
      </c>
      <c r="DQ137" s="45"/>
      <c r="DR137" s="45"/>
      <c r="DS137" s="45"/>
      <c r="DT137" s="45"/>
      <c r="DU137" s="45"/>
      <c r="DV137" s="45"/>
      <c r="DW137" s="43"/>
      <c r="DX137" s="45"/>
      <c r="DY137" s="43"/>
      <c r="DZ137" s="45"/>
      <c r="EA137" s="45"/>
      <c r="EB137" s="43"/>
      <c r="EC137" s="45"/>
      <c r="ED137" s="45"/>
      <c r="EE137" s="45"/>
      <c r="EF137" s="45"/>
      <c r="EG137" s="43"/>
      <c r="EH137" s="45"/>
      <c r="EI137" s="45"/>
      <c r="EJ137" s="45"/>
      <c r="EK137" s="42" t="s">
        <v>4248</v>
      </c>
      <c r="EL137" s="45"/>
      <c r="EM137" s="45"/>
      <c r="EN137" s="45"/>
      <c r="EO137" s="45"/>
      <c r="EP137" s="48" t="s">
        <v>3559</v>
      </c>
    </row>
    <row r="138">
      <c r="A138" s="37"/>
      <c r="B138" s="35" t="s">
        <v>6395</v>
      </c>
      <c r="C138" s="34"/>
      <c r="D138" s="34"/>
      <c r="E138" s="34"/>
      <c r="F138" s="34"/>
      <c r="G138" s="35" t="s">
        <v>6396</v>
      </c>
      <c r="H138" s="35" t="s">
        <v>4560</v>
      </c>
      <c r="I138" s="35" t="s">
        <v>4561</v>
      </c>
      <c r="J138" s="35" t="s">
        <v>66</v>
      </c>
      <c r="K138" s="35" t="s">
        <v>4562</v>
      </c>
      <c r="L138" s="34"/>
      <c r="M138" s="35" t="s">
        <v>6397</v>
      </c>
      <c r="N138" s="35" t="s">
        <v>4923</v>
      </c>
      <c r="O138" s="35" t="s">
        <v>6398</v>
      </c>
      <c r="P138" s="35"/>
      <c r="R138" s="34"/>
      <c r="S138" s="35" t="s">
        <v>4925</v>
      </c>
      <c r="T138" s="35" t="s">
        <v>4926</v>
      </c>
      <c r="U138" s="36" t="s">
        <v>6399</v>
      </c>
      <c r="V138" s="36" t="s">
        <v>6400</v>
      </c>
      <c r="W138" s="32">
        <v>2.0</v>
      </c>
      <c r="X138" s="35" t="s">
        <v>6401</v>
      </c>
      <c r="Y138" s="34"/>
      <c r="Z138" s="34"/>
      <c r="AA138" s="32">
        <v>2021.0</v>
      </c>
      <c r="AB138" s="34"/>
      <c r="AC138" s="34"/>
      <c r="AD138" s="34"/>
      <c r="AE138" s="37"/>
      <c r="AF138" s="37"/>
      <c r="AG138" s="37"/>
      <c r="AH138" s="37"/>
      <c r="AI138" s="37"/>
      <c r="AJ138" s="37"/>
      <c r="AK138" s="37"/>
      <c r="AL138" s="37"/>
      <c r="AM138" s="37"/>
      <c r="AN138" s="37"/>
      <c r="AO138" s="34"/>
      <c r="AP138" s="34"/>
      <c r="AQ138" s="34"/>
      <c r="AR138" s="34"/>
      <c r="AS138" s="34"/>
      <c r="AT138" s="35" t="s">
        <v>4448</v>
      </c>
      <c r="AU138" s="34"/>
      <c r="AV138" s="34"/>
      <c r="AW138" s="35" t="s">
        <v>485</v>
      </c>
      <c r="AX138" s="34"/>
      <c r="AY138" s="32" t="s">
        <v>6402</v>
      </c>
      <c r="AZ138" s="35" t="s">
        <v>41</v>
      </c>
      <c r="BA138" s="37"/>
      <c r="BB138" s="37"/>
      <c r="BC138" s="34"/>
      <c r="BD138" s="35" t="s">
        <v>3584</v>
      </c>
      <c r="BE138" s="35" t="s">
        <v>3584</v>
      </c>
      <c r="BF138" s="34"/>
      <c r="BG138" s="34"/>
      <c r="BH138" s="37"/>
      <c r="BI138" s="34"/>
      <c r="BJ138" s="34"/>
      <c r="BK138" s="34"/>
      <c r="BL138" s="34"/>
      <c r="BM138" s="34"/>
      <c r="BN138" s="34"/>
      <c r="BO138" s="34"/>
      <c r="BP138" s="34"/>
      <c r="BQ138" s="37"/>
      <c r="BR138" s="37"/>
      <c r="BS138" s="34"/>
      <c r="BT138" s="37"/>
      <c r="BU138" s="34"/>
      <c r="BV138" s="34"/>
      <c r="BW138" s="34"/>
      <c r="BX138" s="34"/>
      <c r="BY138" s="34"/>
      <c r="BZ138" s="34"/>
      <c r="CA138" s="34"/>
      <c r="CB138" s="37"/>
      <c r="CC138" s="37"/>
      <c r="CD138" s="34"/>
      <c r="CE138" s="37"/>
      <c r="CF138" s="34"/>
      <c r="CG138" s="34"/>
      <c r="CH138" s="34"/>
      <c r="CI138" s="34"/>
      <c r="CJ138" s="34"/>
      <c r="CK138" s="37"/>
      <c r="CL138" s="37"/>
      <c r="CM138" s="34"/>
      <c r="CN138" s="34"/>
      <c r="CO138" s="39">
        <v>0.0</v>
      </c>
      <c r="CP138" s="32">
        <v>14.0</v>
      </c>
      <c r="CQ138" s="39">
        <v>0.0</v>
      </c>
      <c r="CR138" s="39">
        <v>0.0</v>
      </c>
      <c r="CS138" s="39">
        <v>0.0</v>
      </c>
      <c r="CT138" s="32">
        <v>12.0</v>
      </c>
      <c r="CU138" s="37"/>
      <c r="CV138" s="37"/>
      <c r="CW138" s="39">
        <v>0.0</v>
      </c>
      <c r="CX138" s="32">
        <v>12.0</v>
      </c>
      <c r="CY138" s="32" t="s">
        <v>4622</v>
      </c>
      <c r="CZ138" s="32">
        <v>24.0</v>
      </c>
      <c r="DA138" s="32" t="s">
        <v>3598</v>
      </c>
      <c r="DB138" s="39">
        <v>0.0</v>
      </c>
      <c r="DC138" s="32" t="s">
        <v>4622</v>
      </c>
      <c r="DD138" s="32">
        <v>26.0</v>
      </c>
      <c r="DE138" s="37"/>
      <c r="DF138" s="37"/>
      <c r="DG138" s="32" t="s">
        <v>4622</v>
      </c>
      <c r="DH138" s="32">
        <v>23.0</v>
      </c>
      <c r="DI138" s="37"/>
      <c r="DJ138" s="37"/>
      <c r="DK138" s="37"/>
      <c r="DL138" s="32">
        <v>12.0</v>
      </c>
      <c r="DM138" s="32">
        <v>1.0</v>
      </c>
      <c r="DN138" s="39">
        <v>0.0909</v>
      </c>
      <c r="DO138" s="32" t="s">
        <v>5066</v>
      </c>
      <c r="DP138" s="38" t="s">
        <v>6403</v>
      </c>
      <c r="DQ138" s="37"/>
      <c r="DR138" s="37"/>
      <c r="DS138" s="37"/>
      <c r="DT138" s="37"/>
      <c r="DU138" s="37"/>
      <c r="DV138" s="37"/>
      <c r="DW138" s="34"/>
      <c r="DX138" s="37"/>
      <c r="DY138" s="34"/>
      <c r="DZ138" s="37"/>
      <c r="EA138" s="37"/>
      <c r="EB138" s="34"/>
      <c r="EC138" s="37"/>
      <c r="ED138" s="37"/>
      <c r="EE138" s="37"/>
      <c r="EF138" s="37"/>
      <c r="EG138" s="34"/>
      <c r="EH138" s="37"/>
      <c r="EI138" s="37"/>
      <c r="EJ138" s="37"/>
      <c r="EK138" s="34"/>
      <c r="EL138" s="37"/>
      <c r="EM138" s="37"/>
      <c r="EN138" s="37"/>
      <c r="EO138" s="37"/>
      <c r="EP138" s="40" t="s">
        <v>3559</v>
      </c>
    </row>
    <row r="139">
      <c r="A139" s="45"/>
      <c r="B139" s="42" t="s">
        <v>6404</v>
      </c>
      <c r="C139" s="43"/>
      <c r="D139" s="43"/>
      <c r="E139" s="43"/>
      <c r="F139" s="43"/>
      <c r="G139" s="42" t="s">
        <v>6405</v>
      </c>
      <c r="H139" s="42" t="s">
        <v>4560</v>
      </c>
      <c r="I139" s="42" t="s">
        <v>4561</v>
      </c>
      <c r="J139" s="42" t="s">
        <v>66</v>
      </c>
      <c r="K139" s="42" t="s">
        <v>4562</v>
      </c>
      <c r="L139" s="43"/>
      <c r="M139" s="43"/>
      <c r="N139" s="42" t="s">
        <v>4923</v>
      </c>
      <c r="O139" s="42" t="s">
        <v>6406</v>
      </c>
      <c r="P139" s="42"/>
      <c r="R139" s="43"/>
      <c r="S139" s="42" t="s">
        <v>4925</v>
      </c>
      <c r="T139" s="42" t="s">
        <v>4926</v>
      </c>
      <c r="U139" s="44" t="s">
        <v>6407</v>
      </c>
      <c r="V139" s="44" t="s">
        <v>6408</v>
      </c>
      <c r="W139" s="41">
        <v>11.0</v>
      </c>
      <c r="X139" s="42" t="s">
        <v>5062</v>
      </c>
      <c r="Y139" s="43"/>
      <c r="Z139" s="43"/>
      <c r="AA139" s="41">
        <v>1993.0</v>
      </c>
      <c r="AB139" s="43"/>
      <c r="AC139" s="43"/>
      <c r="AD139" s="43"/>
      <c r="AE139" s="45"/>
      <c r="AF139" s="45"/>
      <c r="AG139" s="45"/>
      <c r="AH139" s="45"/>
      <c r="AI139" s="45"/>
      <c r="AJ139" s="45"/>
      <c r="AK139" s="45"/>
      <c r="AL139" s="45"/>
      <c r="AM139" s="45"/>
      <c r="AN139" s="45"/>
      <c r="AO139" s="43"/>
      <c r="AP139" s="43"/>
      <c r="AQ139" s="43"/>
      <c r="AR139" s="43"/>
      <c r="AS139" s="43"/>
      <c r="AT139" s="42" t="s">
        <v>3581</v>
      </c>
      <c r="AU139" s="43"/>
      <c r="AV139" s="43"/>
      <c r="AW139" s="42" t="s">
        <v>75</v>
      </c>
      <c r="AX139" s="43"/>
      <c r="AY139" s="41" t="s">
        <v>6402</v>
      </c>
      <c r="AZ139" s="42" t="s">
        <v>41</v>
      </c>
      <c r="BA139" s="45"/>
      <c r="BB139" s="45"/>
      <c r="BC139" s="43"/>
      <c r="BD139" s="42" t="s">
        <v>3584</v>
      </c>
      <c r="BE139" s="42" t="s">
        <v>3584</v>
      </c>
      <c r="BF139" s="43"/>
      <c r="BG139" s="43"/>
      <c r="BH139" s="45"/>
      <c r="BI139" s="43"/>
      <c r="BJ139" s="43"/>
      <c r="BK139" s="43"/>
      <c r="BL139" s="43"/>
      <c r="BM139" s="43"/>
      <c r="BN139" s="43"/>
      <c r="BO139" s="43"/>
      <c r="BP139" s="43"/>
      <c r="BQ139" s="45"/>
      <c r="BR139" s="45"/>
      <c r="BS139" s="43"/>
      <c r="BT139" s="45"/>
      <c r="BU139" s="43"/>
      <c r="BV139" s="43"/>
      <c r="BW139" s="43"/>
      <c r="BX139" s="43"/>
      <c r="BY139" s="43"/>
      <c r="BZ139" s="43"/>
      <c r="CA139" s="43"/>
      <c r="CB139" s="45"/>
      <c r="CC139" s="45"/>
      <c r="CD139" s="43"/>
      <c r="CE139" s="45"/>
      <c r="CF139" s="43"/>
      <c r="CG139" s="43"/>
      <c r="CH139" s="43"/>
      <c r="CI139" s="43"/>
      <c r="CJ139" s="43"/>
      <c r="CK139" s="45"/>
      <c r="CL139" s="45"/>
      <c r="CM139" s="43"/>
      <c r="CN139" s="43"/>
      <c r="CO139" s="47">
        <v>0.0</v>
      </c>
      <c r="CP139" s="41">
        <v>14.0</v>
      </c>
      <c r="CQ139" s="47">
        <v>0.0</v>
      </c>
      <c r="CR139" s="47">
        <v>0.0</v>
      </c>
      <c r="CS139" s="47">
        <v>0.0</v>
      </c>
      <c r="CT139" s="41">
        <v>12.0</v>
      </c>
      <c r="CU139" s="45"/>
      <c r="CV139" s="45"/>
      <c r="CW139" s="47">
        <v>0.0</v>
      </c>
      <c r="CX139" s="41">
        <v>12.0</v>
      </c>
      <c r="CY139" s="41" t="s">
        <v>6409</v>
      </c>
      <c r="CZ139" s="41">
        <v>42.0</v>
      </c>
      <c r="DA139" s="41" t="s">
        <v>3598</v>
      </c>
      <c r="DB139" s="47">
        <v>0.0</v>
      </c>
      <c r="DC139" s="41" t="s">
        <v>5601</v>
      </c>
      <c r="DD139" s="41">
        <v>9.0</v>
      </c>
      <c r="DE139" s="45"/>
      <c r="DF139" s="45"/>
      <c r="DG139" s="41" t="s">
        <v>5601</v>
      </c>
      <c r="DH139" s="41">
        <v>7.0</v>
      </c>
      <c r="DI139" s="45"/>
      <c r="DJ139" s="45"/>
      <c r="DK139" s="45"/>
      <c r="DL139" s="41">
        <v>6.0</v>
      </c>
      <c r="DM139" s="41">
        <v>1.0</v>
      </c>
      <c r="DN139" s="47">
        <v>0.2</v>
      </c>
      <c r="DO139" s="41" t="s">
        <v>5066</v>
      </c>
      <c r="DP139" s="46" t="s">
        <v>6403</v>
      </c>
      <c r="DQ139" s="45"/>
      <c r="DR139" s="45"/>
      <c r="DS139" s="45"/>
      <c r="DT139" s="45"/>
      <c r="DU139" s="45"/>
      <c r="DV139" s="45"/>
      <c r="DW139" s="43"/>
      <c r="DX139" s="45"/>
      <c r="DY139" s="43"/>
      <c r="DZ139" s="45"/>
      <c r="EA139" s="45"/>
      <c r="EB139" s="43"/>
      <c r="EC139" s="45"/>
      <c r="ED139" s="45"/>
      <c r="EE139" s="45"/>
      <c r="EF139" s="45"/>
      <c r="EG139" s="43"/>
      <c r="EH139" s="45"/>
      <c r="EI139" s="45"/>
      <c r="EJ139" s="45"/>
      <c r="EK139" s="43"/>
      <c r="EL139" s="45"/>
      <c r="EM139" s="45"/>
      <c r="EN139" s="45"/>
      <c r="EO139" s="45"/>
      <c r="EP139" s="48" t="s">
        <v>3559</v>
      </c>
    </row>
    <row r="140">
      <c r="A140" s="37"/>
      <c r="B140" s="35" t="s">
        <v>6410</v>
      </c>
      <c r="C140" s="34"/>
      <c r="D140" s="34"/>
      <c r="E140" s="35" t="s">
        <v>6411</v>
      </c>
      <c r="F140" s="34"/>
      <c r="G140" s="35" t="s">
        <v>6412</v>
      </c>
      <c r="H140" s="35" t="s">
        <v>30</v>
      </c>
      <c r="I140" s="35" t="s">
        <v>6331</v>
      </c>
      <c r="J140" s="35" t="s">
        <v>6331</v>
      </c>
      <c r="K140" s="35" t="s">
        <v>6413</v>
      </c>
      <c r="L140" s="35" t="s">
        <v>6414</v>
      </c>
      <c r="M140" s="35" t="s">
        <v>6415</v>
      </c>
      <c r="N140" s="35" t="s">
        <v>3569</v>
      </c>
      <c r="O140" s="35" t="s">
        <v>6416</v>
      </c>
      <c r="P140" s="35"/>
      <c r="R140" s="35" t="s">
        <v>3571</v>
      </c>
      <c r="S140" s="35" t="s">
        <v>3572</v>
      </c>
      <c r="T140" s="35" t="s">
        <v>3573</v>
      </c>
      <c r="U140" s="36" t="s">
        <v>6417</v>
      </c>
      <c r="V140" s="36" t="s">
        <v>6418</v>
      </c>
      <c r="W140" s="32">
        <v>6.0</v>
      </c>
      <c r="X140" s="35" t="s">
        <v>6419</v>
      </c>
      <c r="Y140" s="34"/>
      <c r="Z140" s="34"/>
      <c r="AA140" s="32">
        <v>2020.0</v>
      </c>
      <c r="AB140" s="34"/>
      <c r="AC140" s="34"/>
      <c r="AD140" s="34"/>
      <c r="AE140" s="37"/>
      <c r="AF140" s="37"/>
      <c r="AG140" s="37"/>
      <c r="AH140" s="37"/>
      <c r="AI140" s="37"/>
      <c r="AJ140" s="37"/>
      <c r="AK140" s="37"/>
      <c r="AL140" s="37"/>
      <c r="AM140" s="37"/>
      <c r="AN140" s="37"/>
      <c r="AO140" s="35" t="s">
        <v>6420</v>
      </c>
      <c r="AP140" s="35" t="s">
        <v>6421</v>
      </c>
      <c r="AQ140" s="35" t="s">
        <v>3579</v>
      </c>
      <c r="AR140" s="34"/>
      <c r="AS140" s="34"/>
      <c r="AT140" s="35" t="s">
        <v>3718</v>
      </c>
      <c r="AU140" s="34"/>
      <c r="AV140" s="34"/>
      <c r="AW140" s="35" t="s">
        <v>552</v>
      </c>
      <c r="AX140" s="34"/>
      <c r="AY140" s="37"/>
      <c r="AZ140" s="35" t="s">
        <v>41</v>
      </c>
      <c r="BA140" s="37"/>
      <c r="BB140" s="37"/>
      <c r="BC140" s="35" t="s">
        <v>6422</v>
      </c>
      <c r="BD140" s="35" t="s">
        <v>3584</v>
      </c>
      <c r="BE140" s="35" t="s">
        <v>3584</v>
      </c>
      <c r="BF140" s="35" t="s">
        <v>6423</v>
      </c>
      <c r="BG140" s="35" t="s">
        <v>6424</v>
      </c>
      <c r="BH140" s="32">
        <v>3.0</v>
      </c>
      <c r="BI140" s="34"/>
      <c r="BJ140" s="34"/>
      <c r="BK140" s="34"/>
      <c r="BL140" s="35" t="s">
        <v>6425</v>
      </c>
      <c r="BM140" s="34"/>
      <c r="BN140" s="34"/>
      <c r="BO140" s="34"/>
      <c r="BP140" s="34"/>
      <c r="BQ140" s="38" t="s">
        <v>6426</v>
      </c>
      <c r="BR140" s="37"/>
      <c r="BS140" s="34"/>
      <c r="BT140" s="37"/>
      <c r="BU140" s="34"/>
      <c r="BV140" s="35" t="s">
        <v>3698</v>
      </c>
      <c r="BW140" s="35" t="s">
        <v>3698</v>
      </c>
      <c r="BX140" s="34"/>
      <c r="BY140" s="35" t="s">
        <v>3573</v>
      </c>
      <c r="BZ140" s="34"/>
      <c r="CA140" s="35" t="s">
        <v>3591</v>
      </c>
      <c r="CB140" s="37"/>
      <c r="CC140" s="37"/>
      <c r="CD140" s="34"/>
      <c r="CE140" s="37"/>
      <c r="CF140" s="34"/>
      <c r="CG140" s="35" t="s">
        <v>3589</v>
      </c>
      <c r="CH140" s="34"/>
      <c r="CI140" s="34"/>
      <c r="CJ140" s="35" t="s">
        <v>3590</v>
      </c>
      <c r="CK140" s="37"/>
      <c r="CL140" s="37"/>
      <c r="CM140" s="34"/>
      <c r="CN140" s="35" t="s">
        <v>3591</v>
      </c>
      <c r="CO140" s="39">
        <v>0.0</v>
      </c>
      <c r="CP140" s="32">
        <v>14.0</v>
      </c>
      <c r="CQ140" s="39">
        <v>0.0</v>
      </c>
      <c r="CR140" s="39">
        <v>0.0</v>
      </c>
      <c r="CS140" s="39">
        <v>0.0</v>
      </c>
      <c r="CT140" s="32">
        <v>12.0</v>
      </c>
      <c r="CU140" s="39">
        <v>0.0</v>
      </c>
      <c r="CV140" s="32">
        <v>10.0</v>
      </c>
      <c r="CW140" s="39">
        <v>0.0</v>
      </c>
      <c r="CX140" s="32">
        <v>12.0</v>
      </c>
      <c r="CY140" s="32" t="s">
        <v>5403</v>
      </c>
      <c r="CZ140" s="32">
        <v>13.0</v>
      </c>
      <c r="DA140" s="32" t="s">
        <v>3598</v>
      </c>
      <c r="DB140" s="39">
        <v>0.0</v>
      </c>
      <c r="DC140" s="32" t="s">
        <v>5403</v>
      </c>
      <c r="DD140" s="32">
        <v>14.0</v>
      </c>
      <c r="DE140" s="32" t="s">
        <v>3598</v>
      </c>
      <c r="DF140" s="32">
        <v>1.0</v>
      </c>
      <c r="DG140" s="32" t="s">
        <v>4663</v>
      </c>
      <c r="DH140" s="32">
        <v>34.0</v>
      </c>
      <c r="DI140" s="32">
        <v>5.0</v>
      </c>
      <c r="DJ140" s="32">
        <v>-12.0</v>
      </c>
      <c r="DK140" s="39">
        <v>-0.7059</v>
      </c>
      <c r="DL140" s="32">
        <v>16.0</v>
      </c>
      <c r="DM140" s="32">
        <v>1.0</v>
      </c>
      <c r="DN140" s="39">
        <v>0.0667</v>
      </c>
      <c r="DO140" s="32" t="s">
        <v>3600</v>
      </c>
      <c r="DP140" s="38" t="s">
        <v>3702</v>
      </c>
      <c r="DQ140" s="37"/>
      <c r="DR140" s="37"/>
      <c r="DS140" s="37"/>
      <c r="DT140" s="37"/>
      <c r="DU140" s="37"/>
      <c r="DV140" s="37"/>
      <c r="DW140" s="34"/>
      <c r="DX140" s="37"/>
      <c r="DY140" s="34"/>
      <c r="DZ140" s="37"/>
      <c r="EA140" s="37"/>
      <c r="EB140" s="34"/>
      <c r="EC140" s="37"/>
      <c r="ED140" s="37"/>
      <c r="EE140" s="37"/>
      <c r="EF140" s="37"/>
      <c r="EG140" s="34"/>
      <c r="EH140" s="37"/>
      <c r="EI140" s="37"/>
      <c r="EJ140" s="37"/>
      <c r="EK140" s="34"/>
      <c r="EL140" s="37"/>
      <c r="EM140" s="37"/>
      <c r="EN140" s="37"/>
      <c r="EO140" s="37"/>
      <c r="EP140" s="40" t="s">
        <v>3559</v>
      </c>
    </row>
    <row r="141">
      <c r="A141" s="45"/>
      <c r="B141" s="42" t="s">
        <v>6427</v>
      </c>
      <c r="C141" s="43"/>
      <c r="D141" s="43"/>
      <c r="E141" s="43"/>
      <c r="F141" s="43"/>
      <c r="G141" s="42" t="s">
        <v>6428</v>
      </c>
      <c r="H141" s="42" t="s">
        <v>4560</v>
      </c>
      <c r="I141" s="42" t="s">
        <v>4561</v>
      </c>
      <c r="J141" s="42" t="s">
        <v>66</v>
      </c>
      <c r="K141" s="42" t="s">
        <v>4562</v>
      </c>
      <c r="L141" s="43"/>
      <c r="M141" s="43"/>
      <c r="N141" s="42" t="s">
        <v>4923</v>
      </c>
      <c r="O141" s="42" t="s">
        <v>6429</v>
      </c>
      <c r="P141" s="42"/>
      <c r="R141" s="43"/>
      <c r="S141" s="42" t="s">
        <v>4925</v>
      </c>
      <c r="T141" s="42" t="s">
        <v>4926</v>
      </c>
      <c r="U141" s="44" t="s">
        <v>6430</v>
      </c>
      <c r="V141" s="44" t="s">
        <v>6431</v>
      </c>
      <c r="W141" s="41">
        <v>2.0</v>
      </c>
      <c r="X141" s="42" t="s">
        <v>6401</v>
      </c>
      <c r="Y141" s="43"/>
      <c r="Z141" s="43"/>
      <c r="AA141" s="45"/>
      <c r="AB141" s="43"/>
      <c r="AC141" s="43"/>
      <c r="AD141" s="43"/>
      <c r="AE141" s="45"/>
      <c r="AF141" s="45"/>
      <c r="AG141" s="45"/>
      <c r="AH141" s="45"/>
      <c r="AI141" s="45"/>
      <c r="AJ141" s="45"/>
      <c r="AK141" s="45"/>
      <c r="AL141" s="45"/>
      <c r="AM141" s="45"/>
      <c r="AN141" s="45"/>
      <c r="AO141" s="43"/>
      <c r="AP141" s="43"/>
      <c r="AQ141" s="43"/>
      <c r="AR141" s="43"/>
      <c r="AS141" s="43"/>
      <c r="AT141" s="42" t="s">
        <v>3581</v>
      </c>
      <c r="AU141" s="42" t="s">
        <v>6432</v>
      </c>
      <c r="AV141" s="43"/>
      <c r="AW141" s="42" t="s">
        <v>75</v>
      </c>
      <c r="AX141" s="43"/>
      <c r="AY141" s="41">
        <v>62034.0</v>
      </c>
      <c r="AZ141" s="42" t="s">
        <v>41</v>
      </c>
      <c r="BA141" s="45"/>
      <c r="BB141" s="45"/>
      <c r="BC141" s="43"/>
      <c r="BD141" s="42" t="s">
        <v>3584</v>
      </c>
      <c r="BE141" s="42" t="s">
        <v>3584</v>
      </c>
      <c r="BF141" s="43"/>
      <c r="BG141" s="43"/>
      <c r="BH141" s="45"/>
      <c r="BI141" s="43"/>
      <c r="BJ141" s="43"/>
      <c r="BK141" s="43"/>
      <c r="BL141" s="43"/>
      <c r="BM141" s="43"/>
      <c r="BN141" s="43"/>
      <c r="BO141" s="43"/>
      <c r="BP141" s="43"/>
      <c r="BQ141" s="45"/>
      <c r="BR141" s="45"/>
      <c r="BS141" s="43"/>
      <c r="BT141" s="45"/>
      <c r="BU141" s="43"/>
      <c r="BV141" s="43"/>
      <c r="BW141" s="43"/>
      <c r="BX141" s="43"/>
      <c r="BY141" s="43"/>
      <c r="BZ141" s="43"/>
      <c r="CA141" s="43"/>
      <c r="CB141" s="45"/>
      <c r="CC141" s="45"/>
      <c r="CD141" s="43"/>
      <c r="CE141" s="45"/>
      <c r="CF141" s="43"/>
      <c r="CG141" s="43"/>
      <c r="CH141" s="43"/>
      <c r="CI141" s="43"/>
      <c r="CJ141" s="43"/>
      <c r="CK141" s="45"/>
      <c r="CL141" s="45"/>
      <c r="CM141" s="43"/>
      <c r="CN141" s="43"/>
      <c r="CO141" s="47">
        <v>0.0</v>
      </c>
      <c r="CP141" s="41">
        <v>14.0</v>
      </c>
      <c r="CQ141" s="47">
        <v>0.0</v>
      </c>
      <c r="CR141" s="47">
        <v>0.0</v>
      </c>
      <c r="CS141" s="47">
        <v>0.0</v>
      </c>
      <c r="CT141" s="41">
        <v>12.0</v>
      </c>
      <c r="CU141" s="45"/>
      <c r="CV141" s="45"/>
      <c r="CW141" s="47">
        <v>0.0</v>
      </c>
      <c r="CX141" s="41">
        <v>12.0</v>
      </c>
      <c r="CY141" s="41" t="s">
        <v>3861</v>
      </c>
      <c r="CZ141" s="41">
        <v>66.0</v>
      </c>
      <c r="DA141" s="41" t="s">
        <v>3598</v>
      </c>
      <c r="DB141" s="47">
        <v>0.0</v>
      </c>
      <c r="DC141" s="41" t="s">
        <v>3861</v>
      </c>
      <c r="DD141" s="41">
        <v>68.0</v>
      </c>
      <c r="DE141" s="45"/>
      <c r="DF141" s="45"/>
      <c r="DG141" s="41" t="s">
        <v>3861</v>
      </c>
      <c r="DH141" s="41">
        <v>67.0</v>
      </c>
      <c r="DI141" s="45"/>
      <c r="DJ141" s="45"/>
      <c r="DK141" s="45"/>
      <c r="DL141" s="41">
        <v>43.0</v>
      </c>
      <c r="DM141" s="41">
        <v>0.0</v>
      </c>
      <c r="DN141" s="47">
        <v>0.0</v>
      </c>
      <c r="DO141" s="41" t="s">
        <v>5066</v>
      </c>
      <c r="DP141" s="46" t="s">
        <v>4896</v>
      </c>
      <c r="DQ141" s="45"/>
      <c r="DR141" s="45"/>
      <c r="DS141" s="45"/>
      <c r="DT141" s="45"/>
      <c r="DU141" s="45"/>
      <c r="DV141" s="45"/>
      <c r="DW141" s="43"/>
      <c r="DX141" s="45"/>
      <c r="DY141" s="43"/>
      <c r="DZ141" s="45"/>
      <c r="EA141" s="45"/>
      <c r="EB141" s="43"/>
      <c r="EC141" s="45"/>
      <c r="ED141" s="45"/>
      <c r="EE141" s="45"/>
      <c r="EF141" s="45"/>
      <c r="EG141" s="43"/>
      <c r="EH141" s="45"/>
      <c r="EI141" s="45"/>
      <c r="EJ141" s="45"/>
      <c r="EK141" s="43"/>
      <c r="EL141" s="45"/>
      <c r="EM141" s="45"/>
      <c r="EN141" s="45"/>
      <c r="EO141" s="45"/>
      <c r="EP141" s="48" t="s">
        <v>3559</v>
      </c>
    </row>
    <row r="142">
      <c r="A142" s="32">
        <v>9.5</v>
      </c>
      <c r="B142" s="35" t="s">
        <v>6433</v>
      </c>
      <c r="C142" s="34"/>
      <c r="D142" s="34"/>
      <c r="E142" s="35" t="s">
        <v>6434</v>
      </c>
      <c r="F142" s="35" t="s">
        <v>6435</v>
      </c>
      <c r="G142" s="35" t="s">
        <v>6436</v>
      </c>
      <c r="H142" s="35" t="s">
        <v>4560</v>
      </c>
      <c r="I142" s="35" t="s">
        <v>4561</v>
      </c>
      <c r="J142" s="35" t="s">
        <v>66</v>
      </c>
      <c r="K142" s="35" t="s">
        <v>6437</v>
      </c>
      <c r="L142" s="35" t="s">
        <v>5513</v>
      </c>
      <c r="M142" s="35" t="s">
        <v>6438</v>
      </c>
      <c r="N142" s="35" t="s">
        <v>5018</v>
      </c>
      <c r="O142" s="35" t="s">
        <v>6439</v>
      </c>
      <c r="P142" s="35"/>
      <c r="R142" s="35" t="s">
        <v>5222</v>
      </c>
      <c r="S142" s="35" t="s">
        <v>5222</v>
      </c>
      <c r="T142" s="35" t="s">
        <v>3573</v>
      </c>
      <c r="U142" s="36" t="s">
        <v>6440</v>
      </c>
      <c r="V142" s="36" t="s">
        <v>6441</v>
      </c>
      <c r="W142" s="32">
        <v>20.0</v>
      </c>
      <c r="X142" s="35" t="s">
        <v>6442</v>
      </c>
      <c r="Y142" s="34"/>
      <c r="Z142" s="34"/>
      <c r="AA142" s="32">
        <v>2014.0</v>
      </c>
      <c r="AB142" s="34"/>
      <c r="AC142" s="34"/>
      <c r="AD142" s="34"/>
      <c r="AE142" s="37"/>
      <c r="AF142" s="37"/>
      <c r="AG142" s="37"/>
      <c r="AH142" s="37"/>
      <c r="AI142" s="37"/>
      <c r="AJ142" s="37"/>
      <c r="AK142" s="37"/>
      <c r="AL142" s="37"/>
      <c r="AM142" s="37"/>
      <c r="AN142" s="37"/>
      <c r="AO142" s="34"/>
      <c r="AP142" s="34"/>
      <c r="AQ142" s="34"/>
      <c r="AR142" s="34"/>
      <c r="AS142" s="34"/>
      <c r="AT142" s="35" t="s">
        <v>3581</v>
      </c>
      <c r="AU142" s="35" t="s">
        <v>6443</v>
      </c>
      <c r="AV142" s="34"/>
      <c r="AW142" s="35" t="s">
        <v>75</v>
      </c>
      <c r="AX142" s="34"/>
      <c r="AY142" s="37"/>
      <c r="AZ142" s="35" t="s">
        <v>41</v>
      </c>
      <c r="BA142" s="37"/>
      <c r="BB142" s="37"/>
      <c r="BC142" s="34"/>
      <c r="BD142" s="35" t="s">
        <v>3584</v>
      </c>
      <c r="BE142" s="35" t="s">
        <v>3584</v>
      </c>
      <c r="BF142" s="35" t="s">
        <v>6444</v>
      </c>
      <c r="BG142" s="34"/>
      <c r="BH142" s="37"/>
      <c r="BI142" s="34"/>
      <c r="BJ142" s="35" t="s">
        <v>6445</v>
      </c>
      <c r="BK142" s="34"/>
      <c r="BL142" s="34"/>
      <c r="BM142" s="35" t="s">
        <v>6446</v>
      </c>
      <c r="BN142" s="34"/>
      <c r="BO142" s="34"/>
      <c r="BP142" s="34"/>
      <c r="BQ142" s="38" t="s">
        <v>6447</v>
      </c>
      <c r="BR142" s="37"/>
      <c r="BS142" s="34"/>
      <c r="BT142" s="37"/>
      <c r="BU142" s="34"/>
      <c r="BV142" s="35" t="s">
        <v>3698</v>
      </c>
      <c r="BW142" s="35" t="s">
        <v>3698</v>
      </c>
      <c r="BX142" s="34"/>
      <c r="BY142" s="35" t="s">
        <v>3573</v>
      </c>
      <c r="BZ142" s="34"/>
      <c r="CA142" s="35" t="s">
        <v>3591</v>
      </c>
      <c r="CB142" s="38" t="s">
        <v>6448</v>
      </c>
      <c r="CC142" s="37"/>
      <c r="CD142" s="34"/>
      <c r="CE142" s="37"/>
      <c r="CF142" s="34"/>
      <c r="CG142" s="35" t="s">
        <v>5222</v>
      </c>
      <c r="CH142" s="34"/>
      <c r="CI142" s="34"/>
      <c r="CJ142" s="35" t="s">
        <v>5222</v>
      </c>
      <c r="CK142" s="37"/>
      <c r="CL142" s="37"/>
      <c r="CM142" s="34"/>
      <c r="CN142" s="35" t="s">
        <v>3591</v>
      </c>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2" t="s">
        <v>3600</v>
      </c>
      <c r="DP142" s="38" t="s">
        <v>5177</v>
      </c>
      <c r="DQ142" s="37"/>
      <c r="DR142" s="37"/>
      <c r="DS142" s="37"/>
      <c r="DT142" s="37"/>
      <c r="DU142" s="37"/>
      <c r="DV142" s="37"/>
      <c r="DW142" s="34"/>
      <c r="DX142" s="37"/>
      <c r="DY142" s="34"/>
      <c r="DZ142" s="37"/>
      <c r="EA142" s="37"/>
      <c r="EB142" s="34"/>
      <c r="EC142" s="37"/>
      <c r="ED142" s="37"/>
      <c r="EE142" s="32">
        <v>34.63</v>
      </c>
      <c r="EF142" s="38" t="s">
        <v>6449</v>
      </c>
      <c r="EG142" s="35" t="s">
        <v>3669</v>
      </c>
      <c r="EH142" s="37"/>
      <c r="EI142" s="37"/>
      <c r="EJ142" s="37"/>
      <c r="EK142" s="35" t="s">
        <v>5507</v>
      </c>
      <c r="EL142" s="37"/>
      <c r="EM142" s="37"/>
      <c r="EN142" s="32">
        <v>3.39</v>
      </c>
      <c r="EO142" s="32">
        <v>3.39</v>
      </c>
      <c r="EP142" s="40" t="s">
        <v>3559</v>
      </c>
    </row>
    <row r="143">
      <c r="A143" s="41">
        <v>1.03</v>
      </c>
      <c r="B143" s="42" t="s">
        <v>6450</v>
      </c>
      <c r="C143" s="43"/>
      <c r="D143" s="43"/>
      <c r="E143" s="43"/>
      <c r="F143" s="43"/>
      <c r="G143" s="42" t="s">
        <v>6451</v>
      </c>
      <c r="H143" s="42" t="s">
        <v>4560</v>
      </c>
      <c r="I143" s="42" t="s">
        <v>6452</v>
      </c>
      <c r="J143" s="42" t="s">
        <v>6453</v>
      </c>
      <c r="K143" s="42" t="s">
        <v>6454</v>
      </c>
      <c r="L143" s="42" t="s">
        <v>6455</v>
      </c>
      <c r="M143" s="42" t="s">
        <v>6456</v>
      </c>
      <c r="N143" s="42" t="s">
        <v>5018</v>
      </c>
      <c r="O143" s="42" t="s">
        <v>6457</v>
      </c>
      <c r="P143" s="42"/>
      <c r="R143" s="42" t="s">
        <v>5222</v>
      </c>
      <c r="S143" s="42" t="s">
        <v>5222</v>
      </c>
      <c r="T143" s="42" t="s">
        <v>3573</v>
      </c>
      <c r="U143" s="44" t="s">
        <v>6458</v>
      </c>
      <c r="V143" s="43"/>
      <c r="W143" s="41">
        <v>3.0</v>
      </c>
      <c r="X143" s="42" t="s">
        <v>6459</v>
      </c>
      <c r="Y143" s="43"/>
      <c r="Z143" s="43"/>
      <c r="AA143" s="41">
        <v>2017.0</v>
      </c>
      <c r="AB143" s="43"/>
      <c r="AC143" s="43"/>
      <c r="AD143" s="43"/>
      <c r="AE143" s="45"/>
      <c r="AF143" s="45"/>
      <c r="AG143" s="45"/>
      <c r="AH143" s="45"/>
      <c r="AI143" s="45"/>
      <c r="AJ143" s="45"/>
      <c r="AK143" s="45"/>
      <c r="AL143" s="45"/>
      <c r="AM143" s="45"/>
      <c r="AN143" s="45"/>
      <c r="AO143" s="43"/>
      <c r="AP143" s="43"/>
      <c r="AQ143" s="43"/>
      <c r="AR143" s="43"/>
      <c r="AS143" s="43"/>
      <c r="AT143" s="42" t="s">
        <v>3581</v>
      </c>
      <c r="AU143" s="42" t="s">
        <v>6460</v>
      </c>
      <c r="AV143" s="43"/>
      <c r="AW143" s="42" t="s">
        <v>75</v>
      </c>
      <c r="AX143" s="43"/>
      <c r="AY143" s="41">
        <v>6777937.0</v>
      </c>
      <c r="AZ143" s="42" t="s">
        <v>41</v>
      </c>
      <c r="BA143" s="45"/>
      <c r="BB143" s="45"/>
      <c r="BC143" s="42" t="s">
        <v>6461</v>
      </c>
      <c r="BD143" s="42" t="s">
        <v>3584</v>
      </c>
      <c r="BE143" s="42" t="s">
        <v>3584</v>
      </c>
      <c r="BF143" s="42" t="s">
        <v>6462</v>
      </c>
      <c r="BG143" s="43"/>
      <c r="BH143" s="45"/>
      <c r="BI143" s="43"/>
      <c r="BJ143" s="42" t="s">
        <v>6463</v>
      </c>
      <c r="BK143" s="43"/>
      <c r="BL143" s="43"/>
      <c r="BM143" s="42" t="s">
        <v>6464</v>
      </c>
      <c r="BN143" s="43"/>
      <c r="BO143" s="42" t="s">
        <v>6465</v>
      </c>
      <c r="BP143" s="43"/>
      <c r="BQ143" s="46" t="s">
        <v>3965</v>
      </c>
      <c r="BR143" s="41">
        <v>0.02</v>
      </c>
      <c r="BS143" s="42" t="s">
        <v>3593</v>
      </c>
      <c r="BT143" s="41">
        <v>0.23</v>
      </c>
      <c r="BU143" s="42" t="s">
        <v>3697</v>
      </c>
      <c r="BV143" s="42" t="s">
        <v>3589</v>
      </c>
      <c r="BW143" s="43"/>
      <c r="BX143" s="43"/>
      <c r="BY143" s="42" t="s">
        <v>3590</v>
      </c>
      <c r="BZ143" s="43"/>
      <c r="CA143" s="42" t="s">
        <v>3591</v>
      </c>
      <c r="CB143" s="46" t="s">
        <v>6466</v>
      </c>
      <c r="CC143" s="45"/>
      <c r="CD143" s="43"/>
      <c r="CE143" s="45"/>
      <c r="CF143" s="43"/>
      <c r="CG143" s="42" t="s">
        <v>5222</v>
      </c>
      <c r="CH143" s="43"/>
      <c r="CI143" s="43"/>
      <c r="CJ143" s="42" t="s">
        <v>5222</v>
      </c>
      <c r="CK143" s="45"/>
      <c r="CL143" s="45"/>
      <c r="CM143" s="43"/>
      <c r="CN143" s="42" t="s">
        <v>3591</v>
      </c>
      <c r="CO143" s="45"/>
      <c r="CP143" s="45"/>
      <c r="CQ143" s="45"/>
      <c r="CR143" s="45"/>
      <c r="CS143" s="45"/>
      <c r="CT143" s="45"/>
      <c r="CU143" s="45"/>
      <c r="CV143" s="45"/>
      <c r="CW143" s="45"/>
      <c r="CX143" s="45"/>
      <c r="CY143" s="45"/>
      <c r="CZ143" s="45"/>
      <c r="DA143" s="45"/>
      <c r="DB143" s="45"/>
      <c r="DC143" s="45"/>
      <c r="DD143" s="45"/>
      <c r="DE143" s="45"/>
      <c r="DF143" s="45"/>
      <c r="DG143" s="45"/>
      <c r="DH143" s="45"/>
      <c r="DI143" s="45"/>
      <c r="DJ143" s="45"/>
      <c r="DK143" s="45"/>
      <c r="DL143" s="45"/>
      <c r="DM143" s="45"/>
      <c r="DN143" s="45"/>
      <c r="DO143" s="41" t="s">
        <v>3600</v>
      </c>
      <c r="DP143" s="46" t="s">
        <v>3890</v>
      </c>
      <c r="DQ143" s="45"/>
      <c r="DR143" s="45"/>
      <c r="DS143" s="45"/>
      <c r="DT143" s="45"/>
      <c r="DU143" s="45"/>
      <c r="DV143" s="45"/>
      <c r="DW143" s="43"/>
      <c r="DX143" s="45"/>
      <c r="DY143" s="43"/>
      <c r="DZ143" s="45"/>
      <c r="EA143" s="45"/>
      <c r="EB143" s="43"/>
      <c r="EC143" s="45"/>
      <c r="ED143" s="45"/>
      <c r="EE143" s="41">
        <v>0.23</v>
      </c>
      <c r="EF143" s="46" t="s">
        <v>3965</v>
      </c>
      <c r="EG143" s="42" t="s">
        <v>3589</v>
      </c>
      <c r="EH143" s="45"/>
      <c r="EI143" s="45"/>
      <c r="EJ143" s="45"/>
      <c r="EK143" s="43"/>
      <c r="EL143" s="45"/>
      <c r="EM143" s="45"/>
      <c r="EN143" s="45"/>
      <c r="EO143" s="45"/>
      <c r="EP143" s="48" t="s">
        <v>3559</v>
      </c>
    </row>
    <row r="144">
      <c r="A144" s="37"/>
      <c r="B144" s="35" t="s">
        <v>6467</v>
      </c>
      <c r="C144" s="34"/>
      <c r="D144" s="34"/>
      <c r="E144" s="34"/>
      <c r="F144" s="34"/>
      <c r="G144" s="35" t="s">
        <v>6468</v>
      </c>
      <c r="H144" s="35" t="s">
        <v>4560</v>
      </c>
      <c r="I144" s="35" t="s">
        <v>4561</v>
      </c>
      <c r="J144" s="35" t="s">
        <v>66</v>
      </c>
      <c r="K144" s="35" t="s">
        <v>4562</v>
      </c>
      <c r="L144" s="34"/>
      <c r="M144" s="34"/>
      <c r="N144" s="35" t="s">
        <v>4923</v>
      </c>
      <c r="O144" s="35" t="s">
        <v>6469</v>
      </c>
      <c r="P144" s="35"/>
      <c r="R144" s="34"/>
      <c r="S144" s="35" t="s">
        <v>4925</v>
      </c>
      <c r="T144" s="35" t="s">
        <v>4926</v>
      </c>
      <c r="U144" s="36" t="s">
        <v>6470</v>
      </c>
      <c r="V144" s="36" t="s">
        <v>6471</v>
      </c>
      <c r="W144" s="32">
        <v>2.0</v>
      </c>
      <c r="X144" s="35" t="s">
        <v>6472</v>
      </c>
      <c r="Y144" s="34"/>
      <c r="Z144" s="34"/>
      <c r="AA144" s="32">
        <v>2017.0</v>
      </c>
      <c r="AB144" s="34"/>
      <c r="AC144" s="34"/>
      <c r="AD144" s="34"/>
      <c r="AE144" s="37"/>
      <c r="AF144" s="37"/>
      <c r="AG144" s="37"/>
      <c r="AH144" s="37"/>
      <c r="AI144" s="37"/>
      <c r="AJ144" s="37"/>
      <c r="AK144" s="37"/>
      <c r="AL144" s="37"/>
      <c r="AM144" s="37"/>
      <c r="AN144" s="37"/>
      <c r="AO144" s="34"/>
      <c r="AP144" s="34"/>
      <c r="AQ144" s="34"/>
      <c r="AR144" s="34"/>
      <c r="AS144" s="34"/>
      <c r="AT144" s="35" t="s">
        <v>3744</v>
      </c>
      <c r="AU144" s="35" t="s">
        <v>6473</v>
      </c>
      <c r="AV144" s="34"/>
      <c r="AW144" s="35" t="s">
        <v>183</v>
      </c>
      <c r="AX144" s="35" t="s">
        <v>41</v>
      </c>
      <c r="AY144" s="32">
        <v>79905.0</v>
      </c>
      <c r="AZ144" s="35" t="s">
        <v>41</v>
      </c>
      <c r="BA144" s="37"/>
      <c r="BB144" s="37"/>
      <c r="BC144" s="34"/>
      <c r="BD144" s="35" t="s">
        <v>3584</v>
      </c>
      <c r="BE144" s="35" t="s">
        <v>3584</v>
      </c>
      <c r="BF144" s="34"/>
      <c r="BG144" s="34"/>
      <c r="BH144" s="37"/>
      <c r="BI144" s="34"/>
      <c r="BJ144" s="34"/>
      <c r="BK144" s="34"/>
      <c r="BL144" s="34"/>
      <c r="BM144" s="34"/>
      <c r="BN144" s="34"/>
      <c r="BO144" s="34"/>
      <c r="BP144" s="34"/>
      <c r="BQ144" s="37"/>
      <c r="BR144" s="37"/>
      <c r="BS144" s="34"/>
      <c r="BT144" s="37"/>
      <c r="BU144" s="34"/>
      <c r="BV144" s="34"/>
      <c r="BW144" s="34"/>
      <c r="BX144" s="34"/>
      <c r="BY144" s="34"/>
      <c r="BZ144" s="34"/>
      <c r="CA144" s="34"/>
      <c r="CB144" s="37"/>
      <c r="CC144" s="37"/>
      <c r="CD144" s="34"/>
      <c r="CE144" s="37"/>
      <c r="CF144" s="34"/>
      <c r="CG144" s="34"/>
      <c r="CH144" s="34"/>
      <c r="CI144" s="34"/>
      <c r="CJ144" s="34"/>
      <c r="CK144" s="37"/>
      <c r="CL144" s="37"/>
      <c r="CM144" s="34"/>
      <c r="CN144" s="34"/>
      <c r="CO144" s="39">
        <v>0.0</v>
      </c>
      <c r="CP144" s="32">
        <v>14.0</v>
      </c>
      <c r="CQ144" s="39">
        <v>0.0</v>
      </c>
      <c r="CR144" s="39">
        <v>0.0</v>
      </c>
      <c r="CS144" s="37"/>
      <c r="CT144" s="37"/>
      <c r="CU144" s="37"/>
      <c r="CV144" s="37"/>
      <c r="CW144" s="37"/>
      <c r="CX144" s="37"/>
      <c r="CY144" s="32" t="s">
        <v>5051</v>
      </c>
      <c r="CZ144" s="32">
        <v>7.0</v>
      </c>
      <c r="DA144" s="32" t="s">
        <v>3598</v>
      </c>
      <c r="DB144" s="39">
        <v>0.0</v>
      </c>
      <c r="DC144" s="37"/>
      <c r="DD144" s="37"/>
      <c r="DE144" s="37"/>
      <c r="DF144" s="37"/>
      <c r="DG144" s="37"/>
      <c r="DH144" s="37"/>
      <c r="DI144" s="37"/>
      <c r="DJ144" s="37"/>
      <c r="DK144" s="37"/>
      <c r="DL144" s="37"/>
      <c r="DM144" s="37"/>
      <c r="DN144" s="37"/>
      <c r="DO144" s="32" t="s">
        <v>5066</v>
      </c>
      <c r="DP144" s="38" t="s">
        <v>6403</v>
      </c>
      <c r="DQ144" s="37"/>
      <c r="DR144" s="37"/>
      <c r="DS144" s="37"/>
      <c r="DT144" s="37"/>
      <c r="DU144" s="37"/>
      <c r="DV144" s="37"/>
      <c r="DW144" s="34"/>
      <c r="DX144" s="37"/>
      <c r="DY144" s="34"/>
      <c r="DZ144" s="37"/>
      <c r="EA144" s="37"/>
      <c r="EB144" s="34"/>
      <c r="EC144" s="37"/>
      <c r="ED144" s="37"/>
      <c r="EE144" s="37"/>
      <c r="EF144" s="37"/>
      <c r="EG144" s="34"/>
      <c r="EH144" s="37"/>
      <c r="EI144" s="37"/>
      <c r="EJ144" s="37"/>
      <c r="EK144" s="34"/>
      <c r="EL144" s="37"/>
      <c r="EM144" s="37"/>
      <c r="EN144" s="37"/>
      <c r="EO144" s="37"/>
      <c r="EP144" s="40" t="s">
        <v>3559</v>
      </c>
    </row>
    <row r="145">
      <c r="A145" s="45"/>
      <c r="B145" s="42" t="s">
        <v>6474</v>
      </c>
      <c r="C145" s="42" t="s">
        <v>1714</v>
      </c>
      <c r="D145" s="42" t="s">
        <v>6475</v>
      </c>
      <c r="E145" s="42" t="s">
        <v>6476</v>
      </c>
      <c r="F145" s="42" t="s">
        <v>6477</v>
      </c>
      <c r="G145" s="42" t="s">
        <v>6478</v>
      </c>
      <c r="H145" s="42" t="s">
        <v>3563</v>
      </c>
      <c r="I145" s="42" t="s">
        <v>3564</v>
      </c>
      <c r="J145" s="42" t="s">
        <v>3565</v>
      </c>
      <c r="K145" s="42" t="s">
        <v>6479</v>
      </c>
      <c r="L145" s="43"/>
      <c r="M145" s="42" t="s">
        <v>6480</v>
      </c>
      <c r="N145" s="42" t="s">
        <v>4962</v>
      </c>
      <c r="O145" s="42" t="s">
        <v>6481</v>
      </c>
      <c r="P145" s="42"/>
      <c r="R145" s="42" t="s">
        <v>3571</v>
      </c>
      <c r="S145" s="42" t="s">
        <v>4964</v>
      </c>
      <c r="T145" s="42" t="s">
        <v>3603</v>
      </c>
      <c r="U145" s="44" t="s">
        <v>6482</v>
      </c>
      <c r="V145" s="44" t="s">
        <v>6483</v>
      </c>
      <c r="W145" s="45"/>
      <c r="X145" s="43"/>
      <c r="Y145" s="43"/>
      <c r="Z145" s="43"/>
      <c r="AA145" s="41">
        <v>1985.0</v>
      </c>
      <c r="AB145" s="42" t="s">
        <v>6484</v>
      </c>
      <c r="AC145" s="43"/>
      <c r="AD145" s="43"/>
      <c r="AE145" s="45"/>
      <c r="AF145" s="45"/>
      <c r="AG145" s="45"/>
      <c r="AH145" s="45"/>
      <c r="AI145" s="45"/>
      <c r="AJ145" s="45"/>
      <c r="AK145" s="45"/>
      <c r="AL145" s="45"/>
      <c r="AM145" s="45"/>
      <c r="AN145" s="45"/>
      <c r="AO145" s="42" t="s">
        <v>6485</v>
      </c>
      <c r="AP145" s="42" t="s">
        <v>6486</v>
      </c>
      <c r="AQ145" s="42" t="s">
        <v>6487</v>
      </c>
      <c r="AR145" s="43"/>
      <c r="AS145" s="43" t="str">
        <f>+972 (0)3 941 3313</f>
        <v>#ERROR!</v>
      </c>
      <c r="AT145" s="42" t="s">
        <v>4973</v>
      </c>
      <c r="AU145" s="42" t="s">
        <v>6488</v>
      </c>
      <c r="AV145" s="43"/>
      <c r="AW145" s="42" t="s">
        <v>4975</v>
      </c>
      <c r="AX145" s="43"/>
      <c r="AY145" s="41">
        <v>7570418.0</v>
      </c>
      <c r="AZ145" s="42" t="s">
        <v>41</v>
      </c>
      <c r="BA145" s="45" t="str">
        <f>+972 (0)3 941 3313</f>
        <v>#ERROR!</v>
      </c>
      <c r="BB145" s="45" t="str">
        <f>+972 (0)3 941 3316</f>
        <v>#ERROR!</v>
      </c>
      <c r="BC145" s="42" t="s">
        <v>6489</v>
      </c>
      <c r="BD145" s="42" t="s">
        <v>3584</v>
      </c>
      <c r="BE145" s="42" t="s">
        <v>3584</v>
      </c>
      <c r="BF145" s="42" t="s">
        <v>6490</v>
      </c>
      <c r="BG145" s="43"/>
      <c r="BH145" s="45"/>
      <c r="BI145" s="42" t="s">
        <v>6484</v>
      </c>
      <c r="BJ145" s="43"/>
      <c r="BK145" s="43"/>
      <c r="BL145" s="43"/>
      <c r="BM145" s="43"/>
      <c r="BN145" s="43"/>
      <c r="BO145" s="43"/>
      <c r="BP145" s="43"/>
      <c r="BQ145" s="46" t="s">
        <v>6491</v>
      </c>
      <c r="BR145" s="45"/>
      <c r="BS145" s="43"/>
      <c r="BT145" s="45"/>
      <c r="BU145" s="43"/>
      <c r="BV145" s="42" t="s">
        <v>4977</v>
      </c>
      <c r="BW145" s="43"/>
      <c r="BX145" s="43"/>
      <c r="BY145" s="42" t="s">
        <v>3663</v>
      </c>
      <c r="BZ145" s="43"/>
      <c r="CA145" s="42" t="s">
        <v>3591</v>
      </c>
      <c r="CB145" s="46" t="s">
        <v>6491</v>
      </c>
      <c r="CC145" s="45"/>
      <c r="CD145" s="43"/>
      <c r="CE145" s="45"/>
      <c r="CF145" s="43"/>
      <c r="CG145" s="42" t="s">
        <v>4977</v>
      </c>
      <c r="CH145" s="43"/>
      <c r="CI145" s="43"/>
      <c r="CJ145" s="42" t="s">
        <v>3663</v>
      </c>
      <c r="CK145" s="45"/>
      <c r="CL145" s="45"/>
      <c r="CM145" s="43"/>
      <c r="CN145" s="42" t="s">
        <v>3591</v>
      </c>
      <c r="CO145" s="47">
        <v>0.0017</v>
      </c>
      <c r="CP145" s="41">
        <v>87.0</v>
      </c>
      <c r="CQ145" s="47">
        <v>0.0</v>
      </c>
      <c r="CR145" s="47">
        <v>0.0</v>
      </c>
      <c r="CS145" s="47">
        <v>0.0017</v>
      </c>
      <c r="CT145" s="41">
        <v>89.0</v>
      </c>
      <c r="CU145" s="45"/>
      <c r="CV145" s="45"/>
      <c r="CW145" s="47">
        <v>0.0017</v>
      </c>
      <c r="CX145" s="41">
        <v>89.0</v>
      </c>
      <c r="CY145" s="41" t="s">
        <v>6492</v>
      </c>
      <c r="CZ145" s="41">
        <v>91.0</v>
      </c>
      <c r="DA145" s="41" t="s">
        <v>3598</v>
      </c>
      <c r="DB145" s="47">
        <v>0.0</v>
      </c>
      <c r="DC145" s="41" t="s">
        <v>6492</v>
      </c>
      <c r="DD145" s="41">
        <v>91.0</v>
      </c>
      <c r="DE145" s="45"/>
      <c r="DF145" s="45"/>
      <c r="DG145" s="41" t="s">
        <v>6492</v>
      </c>
      <c r="DH145" s="41">
        <v>90.0</v>
      </c>
      <c r="DI145" s="45"/>
      <c r="DJ145" s="45"/>
      <c r="DK145" s="45"/>
      <c r="DL145" s="41">
        <v>235.0</v>
      </c>
      <c r="DM145" s="41">
        <v>2.0</v>
      </c>
      <c r="DN145" s="47">
        <v>0.0086</v>
      </c>
      <c r="DO145" s="41" t="s">
        <v>3600</v>
      </c>
      <c r="DP145" s="46" t="s">
        <v>6493</v>
      </c>
      <c r="DQ145" s="41">
        <v>15.0</v>
      </c>
      <c r="DR145" s="41">
        <v>2.0</v>
      </c>
      <c r="DS145" s="41">
        <v>9.0</v>
      </c>
      <c r="DT145" s="41">
        <v>3.0</v>
      </c>
      <c r="DU145" s="45"/>
      <c r="DV145" s="41">
        <v>3.0</v>
      </c>
      <c r="DW145" s="42" t="s">
        <v>6494</v>
      </c>
      <c r="DX145" s="45"/>
      <c r="DY145" s="43"/>
      <c r="DZ145" s="45"/>
      <c r="EA145" s="45"/>
      <c r="EB145" s="43"/>
      <c r="EC145" s="45"/>
      <c r="ED145" s="45"/>
      <c r="EE145" s="45"/>
      <c r="EF145" s="45"/>
      <c r="EG145" s="43"/>
      <c r="EH145" s="45"/>
      <c r="EI145" s="45"/>
      <c r="EJ145" s="45"/>
      <c r="EK145" s="43"/>
      <c r="EL145" s="45"/>
      <c r="EM145" s="45"/>
      <c r="EN145" s="45"/>
      <c r="EO145" s="45"/>
      <c r="EP145" s="48" t="s">
        <v>3559</v>
      </c>
    </row>
    <row r="146">
      <c r="A146" s="37"/>
      <c r="B146" s="35" t="s">
        <v>6495</v>
      </c>
      <c r="C146" s="34"/>
      <c r="D146" s="34"/>
      <c r="E146" s="35" t="s">
        <v>6496</v>
      </c>
      <c r="F146" s="34"/>
      <c r="G146" s="35" t="s">
        <v>6497</v>
      </c>
      <c r="H146" s="35" t="s">
        <v>3563</v>
      </c>
      <c r="I146" s="35" t="s">
        <v>3564</v>
      </c>
      <c r="J146" s="35" t="s">
        <v>3565</v>
      </c>
      <c r="K146" s="35" t="s">
        <v>6498</v>
      </c>
      <c r="L146" s="35" t="s">
        <v>4000</v>
      </c>
      <c r="M146" s="35" t="s">
        <v>6499</v>
      </c>
      <c r="N146" s="35" t="s">
        <v>5145</v>
      </c>
      <c r="O146" s="35" t="s">
        <v>6500</v>
      </c>
      <c r="P146" s="35"/>
      <c r="R146" s="35" t="s">
        <v>3571</v>
      </c>
      <c r="S146" s="35" t="s">
        <v>3572</v>
      </c>
      <c r="T146" s="35" t="s">
        <v>5147</v>
      </c>
      <c r="U146" s="36" t="s">
        <v>6501</v>
      </c>
      <c r="V146" s="36" t="s">
        <v>6502</v>
      </c>
      <c r="W146" s="32">
        <v>5.0</v>
      </c>
      <c r="X146" s="35" t="s">
        <v>6503</v>
      </c>
      <c r="Y146" s="34"/>
      <c r="Z146" s="34"/>
      <c r="AA146" s="32">
        <v>2019.0</v>
      </c>
      <c r="AB146" s="34"/>
      <c r="AC146" s="34"/>
      <c r="AD146" s="35" t="s">
        <v>6504</v>
      </c>
      <c r="AE146" s="37"/>
      <c r="AF146" s="37"/>
      <c r="AG146" s="37"/>
      <c r="AH146" s="37"/>
      <c r="AI146" s="37"/>
      <c r="AJ146" s="37"/>
      <c r="AK146" s="37"/>
      <c r="AL146" s="37"/>
      <c r="AM146" s="37"/>
      <c r="AN146" s="37"/>
      <c r="AO146" s="35" t="s">
        <v>6505</v>
      </c>
      <c r="AP146" s="35" t="s">
        <v>6506</v>
      </c>
      <c r="AQ146" s="35" t="s">
        <v>3579</v>
      </c>
      <c r="AR146" s="35" t="s">
        <v>6507</v>
      </c>
      <c r="AS146" s="34" t="str">
        <f>+972 (0)54 330 1895</f>
        <v>#ERROR!</v>
      </c>
      <c r="AT146" s="35" t="s">
        <v>6508</v>
      </c>
      <c r="AU146" s="35" t="s">
        <v>6509</v>
      </c>
      <c r="AV146" s="34"/>
      <c r="AW146" s="35" t="s">
        <v>6510</v>
      </c>
      <c r="AX146" s="34"/>
      <c r="AY146" s="37"/>
      <c r="AZ146" s="35" t="s">
        <v>41</v>
      </c>
      <c r="BA146" s="37" t="str">
        <f>+972 (0)54 330 1895</f>
        <v>#ERROR!</v>
      </c>
      <c r="BB146" s="37"/>
      <c r="BC146" s="34"/>
      <c r="BD146" s="35" t="s">
        <v>3584</v>
      </c>
      <c r="BE146" s="35" t="s">
        <v>3584</v>
      </c>
      <c r="BF146" s="35" t="s">
        <v>6511</v>
      </c>
      <c r="BG146" s="35" t="s">
        <v>6512</v>
      </c>
      <c r="BH146" s="32">
        <v>1.0</v>
      </c>
      <c r="BI146" s="34"/>
      <c r="BJ146" s="34"/>
      <c r="BK146" s="34"/>
      <c r="BL146" s="35" t="s">
        <v>6513</v>
      </c>
      <c r="BM146" s="34"/>
      <c r="BN146" s="34"/>
      <c r="BO146" s="34"/>
      <c r="BP146" s="34"/>
      <c r="BQ146" s="37"/>
      <c r="BR146" s="37"/>
      <c r="BS146" s="34"/>
      <c r="BT146" s="37"/>
      <c r="BU146" s="34"/>
      <c r="BV146" s="35" t="s">
        <v>3802</v>
      </c>
      <c r="BW146" s="35" t="s">
        <v>3802</v>
      </c>
      <c r="BX146" s="34"/>
      <c r="BY146" s="35" t="s">
        <v>3803</v>
      </c>
      <c r="BZ146" s="34"/>
      <c r="CA146" s="35" t="s">
        <v>3966</v>
      </c>
      <c r="CB146" s="37"/>
      <c r="CC146" s="37"/>
      <c r="CD146" s="34"/>
      <c r="CE146" s="37"/>
      <c r="CF146" s="34"/>
      <c r="CG146" s="35" t="s">
        <v>3589</v>
      </c>
      <c r="CH146" s="34"/>
      <c r="CI146" s="34"/>
      <c r="CJ146" s="35" t="s">
        <v>3590</v>
      </c>
      <c r="CK146" s="37"/>
      <c r="CL146" s="37"/>
      <c r="CM146" s="34"/>
      <c r="CN146" s="35" t="s">
        <v>3591</v>
      </c>
      <c r="CO146" s="39">
        <v>0.0</v>
      </c>
      <c r="CP146" s="32">
        <v>14.0</v>
      </c>
      <c r="CQ146" s="39">
        <v>0.0</v>
      </c>
      <c r="CR146" s="39">
        <v>0.0</v>
      </c>
      <c r="CS146" s="39">
        <v>0.0</v>
      </c>
      <c r="CT146" s="32">
        <v>12.0</v>
      </c>
      <c r="CU146" s="39">
        <v>0.0</v>
      </c>
      <c r="CV146" s="32">
        <v>10.0</v>
      </c>
      <c r="CW146" s="39">
        <v>0.0</v>
      </c>
      <c r="CX146" s="32">
        <v>12.0</v>
      </c>
      <c r="CY146" s="32" t="s">
        <v>6514</v>
      </c>
      <c r="CZ146" s="32">
        <v>12.0</v>
      </c>
      <c r="DA146" s="32" t="s">
        <v>3598</v>
      </c>
      <c r="DB146" s="39">
        <v>0.0</v>
      </c>
      <c r="DC146" s="32" t="s">
        <v>6514</v>
      </c>
      <c r="DD146" s="32">
        <v>14.0</v>
      </c>
      <c r="DE146" s="32" t="s">
        <v>6515</v>
      </c>
      <c r="DF146" s="32">
        <v>20.0</v>
      </c>
      <c r="DG146" s="32" t="s">
        <v>6014</v>
      </c>
      <c r="DH146" s="32">
        <v>29.0</v>
      </c>
      <c r="DI146" s="32">
        <v>0.0</v>
      </c>
      <c r="DJ146" s="32">
        <v>0.0</v>
      </c>
      <c r="DK146" s="39">
        <v>0.0</v>
      </c>
      <c r="DL146" s="32">
        <v>14.0</v>
      </c>
      <c r="DM146" s="32">
        <v>1.0</v>
      </c>
      <c r="DN146" s="39">
        <v>0.0769</v>
      </c>
      <c r="DO146" s="32" t="s">
        <v>3600</v>
      </c>
      <c r="DP146" s="38" t="s">
        <v>4020</v>
      </c>
      <c r="DQ146" s="37"/>
      <c r="DR146" s="37"/>
      <c r="DS146" s="37"/>
      <c r="DT146" s="37"/>
      <c r="DU146" s="37"/>
      <c r="DV146" s="37"/>
      <c r="DW146" s="34"/>
      <c r="DX146" s="37"/>
      <c r="DY146" s="34"/>
      <c r="DZ146" s="37"/>
      <c r="EA146" s="37"/>
      <c r="EB146" s="34"/>
      <c r="EC146" s="37"/>
      <c r="ED146" s="37"/>
      <c r="EE146" s="37"/>
      <c r="EF146" s="37"/>
      <c r="EG146" s="34"/>
      <c r="EH146" s="37"/>
      <c r="EI146" s="37"/>
      <c r="EJ146" s="37"/>
      <c r="EK146" s="34"/>
      <c r="EL146" s="37"/>
      <c r="EM146" s="37"/>
      <c r="EN146" s="37"/>
      <c r="EO146" s="37"/>
      <c r="EP146" s="40" t="s">
        <v>3559</v>
      </c>
    </row>
    <row r="147">
      <c r="A147" s="41">
        <v>39.8</v>
      </c>
      <c r="B147" s="42" t="s">
        <v>6516</v>
      </c>
      <c r="C147" s="43"/>
      <c r="D147" s="43"/>
      <c r="E147" s="42" t="s">
        <v>6517</v>
      </c>
      <c r="F147" s="43"/>
      <c r="G147" s="42" t="s">
        <v>6518</v>
      </c>
      <c r="H147" s="42" t="s">
        <v>4560</v>
      </c>
      <c r="I147" s="42" t="s">
        <v>4561</v>
      </c>
      <c r="J147" s="42" t="s">
        <v>5057</v>
      </c>
      <c r="K147" s="42" t="s">
        <v>6519</v>
      </c>
      <c r="L147" s="43"/>
      <c r="M147" s="42" t="s">
        <v>6520</v>
      </c>
      <c r="N147" s="42" t="s">
        <v>4923</v>
      </c>
      <c r="O147" s="42" t="s">
        <v>6521</v>
      </c>
      <c r="P147" s="42"/>
      <c r="R147" s="42" t="s">
        <v>5750</v>
      </c>
      <c r="S147" s="42" t="s">
        <v>5236</v>
      </c>
      <c r="T147" s="42" t="s">
        <v>5568</v>
      </c>
      <c r="U147" s="44" t="s">
        <v>6522</v>
      </c>
      <c r="V147" s="43"/>
      <c r="W147" s="41">
        <v>275.0</v>
      </c>
      <c r="X147" s="42" t="s">
        <v>6523</v>
      </c>
      <c r="Y147" s="42" t="s">
        <v>5417</v>
      </c>
      <c r="Z147" s="42" t="s">
        <v>6524</v>
      </c>
      <c r="AA147" s="45"/>
      <c r="AB147" s="43"/>
      <c r="AC147" s="43"/>
      <c r="AD147" s="43"/>
      <c r="AE147" s="41">
        <v>179.45</v>
      </c>
      <c r="AF147" s="41">
        <v>36.04</v>
      </c>
      <c r="AG147" s="41">
        <v>10.52</v>
      </c>
      <c r="AH147" s="41">
        <v>233.13</v>
      </c>
      <c r="AI147" s="41">
        <v>18.42</v>
      </c>
      <c r="AJ147" s="41">
        <v>14.55</v>
      </c>
      <c r="AK147" s="41">
        <v>206.06</v>
      </c>
      <c r="AL147" s="41">
        <v>105.07</v>
      </c>
      <c r="AM147" s="47">
        <v>0.4111</v>
      </c>
      <c r="AN147" s="41" t="s">
        <v>5245</v>
      </c>
      <c r="AO147" s="42" t="s">
        <v>6525</v>
      </c>
      <c r="AP147" s="42" t="s">
        <v>6526</v>
      </c>
      <c r="AQ147" s="42" t="s">
        <v>3982</v>
      </c>
      <c r="AR147" s="43"/>
      <c r="AS147" s="43" t="str">
        <f>+972 (0)3 559 4050</f>
        <v>#ERROR!</v>
      </c>
      <c r="AT147" s="42" t="s">
        <v>4095</v>
      </c>
      <c r="AU147" s="42" t="s">
        <v>5832</v>
      </c>
      <c r="AV147" s="42" t="s">
        <v>6527</v>
      </c>
      <c r="AW147" s="42" t="s">
        <v>323</v>
      </c>
      <c r="AX147" s="43"/>
      <c r="AY147" s="41">
        <v>5885849.0</v>
      </c>
      <c r="AZ147" s="42" t="s">
        <v>41</v>
      </c>
      <c r="BA147" s="45" t="str">
        <f>+972 (0)3 559 4050</f>
        <v>#ERROR!</v>
      </c>
      <c r="BB147" s="45"/>
      <c r="BC147" s="42" t="s">
        <v>6528</v>
      </c>
      <c r="BD147" s="42" t="s">
        <v>3584</v>
      </c>
      <c r="BE147" s="42" t="s">
        <v>3584</v>
      </c>
      <c r="BF147" s="42" t="s">
        <v>6529</v>
      </c>
      <c r="BG147" s="43"/>
      <c r="BH147" s="45"/>
      <c r="BI147" s="43"/>
      <c r="BJ147" s="43"/>
      <c r="BK147" s="43"/>
      <c r="BL147" s="43"/>
      <c r="BM147" s="43"/>
      <c r="BN147" s="43"/>
      <c r="BO147" s="43"/>
      <c r="BP147" s="43"/>
      <c r="BQ147" s="46" t="s">
        <v>6530</v>
      </c>
      <c r="BR147" s="41">
        <v>39.8</v>
      </c>
      <c r="BS147" s="42" t="s">
        <v>3593</v>
      </c>
      <c r="BT147" s="41">
        <v>122.47</v>
      </c>
      <c r="BU147" s="42" t="s">
        <v>3697</v>
      </c>
      <c r="BV147" s="42" t="s">
        <v>4532</v>
      </c>
      <c r="BW147" s="43"/>
      <c r="BX147" s="43"/>
      <c r="BY147" s="42" t="s">
        <v>5764</v>
      </c>
      <c r="BZ147" s="43"/>
      <c r="CA147" s="42" t="s">
        <v>3591</v>
      </c>
      <c r="CB147" s="46" t="s">
        <v>6530</v>
      </c>
      <c r="CC147" s="41">
        <v>39.8</v>
      </c>
      <c r="CD147" s="42" t="s">
        <v>3593</v>
      </c>
      <c r="CE147" s="41">
        <v>122.47</v>
      </c>
      <c r="CF147" s="42" t="s">
        <v>3697</v>
      </c>
      <c r="CG147" s="42" t="s">
        <v>4532</v>
      </c>
      <c r="CH147" s="43"/>
      <c r="CI147" s="43"/>
      <c r="CJ147" s="42" t="s">
        <v>5764</v>
      </c>
      <c r="CK147" s="45"/>
      <c r="CL147" s="45"/>
      <c r="CM147" s="43"/>
      <c r="CN147" s="42" t="s">
        <v>3591</v>
      </c>
      <c r="CO147" s="45"/>
      <c r="CP147" s="45"/>
      <c r="CQ147" s="45"/>
      <c r="CR147" s="45"/>
      <c r="CS147" s="45"/>
      <c r="CT147" s="45"/>
      <c r="CU147" s="45"/>
      <c r="CV147" s="45"/>
      <c r="CW147" s="45"/>
      <c r="CX147" s="45"/>
      <c r="CY147" s="45"/>
      <c r="CZ147" s="45"/>
      <c r="DA147" s="45"/>
      <c r="DB147" s="45"/>
      <c r="DC147" s="45"/>
      <c r="DD147" s="45"/>
      <c r="DE147" s="45"/>
      <c r="DF147" s="45"/>
      <c r="DG147" s="45"/>
      <c r="DH147" s="45"/>
      <c r="DI147" s="45"/>
      <c r="DJ147" s="45"/>
      <c r="DK147" s="45"/>
      <c r="DL147" s="45"/>
      <c r="DM147" s="45"/>
      <c r="DN147" s="45"/>
      <c r="DO147" s="41" t="s">
        <v>3600</v>
      </c>
      <c r="DP147" s="46" t="s">
        <v>4530</v>
      </c>
      <c r="DQ147" s="45"/>
      <c r="DR147" s="45"/>
      <c r="DS147" s="45"/>
      <c r="DT147" s="45"/>
      <c r="DU147" s="45"/>
      <c r="DV147" s="45"/>
      <c r="DW147" s="43"/>
      <c r="DX147" s="45"/>
      <c r="DY147" s="43"/>
      <c r="DZ147" s="45"/>
      <c r="EA147" s="45"/>
      <c r="EB147" s="43"/>
      <c r="EC147" s="45"/>
      <c r="ED147" s="45"/>
      <c r="EE147" s="41">
        <v>122.47</v>
      </c>
      <c r="EF147" s="46" t="s">
        <v>6530</v>
      </c>
      <c r="EG147" s="42" t="s">
        <v>4532</v>
      </c>
      <c r="EH147" s="45"/>
      <c r="EI147" s="45"/>
      <c r="EJ147" s="45"/>
      <c r="EK147" s="43"/>
      <c r="EL147" s="45"/>
      <c r="EM147" s="45"/>
      <c r="EN147" s="45"/>
      <c r="EO147" s="45"/>
      <c r="EP147" s="48" t="s">
        <v>3559</v>
      </c>
    </row>
    <row r="148">
      <c r="A148" s="32">
        <v>12.0</v>
      </c>
      <c r="B148" s="35" t="s">
        <v>609</v>
      </c>
      <c r="C148" s="35" t="s">
        <v>6531</v>
      </c>
      <c r="D148" s="35" t="s">
        <v>6532</v>
      </c>
      <c r="E148" s="35" t="s">
        <v>6533</v>
      </c>
      <c r="F148" s="34"/>
      <c r="G148" s="35" t="s">
        <v>6534</v>
      </c>
      <c r="H148" s="35" t="s">
        <v>6535</v>
      </c>
      <c r="I148" s="35" t="s">
        <v>6536</v>
      </c>
      <c r="J148" s="35" t="s">
        <v>6536</v>
      </c>
      <c r="K148" s="35" t="s">
        <v>6537</v>
      </c>
      <c r="L148" s="35" t="s">
        <v>6538</v>
      </c>
      <c r="M148" s="35" t="s">
        <v>6539</v>
      </c>
      <c r="N148" s="35" t="s">
        <v>5018</v>
      </c>
      <c r="O148" s="35" t="s">
        <v>6540</v>
      </c>
      <c r="P148" s="35"/>
      <c r="R148" s="35" t="s">
        <v>3571</v>
      </c>
      <c r="S148" s="35" t="s">
        <v>5020</v>
      </c>
      <c r="T148" s="35" t="s">
        <v>3573</v>
      </c>
      <c r="U148" s="36" t="s">
        <v>6541</v>
      </c>
      <c r="V148" s="34"/>
      <c r="W148" s="37"/>
      <c r="X148" s="34"/>
      <c r="Y148" s="34"/>
      <c r="Z148" s="34"/>
      <c r="AA148" s="32">
        <v>2008.0</v>
      </c>
      <c r="AB148" s="34"/>
      <c r="AC148" s="34"/>
      <c r="AD148" s="34"/>
      <c r="AE148" s="37"/>
      <c r="AF148" s="37"/>
      <c r="AG148" s="37"/>
      <c r="AH148" s="37"/>
      <c r="AI148" s="37"/>
      <c r="AJ148" s="37"/>
      <c r="AK148" s="37"/>
      <c r="AL148" s="37"/>
      <c r="AM148" s="37"/>
      <c r="AN148" s="37"/>
      <c r="AO148" s="34"/>
      <c r="AP148" s="34"/>
      <c r="AQ148" s="34"/>
      <c r="AR148" s="34"/>
      <c r="AS148" s="34"/>
      <c r="AT148" s="35" t="s">
        <v>3851</v>
      </c>
      <c r="AU148" s="35" t="s">
        <v>6542</v>
      </c>
      <c r="AV148" s="35" t="s">
        <v>6543</v>
      </c>
      <c r="AW148" s="35" t="s">
        <v>616</v>
      </c>
      <c r="AX148" s="34"/>
      <c r="AY148" s="32">
        <v>5290002.0</v>
      </c>
      <c r="AZ148" s="35" t="s">
        <v>41</v>
      </c>
      <c r="BA148" s="37"/>
      <c r="BB148" s="37"/>
      <c r="BC148" s="34"/>
      <c r="BD148" s="35" t="s">
        <v>3584</v>
      </c>
      <c r="BE148" s="35" t="s">
        <v>3584</v>
      </c>
      <c r="BF148" s="35" t="s">
        <v>6544</v>
      </c>
      <c r="BG148" s="34"/>
      <c r="BH148" s="37"/>
      <c r="BI148" s="34"/>
      <c r="BJ148" s="35" t="s">
        <v>6545</v>
      </c>
      <c r="BK148" s="34"/>
      <c r="BL148" s="34"/>
      <c r="BM148" s="35" t="s">
        <v>6546</v>
      </c>
      <c r="BN148" s="34"/>
      <c r="BO148" s="34"/>
      <c r="BP148" s="34"/>
      <c r="BQ148" s="38" t="s">
        <v>6547</v>
      </c>
      <c r="BR148" s="32">
        <v>12.0</v>
      </c>
      <c r="BS148" s="35" t="s">
        <v>3593</v>
      </c>
      <c r="BT148" s="37"/>
      <c r="BU148" s="34"/>
      <c r="BV148" s="35" t="s">
        <v>3669</v>
      </c>
      <c r="BW148" s="35" t="s">
        <v>3595</v>
      </c>
      <c r="BX148" s="34"/>
      <c r="BY148" s="35" t="s">
        <v>3573</v>
      </c>
      <c r="BZ148" s="34"/>
      <c r="CA148" s="35" t="s">
        <v>3591</v>
      </c>
      <c r="CB148" s="38" t="s">
        <v>6548</v>
      </c>
      <c r="CC148" s="32">
        <v>0.2</v>
      </c>
      <c r="CD148" s="35" t="s">
        <v>3593</v>
      </c>
      <c r="CE148" s="32">
        <v>0.2</v>
      </c>
      <c r="CF148" s="35" t="s">
        <v>3593</v>
      </c>
      <c r="CG148" s="35" t="s">
        <v>4977</v>
      </c>
      <c r="CH148" s="34"/>
      <c r="CI148" s="34"/>
      <c r="CJ148" s="35" t="s">
        <v>3663</v>
      </c>
      <c r="CK148" s="37"/>
      <c r="CL148" s="37"/>
      <c r="CM148" s="34"/>
      <c r="CN148" s="35" t="s">
        <v>3591</v>
      </c>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2" t="s">
        <v>3600</v>
      </c>
      <c r="DP148" s="38" t="s">
        <v>5350</v>
      </c>
      <c r="DQ148" s="32">
        <v>20.0</v>
      </c>
      <c r="DR148" s="32">
        <v>8.0</v>
      </c>
      <c r="DS148" s="32">
        <v>3.0</v>
      </c>
      <c r="DT148" s="37"/>
      <c r="DU148" s="37"/>
      <c r="DV148" s="32">
        <v>17.0</v>
      </c>
      <c r="DW148" s="35" t="s">
        <v>6549</v>
      </c>
      <c r="DX148" s="37"/>
      <c r="DY148" s="34"/>
      <c r="DZ148" s="37"/>
      <c r="EA148" s="37"/>
      <c r="EB148" s="34"/>
      <c r="EC148" s="37"/>
      <c r="ED148" s="37"/>
      <c r="EE148" s="32">
        <v>0.2</v>
      </c>
      <c r="EF148" s="38" t="s">
        <v>6548</v>
      </c>
      <c r="EG148" s="35" t="s">
        <v>4977</v>
      </c>
      <c r="EH148" s="37"/>
      <c r="EI148" s="37"/>
      <c r="EJ148" s="37"/>
      <c r="EK148" s="34"/>
      <c r="EL148" s="37"/>
      <c r="EM148" s="37"/>
      <c r="EN148" s="37"/>
      <c r="EO148" s="37"/>
      <c r="EP148" s="40" t="s">
        <v>3559</v>
      </c>
    </row>
    <row r="149">
      <c r="A149" s="45"/>
      <c r="B149" s="42" t="s">
        <v>6550</v>
      </c>
      <c r="C149" s="43"/>
      <c r="D149" s="43"/>
      <c r="E149" s="43"/>
      <c r="F149" s="43"/>
      <c r="G149" s="42" t="s">
        <v>6551</v>
      </c>
      <c r="H149" s="42" t="s">
        <v>4560</v>
      </c>
      <c r="I149" s="42" t="s">
        <v>4561</v>
      </c>
      <c r="J149" s="42" t="s">
        <v>66</v>
      </c>
      <c r="K149" s="42" t="s">
        <v>4562</v>
      </c>
      <c r="L149" s="43"/>
      <c r="M149" s="43"/>
      <c r="N149" s="42" t="s">
        <v>4923</v>
      </c>
      <c r="O149" s="42" t="s">
        <v>6552</v>
      </c>
      <c r="P149" s="42"/>
      <c r="R149" s="43"/>
      <c r="S149" s="42" t="s">
        <v>4925</v>
      </c>
      <c r="T149" s="42" t="s">
        <v>4926</v>
      </c>
      <c r="U149" s="44" t="s">
        <v>6553</v>
      </c>
      <c r="V149" s="44" t="s">
        <v>6554</v>
      </c>
      <c r="W149" s="41">
        <v>24.0</v>
      </c>
      <c r="X149" s="42" t="s">
        <v>6555</v>
      </c>
      <c r="Y149" s="43"/>
      <c r="Z149" s="43"/>
      <c r="AA149" s="45"/>
      <c r="AB149" s="43"/>
      <c r="AC149" s="43"/>
      <c r="AD149" s="43"/>
      <c r="AE149" s="45"/>
      <c r="AF149" s="45"/>
      <c r="AG149" s="45"/>
      <c r="AH149" s="45"/>
      <c r="AI149" s="45"/>
      <c r="AJ149" s="45"/>
      <c r="AK149" s="45"/>
      <c r="AL149" s="45"/>
      <c r="AM149" s="45"/>
      <c r="AN149" s="45"/>
      <c r="AO149" s="43"/>
      <c r="AP149" s="43"/>
      <c r="AQ149" s="43"/>
      <c r="AR149" s="43"/>
      <c r="AS149" s="43"/>
      <c r="AT149" s="42" t="s">
        <v>3581</v>
      </c>
      <c r="AU149" s="42" t="s">
        <v>6556</v>
      </c>
      <c r="AV149" s="43"/>
      <c r="AW149" s="42" t="s">
        <v>75</v>
      </c>
      <c r="AX149" s="43"/>
      <c r="AY149" s="45"/>
      <c r="AZ149" s="42" t="s">
        <v>41</v>
      </c>
      <c r="BA149" s="45"/>
      <c r="BB149" s="45"/>
      <c r="BC149" s="43"/>
      <c r="BD149" s="42" t="s">
        <v>3584</v>
      </c>
      <c r="BE149" s="42" t="s">
        <v>3584</v>
      </c>
      <c r="BF149" s="43"/>
      <c r="BG149" s="43"/>
      <c r="BH149" s="45"/>
      <c r="BI149" s="43"/>
      <c r="BJ149" s="43"/>
      <c r="BK149" s="43"/>
      <c r="BL149" s="43"/>
      <c r="BM149" s="43"/>
      <c r="BN149" s="43"/>
      <c r="BO149" s="43"/>
      <c r="BP149" s="43"/>
      <c r="BQ149" s="45"/>
      <c r="BR149" s="45"/>
      <c r="BS149" s="43"/>
      <c r="BT149" s="45"/>
      <c r="BU149" s="43"/>
      <c r="BV149" s="43"/>
      <c r="BW149" s="43"/>
      <c r="BX149" s="43"/>
      <c r="BY149" s="43"/>
      <c r="BZ149" s="43"/>
      <c r="CA149" s="43"/>
      <c r="CB149" s="45"/>
      <c r="CC149" s="45"/>
      <c r="CD149" s="43"/>
      <c r="CE149" s="45"/>
      <c r="CF149" s="43"/>
      <c r="CG149" s="43"/>
      <c r="CH149" s="43"/>
      <c r="CI149" s="43"/>
      <c r="CJ149" s="43"/>
      <c r="CK149" s="45"/>
      <c r="CL149" s="45"/>
      <c r="CM149" s="43"/>
      <c r="CN149" s="43"/>
      <c r="CO149" s="47">
        <v>0.0053</v>
      </c>
      <c r="CP149" s="41">
        <v>93.0</v>
      </c>
      <c r="CQ149" s="47">
        <v>0.0</v>
      </c>
      <c r="CR149" s="47">
        <v>0.0</v>
      </c>
      <c r="CS149" s="47">
        <v>0.0106</v>
      </c>
      <c r="CT149" s="41">
        <v>97.0</v>
      </c>
      <c r="CU149" s="47">
        <v>0.0213</v>
      </c>
      <c r="CV149" s="41">
        <v>95.0</v>
      </c>
      <c r="CW149" s="47">
        <v>0.0</v>
      </c>
      <c r="CX149" s="41">
        <v>12.0</v>
      </c>
      <c r="CY149" s="41" t="s">
        <v>6557</v>
      </c>
      <c r="CZ149" s="41">
        <v>78.0</v>
      </c>
      <c r="DA149" s="41" t="s">
        <v>3598</v>
      </c>
      <c r="DB149" s="47">
        <v>0.0</v>
      </c>
      <c r="DC149" s="41" t="s">
        <v>6558</v>
      </c>
      <c r="DD149" s="41">
        <v>81.0</v>
      </c>
      <c r="DE149" s="41" t="s">
        <v>6559</v>
      </c>
      <c r="DF149" s="41">
        <v>86.0</v>
      </c>
      <c r="DG149" s="41" t="s">
        <v>6560</v>
      </c>
      <c r="DH149" s="41">
        <v>63.0</v>
      </c>
      <c r="DI149" s="52">
        <v>1178.0</v>
      </c>
      <c r="DJ149" s="41">
        <v>73.0</v>
      </c>
      <c r="DK149" s="47">
        <v>0.0661</v>
      </c>
      <c r="DL149" s="41">
        <v>34.0</v>
      </c>
      <c r="DM149" s="41">
        <v>0.0</v>
      </c>
      <c r="DN149" s="47">
        <v>0.0</v>
      </c>
      <c r="DO149" s="41" t="s">
        <v>5066</v>
      </c>
      <c r="DP149" s="46" t="s">
        <v>5404</v>
      </c>
      <c r="DQ149" s="45"/>
      <c r="DR149" s="45"/>
      <c r="DS149" s="45"/>
      <c r="DT149" s="45"/>
      <c r="DU149" s="45"/>
      <c r="DV149" s="45"/>
      <c r="DW149" s="43"/>
      <c r="DX149" s="45"/>
      <c r="DY149" s="43"/>
      <c r="DZ149" s="45"/>
      <c r="EA149" s="45"/>
      <c r="EB149" s="43"/>
      <c r="EC149" s="45"/>
      <c r="ED149" s="45"/>
      <c r="EE149" s="45"/>
      <c r="EF149" s="45"/>
      <c r="EG149" s="43"/>
      <c r="EH149" s="45"/>
      <c r="EI149" s="45"/>
      <c r="EJ149" s="45"/>
      <c r="EK149" s="42" t="s">
        <v>4248</v>
      </c>
      <c r="EL149" s="45"/>
      <c r="EM149" s="45"/>
      <c r="EN149" s="45"/>
      <c r="EO149" s="45"/>
      <c r="EP149" s="48" t="s">
        <v>3559</v>
      </c>
    </row>
    <row r="150">
      <c r="A150" s="37"/>
      <c r="B150" s="35" t="s">
        <v>6561</v>
      </c>
      <c r="C150" s="34"/>
      <c r="D150" s="34"/>
      <c r="E150" s="34"/>
      <c r="F150" s="34"/>
      <c r="G150" s="35" t="s">
        <v>6562</v>
      </c>
      <c r="H150" s="35" t="s">
        <v>4560</v>
      </c>
      <c r="I150" s="35" t="s">
        <v>4561</v>
      </c>
      <c r="J150" s="35" t="s">
        <v>66</v>
      </c>
      <c r="K150" s="35" t="s">
        <v>5218</v>
      </c>
      <c r="L150" s="34"/>
      <c r="M150" s="35" t="s">
        <v>6563</v>
      </c>
      <c r="N150" s="35" t="s">
        <v>4389</v>
      </c>
      <c r="O150" s="35" t="s">
        <v>6564</v>
      </c>
      <c r="P150" s="35"/>
      <c r="R150" s="35" t="s">
        <v>3571</v>
      </c>
      <c r="S150" s="35" t="s">
        <v>3572</v>
      </c>
      <c r="T150" s="35" t="s">
        <v>4989</v>
      </c>
      <c r="U150" s="34"/>
      <c r="V150" s="34"/>
      <c r="W150" s="37"/>
      <c r="X150" s="34"/>
      <c r="Y150" s="34"/>
      <c r="Z150" s="34"/>
      <c r="AA150" s="37"/>
      <c r="AB150" s="34"/>
      <c r="AC150" s="34"/>
      <c r="AD150" s="34"/>
      <c r="AE150" s="37"/>
      <c r="AF150" s="37"/>
      <c r="AG150" s="37"/>
      <c r="AH150" s="37"/>
      <c r="AI150" s="37"/>
      <c r="AJ150" s="37"/>
      <c r="AK150" s="37"/>
      <c r="AL150" s="37"/>
      <c r="AM150" s="37"/>
      <c r="AN150" s="37"/>
      <c r="AO150" s="34"/>
      <c r="AP150" s="34"/>
      <c r="AQ150" s="34"/>
      <c r="AR150" s="34"/>
      <c r="AS150" s="34"/>
      <c r="AT150" s="35" t="s">
        <v>3581</v>
      </c>
      <c r="AU150" s="34"/>
      <c r="AV150" s="34"/>
      <c r="AW150" s="35" t="s">
        <v>75</v>
      </c>
      <c r="AX150" s="34"/>
      <c r="AY150" s="37"/>
      <c r="AZ150" s="35" t="s">
        <v>41</v>
      </c>
      <c r="BA150" s="37"/>
      <c r="BB150" s="37"/>
      <c r="BC150" s="34"/>
      <c r="BD150" s="35" t="s">
        <v>3584</v>
      </c>
      <c r="BE150" s="35" t="s">
        <v>3584</v>
      </c>
      <c r="BF150" s="35" t="s">
        <v>6565</v>
      </c>
      <c r="BG150" s="35" t="s">
        <v>6566</v>
      </c>
      <c r="BH150" s="32">
        <v>1.0</v>
      </c>
      <c r="BI150" s="34"/>
      <c r="BJ150" s="34"/>
      <c r="BK150" s="34"/>
      <c r="BL150" s="35" t="s">
        <v>6567</v>
      </c>
      <c r="BM150" s="34"/>
      <c r="BN150" s="34"/>
      <c r="BO150" s="34"/>
      <c r="BP150" s="34"/>
      <c r="BQ150" s="38" t="s">
        <v>6568</v>
      </c>
      <c r="BR150" s="37"/>
      <c r="BS150" s="34"/>
      <c r="BT150" s="37"/>
      <c r="BU150" s="34"/>
      <c r="BV150" s="35" t="s">
        <v>5635</v>
      </c>
      <c r="BW150" s="34"/>
      <c r="BX150" s="34"/>
      <c r="BY150" s="35" t="s">
        <v>4989</v>
      </c>
      <c r="BZ150" s="34"/>
      <c r="CA150" s="35" t="s">
        <v>3591</v>
      </c>
      <c r="CB150" s="38" t="s">
        <v>6568</v>
      </c>
      <c r="CC150" s="37"/>
      <c r="CD150" s="34"/>
      <c r="CE150" s="37"/>
      <c r="CF150" s="34"/>
      <c r="CG150" s="35" t="s">
        <v>5635</v>
      </c>
      <c r="CH150" s="34"/>
      <c r="CI150" s="34"/>
      <c r="CJ150" s="35" t="s">
        <v>4989</v>
      </c>
      <c r="CK150" s="37"/>
      <c r="CL150" s="37"/>
      <c r="CM150" s="34"/>
      <c r="CN150" s="35" t="s">
        <v>3591</v>
      </c>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2" t="s">
        <v>3600</v>
      </c>
      <c r="DP150" s="38" t="s">
        <v>6569</v>
      </c>
      <c r="DQ150" s="37"/>
      <c r="DR150" s="37"/>
      <c r="DS150" s="37"/>
      <c r="DT150" s="37"/>
      <c r="DU150" s="37"/>
      <c r="DV150" s="37"/>
      <c r="DW150" s="34"/>
      <c r="DX150" s="37"/>
      <c r="DY150" s="34"/>
      <c r="DZ150" s="37"/>
      <c r="EA150" s="37"/>
      <c r="EB150" s="34"/>
      <c r="EC150" s="37"/>
      <c r="ED150" s="37"/>
      <c r="EE150" s="37"/>
      <c r="EF150" s="37"/>
      <c r="EG150" s="34"/>
      <c r="EH150" s="37"/>
      <c r="EI150" s="37"/>
      <c r="EJ150" s="37"/>
      <c r="EK150" s="34"/>
      <c r="EL150" s="37"/>
      <c r="EM150" s="37"/>
      <c r="EN150" s="37"/>
      <c r="EO150" s="37"/>
      <c r="EP150" s="40" t="s">
        <v>3559</v>
      </c>
    </row>
    <row r="151">
      <c r="A151" s="45"/>
      <c r="B151" s="42" t="s">
        <v>6570</v>
      </c>
      <c r="C151" s="43"/>
      <c r="D151" s="43"/>
      <c r="E151" s="42" t="s">
        <v>6571</v>
      </c>
      <c r="F151" s="43"/>
      <c r="G151" s="42" t="s">
        <v>6572</v>
      </c>
      <c r="H151" s="42" t="s">
        <v>4560</v>
      </c>
      <c r="I151" s="42" t="s">
        <v>6573</v>
      </c>
      <c r="J151" s="42" t="s">
        <v>6574</v>
      </c>
      <c r="K151" s="42" t="s">
        <v>6575</v>
      </c>
      <c r="L151" s="42" t="s">
        <v>6576</v>
      </c>
      <c r="M151" s="42" t="s">
        <v>6577</v>
      </c>
      <c r="N151" s="42" t="s">
        <v>4923</v>
      </c>
      <c r="O151" s="42" t="s">
        <v>6578</v>
      </c>
      <c r="P151" s="42"/>
      <c r="R151" s="42" t="s">
        <v>3571</v>
      </c>
      <c r="S151" s="42" t="s">
        <v>4925</v>
      </c>
      <c r="T151" s="42" t="s">
        <v>4926</v>
      </c>
      <c r="U151" s="44" t="s">
        <v>6579</v>
      </c>
      <c r="V151" s="44" t="s">
        <v>6580</v>
      </c>
      <c r="W151" s="41">
        <v>16.0</v>
      </c>
      <c r="X151" s="54">
        <v>84.2611111111111</v>
      </c>
      <c r="Y151" s="43"/>
      <c r="Z151" s="43"/>
      <c r="AA151" s="41">
        <v>2015.0</v>
      </c>
      <c r="AB151" s="43"/>
      <c r="AC151" s="43"/>
      <c r="AD151" s="43"/>
      <c r="AE151" s="45"/>
      <c r="AF151" s="45"/>
      <c r="AG151" s="45"/>
      <c r="AH151" s="45"/>
      <c r="AI151" s="45"/>
      <c r="AJ151" s="45"/>
      <c r="AK151" s="45"/>
      <c r="AL151" s="45"/>
      <c r="AM151" s="45"/>
      <c r="AN151" s="45"/>
      <c r="AO151" s="42" t="s">
        <v>6581</v>
      </c>
      <c r="AP151" s="42" t="s">
        <v>6582</v>
      </c>
      <c r="AQ151" s="42" t="s">
        <v>2744</v>
      </c>
      <c r="AR151" s="42" t="s">
        <v>6583</v>
      </c>
      <c r="AS151" s="43" t="str">
        <f>+972 (0)77 363 3198</f>
        <v>#ERROR!</v>
      </c>
      <c r="AT151" s="42" t="s">
        <v>3581</v>
      </c>
      <c r="AU151" s="42" t="s">
        <v>6584</v>
      </c>
      <c r="AV151" s="43"/>
      <c r="AW151" s="42" t="s">
        <v>75</v>
      </c>
      <c r="AX151" s="43"/>
      <c r="AY151" s="41">
        <v>6971915.0</v>
      </c>
      <c r="AZ151" s="42" t="s">
        <v>41</v>
      </c>
      <c r="BA151" s="45" t="str">
        <f>+972 (0)77 363 3198</f>
        <v>#ERROR!</v>
      </c>
      <c r="BB151" s="45"/>
      <c r="BC151" s="42" t="s">
        <v>6585</v>
      </c>
      <c r="BD151" s="42" t="s">
        <v>3584</v>
      </c>
      <c r="BE151" s="42" t="s">
        <v>3584</v>
      </c>
      <c r="BF151" s="43"/>
      <c r="BG151" s="43"/>
      <c r="BH151" s="45"/>
      <c r="BI151" s="43"/>
      <c r="BJ151" s="43"/>
      <c r="BK151" s="43"/>
      <c r="BL151" s="43"/>
      <c r="BM151" s="43"/>
      <c r="BN151" s="43"/>
      <c r="BO151" s="43"/>
      <c r="BP151" s="43"/>
      <c r="BQ151" s="45"/>
      <c r="BR151" s="45"/>
      <c r="BS151" s="43"/>
      <c r="BT151" s="45"/>
      <c r="BU151" s="43"/>
      <c r="BV151" s="43"/>
      <c r="BW151" s="43"/>
      <c r="BX151" s="43"/>
      <c r="BY151" s="43"/>
      <c r="BZ151" s="43"/>
      <c r="CA151" s="43"/>
      <c r="CB151" s="45"/>
      <c r="CC151" s="45"/>
      <c r="CD151" s="43"/>
      <c r="CE151" s="45"/>
      <c r="CF151" s="43"/>
      <c r="CG151" s="43"/>
      <c r="CH151" s="43"/>
      <c r="CI151" s="43"/>
      <c r="CJ151" s="43"/>
      <c r="CK151" s="45"/>
      <c r="CL151" s="45"/>
      <c r="CM151" s="43"/>
      <c r="CN151" s="43"/>
      <c r="CO151" s="47">
        <v>0.0</v>
      </c>
      <c r="CP151" s="41">
        <v>14.0</v>
      </c>
      <c r="CQ151" s="47">
        <v>0.0</v>
      </c>
      <c r="CR151" s="47">
        <v>0.0</v>
      </c>
      <c r="CS151" s="47">
        <v>0.0</v>
      </c>
      <c r="CT151" s="41">
        <v>12.0</v>
      </c>
      <c r="CU151" s="47">
        <v>0.0</v>
      </c>
      <c r="CV151" s="41">
        <v>10.0</v>
      </c>
      <c r="CW151" s="47">
        <v>0.0</v>
      </c>
      <c r="CX151" s="41">
        <v>12.0</v>
      </c>
      <c r="CY151" s="41" t="s">
        <v>4481</v>
      </c>
      <c r="CZ151" s="41">
        <v>58.0</v>
      </c>
      <c r="DA151" s="41" t="s">
        <v>3598</v>
      </c>
      <c r="DB151" s="47">
        <v>0.0</v>
      </c>
      <c r="DC151" s="41" t="s">
        <v>4481</v>
      </c>
      <c r="DD151" s="41">
        <v>60.0</v>
      </c>
      <c r="DE151" s="41" t="s">
        <v>5051</v>
      </c>
      <c r="DF151" s="41">
        <v>48.0</v>
      </c>
      <c r="DG151" s="41" t="s">
        <v>3992</v>
      </c>
      <c r="DH151" s="41">
        <v>70.0</v>
      </c>
      <c r="DI151" s="41">
        <v>29.0</v>
      </c>
      <c r="DJ151" s="41">
        <v>-1.0</v>
      </c>
      <c r="DK151" s="47">
        <v>-0.0333</v>
      </c>
      <c r="DL151" s="41">
        <v>52.0</v>
      </c>
      <c r="DM151" s="41">
        <v>0.0</v>
      </c>
      <c r="DN151" s="47">
        <v>0.0</v>
      </c>
      <c r="DO151" s="41" t="s">
        <v>3600</v>
      </c>
      <c r="DP151" s="46" t="s">
        <v>3777</v>
      </c>
      <c r="DQ151" s="45"/>
      <c r="DR151" s="45"/>
      <c r="DS151" s="45"/>
      <c r="DT151" s="45"/>
      <c r="DU151" s="45"/>
      <c r="DV151" s="45"/>
      <c r="DW151" s="43"/>
      <c r="DX151" s="45"/>
      <c r="DY151" s="43"/>
      <c r="DZ151" s="45"/>
      <c r="EA151" s="45"/>
      <c r="EB151" s="43"/>
      <c r="EC151" s="45"/>
      <c r="ED151" s="45"/>
      <c r="EE151" s="45"/>
      <c r="EF151" s="45"/>
      <c r="EG151" s="43"/>
      <c r="EH151" s="45"/>
      <c r="EI151" s="45"/>
      <c r="EJ151" s="45"/>
      <c r="EK151" s="42" t="s">
        <v>4248</v>
      </c>
      <c r="EL151" s="45"/>
      <c r="EM151" s="45"/>
      <c r="EN151" s="45"/>
      <c r="EO151" s="45"/>
      <c r="EP151" s="48" t="s">
        <v>3559</v>
      </c>
    </row>
    <row r="152">
      <c r="A152" s="37"/>
      <c r="B152" s="35" t="s">
        <v>6586</v>
      </c>
      <c r="C152" s="34"/>
      <c r="D152" s="34"/>
      <c r="E152" s="35" t="s">
        <v>6587</v>
      </c>
      <c r="F152" s="34"/>
      <c r="G152" s="35" t="s">
        <v>6588</v>
      </c>
      <c r="H152" s="35" t="s">
        <v>4560</v>
      </c>
      <c r="I152" s="35" t="s">
        <v>4561</v>
      </c>
      <c r="J152" s="35" t="s">
        <v>66</v>
      </c>
      <c r="K152" s="35" t="s">
        <v>4960</v>
      </c>
      <c r="L152" s="35" t="s">
        <v>4986</v>
      </c>
      <c r="M152" s="35" t="s">
        <v>6589</v>
      </c>
      <c r="N152" s="35" t="s">
        <v>4923</v>
      </c>
      <c r="O152" s="35" t="s">
        <v>6590</v>
      </c>
      <c r="P152" s="35"/>
      <c r="R152" s="35" t="s">
        <v>3571</v>
      </c>
      <c r="S152" s="35" t="s">
        <v>4925</v>
      </c>
      <c r="T152" s="35" t="s">
        <v>4926</v>
      </c>
      <c r="U152" s="36" t="s">
        <v>6591</v>
      </c>
      <c r="V152" s="34"/>
      <c r="W152" s="37"/>
      <c r="X152" s="34"/>
      <c r="Y152" s="34"/>
      <c r="Z152" s="34"/>
      <c r="AA152" s="32">
        <v>2020.0</v>
      </c>
      <c r="AB152" s="34"/>
      <c r="AC152" s="34"/>
      <c r="AD152" s="34"/>
      <c r="AE152" s="37"/>
      <c r="AF152" s="37"/>
      <c r="AG152" s="37"/>
      <c r="AH152" s="37"/>
      <c r="AI152" s="37"/>
      <c r="AJ152" s="37"/>
      <c r="AK152" s="37"/>
      <c r="AL152" s="37"/>
      <c r="AM152" s="37"/>
      <c r="AN152" s="37"/>
      <c r="AO152" s="35" t="s">
        <v>6592</v>
      </c>
      <c r="AP152" s="35" t="s">
        <v>6593</v>
      </c>
      <c r="AQ152" s="35" t="s">
        <v>6594</v>
      </c>
      <c r="AR152" s="34"/>
      <c r="AS152" s="34"/>
      <c r="AT152" s="35" t="s">
        <v>3654</v>
      </c>
      <c r="AU152" s="35" t="s">
        <v>6595</v>
      </c>
      <c r="AV152" s="35" t="s">
        <v>6596</v>
      </c>
      <c r="AW152" s="35" t="s">
        <v>147</v>
      </c>
      <c r="AX152" s="34"/>
      <c r="AY152" s="32">
        <v>9112001.0</v>
      </c>
      <c r="AZ152" s="35" t="s">
        <v>41</v>
      </c>
      <c r="BA152" s="37"/>
      <c r="BB152" s="37"/>
      <c r="BC152" s="34"/>
      <c r="BD152" s="35" t="s">
        <v>3584</v>
      </c>
      <c r="BE152" s="35" t="s">
        <v>3584</v>
      </c>
      <c r="BF152" s="34"/>
      <c r="BG152" s="34"/>
      <c r="BH152" s="37"/>
      <c r="BI152" s="34"/>
      <c r="BJ152" s="34"/>
      <c r="BK152" s="34"/>
      <c r="BL152" s="34"/>
      <c r="BM152" s="34"/>
      <c r="BN152" s="34"/>
      <c r="BO152" s="34"/>
      <c r="BP152" s="34"/>
      <c r="BQ152" s="37"/>
      <c r="BR152" s="37"/>
      <c r="BS152" s="34"/>
      <c r="BT152" s="37"/>
      <c r="BU152" s="34"/>
      <c r="BV152" s="34"/>
      <c r="BW152" s="34"/>
      <c r="BX152" s="34"/>
      <c r="BY152" s="34"/>
      <c r="BZ152" s="34"/>
      <c r="CA152" s="34"/>
      <c r="CB152" s="37"/>
      <c r="CC152" s="37"/>
      <c r="CD152" s="34"/>
      <c r="CE152" s="37"/>
      <c r="CF152" s="34"/>
      <c r="CG152" s="34"/>
      <c r="CH152" s="34"/>
      <c r="CI152" s="34"/>
      <c r="CJ152" s="34"/>
      <c r="CK152" s="37"/>
      <c r="CL152" s="37"/>
      <c r="CM152" s="34"/>
      <c r="CN152" s="34"/>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2" t="s">
        <v>3600</v>
      </c>
      <c r="DP152" s="38" t="s">
        <v>6597</v>
      </c>
      <c r="DQ152" s="37"/>
      <c r="DR152" s="37"/>
      <c r="DS152" s="37"/>
      <c r="DT152" s="37"/>
      <c r="DU152" s="37"/>
      <c r="DV152" s="37"/>
      <c r="DW152" s="34"/>
      <c r="DX152" s="37"/>
      <c r="DY152" s="34"/>
      <c r="DZ152" s="37"/>
      <c r="EA152" s="37"/>
      <c r="EB152" s="34"/>
      <c r="EC152" s="37"/>
      <c r="ED152" s="37"/>
      <c r="EE152" s="37"/>
      <c r="EF152" s="37"/>
      <c r="EG152" s="34"/>
      <c r="EH152" s="37"/>
      <c r="EI152" s="37"/>
      <c r="EJ152" s="37"/>
      <c r="EK152" s="34"/>
      <c r="EL152" s="37"/>
      <c r="EM152" s="37"/>
      <c r="EN152" s="37"/>
      <c r="EO152" s="37"/>
      <c r="EP152" s="40" t="s">
        <v>3559</v>
      </c>
    </row>
    <row r="153">
      <c r="A153" s="45"/>
      <c r="B153" s="42" t="s">
        <v>6598</v>
      </c>
      <c r="C153" s="43"/>
      <c r="D153" s="43"/>
      <c r="E153" s="43"/>
      <c r="F153" s="43"/>
      <c r="G153" s="42" t="s">
        <v>6599</v>
      </c>
      <c r="H153" s="42" t="s">
        <v>4560</v>
      </c>
      <c r="I153" s="42" t="s">
        <v>4561</v>
      </c>
      <c r="J153" s="42" t="s">
        <v>66</v>
      </c>
      <c r="K153" s="42" t="s">
        <v>6600</v>
      </c>
      <c r="L153" s="42" t="s">
        <v>6601</v>
      </c>
      <c r="M153" s="42" t="s">
        <v>6602</v>
      </c>
      <c r="N153" s="42" t="s">
        <v>4923</v>
      </c>
      <c r="O153" s="42" t="s">
        <v>6603</v>
      </c>
      <c r="P153" s="42"/>
      <c r="R153" s="42" t="s">
        <v>5222</v>
      </c>
      <c r="S153" s="42" t="s">
        <v>5222</v>
      </c>
      <c r="T153" s="42" t="s">
        <v>4926</v>
      </c>
      <c r="U153" s="44" t="s">
        <v>6604</v>
      </c>
      <c r="V153" s="43"/>
      <c r="W153" s="45"/>
      <c r="X153" s="43"/>
      <c r="Y153" s="43"/>
      <c r="Z153" s="43"/>
      <c r="AA153" s="41">
        <v>2019.0</v>
      </c>
      <c r="AB153" s="43"/>
      <c r="AC153" s="43"/>
      <c r="AD153" s="43"/>
      <c r="AE153" s="45"/>
      <c r="AF153" s="45"/>
      <c r="AG153" s="45"/>
      <c r="AH153" s="45"/>
      <c r="AI153" s="45"/>
      <c r="AJ153" s="45"/>
      <c r="AK153" s="45"/>
      <c r="AL153" s="45"/>
      <c r="AM153" s="45"/>
      <c r="AN153" s="45"/>
      <c r="AO153" s="43"/>
      <c r="AP153" s="43"/>
      <c r="AQ153" s="43"/>
      <c r="AR153" s="43"/>
      <c r="AS153" s="43"/>
      <c r="AT153" s="42" t="s">
        <v>3581</v>
      </c>
      <c r="AU153" s="42" t="s">
        <v>6605</v>
      </c>
      <c r="AV153" s="43"/>
      <c r="AW153" s="42" t="s">
        <v>75</v>
      </c>
      <c r="AX153" s="43"/>
      <c r="AY153" s="45"/>
      <c r="AZ153" s="42" t="s">
        <v>41</v>
      </c>
      <c r="BA153" s="45"/>
      <c r="BB153" s="45"/>
      <c r="BC153" s="43"/>
      <c r="BD153" s="42" t="s">
        <v>3584</v>
      </c>
      <c r="BE153" s="42" t="s">
        <v>3584</v>
      </c>
      <c r="BF153" s="42" t="s">
        <v>5332</v>
      </c>
      <c r="BG153" s="43"/>
      <c r="BH153" s="45"/>
      <c r="BI153" s="43"/>
      <c r="BJ153" s="43"/>
      <c r="BK153" s="43"/>
      <c r="BL153" s="43"/>
      <c r="BM153" s="43"/>
      <c r="BN153" s="43"/>
      <c r="BO153" s="43"/>
      <c r="BP153" s="43"/>
      <c r="BQ153" s="45"/>
      <c r="BR153" s="45"/>
      <c r="BS153" s="43"/>
      <c r="BT153" s="45"/>
      <c r="BU153" s="43"/>
      <c r="BV153" s="43"/>
      <c r="BW153" s="43"/>
      <c r="BX153" s="43"/>
      <c r="BY153" s="43"/>
      <c r="BZ153" s="43"/>
      <c r="CA153" s="43"/>
      <c r="CB153" s="45"/>
      <c r="CC153" s="45"/>
      <c r="CD153" s="43"/>
      <c r="CE153" s="45"/>
      <c r="CF153" s="43"/>
      <c r="CG153" s="43"/>
      <c r="CH153" s="43"/>
      <c r="CI153" s="43"/>
      <c r="CJ153" s="43"/>
      <c r="CK153" s="45"/>
      <c r="CL153" s="45"/>
      <c r="CM153" s="43"/>
      <c r="CN153" s="43"/>
      <c r="CO153" s="45"/>
      <c r="CP153" s="45"/>
      <c r="CQ153" s="45"/>
      <c r="CR153" s="45"/>
      <c r="CS153" s="45"/>
      <c r="CT153" s="45"/>
      <c r="CU153" s="45"/>
      <c r="CV153" s="45"/>
      <c r="CW153" s="45"/>
      <c r="CX153" s="45"/>
      <c r="CY153" s="45"/>
      <c r="CZ153" s="45"/>
      <c r="DA153" s="45"/>
      <c r="DB153" s="45"/>
      <c r="DC153" s="45"/>
      <c r="DD153" s="45"/>
      <c r="DE153" s="45"/>
      <c r="DF153" s="45"/>
      <c r="DG153" s="45"/>
      <c r="DH153" s="45"/>
      <c r="DI153" s="45"/>
      <c r="DJ153" s="45"/>
      <c r="DK153" s="45"/>
      <c r="DL153" s="45"/>
      <c r="DM153" s="45"/>
      <c r="DN153" s="45"/>
      <c r="DO153" s="41" t="s">
        <v>3600</v>
      </c>
      <c r="DP153" s="46" t="s">
        <v>5801</v>
      </c>
      <c r="DQ153" s="41">
        <v>3.0</v>
      </c>
      <c r="DR153" s="41">
        <v>1.0</v>
      </c>
      <c r="DS153" s="41">
        <v>2.0</v>
      </c>
      <c r="DT153" s="45"/>
      <c r="DU153" s="45"/>
      <c r="DV153" s="41">
        <v>1.0</v>
      </c>
      <c r="DW153" s="42" t="s">
        <v>6606</v>
      </c>
      <c r="DX153" s="45"/>
      <c r="DY153" s="43"/>
      <c r="DZ153" s="45"/>
      <c r="EA153" s="45"/>
      <c r="EB153" s="43"/>
      <c r="EC153" s="45"/>
      <c r="ED153" s="45"/>
      <c r="EE153" s="45"/>
      <c r="EF153" s="45"/>
      <c r="EG153" s="43"/>
      <c r="EH153" s="45"/>
      <c r="EI153" s="45"/>
      <c r="EJ153" s="45"/>
      <c r="EK153" s="43"/>
      <c r="EL153" s="45"/>
      <c r="EM153" s="45"/>
      <c r="EN153" s="45"/>
      <c r="EO153" s="45"/>
      <c r="EP153" s="48" t="s">
        <v>3559</v>
      </c>
    </row>
    <row r="154">
      <c r="A154" s="37"/>
      <c r="B154" s="33" t="s">
        <v>6607</v>
      </c>
      <c r="C154" s="34"/>
      <c r="D154" s="34"/>
      <c r="E154" s="35" t="s">
        <v>6608</v>
      </c>
      <c r="F154" s="34"/>
      <c r="G154" s="35" t="s">
        <v>6609</v>
      </c>
      <c r="H154" s="35" t="s">
        <v>3563</v>
      </c>
      <c r="I154" s="35" t="s">
        <v>3564</v>
      </c>
      <c r="J154" s="35" t="s">
        <v>3565</v>
      </c>
      <c r="K154" s="35" t="s">
        <v>6610</v>
      </c>
      <c r="L154" s="35" t="s">
        <v>6611</v>
      </c>
      <c r="M154" s="35" t="s">
        <v>6612</v>
      </c>
      <c r="N154" s="35" t="s">
        <v>3569</v>
      </c>
      <c r="O154" s="35" t="s">
        <v>6613</v>
      </c>
      <c r="P154" s="35"/>
      <c r="R154" s="35" t="s">
        <v>3571</v>
      </c>
      <c r="S154" s="35" t="s">
        <v>3572</v>
      </c>
      <c r="T154" s="35" t="s">
        <v>3573</v>
      </c>
      <c r="U154" s="36" t="s">
        <v>6614</v>
      </c>
      <c r="V154" s="36" t="s">
        <v>6615</v>
      </c>
      <c r="W154" s="32">
        <v>11.0</v>
      </c>
      <c r="X154" s="53">
        <v>84.38263888888889</v>
      </c>
      <c r="Y154" s="34"/>
      <c r="Z154" s="34"/>
      <c r="AA154" s="32">
        <v>2025.0</v>
      </c>
      <c r="AB154" s="34"/>
      <c r="AC154" s="34"/>
      <c r="AD154" s="34"/>
      <c r="AE154" s="37"/>
      <c r="AF154" s="37"/>
      <c r="AG154" s="37"/>
      <c r="AH154" s="37"/>
      <c r="AI154" s="37"/>
      <c r="AJ154" s="37"/>
      <c r="AK154" s="37"/>
      <c r="AL154" s="37"/>
      <c r="AM154" s="37"/>
      <c r="AN154" s="37"/>
      <c r="AO154" s="35" t="s">
        <v>6616</v>
      </c>
      <c r="AP154" s="35" t="s">
        <v>6617</v>
      </c>
      <c r="AQ154" s="35" t="s">
        <v>3579</v>
      </c>
      <c r="AR154" s="34"/>
      <c r="AS154" s="34"/>
      <c r="AT154" s="35" t="s">
        <v>6618</v>
      </c>
      <c r="AU154" s="34"/>
      <c r="AV154" s="34"/>
      <c r="AW154" s="35" t="s">
        <v>6619</v>
      </c>
      <c r="AX154" s="34"/>
      <c r="AY154" s="37"/>
      <c r="AZ154" s="35" t="s">
        <v>41</v>
      </c>
      <c r="BA154" s="37"/>
      <c r="BB154" s="37"/>
      <c r="BC154" s="34"/>
      <c r="BD154" s="35" t="s">
        <v>3584</v>
      </c>
      <c r="BE154" s="35" t="s">
        <v>3584</v>
      </c>
      <c r="BF154" s="35" t="s">
        <v>6620</v>
      </c>
      <c r="BG154" s="35" t="s">
        <v>6621</v>
      </c>
      <c r="BH154" s="32">
        <v>2.0</v>
      </c>
      <c r="BI154" s="34"/>
      <c r="BJ154" s="34"/>
      <c r="BK154" s="34"/>
      <c r="BL154" s="35" t="s">
        <v>6622</v>
      </c>
      <c r="BM154" s="34"/>
      <c r="BN154" s="34"/>
      <c r="BO154" s="34"/>
      <c r="BP154" s="34"/>
      <c r="BQ154" s="38" t="s">
        <v>4040</v>
      </c>
      <c r="BR154" s="37"/>
      <c r="BS154" s="34"/>
      <c r="BT154" s="37"/>
      <c r="BU154" s="34"/>
      <c r="BV154" s="35" t="s">
        <v>3589</v>
      </c>
      <c r="BW154" s="34"/>
      <c r="BX154" s="34"/>
      <c r="BY154" s="35" t="s">
        <v>3590</v>
      </c>
      <c r="BZ154" s="34"/>
      <c r="CA154" s="35" t="s">
        <v>3591</v>
      </c>
      <c r="CB154" s="38" t="s">
        <v>4040</v>
      </c>
      <c r="CC154" s="37"/>
      <c r="CD154" s="34"/>
      <c r="CE154" s="37"/>
      <c r="CF154" s="34"/>
      <c r="CG154" s="35" t="s">
        <v>3669</v>
      </c>
      <c r="CH154" s="34"/>
      <c r="CI154" s="34"/>
      <c r="CJ154" s="35" t="s">
        <v>3573</v>
      </c>
      <c r="CK154" s="37"/>
      <c r="CL154" s="37"/>
      <c r="CM154" s="34"/>
      <c r="CN154" s="35" t="s">
        <v>3591</v>
      </c>
      <c r="CO154" s="39">
        <v>0.0</v>
      </c>
      <c r="CP154" s="32">
        <v>14.0</v>
      </c>
      <c r="CQ154" s="39">
        <v>0.0</v>
      </c>
      <c r="CR154" s="39">
        <v>0.0</v>
      </c>
      <c r="CS154" s="37"/>
      <c r="CT154" s="37"/>
      <c r="CU154" s="37"/>
      <c r="CV154" s="37"/>
      <c r="CW154" s="37"/>
      <c r="CX154" s="37"/>
      <c r="CY154" s="32" t="s">
        <v>6623</v>
      </c>
      <c r="CZ154" s="32">
        <v>60.0</v>
      </c>
      <c r="DA154" s="32" t="s">
        <v>3598</v>
      </c>
      <c r="DB154" s="39">
        <v>0.0</v>
      </c>
      <c r="DC154" s="37"/>
      <c r="DD154" s="37"/>
      <c r="DE154" s="37"/>
      <c r="DF154" s="37"/>
      <c r="DG154" s="37"/>
      <c r="DH154" s="37"/>
      <c r="DI154" s="37"/>
      <c r="DJ154" s="37"/>
      <c r="DK154" s="37"/>
      <c r="DL154" s="37"/>
      <c r="DM154" s="37"/>
      <c r="DN154" s="37"/>
      <c r="DO154" s="32" t="s">
        <v>3600</v>
      </c>
      <c r="DP154" s="38" t="s">
        <v>6624</v>
      </c>
      <c r="DQ154" s="37"/>
      <c r="DR154" s="37"/>
      <c r="DS154" s="37"/>
      <c r="DT154" s="37"/>
      <c r="DU154" s="37"/>
      <c r="DV154" s="37"/>
      <c r="DW154" s="34"/>
      <c r="DX154" s="37"/>
      <c r="DY154" s="34"/>
      <c r="DZ154" s="37"/>
      <c r="EA154" s="37"/>
      <c r="EB154" s="34"/>
      <c r="EC154" s="37"/>
      <c r="ED154" s="37"/>
      <c r="EE154" s="37"/>
      <c r="EF154" s="37"/>
      <c r="EG154" s="34"/>
      <c r="EH154" s="37"/>
      <c r="EI154" s="37"/>
      <c r="EJ154" s="37"/>
      <c r="EK154" s="35" t="s">
        <v>4248</v>
      </c>
      <c r="EL154" s="37"/>
      <c r="EM154" s="37"/>
      <c r="EN154" s="37"/>
      <c r="EO154" s="37"/>
      <c r="EP154" s="40" t="s">
        <v>3559</v>
      </c>
    </row>
    <row r="155">
      <c r="A155" s="45"/>
      <c r="B155" s="42" t="s">
        <v>6625</v>
      </c>
      <c r="C155" s="43"/>
      <c r="D155" s="43"/>
      <c r="E155" s="42" t="s">
        <v>6626</v>
      </c>
      <c r="F155" s="43"/>
      <c r="G155" s="42" t="s">
        <v>6627</v>
      </c>
      <c r="H155" s="42" t="s">
        <v>3867</v>
      </c>
      <c r="I155" s="42" t="s">
        <v>3897</v>
      </c>
      <c r="J155" s="42" t="s">
        <v>3898</v>
      </c>
      <c r="K155" s="42" t="s">
        <v>6189</v>
      </c>
      <c r="L155" s="43"/>
      <c r="M155" s="42" t="s">
        <v>6628</v>
      </c>
      <c r="N155" s="42" t="s">
        <v>4923</v>
      </c>
      <c r="O155" s="42" t="s">
        <v>6629</v>
      </c>
      <c r="P155" s="42"/>
      <c r="R155" s="43"/>
      <c r="S155" s="42" t="s">
        <v>4925</v>
      </c>
      <c r="T155" s="42" t="s">
        <v>4926</v>
      </c>
      <c r="U155" s="44" t="s">
        <v>6630</v>
      </c>
      <c r="V155" s="44" t="s">
        <v>6631</v>
      </c>
      <c r="W155" s="41">
        <v>11.0</v>
      </c>
      <c r="X155" s="54">
        <v>84.38263888888889</v>
      </c>
      <c r="Y155" s="43"/>
      <c r="Z155" s="43"/>
      <c r="AA155" s="41">
        <v>2020.0</v>
      </c>
      <c r="AB155" s="43"/>
      <c r="AC155" s="43"/>
      <c r="AD155" s="43"/>
      <c r="AE155" s="45"/>
      <c r="AF155" s="45"/>
      <c r="AG155" s="45"/>
      <c r="AH155" s="45"/>
      <c r="AI155" s="45"/>
      <c r="AJ155" s="45"/>
      <c r="AK155" s="45"/>
      <c r="AL155" s="45"/>
      <c r="AM155" s="45"/>
      <c r="AN155" s="45"/>
      <c r="AO155" s="43"/>
      <c r="AP155" s="43"/>
      <c r="AQ155" s="43"/>
      <c r="AR155" s="43"/>
      <c r="AS155" s="43"/>
      <c r="AT155" s="42" t="s">
        <v>4211</v>
      </c>
      <c r="AU155" s="43"/>
      <c r="AV155" s="43"/>
      <c r="AW155" s="42" t="s">
        <v>4213</v>
      </c>
      <c r="AX155" s="43"/>
      <c r="AY155" s="45"/>
      <c r="AZ155" s="42" t="s">
        <v>41</v>
      </c>
      <c r="BA155" s="45"/>
      <c r="BB155" s="45"/>
      <c r="BC155" s="43"/>
      <c r="BD155" s="42" t="s">
        <v>3584</v>
      </c>
      <c r="BE155" s="42" t="s">
        <v>3584</v>
      </c>
      <c r="BF155" s="43"/>
      <c r="BG155" s="43"/>
      <c r="BH155" s="45"/>
      <c r="BI155" s="43"/>
      <c r="BJ155" s="43"/>
      <c r="BK155" s="43"/>
      <c r="BL155" s="43"/>
      <c r="BM155" s="43"/>
      <c r="BN155" s="43"/>
      <c r="BO155" s="43"/>
      <c r="BP155" s="43"/>
      <c r="BQ155" s="45"/>
      <c r="BR155" s="45"/>
      <c r="BS155" s="43"/>
      <c r="BT155" s="45"/>
      <c r="BU155" s="43"/>
      <c r="BV155" s="43"/>
      <c r="BW155" s="43"/>
      <c r="BX155" s="43"/>
      <c r="BY155" s="43"/>
      <c r="BZ155" s="43"/>
      <c r="CA155" s="43"/>
      <c r="CB155" s="45"/>
      <c r="CC155" s="45"/>
      <c r="CD155" s="43"/>
      <c r="CE155" s="45"/>
      <c r="CF155" s="43"/>
      <c r="CG155" s="43"/>
      <c r="CH155" s="43"/>
      <c r="CI155" s="43"/>
      <c r="CJ155" s="43"/>
      <c r="CK155" s="45"/>
      <c r="CL155" s="45"/>
      <c r="CM155" s="43"/>
      <c r="CN155" s="43"/>
      <c r="CO155" s="47">
        <v>0.0132</v>
      </c>
      <c r="CP155" s="41">
        <v>98.0</v>
      </c>
      <c r="CQ155" s="47">
        <v>0.0</v>
      </c>
      <c r="CR155" s="47">
        <v>0.0</v>
      </c>
      <c r="CS155" s="47">
        <v>0.0</v>
      </c>
      <c r="CT155" s="41">
        <v>12.0</v>
      </c>
      <c r="CU155" s="47">
        <v>0.0</v>
      </c>
      <c r="CV155" s="41">
        <v>10.0</v>
      </c>
      <c r="CW155" s="47">
        <v>0.0</v>
      </c>
      <c r="CX155" s="41">
        <v>12.0</v>
      </c>
      <c r="CY155" s="41" t="s">
        <v>6632</v>
      </c>
      <c r="CZ155" s="41">
        <v>44.0</v>
      </c>
      <c r="DA155" s="41" t="s">
        <v>3598</v>
      </c>
      <c r="DB155" s="47">
        <v>0.0</v>
      </c>
      <c r="DC155" s="41" t="s">
        <v>6633</v>
      </c>
      <c r="DD155" s="41">
        <v>17.0</v>
      </c>
      <c r="DE155" s="41" t="s">
        <v>6634</v>
      </c>
      <c r="DF155" s="41">
        <v>49.0</v>
      </c>
      <c r="DG155" s="41" t="s">
        <v>4157</v>
      </c>
      <c r="DH155" s="41">
        <v>1.0</v>
      </c>
      <c r="DI155" s="41">
        <v>78.0</v>
      </c>
      <c r="DJ155" s="41">
        <v>3.0</v>
      </c>
      <c r="DK155" s="47">
        <v>0.04</v>
      </c>
      <c r="DL155" s="41">
        <v>1.0</v>
      </c>
      <c r="DM155" s="41">
        <v>0.0</v>
      </c>
      <c r="DN155" s="47">
        <v>0.0</v>
      </c>
      <c r="DO155" s="41" t="s">
        <v>5066</v>
      </c>
      <c r="DP155" s="46" t="s">
        <v>5404</v>
      </c>
      <c r="DQ155" s="45"/>
      <c r="DR155" s="45"/>
      <c r="DS155" s="45"/>
      <c r="DT155" s="45"/>
      <c r="DU155" s="45"/>
      <c r="DV155" s="45"/>
      <c r="DW155" s="43"/>
      <c r="DX155" s="45"/>
      <c r="DY155" s="43"/>
      <c r="DZ155" s="45"/>
      <c r="EA155" s="45"/>
      <c r="EB155" s="43"/>
      <c r="EC155" s="45"/>
      <c r="ED155" s="45"/>
      <c r="EE155" s="45"/>
      <c r="EF155" s="45"/>
      <c r="EG155" s="43"/>
      <c r="EH155" s="45"/>
      <c r="EI155" s="45"/>
      <c r="EJ155" s="45"/>
      <c r="EK155" s="43"/>
      <c r="EL155" s="45"/>
      <c r="EM155" s="45"/>
      <c r="EN155" s="45"/>
      <c r="EO155" s="45"/>
      <c r="EP155" s="48" t="s">
        <v>3559</v>
      </c>
    </row>
    <row r="156">
      <c r="A156" s="37"/>
      <c r="B156" s="35" t="s">
        <v>6635</v>
      </c>
      <c r="C156" s="34"/>
      <c r="D156" s="34"/>
      <c r="E156" s="35" t="s">
        <v>6636</v>
      </c>
      <c r="F156" s="34"/>
      <c r="G156" s="35" t="s">
        <v>6637</v>
      </c>
      <c r="H156" s="35" t="s">
        <v>4560</v>
      </c>
      <c r="I156" s="35" t="s">
        <v>4561</v>
      </c>
      <c r="J156" s="35" t="s">
        <v>66</v>
      </c>
      <c r="K156" s="35" t="s">
        <v>5218</v>
      </c>
      <c r="L156" s="35" t="s">
        <v>3612</v>
      </c>
      <c r="M156" s="35" t="s">
        <v>6638</v>
      </c>
      <c r="N156" s="35" t="s">
        <v>5018</v>
      </c>
      <c r="O156" s="35" t="s">
        <v>6639</v>
      </c>
      <c r="P156" s="35"/>
      <c r="R156" s="35" t="s">
        <v>5222</v>
      </c>
      <c r="S156" s="35" t="s">
        <v>5222</v>
      </c>
      <c r="T156" s="35" t="s">
        <v>3573</v>
      </c>
      <c r="U156" s="36" t="s">
        <v>6640</v>
      </c>
      <c r="V156" s="34"/>
      <c r="W156" s="32">
        <v>3.0</v>
      </c>
      <c r="X156" s="35" t="s">
        <v>6641</v>
      </c>
      <c r="Y156" s="34"/>
      <c r="Z156" s="34"/>
      <c r="AA156" s="32">
        <v>2019.0</v>
      </c>
      <c r="AB156" s="34"/>
      <c r="AC156" s="34"/>
      <c r="AD156" s="34"/>
      <c r="AE156" s="37"/>
      <c r="AF156" s="37"/>
      <c r="AG156" s="37"/>
      <c r="AH156" s="37"/>
      <c r="AI156" s="37"/>
      <c r="AJ156" s="37"/>
      <c r="AK156" s="37"/>
      <c r="AL156" s="37"/>
      <c r="AM156" s="37"/>
      <c r="AN156" s="37"/>
      <c r="AO156" s="34"/>
      <c r="AP156" s="34"/>
      <c r="AQ156" s="34"/>
      <c r="AR156" s="34"/>
      <c r="AS156" s="34"/>
      <c r="AT156" s="35" t="s">
        <v>3581</v>
      </c>
      <c r="AU156" s="34"/>
      <c r="AV156" s="34"/>
      <c r="AW156" s="35" t="s">
        <v>75</v>
      </c>
      <c r="AX156" s="34"/>
      <c r="AY156" s="37"/>
      <c r="AZ156" s="35" t="s">
        <v>41</v>
      </c>
      <c r="BA156" s="37"/>
      <c r="BB156" s="37"/>
      <c r="BC156" s="34"/>
      <c r="BD156" s="35" t="s">
        <v>3584</v>
      </c>
      <c r="BE156" s="35" t="s">
        <v>3584</v>
      </c>
      <c r="BF156" s="35" t="s">
        <v>6642</v>
      </c>
      <c r="BG156" s="34"/>
      <c r="BH156" s="37"/>
      <c r="BI156" s="34"/>
      <c r="BJ156" s="35" t="s">
        <v>6643</v>
      </c>
      <c r="BK156" s="34"/>
      <c r="BL156" s="34"/>
      <c r="BM156" s="35" t="s">
        <v>6644</v>
      </c>
      <c r="BN156" s="34"/>
      <c r="BO156" s="34"/>
      <c r="BP156" s="34"/>
      <c r="BQ156" s="37"/>
      <c r="BR156" s="37"/>
      <c r="BS156" s="34"/>
      <c r="BT156" s="37"/>
      <c r="BU156" s="34"/>
      <c r="BV156" s="35" t="s">
        <v>3669</v>
      </c>
      <c r="BW156" s="34"/>
      <c r="BX156" s="34"/>
      <c r="BY156" s="35" t="s">
        <v>3573</v>
      </c>
      <c r="BZ156" s="34"/>
      <c r="CA156" s="35" t="s">
        <v>3591</v>
      </c>
      <c r="CB156" s="38" t="s">
        <v>3835</v>
      </c>
      <c r="CC156" s="37"/>
      <c r="CD156" s="34"/>
      <c r="CE156" s="37"/>
      <c r="CF156" s="34"/>
      <c r="CG156" s="35" t="s">
        <v>5222</v>
      </c>
      <c r="CH156" s="34"/>
      <c r="CI156" s="34"/>
      <c r="CJ156" s="35" t="s">
        <v>5222</v>
      </c>
      <c r="CK156" s="37"/>
      <c r="CL156" s="37"/>
      <c r="CM156" s="34"/>
      <c r="CN156" s="35" t="s">
        <v>3591</v>
      </c>
      <c r="CO156" s="37"/>
      <c r="CP156" s="37"/>
      <c r="CQ156" s="37"/>
      <c r="CR156" s="37"/>
      <c r="CS156" s="37"/>
      <c r="CT156" s="37"/>
      <c r="CU156" s="37"/>
      <c r="CV156" s="37"/>
      <c r="CW156" s="37"/>
      <c r="CX156" s="37"/>
      <c r="CY156" s="37"/>
      <c r="CZ156" s="37"/>
      <c r="DA156" s="37"/>
      <c r="DB156" s="37"/>
      <c r="DC156" s="37"/>
      <c r="DD156" s="37"/>
      <c r="DE156" s="37"/>
      <c r="DF156" s="37"/>
      <c r="DG156" s="37"/>
      <c r="DH156" s="37"/>
      <c r="DI156" s="37"/>
      <c r="DJ156" s="37"/>
      <c r="DK156" s="37"/>
      <c r="DL156" s="37"/>
      <c r="DM156" s="37"/>
      <c r="DN156" s="37"/>
      <c r="DO156" s="32" t="s">
        <v>3600</v>
      </c>
      <c r="DP156" s="38" t="s">
        <v>6645</v>
      </c>
      <c r="DQ156" s="37"/>
      <c r="DR156" s="37"/>
      <c r="DS156" s="37"/>
      <c r="DT156" s="37"/>
      <c r="DU156" s="37"/>
      <c r="DV156" s="37"/>
      <c r="DW156" s="34"/>
      <c r="DX156" s="37"/>
      <c r="DY156" s="34"/>
      <c r="DZ156" s="37"/>
      <c r="EA156" s="37"/>
      <c r="EB156" s="34"/>
      <c r="EC156" s="37"/>
      <c r="ED156" s="37"/>
      <c r="EE156" s="37"/>
      <c r="EF156" s="37"/>
      <c r="EG156" s="34"/>
      <c r="EH156" s="37"/>
      <c r="EI156" s="37"/>
      <c r="EJ156" s="37"/>
      <c r="EK156" s="34"/>
      <c r="EL156" s="37"/>
      <c r="EM156" s="37"/>
      <c r="EN156" s="37"/>
      <c r="EO156" s="37"/>
      <c r="EP156" s="40" t="s">
        <v>3559</v>
      </c>
    </row>
    <row r="157">
      <c r="A157" s="41">
        <v>152.96</v>
      </c>
      <c r="B157" s="42" t="s">
        <v>6646</v>
      </c>
      <c r="C157" s="43"/>
      <c r="D157" s="43"/>
      <c r="E157" s="42" t="s">
        <v>6647</v>
      </c>
      <c r="F157" s="43"/>
      <c r="G157" s="42" t="s">
        <v>6648</v>
      </c>
      <c r="H157" s="42" t="s">
        <v>3867</v>
      </c>
      <c r="I157" s="42" t="s">
        <v>3868</v>
      </c>
      <c r="J157" s="42" t="s">
        <v>3869</v>
      </c>
      <c r="K157" s="42" t="s">
        <v>6649</v>
      </c>
      <c r="L157" s="43"/>
      <c r="M157" s="42" t="s">
        <v>6650</v>
      </c>
      <c r="N157" s="42" t="s">
        <v>4962</v>
      </c>
      <c r="O157" s="42" t="s">
        <v>6651</v>
      </c>
      <c r="P157" s="42"/>
      <c r="R157" s="42" t="s">
        <v>3571</v>
      </c>
      <c r="S157" s="42" t="s">
        <v>3572</v>
      </c>
      <c r="T157" s="42" t="s">
        <v>3603</v>
      </c>
      <c r="U157" s="43"/>
      <c r="V157" s="43"/>
      <c r="W157" s="45"/>
      <c r="X157" s="43"/>
      <c r="Y157" s="43"/>
      <c r="Z157" s="43"/>
      <c r="AA157" s="41">
        <v>2021.0</v>
      </c>
      <c r="AB157" s="43"/>
      <c r="AC157" s="43"/>
      <c r="AD157" s="43"/>
      <c r="AE157" s="45"/>
      <c r="AF157" s="45"/>
      <c r="AG157" s="45"/>
      <c r="AH157" s="45"/>
      <c r="AI157" s="45"/>
      <c r="AJ157" s="45"/>
      <c r="AK157" s="45"/>
      <c r="AL157" s="45"/>
      <c r="AM157" s="45"/>
      <c r="AN157" s="45"/>
      <c r="AO157" s="43"/>
      <c r="AP157" s="43"/>
      <c r="AQ157" s="43"/>
      <c r="AR157" s="43"/>
      <c r="AS157" s="43"/>
      <c r="AT157" s="42" t="s">
        <v>3581</v>
      </c>
      <c r="AU157" s="42" t="s">
        <v>6652</v>
      </c>
      <c r="AV157" s="43"/>
      <c r="AW157" s="42" t="s">
        <v>75</v>
      </c>
      <c r="AX157" s="43"/>
      <c r="AY157" s="41">
        <v>6701101.0</v>
      </c>
      <c r="AZ157" s="42" t="s">
        <v>41</v>
      </c>
      <c r="BA157" s="45"/>
      <c r="BB157" s="45"/>
      <c r="BC157" s="43"/>
      <c r="BD157" s="42" t="s">
        <v>3584</v>
      </c>
      <c r="BE157" s="42" t="s">
        <v>3584</v>
      </c>
      <c r="BF157" s="42" t="s">
        <v>6653</v>
      </c>
      <c r="BG157" s="43"/>
      <c r="BH157" s="45"/>
      <c r="BI157" s="42" t="s">
        <v>6654</v>
      </c>
      <c r="BJ157" s="43"/>
      <c r="BK157" s="43"/>
      <c r="BL157" s="43"/>
      <c r="BM157" s="43"/>
      <c r="BN157" s="43"/>
      <c r="BO157" s="43"/>
      <c r="BP157" s="42" t="s">
        <v>6655</v>
      </c>
      <c r="BQ157" s="46" t="s">
        <v>6656</v>
      </c>
      <c r="BR157" s="41">
        <v>152.96</v>
      </c>
      <c r="BS157" s="42" t="s">
        <v>3593</v>
      </c>
      <c r="BT157" s="45"/>
      <c r="BU157" s="43"/>
      <c r="BV157" s="42" t="s">
        <v>3663</v>
      </c>
      <c r="BW157" s="42" t="s">
        <v>3663</v>
      </c>
      <c r="BX157" s="43"/>
      <c r="BY157" s="42" t="s">
        <v>3663</v>
      </c>
      <c r="BZ157" s="43"/>
      <c r="CA157" s="42" t="s">
        <v>3591</v>
      </c>
      <c r="CB157" s="46" t="s">
        <v>6656</v>
      </c>
      <c r="CC157" s="41">
        <v>152.96</v>
      </c>
      <c r="CD157" s="42" t="s">
        <v>3593</v>
      </c>
      <c r="CE157" s="45"/>
      <c r="CF157" s="43"/>
      <c r="CG157" s="42" t="s">
        <v>3663</v>
      </c>
      <c r="CH157" s="42" t="s">
        <v>3663</v>
      </c>
      <c r="CI157" s="43"/>
      <c r="CJ157" s="42" t="s">
        <v>3663</v>
      </c>
      <c r="CK157" s="45"/>
      <c r="CL157" s="45"/>
      <c r="CM157" s="43"/>
      <c r="CN157" s="42" t="s">
        <v>3591</v>
      </c>
      <c r="CO157" s="45"/>
      <c r="CP157" s="45"/>
      <c r="CQ157" s="45"/>
      <c r="CR157" s="45"/>
      <c r="CS157" s="45"/>
      <c r="CT157" s="45"/>
      <c r="CU157" s="45"/>
      <c r="CV157" s="45"/>
      <c r="CW157" s="45"/>
      <c r="CX157" s="45"/>
      <c r="CY157" s="45"/>
      <c r="CZ157" s="45"/>
      <c r="DA157" s="45"/>
      <c r="DB157" s="45"/>
      <c r="DC157" s="45"/>
      <c r="DD157" s="45"/>
      <c r="DE157" s="45"/>
      <c r="DF157" s="45"/>
      <c r="DG157" s="45"/>
      <c r="DH157" s="45"/>
      <c r="DI157" s="45"/>
      <c r="DJ157" s="45"/>
      <c r="DK157" s="45"/>
      <c r="DL157" s="45"/>
      <c r="DM157" s="45"/>
      <c r="DN157" s="45"/>
      <c r="DO157" s="41" t="s">
        <v>3600</v>
      </c>
      <c r="DP157" s="46" t="s">
        <v>3638</v>
      </c>
      <c r="DQ157" s="45"/>
      <c r="DR157" s="45"/>
      <c r="DS157" s="45"/>
      <c r="DT157" s="45"/>
      <c r="DU157" s="45"/>
      <c r="DV157" s="45"/>
      <c r="DW157" s="43"/>
      <c r="DX157" s="45"/>
      <c r="DY157" s="43"/>
      <c r="DZ157" s="45"/>
      <c r="EA157" s="45"/>
      <c r="EB157" s="43"/>
      <c r="EC157" s="45"/>
      <c r="ED157" s="45"/>
      <c r="EE157" s="45"/>
      <c r="EF157" s="45"/>
      <c r="EG157" s="43"/>
      <c r="EH157" s="45"/>
      <c r="EI157" s="45"/>
      <c r="EJ157" s="45"/>
      <c r="EK157" s="43"/>
      <c r="EL157" s="45"/>
      <c r="EM157" s="45"/>
      <c r="EN157" s="45"/>
      <c r="EO157" s="45"/>
      <c r="EP157" s="48" t="s">
        <v>3559</v>
      </c>
    </row>
    <row r="158">
      <c r="A158" s="37"/>
      <c r="B158" s="33" t="s">
        <v>6657</v>
      </c>
      <c r="C158" s="34"/>
      <c r="D158" s="34"/>
      <c r="E158" s="34"/>
      <c r="F158" s="34"/>
      <c r="G158" s="35" t="s">
        <v>6658</v>
      </c>
      <c r="H158" s="35" t="s">
        <v>4560</v>
      </c>
      <c r="I158" s="35" t="s">
        <v>4561</v>
      </c>
      <c r="J158" s="35" t="s">
        <v>66</v>
      </c>
      <c r="K158" s="35" t="s">
        <v>4562</v>
      </c>
      <c r="L158" s="34"/>
      <c r="M158" s="34"/>
      <c r="N158" s="35" t="s">
        <v>4923</v>
      </c>
      <c r="O158" s="35" t="s">
        <v>6659</v>
      </c>
      <c r="P158" s="35"/>
      <c r="R158" s="34"/>
      <c r="S158" s="35" t="s">
        <v>4925</v>
      </c>
      <c r="T158" s="35" t="s">
        <v>4926</v>
      </c>
      <c r="U158" s="36" t="s">
        <v>6660</v>
      </c>
      <c r="V158" s="36" t="s">
        <v>6661</v>
      </c>
      <c r="W158" s="37"/>
      <c r="X158" s="34"/>
      <c r="Y158" s="34"/>
      <c r="Z158" s="34"/>
      <c r="AA158" s="37"/>
      <c r="AB158" s="34"/>
      <c r="AC158" s="34"/>
      <c r="AD158" s="34"/>
      <c r="AE158" s="37"/>
      <c r="AF158" s="37"/>
      <c r="AG158" s="37"/>
      <c r="AH158" s="37"/>
      <c r="AI158" s="37"/>
      <c r="AJ158" s="37"/>
      <c r="AK158" s="37"/>
      <c r="AL158" s="37"/>
      <c r="AM158" s="37"/>
      <c r="AN158" s="37"/>
      <c r="AO158" s="34"/>
      <c r="AP158" s="34"/>
      <c r="AQ158" s="34"/>
      <c r="AR158" s="34"/>
      <c r="AS158" s="34"/>
      <c r="AT158" s="35" t="s">
        <v>3581</v>
      </c>
      <c r="AU158" s="35" t="s">
        <v>6662</v>
      </c>
      <c r="AV158" s="34"/>
      <c r="AW158" s="35" t="s">
        <v>75</v>
      </c>
      <c r="AX158" s="35" t="s">
        <v>6663</v>
      </c>
      <c r="AY158" s="32">
        <v>54332.0</v>
      </c>
      <c r="AZ158" s="35" t="s">
        <v>41</v>
      </c>
      <c r="BA158" s="37"/>
      <c r="BB158" s="37"/>
      <c r="BC158" s="34"/>
      <c r="BD158" s="35" t="s">
        <v>3584</v>
      </c>
      <c r="BE158" s="35" t="s">
        <v>3584</v>
      </c>
      <c r="BF158" s="34"/>
      <c r="BG158" s="34"/>
      <c r="BH158" s="37"/>
      <c r="BI158" s="34"/>
      <c r="BJ158" s="34"/>
      <c r="BK158" s="34"/>
      <c r="BL158" s="34"/>
      <c r="BM158" s="34"/>
      <c r="BN158" s="34"/>
      <c r="BO158" s="34"/>
      <c r="BP158" s="34"/>
      <c r="BQ158" s="37"/>
      <c r="BR158" s="37"/>
      <c r="BS158" s="34"/>
      <c r="BT158" s="37"/>
      <c r="BU158" s="34"/>
      <c r="BV158" s="34"/>
      <c r="BW158" s="34"/>
      <c r="BX158" s="34"/>
      <c r="BY158" s="34"/>
      <c r="BZ158" s="34"/>
      <c r="CA158" s="34"/>
      <c r="CB158" s="37"/>
      <c r="CC158" s="37"/>
      <c r="CD158" s="34"/>
      <c r="CE158" s="37"/>
      <c r="CF158" s="34"/>
      <c r="CG158" s="34"/>
      <c r="CH158" s="34"/>
      <c r="CI158" s="34"/>
      <c r="CJ158" s="34"/>
      <c r="CK158" s="37"/>
      <c r="CL158" s="37"/>
      <c r="CM158" s="34"/>
      <c r="CN158" s="34"/>
      <c r="CO158" s="39">
        <v>0.0029</v>
      </c>
      <c r="CP158" s="32">
        <v>90.0</v>
      </c>
      <c r="CQ158" s="39">
        <v>0.0</v>
      </c>
      <c r="CR158" s="39">
        <v>0.0</v>
      </c>
      <c r="CS158" s="39">
        <v>0.0029</v>
      </c>
      <c r="CT158" s="32">
        <v>91.0</v>
      </c>
      <c r="CU158" s="37"/>
      <c r="CV158" s="37"/>
      <c r="CW158" s="39">
        <v>0.0029</v>
      </c>
      <c r="CX158" s="32">
        <v>91.0</v>
      </c>
      <c r="CY158" s="32" t="s">
        <v>6664</v>
      </c>
      <c r="CZ158" s="32">
        <v>82.0</v>
      </c>
      <c r="DA158" s="32" t="s">
        <v>3598</v>
      </c>
      <c r="DB158" s="39">
        <v>0.0</v>
      </c>
      <c r="DC158" s="32" t="s">
        <v>6664</v>
      </c>
      <c r="DD158" s="32">
        <v>81.0</v>
      </c>
      <c r="DE158" s="37"/>
      <c r="DF158" s="37"/>
      <c r="DG158" s="32" t="s">
        <v>6664</v>
      </c>
      <c r="DH158" s="32">
        <v>78.0</v>
      </c>
      <c r="DI158" s="37"/>
      <c r="DJ158" s="37"/>
      <c r="DK158" s="37"/>
      <c r="DL158" s="32">
        <v>131.0</v>
      </c>
      <c r="DM158" s="32">
        <v>1.0</v>
      </c>
      <c r="DN158" s="39">
        <v>0.0077</v>
      </c>
      <c r="DO158" s="32" t="s">
        <v>5066</v>
      </c>
      <c r="DP158" s="38" t="s">
        <v>5404</v>
      </c>
      <c r="DQ158" s="37"/>
      <c r="DR158" s="37"/>
      <c r="DS158" s="37"/>
      <c r="DT158" s="37"/>
      <c r="DU158" s="37"/>
      <c r="DV158" s="37"/>
      <c r="DW158" s="34"/>
      <c r="DX158" s="37"/>
      <c r="DY158" s="34"/>
      <c r="DZ158" s="37"/>
      <c r="EA158" s="37"/>
      <c r="EB158" s="34"/>
      <c r="EC158" s="37"/>
      <c r="ED158" s="37"/>
      <c r="EE158" s="37"/>
      <c r="EF158" s="37"/>
      <c r="EG158" s="34"/>
      <c r="EH158" s="37"/>
      <c r="EI158" s="37"/>
      <c r="EJ158" s="37"/>
      <c r="EK158" s="34"/>
      <c r="EL158" s="37"/>
      <c r="EM158" s="37"/>
      <c r="EN158" s="37"/>
      <c r="EO158" s="37"/>
      <c r="EP158" s="40" t="s">
        <v>3559</v>
      </c>
    </row>
    <row r="159">
      <c r="A159" s="45"/>
      <c r="B159" s="42" t="s">
        <v>6665</v>
      </c>
      <c r="C159" s="43"/>
      <c r="D159" s="43"/>
      <c r="E159" s="43"/>
      <c r="F159" s="43"/>
      <c r="G159" s="42" t="s">
        <v>6666</v>
      </c>
      <c r="H159" s="42" t="s">
        <v>3563</v>
      </c>
      <c r="I159" s="42" t="s">
        <v>6667</v>
      </c>
      <c r="J159" s="42" t="s">
        <v>6668</v>
      </c>
      <c r="K159" s="42" t="s">
        <v>6669</v>
      </c>
      <c r="L159" s="43"/>
      <c r="M159" s="43"/>
      <c r="N159" s="42" t="s">
        <v>4923</v>
      </c>
      <c r="O159" s="42" t="s">
        <v>6670</v>
      </c>
      <c r="P159" s="42"/>
      <c r="R159" s="43"/>
      <c r="S159" s="42" t="s">
        <v>4925</v>
      </c>
      <c r="T159" s="42" t="s">
        <v>4926</v>
      </c>
      <c r="U159" s="48" t="s">
        <v>6671</v>
      </c>
      <c r="V159" s="44" t="s">
        <v>6672</v>
      </c>
      <c r="W159" s="45"/>
      <c r="X159" s="43"/>
      <c r="Y159" s="43"/>
      <c r="Z159" s="43"/>
      <c r="AA159" s="45"/>
      <c r="AB159" s="43"/>
      <c r="AC159" s="43"/>
      <c r="AD159" s="43"/>
      <c r="AE159" s="45"/>
      <c r="AF159" s="45"/>
      <c r="AG159" s="45"/>
      <c r="AH159" s="45"/>
      <c r="AI159" s="45"/>
      <c r="AJ159" s="45"/>
      <c r="AK159" s="45"/>
      <c r="AL159" s="45"/>
      <c r="AM159" s="45"/>
      <c r="AN159" s="45"/>
      <c r="AO159" s="43"/>
      <c r="AP159" s="43"/>
      <c r="AQ159" s="43"/>
      <c r="AR159" s="43"/>
      <c r="AS159" s="43"/>
      <c r="AT159" s="42" t="s">
        <v>3581</v>
      </c>
      <c r="AU159" s="43"/>
      <c r="AV159" s="43"/>
      <c r="AW159" s="42" t="s">
        <v>75</v>
      </c>
      <c r="AX159" s="43"/>
      <c r="AY159" s="41" t="s">
        <v>6673</v>
      </c>
      <c r="AZ159" s="42" t="s">
        <v>41</v>
      </c>
      <c r="BA159" s="45"/>
      <c r="BB159" s="45"/>
      <c r="BC159" s="43"/>
      <c r="BD159" s="42" t="s">
        <v>3584</v>
      </c>
      <c r="BE159" s="42" t="s">
        <v>3584</v>
      </c>
      <c r="BF159" s="43"/>
      <c r="BG159" s="43"/>
      <c r="BH159" s="45"/>
      <c r="BI159" s="43"/>
      <c r="BJ159" s="43"/>
      <c r="BK159" s="43"/>
      <c r="BL159" s="43"/>
      <c r="BM159" s="43"/>
      <c r="BN159" s="43"/>
      <c r="BO159" s="43"/>
      <c r="BP159" s="43"/>
      <c r="BQ159" s="45"/>
      <c r="BR159" s="45"/>
      <c r="BS159" s="43"/>
      <c r="BT159" s="45"/>
      <c r="BU159" s="43"/>
      <c r="BV159" s="43"/>
      <c r="BW159" s="43"/>
      <c r="BX159" s="43"/>
      <c r="BY159" s="43"/>
      <c r="BZ159" s="43"/>
      <c r="CA159" s="43"/>
      <c r="CB159" s="45"/>
      <c r="CC159" s="45"/>
      <c r="CD159" s="43"/>
      <c r="CE159" s="45"/>
      <c r="CF159" s="43"/>
      <c r="CG159" s="43"/>
      <c r="CH159" s="43"/>
      <c r="CI159" s="43"/>
      <c r="CJ159" s="43"/>
      <c r="CK159" s="45"/>
      <c r="CL159" s="45"/>
      <c r="CM159" s="43"/>
      <c r="CN159" s="43"/>
      <c r="CO159" s="47">
        <v>0.0</v>
      </c>
      <c r="CP159" s="41">
        <v>14.0</v>
      </c>
      <c r="CQ159" s="47">
        <v>0.0</v>
      </c>
      <c r="CR159" s="47">
        <v>0.0</v>
      </c>
      <c r="CS159" s="47">
        <v>0.0</v>
      </c>
      <c r="CT159" s="41">
        <v>12.0</v>
      </c>
      <c r="CU159" s="47">
        <v>0.0</v>
      </c>
      <c r="CV159" s="41">
        <v>10.0</v>
      </c>
      <c r="CW159" s="47">
        <v>0.0</v>
      </c>
      <c r="CX159" s="41">
        <v>12.0</v>
      </c>
      <c r="CY159" s="41" t="s">
        <v>6633</v>
      </c>
      <c r="CZ159" s="41">
        <v>15.0</v>
      </c>
      <c r="DA159" s="41" t="s">
        <v>3598</v>
      </c>
      <c r="DB159" s="47">
        <v>0.0</v>
      </c>
      <c r="DC159" s="41" t="s">
        <v>6633</v>
      </c>
      <c r="DD159" s="41">
        <v>17.0</v>
      </c>
      <c r="DE159" s="41" t="s">
        <v>6633</v>
      </c>
      <c r="DF159" s="41">
        <v>48.0</v>
      </c>
      <c r="DG159" s="41" t="s">
        <v>5403</v>
      </c>
      <c r="DH159" s="41">
        <v>12.0</v>
      </c>
      <c r="DI159" s="41">
        <v>38.0</v>
      </c>
      <c r="DJ159" s="41">
        <v>9.0</v>
      </c>
      <c r="DK159" s="47">
        <v>0.3103</v>
      </c>
      <c r="DL159" s="41">
        <v>8.0</v>
      </c>
      <c r="DM159" s="41">
        <v>0.0</v>
      </c>
      <c r="DN159" s="47">
        <v>0.0</v>
      </c>
      <c r="DO159" s="41" t="s">
        <v>5066</v>
      </c>
      <c r="DP159" s="46" t="s">
        <v>5433</v>
      </c>
      <c r="DQ159" s="45"/>
      <c r="DR159" s="45"/>
      <c r="DS159" s="45"/>
      <c r="DT159" s="45"/>
      <c r="DU159" s="45"/>
      <c r="DV159" s="45"/>
      <c r="DW159" s="43"/>
      <c r="DX159" s="45"/>
      <c r="DY159" s="43"/>
      <c r="DZ159" s="45"/>
      <c r="EA159" s="45"/>
      <c r="EB159" s="43"/>
      <c r="EC159" s="45"/>
      <c r="ED159" s="45"/>
      <c r="EE159" s="45"/>
      <c r="EF159" s="45"/>
      <c r="EG159" s="43"/>
      <c r="EH159" s="45"/>
      <c r="EI159" s="45"/>
      <c r="EJ159" s="45"/>
      <c r="EK159" s="43"/>
      <c r="EL159" s="45"/>
      <c r="EM159" s="45"/>
      <c r="EN159" s="45"/>
      <c r="EO159" s="45"/>
      <c r="EP159" s="48" t="s">
        <v>3559</v>
      </c>
    </row>
    <row r="160">
      <c r="A160" s="32">
        <v>57.7</v>
      </c>
      <c r="B160" s="35" t="s">
        <v>6674</v>
      </c>
      <c r="C160" s="34"/>
      <c r="D160" s="34"/>
      <c r="E160" s="35" t="s">
        <v>6675</v>
      </c>
      <c r="F160" s="34"/>
      <c r="G160" s="35" t="s">
        <v>6676</v>
      </c>
      <c r="H160" s="35" t="s">
        <v>4560</v>
      </c>
      <c r="I160" s="35" t="s">
        <v>4561</v>
      </c>
      <c r="J160" s="35" t="s">
        <v>66</v>
      </c>
      <c r="K160" s="35" t="s">
        <v>4562</v>
      </c>
      <c r="L160" s="35" t="s">
        <v>6677</v>
      </c>
      <c r="M160" s="35" t="s">
        <v>6678</v>
      </c>
      <c r="N160" s="35" t="s">
        <v>5075</v>
      </c>
      <c r="O160" s="35" t="s">
        <v>6679</v>
      </c>
      <c r="P160" s="35"/>
      <c r="R160" s="35" t="s">
        <v>3571</v>
      </c>
      <c r="S160" s="35" t="s">
        <v>5236</v>
      </c>
      <c r="T160" s="35" t="s">
        <v>6680</v>
      </c>
      <c r="U160" s="36" t="s">
        <v>6681</v>
      </c>
      <c r="V160" s="36" t="s">
        <v>6682</v>
      </c>
      <c r="W160" s="32">
        <v>6.0</v>
      </c>
      <c r="X160" s="35" t="s">
        <v>6683</v>
      </c>
      <c r="Y160" s="35" t="s">
        <v>6684</v>
      </c>
      <c r="Z160" s="35" t="s">
        <v>6685</v>
      </c>
      <c r="AA160" s="32">
        <v>2017.0</v>
      </c>
      <c r="AB160" s="34"/>
      <c r="AC160" s="34"/>
      <c r="AD160" s="34"/>
      <c r="AE160" s="37"/>
      <c r="AF160" s="37"/>
      <c r="AG160" s="37"/>
      <c r="AH160" s="32">
        <v>446.37</v>
      </c>
      <c r="AI160" s="37"/>
      <c r="AJ160" s="37"/>
      <c r="AK160" s="32">
        <v>41.99</v>
      </c>
      <c r="AL160" s="32">
        <v>0.94</v>
      </c>
      <c r="AM160" s="37"/>
      <c r="AN160" s="32" t="s">
        <v>6686</v>
      </c>
      <c r="AO160" s="35" t="s">
        <v>6687</v>
      </c>
      <c r="AP160" s="35" t="s">
        <v>133</v>
      </c>
      <c r="AQ160" s="35" t="s">
        <v>4614</v>
      </c>
      <c r="AR160" s="35" t="s">
        <v>134</v>
      </c>
      <c r="AS160" s="34" t="str">
        <f>+972 (0)58 480 0964</f>
        <v>#ERROR!</v>
      </c>
      <c r="AT160" s="35" t="s">
        <v>3957</v>
      </c>
      <c r="AU160" s="35" t="s">
        <v>6688</v>
      </c>
      <c r="AV160" s="34"/>
      <c r="AW160" s="35" t="s">
        <v>137</v>
      </c>
      <c r="AX160" s="34"/>
      <c r="AY160" s="32">
        <v>4464312.0</v>
      </c>
      <c r="AZ160" s="35" t="s">
        <v>41</v>
      </c>
      <c r="BA160" s="37" t="str">
        <f>+972 (0)58 480 0964</f>
        <v>#ERROR!</v>
      </c>
      <c r="BB160" s="37"/>
      <c r="BC160" s="35" t="s">
        <v>6689</v>
      </c>
      <c r="BD160" s="35" t="s">
        <v>3584</v>
      </c>
      <c r="BE160" s="35" t="s">
        <v>3584</v>
      </c>
      <c r="BF160" s="35" t="s">
        <v>6690</v>
      </c>
      <c r="BG160" s="35" t="s">
        <v>6691</v>
      </c>
      <c r="BH160" s="32">
        <v>2.0</v>
      </c>
      <c r="BI160" s="34"/>
      <c r="BJ160" s="34"/>
      <c r="BK160" s="34"/>
      <c r="BL160" s="35" t="s">
        <v>6692</v>
      </c>
      <c r="BM160" s="34"/>
      <c r="BN160" s="34"/>
      <c r="BO160" s="34"/>
      <c r="BP160" s="35" t="s">
        <v>6693</v>
      </c>
      <c r="BQ160" s="38" t="s">
        <v>6694</v>
      </c>
      <c r="BR160" s="32">
        <v>15.0</v>
      </c>
      <c r="BS160" s="35" t="s">
        <v>3593</v>
      </c>
      <c r="BT160" s="37"/>
      <c r="BU160" s="34"/>
      <c r="BV160" s="35" t="s">
        <v>3802</v>
      </c>
      <c r="BW160" s="35" t="s">
        <v>3802</v>
      </c>
      <c r="BX160" s="34"/>
      <c r="BY160" s="35" t="s">
        <v>3803</v>
      </c>
      <c r="BZ160" s="34"/>
      <c r="CA160" s="35" t="s">
        <v>3966</v>
      </c>
      <c r="CB160" s="38" t="s">
        <v>6695</v>
      </c>
      <c r="CC160" s="32">
        <v>0.88</v>
      </c>
      <c r="CD160" s="35" t="s">
        <v>3593</v>
      </c>
      <c r="CE160" s="37"/>
      <c r="CF160" s="34"/>
      <c r="CG160" s="35" t="s">
        <v>5257</v>
      </c>
      <c r="CH160" s="34"/>
      <c r="CI160" s="34"/>
      <c r="CJ160" s="35" t="s">
        <v>3663</v>
      </c>
      <c r="CK160" s="37"/>
      <c r="CL160" s="37"/>
      <c r="CM160" s="34"/>
      <c r="CN160" s="35" t="s">
        <v>3591</v>
      </c>
      <c r="CO160" s="39">
        <v>0.0053</v>
      </c>
      <c r="CP160" s="32">
        <v>93.0</v>
      </c>
      <c r="CQ160" s="39">
        <v>0.0</v>
      </c>
      <c r="CR160" s="39">
        <v>0.0</v>
      </c>
      <c r="CS160" s="39">
        <v>0.0053</v>
      </c>
      <c r="CT160" s="32">
        <v>94.0</v>
      </c>
      <c r="CU160" s="37"/>
      <c r="CV160" s="37"/>
      <c r="CW160" s="39">
        <v>0.0053</v>
      </c>
      <c r="CX160" s="32">
        <v>94.0</v>
      </c>
      <c r="CY160" s="32" t="s">
        <v>6696</v>
      </c>
      <c r="CZ160" s="32">
        <v>89.0</v>
      </c>
      <c r="DA160" s="32" t="s">
        <v>3598</v>
      </c>
      <c r="DB160" s="39">
        <v>0.0</v>
      </c>
      <c r="DC160" s="32" t="s">
        <v>6696</v>
      </c>
      <c r="DD160" s="32">
        <v>89.0</v>
      </c>
      <c r="DE160" s="37"/>
      <c r="DF160" s="37"/>
      <c r="DG160" s="32" t="s">
        <v>6696</v>
      </c>
      <c r="DH160" s="32">
        <v>87.0</v>
      </c>
      <c r="DI160" s="32">
        <v>267.0</v>
      </c>
      <c r="DJ160" s="32">
        <v>4.0</v>
      </c>
      <c r="DK160" s="39">
        <v>0.0152</v>
      </c>
      <c r="DL160" s="32">
        <v>193.0</v>
      </c>
      <c r="DM160" s="32">
        <v>1.0</v>
      </c>
      <c r="DN160" s="39">
        <v>0.0052</v>
      </c>
      <c r="DO160" s="32" t="s">
        <v>3600</v>
      </c>
      <c r="DP160" s="38" t="s">
        <v>5877</v>
      </c>
      <c r="DQ160" s="32">
        <v>30.0</v>
      </c>
      <c r="DR160" s="32">
        <v>7.0</v>
      </c>
      <c r="DS160" s="32">
        <v>15.0</v>
      </c>
      <c r="DT160" s="32">
        <v>12.0</v>
      </c>
      <c r="DU160" s="37"/>
      <c r="DV160" s="32">
        <v>3.0</v>
      </c>
      <c r="DW160" s="35" t="s">
        <v>6697</v>
      </c>
      <c r="DX160" s="37"/>
      <c r="DY160" s="34"/>
      <c r="DZ160" s="37"/>
      <c r="EA160" s="37"/>
      <c r="EB160" s="34"/>
      <c r="EC160" s="37"/>
      <c r="ED160" s="37"/>
      <c r="EE160" s="37"/>
      <c r="EF160" s="37"/>
      <c r="EG160" s="34"/>
      <c r="EH160" s="37"/>
      <c r="EI160" s="37"/>
      <c r="EJ160" s="37"/>
      <c r="EK160" s="35" t="s">
        <v>4108</v>
      </c>
      <c r="EL160" s="37"/>
      <c r="EM160" s="37"/>
      <c r="EN160" s="37"/>
      <c r="EO160" s="37"/>
      <c r="EP160" s="40" t="s">
        <v>3559</v>
      </c>
    </row>
    <row r="161">
      <c r="A161" s="45"/>
      <c r="B161" s="42" t="s">
        <v>6698</v>
      </c>
      <c r="C161" s="43"/>
      <c r="D161" s="43"/>
      <c r="E161" s="43"/>
      <c r="F161" s="43"/>
      <c r="G161" s="42" t="s">
        <v>6699</v>
      </c>
      <c r="H161" s="42" t="s">
        <v>4560</v>
      </c>
      <c r="I161" s="42" t="s">
        <v>4561</v>
      </c>
      <c r="J161" s="42" t="s">
        <v>5057</v>
      </c>
      <c r="K161" s="42" t="s">
        <v>5058</v>
      </c>
      <c r="L161" s="43"/>
      <c r="M161" s="43"/>
      <c r="N161" s="42" t="s">
        <v>4923</v>
      </c>
      <c r="O161" s="42" t="s">
        <v>6700</v>
      </c>
      <c r="P161" s="42"/>
      <c r="R161" s="43"/>
      <c r="S161" s="42" t="s">
        <v>4925</v>
      </c>
      <c r="T161" s="42" t="s">
        <v>4926</v>
      </c>
      <c r="U161" s="44" t="s">
        <v>6701</v>
      </c>
      <c r="V161" s="44" t="s">
        <v>6702</v>
      </c>
      <c r="W161" s="45"/>
      <c r="X161" s="43"/>
      <c r="Y161" s="43"/>
      <c r="Z161" s="43"/>
      <c r="AA161" s="45"/>
      <c r="AB161" s="43"/>
      <c r="AC161" s="43"/>
      <c r="AD161" s="43"/>
      <c r="AE161" s="45"/>
      <c r="AF161" s="45"/>
      <c r="AG161" s="45"/>
      <c r="AH161" s="45"/>
      <c r="AI161" s="45"/>
      <c r="AJ161" s="45"/>
      <c r="AK161" s="45"/>
      <c r="AL161" s="45"/>
      <c r="AM161" s="45"/>
      <c r="AN161" s="45"/>
      <c r="AO161" s="43"/>
      <c r="AP161" s="43"/>
      <c r="AQ161" s="43"/>
      <c r="AR161" s="43"/>
      <c r="AS161" s="43"/>
      <c r="AT161" s="42" t="s">
        <v>6703</v>
      </c>
      <c r="AU161" s="43"/>
      <c r="AV161" s="43"/>
      <c r="AW161" s="42" t="s">
        <v>6704</v>
      </c>
      <c r="AX161" s="43"/>
      <c r="AY161" s="41">
        <v>54914.0</v>
      </c>
      <c r="AZ161" s="42" t="s">
        <v>41</v>
      </c>
      <c r="BA161" s="45"/>
      <c r="BB161" s="45"/>
      <c r="BC161" s="43"/>
      <c r="BD161" s="42" t="s">
        <v>3584</v>
      </c>
      <c r="BE161" s="42" t="s">
        <v>3584</v>
      </c>
      <c r="BF161" s="43"/>
      <c r="BG161" s="43"/>
      <c r="BH161" s="45"/>
      <c r="BI161" s="43"/>
      <c r="BJ161" s="43"/>
      <c r="BK161" s="43"/>
      <c r="BL161" s="43"/>
      <c r="BM161" s="43"/>
      <c r="BN161" s="43"/>
      <c r="BO161" s="43"/>
      <c r="BP161" s="43"/>
      <c r="BQ161" s="45"/>
      <c r="BR161" s="45"/>
      <c r="BS161" s="43"/>
      <c r="BT161" s="45"/>
      <c r="BU161" s="43"/>
      <c r="BV161" s="43"/>
      <c r="BW161" s="43"/>
      <c r="BX161" s="43"/>
      <c r="BY161" s="43"/>
      <c r="BZ161" s="43"/>
      <c r="CA161" s="43"/>
      <c r="CB161" s="45"/>
      <c r="CC161" s="45"/>
      <c r="CD161" s="43"/>
      <c r="CE161" s="45"/>
      <c r="CF161" s="43"/>
      <c r="CG161" s="43"/>
      <c r="CH161" s="43"/>
      <c r="CI161" s="43"/>
      <c r="CJ161" s="43"/>
      <c r="CK161" s="45"/>
      <c r="CL161" s="45"/>
      <c r="CM161" s="43"/>
      <c r="CN161" s="43"/>
      <c r="CO161" s="45"/>
      <c r="CP161" s="45"/>
      <c r="CQ161" s="45"/>
      <c r="CR161" s="45"/>
      <c r="CS161" s="45"/>
      <c r="CT161" s="45"/>
      <c r="CU161" s="45"/>
      <c r="CV161" s="45"/>
      <c r="CW161" s="45"/>
      <c r="CX161" s="45"/>
      <c r="CY161" s="45"/>
      <c r="CZ161" s="45"/>
      <c r="DA161" s="45"/>
      <c r="DB161" s="45"/>
      <c r="DC161" s="45"/>
      <c r="DD161" s="45"/>
      <c r="DE161" s="45"/>
      <c r="DF161" s="45"/>
      <c r="DG161" s="45"/>
      <c r="DH161" s="45"/>
      <c r="DI161" s="45"/>
      <c r="DJ161" s="45"/>
      <c r="DK161" s="45"/>
      <c r="DL161" s="45"/>
      <c r="DM161" s="45"/>
      <c r="DN161" s="45"/>
      <c r="DO161" s="41" t="s">
        <v>5066</v>
      </c>
      <c r="DP161" s="46" t="s">
        <v>6705</v>
      </c>
      <c r="DQ161" s="45"/>
      <c r="DR161" s="45"/>
      <c r="DS161" s="45"/>
      <c r="DT161" s="45"/>
      <c r="DU161" s="45"/>
      <c r="DV161" s="45"/>
      <c r="DW161" s="43"/>
      <c r="DX161" s="45"/>
      <c r="DY161" s="43"/>
      <c r="DZ161" s="45"/>
      <c r="EA161" s="45"/>
      <c r="EB161" s="43"/>
      <c r="EC161" s="45"/>
      <c r="ED161" s="45"/>
      <c r="EE161" s="45"/>
      <c r="EF161" s="45"/>
      <c r="EG161" s="43"/>
      <c r="EH161" s="45"/>
      <c r="EI161" s="45"/>
      <c r="EJ161" s="45"/>
      <c r="EK161" s="43"/>
      <c r="EL161" s="45"/>
      <c r="EM161" s="45"/>
      <c r="EN161" s="45"/>
      <c r="EO161" s="45"/>
      <c r="EP161" s="48" t="s">
        <v>3559</v>
      </c>
    </row>
    <row r="162">
      <c r="A162" s="37"/>
      <c r="B162" s="35" t="s">
        <v>6706</v>
      </c>
      <c r="C162" s="34"/>
      <c r="D162" s="34"/>
      <c r="E162" s="35" t="s">
        <v>6707</v>
      </c>
      <c r="F162" s="34"/>
      <c r="G162" s="35" t="s">
        <v>6708</v>
      </c>
      <c r="H162" s="35" t="s">
        <v>4560</v>
      </c>
      <c r="I162" s="35" t="s">
        <v>5163</v>
      </c>
      <c r="J162" s="35" t="s">
        <v>5164</v>
      </c>
      <c r="K162" s="35" t="s">
        <v>5165</v>
      </c>
      <c r="L162" s="35" t="s">
        <v>5736</v>
      </c>
      <c r="M162" s="35" t="s">
        <v>6709</v>
      </c>
      <c r="N162" s="35" t="s">
        <v>4962</v>
      </c>
      <c r="O162" s="35" t="s">
        <v>6710</v>
      </c>
      <c r="P162" s="35"/>
      <c r="R162" s="35" t="s">
        <v>3571</v>
      </c>
      <c r="S162" s="35" t="s">
        <v>5020</v>
      </c>
      <c r="T162" s="35" t="s">
        <v>3603</v>
      </c>
      <c r="U162" s="34"/>
      <c r="V162" s="34"/>
      <c r="W162" s="37"/>
      <c r="X162" s="34"/>
      <c r="Y162" s="34"/>
      <c r="Z162" s="34"/>
      <c r="AA162" s="37"/>
      <c r="AB162" s="34"/>
      <c r="AC162" s="34"/>
      <c r="AD162" s="34"/>
      <c r="AE162" s="37"/>
      <c r="AF162" s="37"/>
      <c r="AG162" s="37"/>
      <c r="AH162" s="37"/>
      <c r="AI162" s="37"/>
      <c r="AJ162" s="37"/>
      <c r="AK162" s="37"/>
      <c r="AL162" s="37"/>
      <c r="AM162" s="37"/>
      <c r="AN162" s="37"/>
      <c r="AO162" s="34"/>
      <c r="AP162" s="34"/>
      <c r="AQ162" s="34"/>
      <c r="AR162" s="34"/>
      <c r="AS162" s="34"/>
      <c r="AT162" s="35" t="s">
        <v>4095</v>
      </c>
      <c r="AU162" s="35" t="s">
        <v>6711</v>
      </c>
      <c r="AV162" s="34"/>
      <c r="AW162" s="35" t="s">
        <v>323</v>
      </c>
      <c r="AX162" s="34"/>
      <c r="AY162" s="37"/>
      <c r="AZ162" s="35" t="s">
        <v>41</v>
      </c>
      <c r="BA162" s="37"/>
      <c r="BB162" s="37"/>
      <c r="BC162" s="34"/>
      <c r="BD162" s="35" t="s">
        <v>3584</v>
      </c>
      <c r="BE162" s="35" t="s">
        <v>3584</v>
      </c>
      <c r="BF162" s="35" t="s">
        <v>6712</v>
      </c>
      <c r="BG162" s="34"/>
      <c r="BH162" s="37"/>
      <c r="BI162" s="35" t="s">
        <v>6713</v>
      </c>
      <c r="BJ162" s="34"/>
      <c r="BK162" s="34"/>
      <c r="BL162" s="34"/>
      <c r="BM162" s="34"/>
      <c r="BN162" s="34"/>
      <c r="BO162" s="34"/>
      <c r="BP162" s="34"/>
      <c r="BQ162" s="38" t="s">
        <v>6714</v>
      </c>
      <c r="BR162" s="32">
        <v>6.41</v>
      </c>
      <c r="BS162" s="35" t="s">
        <v>3593</v>
      </c>
      <c r="BT162" s="32">
        <v>6.41</v>
      </c>
      <c r="BU162" s="35" t="s">
        <v>3593</v>
      </c>
      <c r="BV162" s="35" t="s">
        <v>4977</v>
      </c>
      <c r="BW162" s="34"/>
      <c r="BX162" s="34"/>
      <c r="BY162" s="35" t="s">
        <v>3663</v>
      </c>
      <c r="BZ162" s="34"/>
      <c r="CA162" s="35" t="s">
        <v>3591</v>
      </c>
      <c r="CB162" s="38" t="s">
        <v>6714</v>
      </c>
      <c r="CC162" s="32">
        <v>6.41</v>
      </c>
      <c r="CD162" s="35" t="s">
        <v>3593</v>
      </c>
      <c r="CE162" s="32">
        <v>6.41</v>
      </c>
      <c r="CF162" s="35" t="s">
        <v>3593</v>
      </c>
      <c r="CG162" s="35" t="s">
        <v>4977</v>
      </c>
      <c r="CH162" s="34"/>
      <c r="CI162" s="34"/>
      <c r="CJ162" s="35" t="s">
        <v>3663</v>
      </c>
      <c r="CK162" s="37"/>
      <c r="CL162" s="37"/>
      <c r="CM162" s="34"/>
      <c r="CN162" s="35" t="s">
        <v>3591</v>
      </c>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c r="DO162" s="32" t="s">
        <v>3600</v>
      </c>
      <c r="DP162" s="38" t="s">
        <v>5350</v>
      </c>
      <c r="DQ162" s="37"/>
      <c r="DR162" s="37"/>
      <c r="DS162" s="37"/>
      <c r="DT162" s="37"/>
      <c r="DU162" s="37"/>
      <c r="DV162" s="37"/>
      <c r="DW162" s="34"/>
      <c r="DX162" s="37"/>
      <c r="DY162" s="34"/>
      <c r="DZ162" s="37"/>
      <c r="EA162" s="37"/>
      <c r="EB162" s="34"/>
      <c r="EC162" s="37"/>
      <c r="ED162" s="37"/>
      <c r="EE162" s="32">
        <v>6.41</v>
      </c>
      <c r="EF162" s="38" t="s">
        <v>6714</v>
      </c>
      <c r="EG162" s="35" t="s">
        <v>4977</v>
      </c>
      <c r="EH162" s="37"/>
      <c r="EI162" s="37"/>
      <c r="EJ162" s="37"/>
      <c r="EK162" s="34"/>
      <c r="EL162" s="37"/>
      <c r="EM162" s="37"/>
      <c r="EN162" s="37"/>
      <c r="EO162" s="37"/>
      <c r="EP162" s="40" t="s">
        <v>3559</v>
      </c>
    </row>
    <row r="163">
      <c r="A163" s="41">
        <v>4.5</v>
      </c>
      <c r="B163" s="42" t="s">
        <v>6715</v>
      </c>
      <c r="C163" s="43"/>
      <c r="D163" s="43"/>
      <c r="E163" s="42" t="s">
        <v>6716</v>
      </c>
      <c r="F163" s="42" t="s">
        <v>6717</v>
      </c>
      <c r="G163" s="42" t="s">
        <v>6718</v>
      </c>
      <c r="H163" s="42" t="s">
        <v>3563</v>
      </c>
      <c r="I163" s="42" t="s">
        <v>3564</v>
      </c>
      <c r="J163" s="42" t="s">
        <v>3565</v>
      </c>
      <c r="K163" s="42" t="s">
        <v>4303</v>
      </c>
      <c r="L163" s="42" t="s">
        <v>6719</v>
      </c>
      <c r="M163" s="42" t="s">
        <v>6720</v>
      </c>
      <c r="N163" s="42" t="s">
        <v>5018</v>
      </c>
      <c r="O163" s="42" t="s">
        <v>6721</v>
      </c>
      <c r="P163" s="42"/>
      <c r="R163" s="42" t="s">
        <v>3571</v>
      </c>
      <c r="S163" s="42" t="s">
        <v>5020</v>
      </c>
      <c r="T163" s="42" t="s">
        <v>3573</v>
      </c>
      <c r="U163" s="44" t="s">
        <v>6722</v>
      </c>
      <c r="V163" s="43"/>
      <c r="W163" s="41">
        <v>15.0</v>
      </c>
      <c r="X163" s="42" t="s">
        <v>6723</v>
      </c>
      <c r="Y163" s="43"/>
      <c r="Z163" s="43"/>
      <c r="AA163" s="41">
        <v>2016.0</v>
      </c>
      <c r="AB163" s="43"/>
      <c r="AC163" s="43"/>
      <c r="AD163" s="43"/>
      <c r="AE163" s="45"/>
      <c r="AF163" s="45"/>
      <c r="AG163" s="45"/>
      <c r="AH163" s="45"/>
      <c r="AI163" s="45"/>
      <c r="AJ163" s="45"/>
      <c r="AK163" s="45"/>
      <c r="AL163" s="45"/>
      <c r="AM163" s="45"/>
      <c r="AN163" s="45"/>
      <c r="AO163" s="43"/>
      <c r="AP163" s="43"/>
      <c r="AQ163" s="43"/>
      <c r="AR163" s="43"/>
      <c r="AS163" s="43"/>
      <c r="AT163" s="42" t="s">
        <v>3581</v>
      </c>
      <c r="AU163" s="42" t="s">
        <v>6724</v>
      </c>
      <c r="AV163" s="42" t="s">
        <v>6725</v>
      </c>
      <c r="AW163" s="42" t="s">
        <v>75</v>
      </c>
      <c r="AX163" s="43"/>
      <c r="AY163" s="45"/>
      <c r="AZ163" s="42" t="s">
        <v>41</v>
      </c>
      <c r="BA163" s="45"/>
      <c r="BB163" s="45"/>
      <c r="BC163" s="43"/>
      <c r="BD163" s="42" t="s">
        <v>3584</v>
      </c>
      <c r="BE163" s="42" t="s">
        <v>3584</v>
      </c>
      <c r="BF163" s="42" t="s">
        <v>6726</v>
      </c>
      <c r="BG163" s="43"/>
      <c r="BH163" s="45"/>
      <c r="BI163" s="42" t="s">
        <v>6727</v>
      </c>
      <c r="BJ163" s="42" t="s">
        <v>6728</v>
      </c>
      <c r="BK163" s="43"/>
      <c r="BL163" s="43"/>
      <c r="BM163" s="42" t="s">
        <v>6729</v>
      </c>
      <c r="BN163" s="43"/>
      <c r="BO163" s="43"/>
      <c r="BP163" s="42" t="s">
        <v>3725</v>
      </c>
      <c r="BQ163" s="45"/>
      <c r="BR163" s="45"/>
      <c r="BS163" s="43"/>
      <c r="BT163" s="45"/>
      <c r="BU163" s="43"/>
      <c r="BV163" s="42" t="s">
        <v>3589</v>
      </c>
      <c r="BW163" s="43"/>
      <c r="BX163" s="43"/>
      <c r="BY163" s="42" t="s">
        <v>3590</v>
      </c>
      <c r="BZ163" s="43"/>
      <c r="CA163" s="42" t="s">
        <v>3591</v>
      </c>
      <c r="CB163" s="46" t="s">
        <v>6730</v>
      </c>
      <c r="CC163" s="45"/>
      <c r="CD163" s="43"/>
      <c r="CE163" s="45"/>
      <c r="CF163" s="43"/>
      <c r="CG163" s="42" t="s">
        <v>4977</v>
      </c>
      <c r="CH163" s="43"/>
      <c r="CI163" s="43"/>
      <c r="CJ163" s="42" t="s">
        <v>3663</v>
      </c>
      <c r="CK163" s="45"/>
      <c r="CL163" s="45"/>
      <c r="CM163" s="43"/>
      <c r="CN163" s="42" t="s">
        <v>3591</v>
      </c>
      <c r="CO163" s="45"/>
      <c r="CP163" s="45"/>
      <c r="CQ163" s="45"/>
      <c r="CR163" s="45"/>
      <c r="CS163" s="45"/>
      <c r="CT163" s="45"/>
      <c r="CU163" s="45"/>
      <c r="CV163" s="45"/>
      <c r="CW163" s="45"/>
      <c r="CX163" s="45"/>
      <c r="CY163" s="45"/>
      <c r="CZ163" s="45"/>
      <c r="DA163" s="45"/>
      <c r="DB163" s="45"/>
      <c r="DC163" s="45"/>
      <c r="DD163" s="45"/>
      <c r="DE163" s="45"/>
      <c r="DF163" s="45"/>
      <c r="DG163" s="45"/>
      <c r="DH163" s="45"/>
      <c r="DI163" s="45"/>
      <c r="DJ163" s="45"/>
      <c r="DK163" s="45"/>
      <c r="DL163" s="45"/>
      <c r="DM163" s="45"/>
      <c r="DN163" s="45"/>
      <c r="DO163" s="41" t="s">
        <v>3600</v>
      </c>
      <c r="DP163" s="46" t="s">
        <v>6731</v>
      </c>
      <c r="DQ163" s="41">
        <v>1.0</v>
      </c>
      <c r="DR163" s="41">
        <v>1.0</v>
      </c>
      <c r="DS163" s="45"/>
      <c r="DT163" s="45"/>
      <c r="DU163" s="45"/>
      <c r="DV163" s="41">
        <v>1.0</v>
      </c>
      <c r="DW163" s="43"/>
      <c r="DX163" s="45"/>
      <c r="DY163" s="43"/>
      <c r="DZ163" s="45"/>
      <c r="EA163" s="45"/>
      <c r="EB163" s="43"/>
      <c r="EC163" s="45"/>
      <c r="ED163" s="45"/>
      <c r="EE163" s="41">
        <v>7.56</v>
      </c>
      <c r="EF163" s="46" t="s">
        <v>6732</v>
      </c>
      <c r="EG163" s="42" t="s">
        <v>3698</v>
      </c>
      <c r="EH163" s="45"/>
      <c r="EI163" s="45"/>
      <c r="EJ163" s="45"/>
      <c r="EK163" s="43"/>
      <c r="EL163" s="45"/>
      <c r="EM163" s="45"/>
      <c r="EN163" s="45"/>
      <c r="EO163" s="45"/>
      <c r="EP163" s="48" t="s">
        <v>3559</v>
      </c>
    </row>
    <row r="164">
      <c r="A164" s="32">
        <v>0.1</v>
      </c>
      <c r="B164" s="35" t="s">
        <v>6733</v>
      </c>
      <c r="C164" s="34"/>
      <c r="D164" s="34"/>
      <c r="E164" s="35" t="s">
        <v>6734</v>
      </c>
      <c r="F164" s="34"/>
      <c r="G164" s="35" t="s">
        <v>6735</v>
      </c>
      <c r="H164" s="35" t="s">
        <v>3867</v>
      </c>
      <c r="I164" s="35" t="s">
        <v>3897</v>
      </c>
      <c r="J164" s="35" t="s">
        <v>5092</v>
      </c>
      <c r="K164" s="35" t="s">
        <v>6736</v>
      </c>
      <c r="L164" s="35" t="s">
        <v>6737</v>
      </c>
      <c r="M164" s="35" t="s">
        <v>6738</v>
      </c>
      <c r="N164" s="35" t="s">
        <v>5145</v>
      </c>
      <c r="O164" s="35" t="s">
        <v>6739</v>
      </c>
      <c r="P164" s="35"/>
      <c r="R164" s="35" t="s">
        <v>3571</v>
      </c>
      <c r="S164" s="35" t="s">
        <v>3572</v>
      </c>
      <c r="T164" s="35" t="s">
        <v>5147</v>
      </c>
      <c r="U164" s="36" t="s">
        <v>6740</v>
      </c>
      <c r="V164" s="36" t="s">
        <v>6741</v>
      </c>
      <c r="W164" s="32">
        <v>2.0</v>
      </c>
      <c r="X164" s="35" t="s">
        <v>6742</v>
      </c>
      <c r="Y164" s="34"/>
      <c r="Z164" s="34"/>
      <c r="AA164" s="32">
        <v>2022.0</v>
      </c>
      <c r="AB164" s="34"/>
      <c r="AC164" s="34"/>
      <c r="AD164" s="34"/>
      <c r="AE164" s="37"/>
      <c r="AF164" s="37"/>
      <c r="AG164" s="37"/>
      <c r="AH164" s="37"/>
      <c r="AI164" s="37"/>
      <c r="AJ164" s="37"/>
      <c r="AK164" s="37"/>
      <c r="AL164" s="37"/>
      <c r="AM164" s="37"/>
      <c r="AN164" s="37"/>
      <c r="AO164" s="35" t="s">
        <v>6743</v>
      </c>
      <c r="AP164" s="35" t="s">
        <v>6744</v>
      </c>
      <c r="AQ164" s="35" t="s">
        <v>3579</v>
      </c>
      <c r="AR164" s="35" t="s">
        <v>6745</v>
      </c>
      <c r="AS164" s="34" t="str">
        <f>+972 (0)53 361 7358</f>
        <v>#ERROR!</v>
      </c>
      <c r="AT164" s="35" t="s">
        <v>5689</v>
      </c>
      <c r="AU164" s="35" t="s">
        <v>6746</v>
      </c>
      <c r="AV164" s="34"/>
      <c r="AW164" s="35" t="s">
        <v>298</v>
      </c>
      <c r="AX164" s="34"/>
      <c r="AY164" s="32">
        <v>4230615.0</v>
      </c>
      <c r="AZ164" s="35" t="s">
        <v>41</v>
      </c>
      <c r="BA164" s="37" t="str">
        <f>+972 (0)53 361 7358</f>
        <v>#ERROR!</v>
      </c>
      <c r="BB164" s="37"/>
      <c r="BC164" s="35" t="s">
        <v>6747</v>
      </c>
      <c r="BD164" s="35" t="s">
        <v>3584</v>
      </c>
      <c r="BE164" s="35" t="s">
        <v>3584</v>
      </c>
      <c r="BF164" s="35" t="s">
        <v>6748</v>
      </c>
      <c r="BG164" s="35" t="s">
        <v>6749</v>
      </c>
      <c r="BH164" s="32">
        <v>3.0</v>
      </c>
      <c r="BI164" s="34"/>
      <c r="BJ164" s="34"/>
      <c r="BK164" s="34"/>
      <c r="BL164" s="35" t="s">
        <v>6750</v>
      </c>
      <c r="BM164" s="34"/>
      <c r="BN164" s="34"/>
      <c r="BO164" s="34"/>
      <c r="BP164" s="34"/>
      <c r="BQ164" s="38" t="s">
        <v>6751</v>
      </c>
      <c r="BR164" s="32">
        <v>0.08</v>
      </c>
      <c r="BS164" s="35" t="s">
        <v>3697</v>
      </c>
      <c r="BT164" s="37"/>
      <c r="BU164" s="34"/>
      <c r="BV164" s="35" t="s">
        <v>3589</v>
      </c>
      <c r="BW164" s="34"/>
      <c r="BX164" s="34"/>
      <c r="BY164" s="35" t="s">
        <v>3590</v>
      </c>
      <c r="BZ164" s="34"/>
      <c r="CA164" s="35" t="s">
        <v>3591</v>
      </c>
      <c r="CB164" s="37"/>
      <c r="CC164" s="37"/>
      <c r="CD164" s="34"/>
      <c r="CE164" s="37"/>
      <c r="CF164" s="34"/>
      <c r="CG164" s="35" t="s">
        <v>3589</v>
      </c>
      <c r="CH164" s="34"/>
      <c r="CI164" s="34"/>
      <c r="CJ164" s="35" t="s">
        <v>3590</v>
      </c>
      <c r="CK164" s="37"/>
      <c r="CL164" s="37"/>
      <c r="CM164" s="34"/>
      <c r="CN164" s="35" t="s">
        <v>3591</v>
      </c>
      <c r="CO164" s="39">
        <v>0.0</v>
      </c>
      <c r="CP164" s="32">
        <v>14.0</v>
      </c>
      <c r="CQ164" s="39">
        <v>0.0</v>
      </c>
      <c r="CR164" s="39">
        <v>0.0</v>
      </c>
      <c r="CS164" s="39">
        <v>0.0</v>
      </c>
      <c r="CT164" s="32">
        <v>12.0</v>
      </c>
      <c r="CU164" s="37"/>
      <c r="CV164" s="37"/>
      <c r="CW164" s="39">
        <v>0.0</v>
      </c>
      <c r="CX164" s="32">
        <v>12.0</v>
      </c>
      <c r="CY164" s="32" t="s">
        <v>6752</v>
      </c>
      <c r="CZ164" s="32">
        <v>15.0</v>
      </c>
      <c r="DA164" s="32" t="s">
        <v>3598</v>
      </c>
      <c r="DB164" s="39">
        <v>0.0</v>
      </c>
      <c r="DC164" s="32" t="s">
        <v>4622</v>
      </c>
      <c r="DD164" s="32">
        <v>26.0</v>
      </c>
      <c r="DE164" s="37"/>
      <c r="DF164" s="37"/>
      <c r="DG164" s="32" t="s">
        <v>4622</v>
      </c>
      <c r="DH164" s="32">
        <v>23.0</v>
      </c>
      <c r="DI164" s="37"/>
      <c r="DJ164" s="37"/>
      <c r="DK164" s="37"/>
      <c r="DL164" s="32">
        <v>12.0</v>
      </c>
      <c r="DM164" s="32">
        <v>0.0</v>
      </c>
      <c r="DN164" s="39">
        <v>0.0</v>
      </c>
      <c r="DO164" s="32" t="s">
        <v>3600</v>
      </c>
      <c r="DP164" s="38" t="s">
        <v>6753</v>
      </c>
      <c r="DQ164" s="37"/>
      <c r="DR164" s="37"/>
      <c r="DS164" s="37"/>
      <c r="DT164" s="37"/>
      <c r="DU164" s="37"/>
      <c r="DV164" s="37"/>
      <c r="DW164" s="34"/>
      <c r="DX164" s="37"/>
      <c r="DY164" s="34"/>
      <c r="DZ164" s="37"/>
      <c r="EA164" s="37"/>
      <c r="EB164" s="34"/>
      <c r="EC164" s="37"/>
      <c r="ED164" s="37"/>
      <c r="EE164" s="37"/>
      <c r="EF164" s="37"/>
      <c r="EG164" s="34"/>
      <c r="EH164" s="37"/>
      <c r="EI164" s="37"/>
      <c r="EJ164" s="37"/>
      <c r="EK164" s="34"/>
      <c r="EL164" s="37"/>
      <c r="EM164" s="37"/>
      <c r="EN164" s="37"/>
      <c r="EO164" s="37"/>
      <c r="EP164" s="40" t="s">
        <v>3559</v>
      </c>
    </row>
    <row r="165">
      <c r="A165" s="41">
        <v>44.73</v>
      </c>
      <c r="B165" s="42" t="s">
        <v>6754</v>
      </c>
      <c r="C165" s="42" t="s">
        <v>6755</v>
      </c>
      <c r="D165" s="42" t="s">
        <v>6756</v>
      </c>
      <c r="E165" s="42" t="s">
        <v>6757</v>
      </c>
      <c r="F165" s="42" t="s">
        <v>6758</v>
      </c>
      <c r="G165" s="42" t="s">
        <v>6759</v>
      </c>
      <c r="H165" s="42" t="s">
        <v>3563</v>
      </c>
      <c r="I165" s="42" t="s">
        <v>3564</v>
      </c>
      <c r="J165" s="42" t="s">
        <v>6760</v>
      </c>
      <c r="K165" s="42" t="s">
        <v>6761</v>
      </c>
      <c r="L165" s="42" t="s">
        <v>6762</v>
      </c>
      <c r="M165" s="42" t="s">
        <v>6763</v>
      </c>
      <c r="N165" s="42" t="s">
        <v>4923</v>
      </c>
      <c r="O165" s="42" t="s">
        <v>6764</v>
      </c>
      <c r="P165" s="42"/>
      <c r="R165" s="42" t="s">
        <v>5412</v>
      </c>
      <c r="S165" s="42" t="s">
        <v>5236</v>
      </c>
      <c r="T165" s="42" t="s">
        <v>5568</v>
      </c>
      <c r="U165" s="44" t="s">
        <v>6765</v>
      </c>
      <c r="V165" s="44" t="s">
        <v>6766</v>
      </c>
      <c r="W165" s="41">
        <v>72.0</v>
      </c>
      <c r="X165" s="42" t="s">
        <v>6767</v>
      </c>
      <c r="Y165" s="42" t="s">
        <v>5417</v>
      </c>
      <c r="Z165" s="42" t="s">
        <v>6768</v>
      </c>
      <c r="AA165" s="41">
        <v>1977.0</v>
      </c>
      <c r="AB165" s="43"/>
      <c r="AC165" s="43"/>
      <c r="AD165" s="42" t="s">
        <v>6769</v>
      </c>
      <c r="AE165" s="41">
        <v>0.45</v>
      </c>
      <c r="AF165" s="41">
        <v>0.27</v>
      </c>
      <c r="AG165" s="41">
        <v>-12.45</v>
      </c>
      <c r="AH165" s="41">
        <v>5.58</v>
      </c>
      <c r="AI165" s="41">
        <v>-11.45</v>
      </c>
      <c r="AJ165" s="41">
        <v>-11.65</v>
      </c>
      <c r="AK165" s="41">
        <v>4.83</v>
      </c>
      <c r="AL165" s="41">
        <v>-4.8</v>
      </c>
      <c r="AM165" s="47">
        <v>-0.3213</v>
      </c>
      <c r="AN165" s="41" t="s">
        <v>5419</v>
      </c>
      <c r="AO165" s="42" t="s">
        <v>4364</v>
      </c>
      <c r="AP165" s="42" t="s">
        <v>4365</v>
      </c>
      <c r="AQ165" s="42" t="s">
        <v>6770</v>
      </c>
      <c r="AR165" s="42" t="s">
        <v>4367</v>
      </c>
      <c r="AS165" s="43" t="str">
        <f>+972 (0)5 282 0911 9</f>
        <v>#ERROR!</v>
      </c>
      <c r="AT165" s="42" t="s">
        <v>4368</v>
      </c>
      <c r="AU165" s="42" t="s">
        <v>6771</v>
      </c>
      <c r="AV165" s="42" t="s">
        <v>4370</v>
      </c>
      <c r="AW165" s="42" t="s">
        <v>1037</v>
      </c>
      <c r="AX165" s="43"/>
      <c r="AY165" s="41">
        <v>52520.0</v>
      </c>
      <c r="AZ165" s="42" t="s">
        <v>41</v>
      </c>
      <c r="BA165" s="45" t="str">
        <f>+972 (0)77 970 9030</f>
        <v>#ERROR!</v>
      </c>
      <c r="BB165" s="45" t="str">
        <f>+972 (0)77 970 9031</f>
        <v>#ERROR!</v>
      </c>
      <c r="BC165" s="42" t="s">
        <v>3152</v>
      </c>
      <c r="BD165" s="42" t="s">
        <v>3584</v>
      </c>
      <c r="BE165" s="42" t="s">
        <v>3584</v>
      </c>
      <c r="BF165" s="42" t="s">
        <v>6772</v>
      </c>
      <c r="BG165" s="42" t="s">
        <v>6773</v>
      </c>
      <c r="BH165" s="41">
        <v>5.0</v>
      </c>
      <c r="BI165" s="43"/>
      <c r="BJ165" s="42" t="s">
        <v>6774</v>
      </c>
      <c r="BK165" s="43"/>
      <c r="BL165" s="42" t="s">
        <v>6775</v>
      </c>
      <c r="BM165" s="42" t="s">
        <v>6776</v>
      </c>
      <c r="BN165" s="43"/>
      <c r="BO165" s="43"/>
      <c r="BP165" s="43"/>
      <c r="BQ165" s="46" t="s">
        <v>6777</v>
      </c>
      <c r="BR165" s="45"/>
      <c r="BS165" s="43"/>
      <c r="BT165" s="45"/>
      <c r="BU165" s="43"/>
      <c r="BV165" s="42" t="s">
        <v>4532</v>
      </c>
      <c r="BW165" s="43"/>
      <c r="BX165" s="43"/>
      <c r="BY165" s="42" t="s">
        <v>5764</v>
      </c>
      <c r="BZ165" s="43"/>
      <c r="CA165" s="42" t="s">
        <v>3591</v>
      </c>
      <c r="CB165" s="46" t="s">
        <v>6778</v>
      </c>
      <c r="CC165" s="41">
        <v>4.5</v>
      </c>
      <c r="CD165" s="42" t="s">
        <v>3697</v>
      </c>
      <c r="CE165" s="45"/>
      <c r="CF165" s="43"/>
      <c r="CG165" s="42" t="s">
        <v>5257</v>
      </c>
      <c r="CH165" s="43"/>
      <c r="CI165" s="43"/>
      <c r="CJ165" s="42" t="s">
        <v>3663</v>
      </c>
      <c r="CK165" s="45"/>
      <c r="CL165" s="45"/>
      <c r="CM165" s="43"/>
      <c r="CN165" s="42" t="s">
        <v>3591</v>
      </c>
      <c r="CO165" s="47">
        <v>-0.0095</v>
      </c>
      <c r="CP165" s="41">
        <v>6.0</v>
      </c>
      <c r="CQ165" s="47">
        <v>0.0</v>
      </c>
      <c r="CR165" s="47">
        <v>0.0</v>
      </c>
      <c r="CS165" s="47">
        <v>-0.0095</v>
      </c>
      <c r="CT165" s="41">
        <v>6.0</v>
      </c>
      <c r="CU165" s="45"/>
      <c r="CV165" s="45"/>
      <c r="CW165" s="47">
        <v>-0.0095</v>
      </c>
      <c r="CX165" s="41">
        <v>5.0</v>
      </c>
      <c r="CY165" s="41" t="s">
        <v>6779</v>
      </c>
      <c r="CZ165" s="41">
        <v>97.0</v>
      </c>
      <c r="DA165" s="41" t="s">
        <v>3598</v>
      </c>
      <c r="DB165" s="47">
        <v>0.0</v>
      </c>
      <c r="DC165" s="41" t="s">
        <v>6779</v>
      </c>
      <c r="DD165" s="41">
        <v>97.0</v>
      </c>
      <c r="DE165" s="45"/>
      <c r="DF165" s="45"/>
      <c r="DG165" s="41" t="s">
        <v>6779</v>
      </c>
      <c r="DH165" s="41">
        <v>97.0</v>
      </c>
      <c r="DI165" s="45"/>
      <c r="DJ165" s="45"/>
      <c r="DK165" s="45"/>
      <c r="DL165" s="41">
        <v>590.0</v>
      </c>
      <c r="DM165" s="41">
        <v>-2.0</v>
      </c>
      <c r="DN165" s="47">
        <v>-0.0034</v>
      </c>
      <c r="DO165" s="41" t="s">
        <v>3600</v>
      </c>
      <c r="DP165" s="46" t="s">
        <v>6328</v>
      </c>
      <c r="DQ165" s="41">
        <v>35.0</v>
      </c>
      <c r="DR165" s="41">
        <v>10.0</v>
      </c>
      <c r="DS165" s="41">
        <v>10.0</v>
      </c>
      <c r="DT165" s="41">
        <v>4.0</v>
      </c>
      <c r="DU165" s="45"/>
      <c r="DV165" s="41">
        <v>21.0</v>
      </c>
      <c r="DW165" s="42" t="s">
        <v>6780</v>
      </c>
      <c r="DX165" s="45"/>
      <c r="DY165" s="43"/>
      <c r="DZ165" s="45"/>
      <c r="EA165" s="45"/>
      <c r="EB165" s="43"/>
      <c r="EC165" s="45"/>
      <c r="ED165" s="45"/>
      <c r="EE165" s="45"/>
      <c r="EF165" s="45"/>
      <c r="EG165" s="43"/>
      <c r="EH165" s="45"/>
      <c r="EI165" s="45"/>
      <c r="EJ165" s="45"/>
      <c r="EK165" s="42" t="s">
        <v>4381</v>
      </c>
      <c r="EL165" s="45"/>
      <c r="EM165" s="45"/>
      <c r="EN165" s="45"/>
      <c r="EO165" s="45"/>
      <c r="EP165" s="48" t="s">
        <v>3559</v>
      </c>
    </row>
    <row r="166">
      <c r="A166" s="32">
        <v>104.95</v>
      </c>
      <c r="B166" s="35" t="s">
        <v>6781</v>
      </c>
      <c r="C166" s="34"/>
      <c r="D166" s="34"/>
      <c r="E166" s="35" t="s">
        <v>6782</v>
      </c>
      <c r="F166" s="35" t="s">
        <v>6783</v>
      </c>
      <c r="G166" s="35" t="s">
        <v>6784</v>
      </c>
      <c r="H166" s="35" t="s">
        <v>3867</v>
      </c>
      <c r="I166" s="35" t="s">
        <v>3897</v>
      </c>
      <c r="J166" s="35" t="s">
        <v>3898</v>
      </c>
      <c r="K166" s="35" t="s">
        <v>6785</v>
      </c>
      <c r="L166" s="35" t="s">
        <v>6152</v>
      </c>
      <c r="M166" s="35" t="s">
        <v>6786</v>
      </c>
      <c r="N166" s="35" t="s">
        <v>5018</v>
      </c>
      <c r="O166" s="35" t="s">
        <v>6787</v>
      </c>
      <c r="P166" s="35"/>
      <c r="R166" s="35" t="s">
        <v>5412</v>
      </c>
      <c r="S166" s="35" t="s">
        <v>5236</v>
      </c>
      <c r="T166" s="35" t="s">
        <v>5413</v>
      </c>
      <c r="U166" s="36" t="s">
        <v>6788</v>
      </c>
      <c r="V166" s="36" t="s">
        <v>6789</v>
      </c>
      <c r="W166" s="32">
        <v>378.0</v>
      </c>
      <c r="X166" s="35" t="s">
        <v>6790</v>
      </c>
      <c r="Y166" s="35" t="s">
        <v>5241</v>
      </c>
      <c r="Z166" s="35" t="s">
        <v>6791</v>
      </c>
      <c r="AA166" s="32">
        <v>2012.0</v>
      </c>
      <c r="AB166" s="34"/>
      <c r="AC166" s="34"/>
      <c r="AD166" s="35" t="s">
        <v>5243</v>
      </c>
      <c r="AE166" s="32">
        <v>28.64</v>
      </c>
      <c r="AF166" s="32">
        <v>19.39</v>
      </c>
      <c r="AG166" s="32">
        <v>-23.58</v>
      </c>
      <c r="AH166" s="32">
        <v>134.8</v>
      </c>
      <c r="AI166" s="32">
        <v>-20.77</v>
      </c>
      <c r="AJ166" s="32">
        <v>-24.24</v>
      </c>
      <c r="AK166" s="32">
        <v>107.7</v>
      </c>
      <c r="AL166" s="32">
        <v>-28.88</v>
      </c>
      <c r="AM166" s="39">
        <v>0.2755</v>
      </c>
      <c r="AN166" s="32" t="s">
        <v>5245</v>
      </c>
      <c r="AO166" s="35" t="s">
        <v>6792</v>
      </c>
      <c r="AP166" s="35" t="s">
        <v>6793</v>
      </c>
      <c r="AQ166" s="35" t="s">
        <v>6794</v>
      </c>
      <c r="AR166" s="35" t="s">
        <v>6795</v>
      </c>
      <c r="AS166" s="34"/>
      <c r="AT166" s="35" t="s">
        <v>3654</v>
      </c>
      <c r="AU166" s="35" t="s">
        <v>6796</v>
      </c>
      <c r="AV166" s="35" t="s">
        <v>6797</v>
      </c>
      <c r="AW166" s="35" t="s">
        <v>147</v>
      </c>
      <c r="AX166" s="34"/>
      <c r="AY166" s="32">
        <v>9695102.0</v>
      </c>
      <c r="AZ166" s="35" t="s">
        <v>41</v>
      </c>
      <c r="BA166" s="37"/>
      <c r="BB166" s="37" t="str">
        <f>+972 (0)2 538 4317</f>
        <v>#ERROR!</v>
      </c>
      <c r="BC166" s="34"/>
      <c r="BD166" s="35" t="s">
        <v>3584</v>
      </c>
      <c r="BE166" s="35" t="s">
        <v>3584</v>
      </c>
      <c r="BF166" s="35" t="s">
        <v>6798</v>
      </c>
      <c r="BG166" s="35" t="s">
        <v>6799</v>
      </c>
      <c r="BH166" s="32">
        <v>5.0</v>
      </c>
      <c r="BI166" s="34"/>
      <c r="BJ166" s="35" t="s">
        <v>6800</v>
      </c>
      <c r="BK166" s="34"/>
      <c r="BL166" s="35" t="s">
        <v>6801</v>
      </c>
      <c r="BM166" s="35" t="s">
        <v>6802</v>
      </c>
      <c r="BN166" s="34"/>
      <c r="BO166" s="34"/>
      <c r="BP166" s="35" t="s">
        <v>6803</v>
      </c>
      <c r="BQ166" s="38" t="s">
        <v>6804</v>
      </c>
      <c r="BR166" s="32">
        <v>0.55</v>
      </c>
      <c r="BS166" s="35" t="s">
        <v>3593</v>
      </c>
      <c r="BT166" s="37"/>
      <c r="BU166" s="34"/>
      <c r="BV166" s="35" t="s">
        <v>3669</v>
      </c>
      <c r="BW166" s="35" t="s">
        <v>3595</v>
      </c>
      <c r="BX166" s="34"/>
      <c r="BY166" s="35" t="s">
        <v>3573</v>
      </c>
      <c r="BZ166" s="34"/>
      <c r="CA166" s="35" t="s">
        <v>3591</v>
      </c>
      <c r="CB166" s="38" t="s">
        <v>6805</v>
      </c>
      <c r="CC166" s="32">
        <v>435.0</v>
      </c>
      <c r="CD166" s="35" t="s">
        <v>3593</v>
      </c>
      <c r="CE166" s="32">
        <v>500.0</v>
      </c>
      <c r="CF166" s="35" t="s">
        <v>3593</v>
      </c>
      <c r="CG166" s="35" t="s">
        <v>4775</v>
      </c>
      <c r="CH166" s="34"/>
      <c r="CI166" s="34"/>
      <c r="CJ166" s="35" t="s">
        <v>3663</v>
      </c>
      <c r="CK166" s="37"/>
      <c r="CL166" s="37"/>
      <c r="CM166" s="34"/>
      <c r="CN166" s="35" t="s">
        <v>3591</v>
      </c>
      <c r="CO166" s="39">
        <v>-0.0127</v>
      </c>
      <c r="CP166" s="32">
        <v>5.0</v>
      </c>
      <c r="CQ166" s="39">
        <v>0.0</v>
      </c>
      <c r="CR166" s="39">
        <v>0.0</v>
      </c>
      <c r="CS166" s="39">
        <v>-0.0127</v>
      </c>
      <c r="CT166" s="32">
        <v>5.0</v>
      </c>
      <c r="CU166" s="39">
        <v>-0.0192</v>
      </c>
      <c r="CV166" s="32">
        <v>7.0</v>
      </c>
      <c r="CW166" s="39">
        <v>-0.0063</v>
      </c>
      <c r="CX166" s="32">
        <v>7.0</v>
      </c>
      <c r="CY166" s="32" t="s">
        <v>6806</v>
      </c>
      <c r="CZ166" s="32">
        <v>100.0</v>
      </c>
      <c r="DA166" s="32" t="s">
        <v>3598</v>
      </c>
      <c r="DB166" s="39">
        <v>0.0</v>
      </c>
      <c r="DC166" s="32" t="s">
        <v>6806</v>
      </c>
      <c r="DD166" s="32">
        <v>100.0</v>
      </c>
      <c r="DE166" s="32" t="s">
        <v>6807</v>
      </c>
      <c r="DF166" s="32">
        <v>99.0</v>
      </c>
      <c r="DG166" s="32" t="s">
        <v>6808</v>
      </c>
      <c r="DH166" s="32">
        <v>100.0</v>
      </c>
      <c r="DI166" s="49">
        <v>48404.0</v>
      </c>
      <c r="DJ166" s="32">
        <v>-379.0</v>
      </c>
      <c r="DK166" s="39">
        <v>-0.0078</v>
      </c>
      <c r="DL166" s="49">
        <v>3349.0</v>
      </c>
      <c r="DM166" s="32">
        <v>-12.0</v>
      </c>
      <c r="DN166" s="39">
        <v>-0.0036</v>
      </c>
      <c r="DO166" s="32" t="s">
        <v>3600</v>
      </c>
      <c r="DP166" s="38" t="s">
        <v>6328</v>
      </c>
      <c r="DQ166" s="32">
        <v>2.0</v>
      </c>
      <c r="DR166" s="32">
        <v>2.0</v>
      </c>
      <c r="DS166" s="32">
        <v>1.0</v>
      </c>
      <c r="DT166" s="37"/>
      <c r="DU166" s="37"/>
      <c r="DV166" s="32">
        <v>1.0</v>
      </c>
      <c r="DW166" s="34"/>
      <c r="DX166" s="37"/>
      <c r="DY166" s="34"/>
      <c r="DZ166" s="37"/>
      <c r="EA166" s="37"/>
      <c r="EB166" s="34"/>
      <c r="EC166" s="37"/>
      <c r="ED166" s="37"/>
      <c r="EE166" s="32">
        <v>500.0</v>
      </c>
      <c r="EF166" s="38" t="s">
        <v>6805</v>
      </c>
      <c r="EG166" s="35" t="s">
        <v>4775</v>
      </c>
      <c r="EH166" s="37"/>
      <c r="EI166" s="37"/>
      <c r="EJ166" s="37"/>
      <c r="EK166" s="34"/>
      <c r="EL166" s="37"/>
      <c r="EM166" s="37"/>
      <c r="EN166" s="37"/>
      <c r="EO166" s="37"/>
      <c r="EP166" s="40" t="s">
        <v>3559</v>
      </c>
    </row>
    <row r="167">
      <c r="A167" s="41">
        <v>12.0</v>
      </c>
      <c r="B167" s="42" t="s">
        <v>6809</v>
      </c>
      <c r="C167" s="43"/>
      <c r="D167" s="43"/>
      <c r="E167" s="42" t="s">
        <v>6810</v>
      </c>
      <c r="F167" s="43"/>
      <c r="G167" s="42" t="s">
        <v>6811</v>
      </c>
      <c r="H167" s="42" t="s">
        <v>3563</v>
      </c>
      <c r="I167" s="42" t="s">
        <v>3564</v>
      </c>
      <c r="J167" s="42" t="s">
        <v>3565</v>
      </c>
      <c r="K167" s="42" t="s">
        <v>6812</v>
      </c>
      <c r="L167" s="43"/>
      <c r="M167" s="42" t="s">
        <v>6813</v>
      </c>
      <c r="N167" s="42" t="s">
        <v>5018</v>
      </c>
      <c r="O167" s="42" t="s">
        <v>6814</v>
      </c>
      <c r="P167" s="42"/>
      <c r="R167" s="42" t="s">
        <v>3571</v>
      </c>
      <c r="S167" s="42" t="s">
        <v>3572</v>
      </c>
      <c r="T167" s="42" t="s">
        <v>3573</v>
      </c>
      <c r="U167" s="44" t="s">
        <v>6815</v>
      </c>
      <c r="V167" s="44" t="s">
        <v>6816</v>
      </c>
      <c r="W167" s="45"/>
      <c r="X167" s="43"/>
      <c r="Y167" s="43"/>
      <c r="Z167" s="43"/>
      <c r="AA167" s="41">
        <v>2005.0</v>
      </c>
      <c r="AB167" s="43"/>
      <c r="AC167" s="43"/>
      <c r="AD167" s="43"/>
      <c r="AE167" s="45"/>
      <c r="AF167" s="45"/>
      <c r="AG167" s="45"/>
      <c r="AH167" s="45"/>
      <c r="AI167" s="45"/>
      <c r="AJ167" s="45"/>
      <c r="AK167" s="45"/>
      <c r="AL167" s="45"/>
      <c r="AM167" s="45"/>
      <c r="AN167" s="45"/>
      <c r="AO167" s="42" t="s">
        <v>6817</v>
      </c>
      <c r="AP167" s="42" t="s">
        <v>6818</v>
      </c>
      <c r="AQ167" s="42" t="s">
        <v>6819</v>
      </c>
      <c r="AR167" s="42" t="s">
        <v>6820</v>
      </c>
      <c r="AS167" s="43" t="str">
        <f>+972 (0)3 926 3200</f>
        <v>#ERROR!</v>
      </c>
      <c r="AT167" s="42" t="s">
        <v>3581</v>
      </c>
      <c r="AU167" s="42" t="s">
        <v>6821</v>
      </c>
      <c r="AV167" s="43"/>
      <c r="AW167" s="42" t="s">
        <v>75</v>
      </c>
      <c r="AX167" s="43"/>
      <c r="AY167" s="45"/>
      <c r="AZ167" s="42" t="s">
        <v>41</v>
      </c>
      <c r="BA167" s="45" t="str">
        <f>+972 (0)3 926 3200</f>
        <v>#ERROR!</v>
      </c>
      <c r="BB167" s="45"/>
      <c r="BC167" s="43"/>
      <c r="BD167" s="42" t="s">
        <v>3584</v>
      </c>
      <c r="BE167" s="42" t="s">
        <v>3584</v>
      </c>
      <c r="BF167" s="42" t="s">
        <v>6822</v>
      </c>
      <c r="BG167" s="43"/>
      <c r="BH167" s="45"/>
      <c r="BI167" s="43"/>
      <c r="BJ167" s="42" t="s">
        <v>6823</v>
      </c>
      <c r="BK167" s="43"/>
      <c r="BL167" s="43"/>
      <c r="BM167" s="42" t="s">
        <v>6824</v>
      </c>
      <c r="BN167" s="43"/>
      <c r="BO167" s="43"/>
      <c r="BP167" s="43"/>
      <c r="BQ167" s="46" t="s">
        <v>6825</v>
      </c>
      <c r="BR167" s="41">
        <v>12.0</v>
      </c>
      <c r="BS167" s="42" t="s">
        <v>3593</v>
      </c>
      <c r="BT167" s="45"/>
      <c r="BU167" s="43"/>
      <c r="BV167" s="42" t="s">
        <v>3594</v>
      </c>
      <c r="BW167" s="42" t="s">
        <v>3595</v>
      </c>
      <c r="BX167" s="43"/>
      <c r="BY167" s="42" t="s">
        <v>3573</v>
      </c>
      <c r="BZ167" s="43"/>
      <c r="CA167" s="42" t="s">
        <v>3591</v>
      </c>
      <c r="CB167" s="46" t="s">
        <v>5580</v>
      </c>
      <c r="CC167" s="45"/>
      <c r="CD167" s="43"/>
      <c r="CE167" s="45"/>
      <c r="CF167" s="43"/>
      <c r="CG167" s="42" t="s">
        <v>3830</v>
      </c>
      <c r="CH167" s="43"/>
      <c r="CI167" s="43"/>
      <c r="CJ167" s="42" t="s">
        <v>3590</v>
      </c>
      <c r="CK167" s="45"/>
      <c r="CL167" s="45"/>
      <c r="CM167" s="43"/>
      <c r="CN167" s="42" t="s">
        <v>3591</v>
      </c>
      <c r="CO167" s="45"/>
      <c r="CP167" s="45"/>
      <c r="CQ167" s="45"/>
      <c r="CR167" s="45"/>
      <c r="CS167" s="45"/>
      <c r="CT167" s="45"/>
      <c r="CU167" s="45"/>
      <c r="CV167" s="45"/>
      <c r="CW167" s="45"/>
      <c r="CX167" s="45"/>
      <c r="CY167" s="45"/>
      <c r="CZ167" s="45"/>
      <c r="DA167" s="45"/>
      <c r="DB167" s="45"/>
      <c r="DC167" s="45"/>
      <c r="DD167" s="45"/>
      <c r="DE167" s="45"/>
      <c r="DF167" s="45"/>
      <c r="DG167" s="45"/>
      <c r="DH167" s="45"/>
      <c r="DI167" s="45"/>
      <c r="DJ167" s="45"/>
      <c r="DK167" s="45"/>
      <c r="DL167" s="45"/>
      <c r="DM167" s="45"/>
      <c r="DN167" s="45"/>
      <c r="DO167" s="41" t="s">
        <v>3600</v>
      </c>
      <c r="DP167" s="46" t="s">
        <v>3808</v>
      </c>
      <c r="DQ167" s="45"/>
      <c r="DR167" s="45"/>
      <c r="DS167" s="45"/>
      <c r="DT167" s="45"/>
      <c r="DU167" s="45"/>
      <c r="DV167" s="45"/>
      <c r="DW167" s="43"/>
      <c r="DX167" s="45"/>
      <c r="DY167" s="43"/>
      <c r="DZ167" s="45"/>
      <c r="EA167" s="45"/>
      <c r="EB167" s="43"/>
      <c r="EC167" s="45"/>
      <c r="ED167" s="45"/>
      <c r="EE167" s="45"/>
      <c r="EF167" s="45"/>
      <c r="EG167" s="43"/>
      <c r="EH167" s="45"/>
      <c r="EI167" s="45"/>
      <c r="EJ167" s="45"/>
      <c r="EK167" s="43"/>
      <c r="EL167" s="45"/>
      <c r="EM167" s="45"/>
      <c r="EN167" s="45"/>
      <c r="EO167" s="45"/>
      <c r="EP167" s="48" t="s">
        <v>3559</v>
      </c>
    </row>
    <row r="168">
      <c r="A168" s="37"/>
      <c r="B168" s="35" t="s">
        <v>6826</v>
      </c>
      <c r="C168" s="34"/>
      <c r="D168" s="34"/>
      <c r="E168" s="34"/>
      <c r="F168" s="34"/>
      <c r="G168" s="35" t="s">
        <v>6827</v>
      </c>
      <c r="H168" s="35" t="s">
        <v>4560</v>
      </c>
      <c r="I168" s="35" t="s">
        <v>4561</v>
      </c>
      <c r="J168" s="35" t="s">
        <v>66</v>
      </c>
      <c r="K168" s="35" t="s">
        <v>4562</v>
      </c>
      <c r="L168" s="34"/>
      <c r="M168" s="34"/>
      <c r="N168" s="35" t="s">
        <v>4923</v>
      </c>
      <c r="O168" s="35" t="s">
        <v>6828</v>
      </c>
      <c r="P168" s="35"/>
      <c r="R168" s="34"/>
      <c r="S168" s="35" t="s">
        <v>4925</v>
      </c>
      <c r="T168" s="35" t="s">
        <v>4926</v>
      </c>
      <c r="U168" s="36" t="s">
        <v>6829</v>
      </c>
      <c r="V168" s="36" t="s">
        <v>6830</v>
      </c>
      <c r="W168" s="37"/>
      <c r="X168" s="34"/>
      <c r="Y168" s="34"/>
      <c r="Z168" s="34"/>
      <c r="AA168" s="32">
        <v>2021.0</v>
      </c>
      <c r="AB168" s="34"/>
      <c r="AC168" s="34"/>
      <c r="AD168" s="34"/>
      <c r="AE168" s="37"/>
      <c r="AF168" s="37"/>
      <c r="AG168" s="37"/>
      <c r="AH168" s="37"/>
      <c r="AI168" s="37"/>
      <c r="AJ168" s="37"/>
      <c r="AK168" s="37"/>
      <c r="AL168" s="37"/>
      <c r="AM168" s="37"/>
      <c r="AN168" s="37"/>
      <c r="AO168" s="34"/>
      <c r="AP168" s="34"/>
      <c r="AQ168" s="34"/>
      <c r="AR168" s="34"/>
      <c r="AS168" s="34"/>
      <c r="AT168" s="35" t="s">
        <v>3718</v>
      </c>
      <c r="AU168" s="35" t="s">
        <v>6831</v>
      </c>
      <c r="AV168" s="34"/>
      <c r="AW168" s="35" t="s">
        <v>552</v>
      </c>
      <c r="AX168" s="34"/>
      <c r="AY168" s="37"/>
      <c r="AZ168" s="35" t="s">
        <v>41</v>
      </c>
      <c r="BA168" s="37"/>
      <c r="BB168" s="37"/>
      <c r="BC168" s="34"/>
      <c r="BD168" s="35" t="s">
        <v>3584</v>
      </c>
      <c r="BE168" s="35" t="s">
        <v>3584</v>
      </c>
      <c r="BF168" s="34"/>
      <c r="BG168" s="34"/>
      <c r="BH168" s="37"/>
      <c r="BI168" s="34"/>
      <c r="BJ168" s="34"/>
      <c r="BK168" s="34"/>
      <c r="BL168" s="34"/>
      <c r="BM168" s="34"/>
      <c r="BN168" s="34"/>
      <c r="BO168" s="34"/>
      <c r="BP168" s="34"/>
      <c r="BQ168" s="37"/>
      <c r="BR168" s="37"/>
      <c r="BS168" s="34"/>
      <c r="BT168" s="37"/>
      <c r="BU168" s="34"/>
      <c r="BV168" s="34"/>
      <c r="BW168" s="34"/>
      <c r="BX168" s="34"/>
      <c r="BY168" s="34"/>
      <c r="BZ168" s="34"/>
      <c r="CA168" s="34"/>
      <c r="CB168" s="37"/>
      <c r="CC168" s="37"/>
      <c r="CD168" s="34"/>
      <c r="CE168" s="37"/>
      <c r="CF168" s="34"/>
      <c r="CG168" s="34"/>
      <c r="CH168" s="34"/>
      <c r="CI168" s="34"/>
      <c r="CJ168" s="34"/>
      <c r="CK168" s="37"/>
      <c r="CL168" s="37"/>
      <c r="CM168" s="34"/>
      <c r="CN168" s="34"/>
      <c r="CO168" s="39">
        <v>0.0443</v>
      </c>
      <c r="CP168" s="32">
        <v>100.0</v>
      </c>
      <c r="CQ168" s="39">
        <v>0.0</v>
      </c>
      <c r="CR168" s="39">
        <v>0.0</v>
      </c>
      <c r="CS168" s="39">
        <v>0.0443</v>
      </c>
      <c r="CT168" s="32">
        <v>100.0</v>
      </c>
      <c r="CU168" s="39">
        <v>0.0886</v>
      </c>
      <c r="CV168" s="32">
        <v>100.0</v>
      </c>
      <c r="CW168" s="39">
        <v>0.0</v>
      </c>
      <c r="CX168" s="32">
        <v>12.0</v>
      </c>
      <c r="CY168" s="32" t="s">
        <v>6832</v>
      </c>
      <c r="CZ168" s="32">
        <v>92.0</v>
      </c>
      <c r="DA168" s="32" t="s">
        <v>3598</v>
      </c>
      <c r="DB168" s="39">
        <v>0.0</v>
      </c>
      <c r="DC168" s="32" t="s">
        <v>6832</v>
      </c>
      <c r="DD168" s="32">
        <v>92.0</v>
      </c>
      <c r="DE168" s="32" t="s">
        <v>6833</v>
      </c>
      <c r="DF168" s="32">
        <v>90.0</v>
      </c>
      <c r="DG168" s="32" t="s">
        <v>4932</v>
      </c>
      <c r="DH168" s="32">
        <v>63.0</v>
      </c>
      <c r="DI168" s="49">
        <v>2453.0</v>
      </c>
      <c r="DJ168" s="32">
        <v>75.0</v>
      </c>
      <c r="DK168" s="39">
        <v>0.0315</v>
      </c>
      <c r="DL168" s="32">
        <v>35.0</v>
      </c>
      <c r="DM168" s="32">
        <v>1.0</v>
      </c>
      <c r="DN168" s="39">
        <v>0.0294</v>
      </c>
      <c r="DO168" s="32" t="s">
        <v>5066</v>
      </c>
      <c r="DP168" s="38" t="s">
        <v>5404</v>
      </c>
      <c r="DQ168" s="37"/>
      <c r="DR168" s="37"/>
      <c r="DS168" s="37"/>
      <c r="DT168" s="37"/>
      <c r="DU168" s="37"/>
      <c r="DV168" s="37"/>
      <c r="DW168" s="34"/>
      <c r="DX168" s="37"/>
      <c r="DY168" s="34"/>
      <c r="DZ168" s="37"/>
      <c r="EA168" s="37"/>
      <c r="EB168" s="34"/>
      <c r="EC168" s="37"/>
      <c r="ED168" s="37"/>
      <c r="EE168" s="37"/>
      <c r="EF168" s="37"/>
      <c r="EG168" s="34"/>
      <c r="EH168" s="37"/>
      <c r="EI168" s="37"/>
      <c r="EJ168" s="37"/>
      <c r="EK168" s="34"/>
      <c r="EL168" s="37"/>
      <c r="EM168" s="37"/>
      <c r="EN168" s="37"/>
      <c r="EO168" s="37"/>
      <c r="EP168" s="40" t="s">
        <v>3559</v>
      </c>
    </row>
    <row r="169">
      <c r="A169" s="41">
        <v>0.1</v>
      </c>
      <c r="B169" s="42" t="s">
        <v>6834</v>
      </c>
      <c r="C169" s="43"/>
      <c r="D169" s="42" t="s">
        <v>6835</v>
      </c>
      <c r="E169" s="42" t="s">
        <v>6836</v>
      </c>
      <c r="F169" s="43"/>
      <c r="G169" s="42" t="s">
        <v>6837</v>
      </c>
      <c r="H169" s="42" t="s">
        <v>3563</v>
      </c>
      <c r="I169" s="42" t="s">
        <v>3564</v>
      </c>
      <c r="J169" s="42" t="s">
        <v>5478</v>
      </c>
      <c r="K169" s="42" t="s">
        <v>5479</v>
      </c>
      <c r="L169" s="43"/>
      <c r="M169" s="42" t="s">
        <v>6838</v>
      </c>
      <c r="N169" s="42" t="s">
        <v>4962</v>
      </c>
      <c r="O169" s="42" t="s">
        <v>6839</v>
      </c>
      <c r="P169" s="42"/>
      <c r="R169" s="42" t="s">
        <v>5222</v>
      </c>
      <c r="S169" s="42" t="s">
        <v>5222</v>
      </c>
      <c r="T169" s="42" t="s">
        <v>3603</v>
      </c>
      <c r="U169" s="44" t="s">
        <v>6840</v>
      </c>
      <c r="V169" s="43"/>
      <c r="W169" s="45"/>
      <c r="X169" s="43"/>
      <c r="Y169" s="43"/>
      <c r="Z169" s="43"/>
      <c r="AA169" s="41">
        <v>2014.0</v>
      </c>
      <c r="AB169" s="43"/>
      <c r="AC169" s="43"/>
      <c r="AD169" s="43"/>
      <c r="AE169" s="45"/>
      <c r="AF169" s="45"/>
      <c r="AG169" s="45"/>
      <c r="AH169" s="45"/>
      <c r="AI169" s="45"/>
      <c r="AJ169" s="45"/>
      <c r="AK169" s="45"/>
      <c r="AL169" s="45"/>
      <c r="AM169" s="45"/>
      <c r="AN169" s="45"/>
      <c r="AO169" s="43"/>
      <c r="AP169" s="43"/>
      <c r="AQ169" s="43"/>
      <c r="AR169" s="43"/>
      <c r="AS169" s="43"/>
      <c r="AT169" s="42" t="s">
        <v>3581</v>
      </c>
      <c r="AU169" s="42" t="s">
        <v>6841</v>
      </c>
      <c r="AV169" s="43"/>
      <c r="AW169" s="42" t="s">
        <v>75</v>
      </c>
      <c r="AX169" s="43"/>
      <c r="AY169" s="45"/>
      <c r="AZ169" s="42" t="s">
        <v>41</v>
      </c>
      <c r="BA169" s="45"/>
      <c r="BB169" s="45"/>
      <c r="BC169" s="43"/>
      <c r="BD169" s="42" t="s">
        <v>3584</v>
      </c>
      <c r="BE169" s="42" t="s">
        <v>3584</v>
      </c>
      <c r="BF169" s="42" t="s">
        <v>5318</v>
      </c>
      <c r="BG169" s="43"/>
      <c r="BH169" s="45"/>
      <c r="BI169" s="43"/>
      <c r="BJ169" s="42" t="s">
        <v>6842</v>
      </c>
      <c r="BK169" s="43"/>
      <c r="BL169" s="43"/>
      <c r="BM169" s="43"/>
      <c r="BN169" s="43"/>
      <c r="BO169" s="43"/>
      <c r="BP169" s="43"/>
      <c r="BQ169" s="45"/>
      <c r="BR169" s="41">
        <v>0.1</v>
      </c>
      <c r="BS169" s="42" t="s">
        <v>3593</v>
      </c>
      <c r="BT169" s="45"/>
      <c r="BU169" s="43"/>
      <c r="BV169" s="42" t="s">
        <v>3663</v>
      </c>
      <c r="BW169" s="42" t="s">
        <v>3663</v>
      </c>
      <c r="BX169" s="43"/>
      <c r="BY169" s="42" t="s">
        <v>3663</v>
      </c>
      <c r="BZ169" s="43"/>
      <c r="CA169" s="42" t="s">
        <v>3591</v>
      </c>
      <c r="CB169" s="46" t="s">
        <v>5321</v>
      </c>
      <c r="CC169" s="45"/>
      <c r="CD169" s="43"/>
      <c r="CE169" s="45"/>
      <c r="CF169" s="43"/>
      <c r="CG169" s="42" t="s">
        <v>5222</v>
      </c>
      <c r="CH169" s="43"/>
      <c r="CI169" s="43"/>
      <c r="CJ169" s="42" t="s">
        <v>5222</v>
      </c>
      <c r="CK169" s="45"/>
      <c r="CL169" s="45"/>
      <c r="CM169" s="43"/>
      <c r="CN169" s="42" t="s">
        <v>3591</v>
      </c>
      <c r="CO169" s="45"/>
      <c r="CP169" s="45"/>
      <c r="CQ169" s="45"/>
      <c r="CR169" s="45"/>
      <c r="CS169" s="45"/>
      <c r="CT169" s="45"/>
      <c r="CU169" s="45"/>
      <c r="CV169" s="45"/>
      <c r="CW169" s="45"/>
      <c r="CX169" s="45"/>
      <c r="CY169" s="45"/>
      <c r="CZ169" s="45"/>
      <c r="DA169" s="45"/>
      <c r="DB169" s="45"/>
      <c r="DC169" s="45"/>
      <c r="DD169" s="45"/>
      <c r="DE169" s="45"/>
      <c r="DF169" s="45"/>
      <c r="DG169" s="45"/>
      <c r="DH169" s="45"/>
      <c r="DI169" s="45"/>
      <c r="DJ169" s="45"/>
      <c r="DK169" s="45"/>
      <c r="DL169" s="45"/>
      <c r="DM169" s="45"/>
      <c r="DN169" s="45"/>
      <c r="DO169" s="41" t="s">
        <v>3600</v>
      </c>
      <c r="DP169" s="46" t="s">
        <v>3699</v>
      </c>
      <c r="DQ169" s="45"/>
      <c r="DR169" s="45"/>
      <c r="DS169" s="45"/>
      <c r="DT169" s="45"/>
      <c r="DU169" s="45"/>
      <c r="DV169" s="45"/>
      <c r="DW169" s="43"/>
      <c r="DX169" s="45"/>
      <c r="DY169" s="43"/>
      <c r="DZ169" s="45"/>
      <c r="EA169" s="45"/>
      <c r="EB169" s="43"/>
      <c r="EC169" s="45"/>
      <c r="ED169" s="45"/>
      <c r="EE169" s="45"/>
      <c r="EF169" s="45"/>
      <c r="EG169" s="43"/>
      <c r="EH169" s="45"/>
      <c r="EI169" s="45"/>
      <c r="EJ169" s="45"/>
      <c r="EK169" s="43"/>
      <c r="EL169" s="45"/>
      <c r="EM169" s="45"/>
      <c r="EN169" s="45"/>
      <c r="EO169" s="45"/>
      <c r="EP169" s="48" t="s">
        <v>3559</v>
      </c>
    </row>
    <row r="170">
      <c r="A170" s="32">
        <v>0.15</v>
      </c>
      <c r="B170" s="35" t="s">
        <v>6843</v>
      </c>
      <c r="C170" s="34"/>
      <c r="D170" s="34"/>
      <c r="E170" s="35" t="s">
        <v>6844</v>
      </c>
      <c r="F170" s="34"/>
      <c r="G170" s="35" t="s">
        <v>6845</v>
      </c>
      <c r="H170" s="35" t="s">
        <v>3563</v>
      </c>
      <c r="I170" s="35" t="s">
        <v>3564</v>
      </c>
      <c r="J170" s="35" t="s">
        <v>3565</v>
      </c>
      <c r="K170" s="35" t="s">
        <v>3566</v>
      </c>
      <c r="L170" s="35" t="s">
        <v>6846</v>
      </c>
      <c r="M170" s="35" t="s">
        <v>6847</v>
      </c>
      <c r="N170" s="35" t="s">
        <v>5145</v>
      </c>
      <c r="O170" s="35" t="s">
        <v>6848</v>
      </c>
      <c r="P170" s="35"/>
      <c r="R170" s="35" t="s">
        <v>3571</v>
      </c>
      <c r="S170" s="35" t="s">
        <v>3572</v>
      </c>
      <c r="T170" s="35" t="s">
        <v>5147</v>
      </c>
      <c r="U170" s="36" t="s">
        <v>6849</v>
      </c>
      <c r="V170" s="36" t="s">
        <v>6850</v>
      </c>
      <c r="W170" s="32">
        <v>15.0</v>
      </c>
      <c r="X170" s="35" t="s">
        <v>6851</v>
      </c>
      <c r="Y170" s="34"/>
      <c r="Z170" s="34"/>
      <c r="AA170" s="32">
        <v>2019.0</v>
      </c>
      <c r="AB170" s="34"/>
      <c r="AC170" s="34"/>
      <c r="AD170" s="34"/>
      <c r="AE170" s="37"/>
      <c r="AF170" s="37"/>
      <c r="AG170" s="37"/>
      <c r="AH170" s="37"/>
      <c r="AI170" s="37"/>
      <c r="AJ170" s="37"/>
      <c r="AK170" s="37"/>
      <c r="AL170" s="37"/>
      <c r="AM170" s="37"/>
      <c r="AN170" s="37"/>
      <c r="AO170" s="35" t="s">
        <v>6852</v>
      </c>
      <c r="AP170" s="35" t="s">
        <v>6853</v>
      </c>
      <c r="AQ170" s="35" t="s">
        <v>3579</v>
      </c>
      <c r="AR170" s="35" t="s">
        <v>6854</v>
      </c>
      <c r="AS170" s="34" t="str">
        <f>+972 (0)72 397 4190</f>
        <v>#ERROR!</v>
      </c>
      <c r="AT170" s="35" t="s">
        <v>3581</v>
      </c>
      <c r="AU170" s="35" t="s">
        <v>6855</v>
      </c>
      <c r="AV170" s="34"/>
      <c r="AW170" s="35" t="s">
        <v>75</v>
      </c>
      <c r="AX170" s="34"/>
      <c r="AY170" s="37"/>
      <c r="AZ170" s="35" t="s">
        <v>41</v>
      </c>
      <c r="BA170" s="37" t="str">
        <f>+972 (0)72 397 4190</f>
        <v>#ERROR!</v>
      </c>
      <c r="BB170" s="37"/>
      <c r="BC170" s="35" t="s">
        <v>6856</v>
      </c>
      <c r="BD170" s="35" t="s">
        <v>3584</v>
      </c>
      <c r="BE170" s="35" t="s">
        <v>3584</v>
      </c>
      <c r="BF170" s="35" t="s">
        <v>6857</v>
      </c>
      <c r="BG170" s="35" t="s">
        <v>6858</v>
      </c>
      <c r="BH170" s="32">
        <v>7.0</v>
      </c>
      <c r="BI170" s="34"/>
      <c r="BJ170" s="34"/>
      <c r="BK170" s="34"/>
      <c r="BL170" s="35" t="s">
        <v>6859</v>
      </c>
      <c r="BM170" s="34"/>
      <c r="BN170" s="34"/>
      <c r="BO170" s="34"/>
      <c r="BP170" s="35" t="s">
        <v>6860</v>
      </c>
      <c r="BQ170" s="37"/>
      <c r="BR170" s="37"/>
      <c r="BS170" s="34"/>
      <c r="BT170" s="37"/>
      <c r="BU170" s="34"/>
      <c r="BV170" s="35" t="s">
        <v>5462</v>
      </c>
      <c r="BW170" s="34"/>
      <c r="BX170" s="34"/>
      <c r="BY170" s="35" t="s">
        <v>3803</v>
      </c>
      <c r="BZ170" s="34"/>
      <c r="CA170" s="35" t="s">
        <v>3966</v>
      </c>
      <c r="CB170" s="38" t="s">
        <v>6861</v>
      </c>
      <c r="CC170" s="32">
        <v>0.15</v>
      </c>
      <c r="CD170" s="35" t="s">
        <v>3593</v>
      </c>
      <c r="CE170" s="37"/>
      <c r="CF170" s="34"/>
      <c r="CG170" s="35" t="s">
        <v>3802</v>
      </c>
      <c r="CH170" s="35" t="s">
        <v>3802</v>
      </c>
      <c r="CI170" s="34"/>
      <c r="CJ170" s="35" t="s">
        <v>3803</v>
      </c>
      <c r="CK170" s="37"/>
      <c r="CL170" s="37"/>
      <c r="CM170" s="34"/>
      <c r="CN170" s="35" t="s">
        <v>3591</v>
      </c>
      <c r="CO170" s="39">
        <v>0.0</v>
      </c>
      <c r="CP170" s="32">
        <v>14.0</v>
      </c>
      <c r="CQ170" s="39">
        <v>0.0</v>
      </c>
      <c r="CR170" s="39">
        <v>0.0</v>
      </c>
      <c r="CS170" s="39">
        <v>0.0</v>
      </c>
      <c r="CT170" s="32">
        <v>12.0</v>
      </c>
      <c r="CU170" s="37"/>
      <c r="CV170" s="37"/>
      <c r="CW170" s="39">
        <v>0.0</v>
      </c>
      <c r="CX170" s="32">
        <v>12.0</v>
      </c>
      <c r="CY170" s="32" t="s">
        <v>5856</v>
      </c>
      <c r="CZ170" s="32">
        <v>3.0</v>
      </c>
      <c r="DA170" s="32" t="s">
        <v>3598</v>
      </c>
      <c r="DB170" s="39">
        <v>0.0</v>
      </c>
      <c r="DC170" s="32" t="s">
        <v>5856</v>
      </c>
      <c r="DD170" s="32">
        <v>3.0</v>
      </c>
      <c r="DE170" s="37"/>
      <c r="DF170" s="37"/>
      <c r="DG170" s="32" t="s">
        <v>5856</v>
      </c>
      <c r="DH170" s="32">
        <v>3.0</v>
      </c>
      <c r="DI170" s="37"/>
      <c r="DJ170" s="37"/>
      <c r="DK170" s="37"/>
      <c r="DL170" s="32">
        <v>3.0</v>
      </c>
      <c r="DM170" s="32">
        <v>0.0</v>
      </c>
      <c r="DN170" s="39">
        <v>0.0</v>
      </c>
      <c r="DO170" s="32" t="s">
        <v>3600</v>
      </c>
      <c r="DP170" s="38" t="s">
        <v>6753</v>
      </c>
      <c r="DQ170" s="37"/>
      <c r="DR170" s="37"/>
      <c r="DS170" s="37"/>
      <c r="DT170" s="37"/>
      <c r="DU170" s="37"/>
      <c r="DV170" s="37"/>
      <c r="DW170" s="34"/>
      <c r="DX170" s="37"/>
      <c r="DY170" s="34"/>
      <c r="DZ170" s="37"/>
      <c r="EA170" s="37"/>
      <c r="EB170" s="34"/>
      <c r="EC170" s="37"/>
      <c r="ED170" s="37"/>
      <c r="EE170" s="32">
        <v>18.32</v>
      </c>
      <c r="EF170" s="38" t="s">
        <v>6861</v>
      </c>
      <c r="EG170" s="35" t="s">
        <v>4532</v>
      </c>
      <c r="EH170" s="37"/>
      <c r="EI170" s="37"/>
      <c r="EJ170" s="37"/>
      <c r="EK170" s="34"/>
      <c r="EL170" s="37"/>
      <c r="EM170" s="37"/>
      <c r="EN170" s="37"/>
      <c r="EO170" s="37"/>
      <c r="EP170" s="40" t="s">
        <v>3559</v>
      </c>
    </row>
    <row r="171">
      <c r="A171" s="45"/>
      <c r="B171" s="42" t="s">
        <v>6862</v>
      </c>
      <c r="C171" s="43"/>
      <c r="D171" s="43"/>
      <c r="E171" s="42" t="s">
        <v>6863</v>
      </c>
      <c r="F171" s="43"/>
      <c r="G171" s="42" t="s">
        <v>6864</v>
      </c>
      <c r="H171" s="42" t="s">
        <v>3867</v>
      </c>
      <c r="I171" s="42" t="s">
        <v>4199</v>
      </c>
      <c r="J171" s="42" t="s">
        <v>5911</v>
      </c>
      <c r="K171" s="42" t="s">
        <v>6865</v>
      </c>
      <c r="L171" s="42" t="s">
        <v>5736</v>
      </c>
      <c r="M171" s="42" t="s">
        <v>6866</v>
      </c>
      <c r="N171" s="42" t="s">
        <v>5075</v>
      </c>
      <c r="O171" s="42" t="s">
        <v>6867</v>
      </c>
      <c r="P171" s="42"/>
      <c r="R171" s="42" t="s">
        <v>3571</v>
      </c>
      <c r="S171" s="42" t="s">
        <v>5020</v>
      </c>
      <c r="T171" s="42" t="s">
        <v>4989</v>
      </c>
      <c r="U171" s="44" t="s">
        <v>6868</v>
      </c>
      <c r="V171" s="44" t="s">
        <v>6869</v>
      </c>
      <c r="W171" s="45"/>
      <c r="X171" s="43"/>
      <c r="Y171" s="43"/>
      <c r="Z171" s="43"/>
      <c r="AA171" s="41">
        <v>1991.0</v>
      </c>
      <c r="AB171" s="43"/>
      <c r="AC171" s="43"/>
      <c r="AD171" s="43"/>
      <c r="AE171" s="45"/>
      <c r="AF171" s="45"/>
      <c r="AG171" s="45"/>
      <c r="AH171" s="45"/>
      <c r="AI171" s="45"/>
      <c r="AJ171" s="45"/>
      <c r="AK171" s="45"/>
      <c r="AL171" s="45"/>
      <c r="AM171" s="45"/>
      <c r="AN171" s="45"/>
      <c r="AO171" s="42" t="s">
        <v>6870</v>
      </c>
      <c r="AP171" s="42" t="s">
        <v>6871</v>
      </c>
      <c r="AQ171" s="42" t="s">
        <v>4717</v>
      </c>
      <c r="AR171" s="42" t="s">
        <v>6872</v>
      </c>
      <c r="AS171" s="43" t="str">
        <f>+972 (0)3 903 3350</f>
        <v>#ERROR!</v>
      </c>
      <c r="AT171" s="42" t="s">
        <v>3581</v>
      </c>
      <c r="AU171" s="42" t="s">
        <v>6873</v>
      </c>
      <c r="AV171" s="42" t="s">
        <v>6874</v>
      </c>
      <c r="AW171" s="42" t="s">
        <v>75</v>
      </c>
      <c r="AX171" s="43"/>
      <c r="AY171" s="45"/>
      <c r="AZ171" s="42" t="s">
        <v>41</v>
      </c>
      <c r="BA171" s="45" t="str">
        <f>+972 (0)3 791 8888</f>
        <v>#ERROR!</v>
      </c>
      <c r="BB171" s="45"/>
      <c r="BC171" s="42" t="s">
        <v>6875</v>
      </c>
      <c r="BD171" s="42" t="s">
        <v>3584</v>
      </c>
      <c r="BE171" s="42" t="s">
        <v>3584</v>
      </c>
      <c r="BF171" s="42" t="s">
        <v>6876</v>
      </c>
      <c r="BG171" s="43"/>
      <c r="BH171" s="45"/>
      <c r="BI171" s="43"/>
      <c r="BJ171" s="42" t="s">
        <v>6877</v>
      </c>
      <c r="BK171" s="43"/>
      <c r="BL171" s="43"/>
      <c r="BM171" s="42" t="s">
        <v>6878</v>
      </c>
      <c r="BN171" s="43"/>
      <c r="BO171" s="43"/>
      <c r="BP171" s="43"/>
      <c r="BQ171" s="46" t="s">
        <v>3965</v>
      </c>
      <c r="BR171" s="45"/>
      <c r="BS171" s="43"/>
      <c r="BT171" s="45"/>
      <c r="BU171" s="43"/>
      <c r="BV171" s="42" t="s">
        <v>5005</v>
      </c>
      <c r="BW171" s="43"/>
      <c r="BX171" s="43"/>
      <c r="BY171" s="42" t="s">
        <v>4989</v>
      </c>
      <c r="BZ171" s="43"/>
      <c r="CA171" s="42" t="s">
        <v>3591</v>
      </c>
      <c r="CB171" s="46" t="s">
        <v>3634</v>
      </c>
      <c r="CC171" s="45"/>
      <c r="CD171" s="43"/>
      <c r="CE171" s="45"/>
      <c r="CF171" s="43"/>
      <c r="CG171" s="42" t="s">
        <v>4977</v>
      </c>
      <c r="CH171" s="43"/>
      <c r="CI171" s="43"/>
      <c r="CJ171" s="42" t="s">
        <v>3590</v>
      </c>
      <c r="CK171" s="45"/>
      <c r="CL171" s="45"/>
      <c r="CM171" s="43"/>
      <c r="CN171" s="42" t="s">
        <v>3591</v>
      </c>
      <c r="CO171" s="45"/>
      <c r="CP171" s="45"/>
      <c r="CQ171" s="45"/>
      <c r="CR171" s="45"/>
      <c r="CS171" s="45"/>
      <c r="CT171" s="45"/>
      <c r="CU171" s="45"/>
      <c r="CV171" s="45"/>
      <c r="CW171" s="45"/>
      <c r="CX171" s="45"/>
      <c r="CY171" s="45"/>
      <c r="CZ171" s="45"/>
      <c r="DA171" s="45"/>
      <c r="DB171" s="45"/>
      <c r="DC171" s="45"/>
      <c r="DD171" s="45"/>
      <c r="DE171" s="45"/>
      <c r="DF171" s="45"/>
      <c r="DG171" s="45"/>
      <c r="DH171" s="45"/>
      <c r="DI171" s="45"/>
      <c r="DJ171" s="45"/>
      <c r="DK171" s="45"/>
      <c r="DL171" s="45"/>
      <c r="DM171" s="45"/>
      <c r="DN171" s="45"/>
      <c r="DO171" s="41" t="s">
        <v>3600</v>
      </c>
      <c r="DP171" s="46" t="s">
        <v>6879</v>
      </c>
      <c r="DQ171" s="45"/>
      <c r="DR171" s="45"/>
      <c r="DS171" s="45"/>
      <c r="DT171" s="45"/>
      <c r="DU171" s="45"/>
      <c r="DV171" s="45"/>
      <c r="DW171" s="43"/>
      <c r="DX171" s="45"/>
      <c r="DY171" s="43"/>
      <c r="DZ171" s="45"/>
      <c r="EA171" s="45"/>
      <c r="EB171" s="43"/>
      <c r="EC171" s="45"/>
      <c r="ED171" s="45"/>
      <c r="EE171" s="45"/>
      <c r="EF171" s="45"/>
      <c r="EG171" s="43"/>
      <c r="EH171" s="45"/>
      <c r="EI171" s="45"/>
      <c r="EJ171" s="45"/>
      <c r="EK171" s="43"/>
      <c r="EL171" s="45"/>
      <c r="EM171" s="45"/>
      <c r="EN171" s="45"/>
      <c r="EO171" s="45"/>
      <c r="EP171" s="48" t="s">
        <v>3559</v>
      </c>
    </row>
    <row r="172">
      <c r="A172" s="37"/>
      <c r="B172" s="35" t="s">
        <v>6880</v>
      </c>
      <c r="C172" s="34"/>
      <c r="D172" s="34"/>
      <c r="E172" s="35" t="s">
        <v>6881</v>
      </c>
      <c r="F172" s="34"/>
      <c r="G172" s="35" t="s">
        <v>6882</v>
      </c>
      <c r="H172" s="35" t="s">
        <v>4560</v>
      </c>
      <c r="I172" s="35" t="s">
        <v>4561</v>
      </c>
      <c r="J172" s="35" t="s">
        <v>66</v>
      </c>
      <c r="K172" s="35" t="s">
        <v>4562</v>
      </c>
      <c r="L172" s="34"/>
      <c r="M172" s="35" t="s">
        <v>6883</v>
      </c>
      <c r="N172" s="35" t="s">
        <v>4962</v>
      </c>
      <c r="O172" s="35" t="s">
        <v>6884</v>
      </c>
      <c r="P172" s="35"/>
      <c r="R172" s="35" t="s">
        <v>5412</v>
      </c>
      <c r="S172" s="35" t="s">
        <v>5236</v>
      </c>
      <c r="T172" s="35" t="s">
        <v>6132</v>
      </c>
      <c r="U172" s="36" t="s">
        <v>6885</v>
      </c>
      <c r="V172" s="36" t="s">
        <v>6886</v>
      </c>
      <c r="W172" s="32">
        <v>72.0</v>
      </c>
      <c r="X172" s="35" t="s">
        <v>6887</v>
      </c>
      <c r="Y172" s="35" t="s">
        <v>5417</v>
      </c>
      <c r="Z172" s="35" t="s">
        <v>6888</v>
      </c>
      <c r="AA172" s="32">
        <v>2000.0</v>
      </c>
      <c r="AB172" s="35" t="s">
        <v>6889</v>
      </c>
      <c r="AC172" s="34"/>
      <c r="AD172" s="34"/>
      <c r="AE172" s="32">
        <v>103.79</v>
      </c>
      <c r="AF172" s="32">
        <v>14.85</v>
      </c>
      <c r="AG172" s="32">
        <v>-1.91</v>
      </c>
      <c r="AH172" s="32">
        <v>71.34</v>
      </c>
      <c r="AI172" s="32">
        <v>7.42</v>
      </c>
      <c r="AJ172" s="32">
        <v>4.42</v>
      </c>
      <c r="AK172" s="32">
        <v>3.47</v>
      </c>
      <c r="AL172" s="32">
        <v>97.68</v>
      </c>
      <c r="AM172" s="39">
        <v>-0.1156</v>
      </c>
      <c r="AN172" s="32" t="s">
        <v>5419</v>
      </c>
      <c r="AO172" s="35" t="s">
        <v>6890</v>
      </c>
      <c r="AP172" s="35" t="s">
        <v>6891</v>
      </c>
      <c r="AQ172" s="35" t="s">
        <v>6892</v>
      </c>
      <c r="AR172" s="35" t="s">
        <v>6893</v>
      </c>
      <c r="AS172" s="34" t="str">
        <f>+972 (0)73 232 4971</f>
        <v>#ERROR!</v>
      </c>
      <c r="AT172" s="35" t="s">
        <v>4973</v>
      </c>
      <c r="AU172" s="35" t="s">
        <v>6894</v>
      </c>
      <c r="AV172" s="34"/>
      <c r="AW172" s="35" t="s">
        <v>4975</v>
      </c>
      <c r="AX172" s="34"/>
      <c r="AY172" s="37"/>
      <c r="AZ172" s="35" t="s">
        <v>41</v>
      </c>
      <c r="BA172" s="37" t="str">
        <f>+972 (0)73 232 4971</f>
        <v>#ERROR!</v>
      </c>
      <c r="BB172" s="37"/>
      <c r="BC172" s="35" t="s">
        <v>6895</v>
      </c>
      <c r="BD172" s="35" t="s">
        <v>3584</v>
      </c>
      <c r="BE172" s="35" t="s">
        <v>3584</v>
      </c>
      <c r="BF172" s="35" t="s">
        <v>6896</v>
      </c>
      <c r="BG172" s="34"/>
      <c r="BH172" s="37"/>
      <c r="BI172" s="35" t="s">
        <v>6889</v>
      </c>
      <c r="BJ172" s="35" t="s">
        <v>6897</v>
      </c>
      <c r="BK172" s="34"/>
      <c r="BL172" s="34"/>
      <c r="BM172" s="35" t="s">
        <v>6898</v>
      </c>
      <c r="BN172" s="34"/>
      <c r="BO172" s="34"/>
      <c r="BP172" s="34"/>
      <c r="BQ172" s="38" t="s">
        <v>6899</v>
      </c>
      <c r="BR172" s="37"/>
      <c r="BS172" s="34"/>
      <c r="BT172" s="37"/>
      <c r="BU172" s="34"/>
      <c r="BV172" s="35" t="s">
        <v>4775</v>
      </c>
      <c r="BW172" s="34"/>
      <c r="BX172" s="34"/>
      <c r="BY172" s="35" t="s">
        <v>3663</v>
      </c>
      <c r="BZ172" s="34"/>
      <c r="CA172" s="35" t="s">
        <v>3591</v>
      </c>
      <c r="CB172" s="38" t="s">
        <v>6900</v>
      </c>
      <c r="CC172" s="37"/>
      <c r="CD172" s="34"/>
      <c r="CE172" s="37"/>
      <c r="CF172" s="34"/>
      <c r="CG172" s="35" t="s">
        <v>4977</v>
      </c>
      <c r="CH172" s="34"/>
      <c r="CI172" s="34"/>
      <c r="CJ172" s="35" t="s">
        <v>3663</v>
      </c>
      <c r="CK172" s="37"/>
      <c r="CL172" s="37"/>
      <c r="CM172" s="34"/>
      <c r="CN172" s="35" t="s">
        <v>3591</v>
      </c>
      <c r="CO172" s="39">
        <v>0.0</v>
      </c>
      <c r="CP172" s="32">
        <v>14.0</v>
      </c>
      <c r="CQ172" s="39">
        <v>0.0</v>
      </c>
      <c r="CR172" s="39">
        <v>0.0</v>
      </c>
      <c r="CS172" s="39">
        <v>0.0</v>
      </c>
      <c r="CT172" s="32">
        <v>12.0</v>
      </c>
      <c r="CU172" s="37"/>
      <c r="CV172" s="37"/>
      <c r="CW172" s="39">
        <v>0.0</v>
      </c>
      <c r="CX172" s="32">
        <v>12.0</v>
      </c>
      <c r="CY172" s="32" t="s">
        <v>4875</v>
      </c>
      <c r="CZ172" s="32">
        <v>64.0</v>
      </c>
      <c r="DA172" s="32" t="s">
        <v>3598</v>
      </c>
      <c r="DB172" s="39">
        <v>0.0</v>
      </c>
      <c r="DC172" s="32" t="s">
        <v>4875</v>
      </c>
      <c r="DD172" s="32">
        <v>66.0</v>
      </c>
      <c r="DE172" s="37"/>
      <c r="DF172" s="37"/>
      <c r="DG172" s="32" t="s">
        <v>4875</v>
      </c>
      <c r="DH172" s="32">
        <v>65.0</v>
      </c>
      <c r="DI172" s="49">
        <v>1975.0</v>
      </c>
      <c r="DJ172" s="32">
        <v>83.0</v>
      </c>
      <c r="DK172" s="39">
        <v>0.0439</v>
      </c>
      <c r="DL172" s="32">
        <v>38.0</v>
      </c>
      <c r="DM172" s="32">
        <v>0.0</v>
      </c>
      <c r="DN172" s="39">
        <v>0.0</v>
      </c>
      <c r="DO172" s="32" t="s">
        <v>3600</v>
      </c>
      <c r="DP172" s="38" t="s">
        <v>6901</v>
      </c>
      <c r="DQ172" s="32">
        <v>8.0</v>
      </c>
      <c r="DR172" s="32">
        <v>3.0</v>
      </c>
      <c r="DS172" s="32">
        <v>2.0</v>
      </c>
      <c r="DT172" s="37"/>
      <c r="DU172" s="37"/>
      <c r="DV172" s="32">
        <v>6.0</v>
      </c>
      <c r="DW172" s="35" t="s">
        <v>6902</v>
      </c>
      <c r="DX172" s="37"/>
      <c r="DY172" s="34"/>
      <c r="DZ172" s="37"/>
      <c r="EA172" s="37"/>
      <c r="EB172" s="34"/>
      <c r="EC172" s="37"/>
      <c r="ED172" s="37"/>
      <c r="EE172" s="37"/>
      <c r="EF172" s="37"/>
      <c r="EG172" s="34"/>
      <c r="EH172" s="37"/>
      <c r="EI172" s="37"/>
      <c r="EJ172" s="37"/>
      <c r="EK172" s="34"/>
      <c r="EL172" s="37"/>
      <c r="EM172" s="37"/>
      <c r="EN172" s="37"/>
      <c r="EO172" s="37"/>
      <c r="EP172" s="40" t="s">
        <v>3559</v>
      </c>
    </row>
    <row r="173">
      <c r="A173" s="45"/>
      <c r="B173" s="42" t="s">
        <v>1765</v>
      </c>
      <c r="C173" s="43"/>
      <c r="D173" s="43"/>
      <c r="E173" s="42" t="s">
        <v>6903</v>
      </c>
      <c r="F173" s="43"/>
      <c r="G173" s="42" t="s">
        <v>6904</v>
      </c>
      <c r="H173" s="42" t="s">
        <v>4560</v>
      </c>
      <c r="I173" s="42" t="s">
        <v>4561</v>
      </c>
      <c r="J173" s="42" t="s">
        <v>66</v>
      </c>
      <c r="K173" s="42" t="s">
        <v>6905</v>
      </c>
      <c r="L173" s="42" t="s">
        <v>6601</v>
      </c>
      <c r="M173" s="42" t="s">
        <v>6906</v>
      </c>
      <c r="N173" s="42" t="s">
        <v>4962</v>
      </c>
      <c r="O173" s="42" t="s">
        <v>6907</v>
      </c>
      <c r="P173" s="42"/>
      <c r="R173" s="42" t="s">
        <v>3571</v>
      </c>
      <c r="S173" s="42" t="s">
        <v>4964</v>
      </c>
      <c r="T173" s="42" t="s">
        <v>3603</v>
      </c>
      <c r="U173" s="44" t="s">
        <v>6908</v>
      </c>
      <c r="V173" s="44" t="s">
        <v>6909</v>
      </c>
      <c r="W173" s="41">
        <v>21.0</v>
      </c>
      <c r="X173" s="42" t="s">
        <v>6910</v>
      </c>
      <c r="Y173" s="43"/>
      <c r="Z173" s="43"/>
      <c r="AA173" s="41">
        <v>2008.0</v>
      </c>
      <c r="AB173" s="42" t="s">
        <v>5704</v>
      </c>
      <c r="AC173" s="43"/>
      <c r="AD173" s="43"/>
      <c r="AE173" s="45"/>
      <c r="AF173" s="45"/>
      <c r="AG173" s="45"/>
      <c r="AH173" s="45"/>
      <c r="AI173" s="45"/>
      <c r="AJ173" s="45"/>
      <c r="AK173" s="45"/>
      <c r="AL173" s="45"/>
      <c r="AM173" s="45"/>
      <c r="AN173" s="45"/>
      <c r="AO173" s="42" t="s">
        <v>6911</v>
      </c>
      <c r="AP173" s="42" t="s">
        <v>1767</v>
      </c>
      <c r="AQ173" s="42" t="s">
        <v>4397</v>
      </c>
      <c r="AR173" s="42" t="s">
        <v>6912</v>
      </c>
      <c r="AS173" s="43" t="str">
        <f>+972 (0)77 220 0044</f>
        <v>#ERROR!</v>
      </c>
      <c r="AT173" s="42" t="s">
        <v>6913</v>
      </c>
      <c r="AU173" s="42" t="s">
        <v>6914</v>
      </c>
      <c r="AV173" s="43"/>
      <c r="AW173" s="42" t="s">
        <v>6915</v>
      </c>
      <c r="AX173" s="42" t="s">
        <v>75</v>
      </c>
      <c r="AY173" s="45"/>
      <c r="AZ173" s="42" t="s">
        <v>41</v>
      </c>
      <c r="BA173" s="45" t="str">
        <f>+972 (0)77 220 0044</f>
        <v>#ERROR!</v>
      </c>
      <c r="BB173" s="45"/>
      <c r="BC173" s="43"/>
      <c r="BD173" s="42" t="s">
        <v>3584</v>
      </c>
      <c r="BE173" s="42" t="s">
        <v>3584</v>
      </c>
      <c r="BF173" s="42" t="s">
        <v>6916</v>
      </c>
      <c r="BG173" s="43"/>
      <c r="BH173" s="45"/>
      <c r="BI173" s="42" t="s">
        <v>5704</v>
      </c>
      <c r="BJ173" s="42" t="s">
        <v>6917</v>
      </c>
      <c r="BK173" s="43"/>
      <c r="BL173" s="43"/>
      <c r="BM173" s="42" t="s">
        <v>6918</v>
      </c>
      <c r="BN173" s="43"/>
      <c r="BO173" s="43"/>
      <c r="BP173" s="42" t="s">
        <v>6071</v>
      </c>
      <c r="BQ173" s="46" t="s">
        <v>6919</v>
      </c>
      <c r="BR173" s="41">
        <v>20.17</v>
      </c>
      <c r="BS173" s="42" t="s">
        <v>3593</v>
      </c>
      <c r="BT173" s="41">
        <v>39.56</v>
      </c>
      <c r="BU173" s="42" t="s">
        <v>3697</v>
      </c>
      <c r="BV173" s="42" t="s">
        <v>4977</v>
      </c>
      <c r="BW173" s="43"/>
      <c r="BX173" s="43"/>
      <c r="BY173" s="42" t="s">
        <v>3663</v>
      </c>
      <c r="BZ173" s="43"/>
      <c r="CA173" s="42" t="s">
        <v>3591</v>
      </c>
      <c r="CB173" s="46" t="s">
        <v>6920</v>
      </c>
      <c r="CC173" s="41">
        <v>5.32</v>
      </c>
      <c r="CD173" s="42" t="s">
        <v>3697</v>
      </c>
      <c r="CE173" s="41">
        <v>10.43</v>
      </c>
      <c r="CF173" s="42" t="s">
        <v>3697</v>
      </c>
      <c r="CG173" s="42" t="s">
        <v>4977</v>
      </c>
      <c r="CH173" s="43"/>
      <c r="CI173" s="43"/>
      <c r="CJ173" s="42" t="s">
        <v>3663</v>
      </c>
      <c r="CK173" s="45"/>
      <c r="CL173" s="45"/>
      <c r="CM173" s="43"/>
      <c r="CN173" s="42" t="s">
        <v>3591</v>
      </c>
      <c r="CO173" s="47">
        <v>0.004</v>
      </c>
      <c r="CP173" s="41">
        <v>92.0</v>
      </c>
      <c r="CQ173" s="47">
        <v>7.0E-4</v>
      </c>
      <c r="CR173" s="47">
        <v>0.1969</v>
      </c>
      <c r="CS173" s="47">
        <v>0.004</v>
      </c>
      <c r="CT173" s="41">
        <v>93.0</v>
      </c>
      <c r="CU173" s="45"/>
      <c r="CV173" s="45"/>
      <c r="CW173" s="47">
        <v>0.004</v>
      </c>
      <c r="CX173" s="41">
        <v>92.0</v>
      </c>
      <c r="CY173" s="41" t="s">
        <v>6696</v>
      </c>
      <c r="CZ173" s="41">
        <v>89.0</v>
      </c>
      <c r="DA173" s="41" t="s">
        <v>3598</v>
      </c>
      <c r="DB173" s="47">
        <v>0.0</v>
      </c>
      <c r="DC173" s="41" t="s">
        <v>6696</v>
      </c>
      <c r="DD173" s="41">
        <v>89.0</v>
      </c>
      <c r="DE173" s="45"/>
      <c r="DF173" s="45"/>
      <c r="DG173" s="41" t="s">
        <v>6696</v>
      </c>
      <c r="DH173" s="41">
        <v>87.0</v>
      </c>
      <c r="DI173" s="41">
        <v>0.0</v>
      </c>
      <c r="DJ173" s="41">
        <v>0.0</v>
      </c>
      <c r="DK173" s="47">
        <v>0.0</v>
      </c>
      <c r="DL173" s="41">
        <v>193.0</v>
      </c>
      <c r="DM173" s="41">
        <v>1.0</v>
      </c>
      <c r="DN173" s="47">
        <v>0.0052</v>
      </c>
      <c r="DO173" s="41" t="s">
        <v>3600</v>
      </c>
      <c r="DP173" s="46" t="s">
        <v>6921</v>
      </c>
      <c r="DQ173" s="45"/>
      <c r="DR173" s="45"/>
      <c r="DS173" s="45"/>
      <c r="DT173" s="45"/>
      <c r="DU173" s="45"/>
      <c r="DV173" s="45"/>
      <c r="DW173" s="43"/>
      <c r="DX173" s="45"/>
      <c r="DY173" s="43"/>
      <c r="DZ173" s="45"/>
      <c r="EA173" s="45"/>
      <c r="EB173" s="43"/>
      <c r="EC173" s="45"/>
      <c r="ED173" s="45"/>
      <c r="EE173" s="41">
        <v>10.43</v>
      </c>
      <c r="EF173" s="46" t="s">
        <v>6920</v>
      </c>
      <c r="EG173" s="42" t="s">
        <v>4977</v>
      </c>
      <c r="EH173" s="45"/>
      <c r="EI173" s="45"/>
      <c r="EJ173" s="45"/>
      <c r="EK173" s="42" t="s">
        <v>4248</v>
      </c>
      <c r="EL173" s="45"/>
      <c r="EM173" s="45"/>
      <c r="EN173" s="45"/>
      <c r="EO173" s="45"/>
      <c r="EP173" s="48" t="s">
        <v>3559</v>
      </c>
    </row>
    <row r="174">
      <c r="A174" s="32">
        <v>57.43</v>
      </c>
      <c r="B174" s="35" t="s">
        <v>6922</v>
      </c>
      <c r="C174" s="35" t="s">
        <v>6923</v>
      </c>
      <c r="D174" s="34"/>
      <c r="E174" s="35" t="s">
        <v>6924</v>
      </c>
      <c r="F174" s="34"/>
      <c r="G174" s="35" t="s">
        <v>6925</v>
      </c>
      <c r="H174" s="35" t="s">
        <v>4560</v>
      </c>
      <c r="I174" s="35" t="s">
        <v>4561</v>
      </c>
      <c r="J174" s="35" t="s">
        <v>66</v>
      </c>
      <c r="K174" s="35" t="s">
        <v>6926</v>
      </c>
      <c r="L174" s="35" t="s">
        <v>6927</v>
      </c>
      <c r="M174" s="35" t="s">
        <v>6928</v>
      </c>
      <c r="N174" s="35" t="s">
        <v>5018</v>
      </c>
      <c r="O174" s="35" t="s">
        <v>6929</v>
      </c>
      <c r="P174" s="35"/>
      <c r="R174" s="35" t="s">
        <v>3571</v>
      </c>
      <c r="S174" s="35" t="s">
        <v>5236</v>
      </c>
      <c r="T174" s="35" t="s">
        <v>5867</v>
      </c>
      <c r="U174" s="36" t="s">
        <v>6930</v>
      </c>
      <c r="V174" s="36" t="s">
        <v>6931</v>
      </c>
      <c r="W174" s="32">
        <v>89.0</v>
      </c>
      <c r="X174" s="35" t="s">
        <v>6932</v>
      </c>
      <c r="Y174" s="34"/>
      <c r="Z174" s="34"/>
      <c r="AA174" s="32">
        <v>2008.0</v>
      </c>
      <c r="AB174" s="34"/>
      <c r="AC174" s="34"/>
      <c r="AD174" s="34"/>
      <c r="AE174" s="32">
        <v>116.0</v>
      </c>
      <c r="AF174" s="37"/>
      <c r="AG174" s="37"/>
      <c r="AH174" s="37"/>
      <c r="AI174" s="37"/>
      <c r="AJ174" s="37"/>
      <c r="AK174" s="37"/>
      <c r="AL174" s="37"/>
      <c r="AM174" s="39">
        <v>1.32</v>
      </c>
      <c r="AN174" s="32" t="s">
        <v>3932</v>
      </c>
      <c r="AO174" s="35" t="s">
        <v>6933</v>
      </c>
      <c r="AP174" s="35" t="s">
        <v>6934</v>
      </c>
      <c r="AQ174" s="35" t="s">
        <v>3982</v>
      </c>
      <c r="AR174" s="35" t="s">
        <v>6935</v>
      </c>
      <c r="AS174" s="34"/>
      <c r="AT174" s="35" t="s">
        <v>3581</v>
      </c>
      <c r="AU174" s="35" t="s">
        <v>6936</v>
      </c>
      <c r="AV174" s="34"/>
      <c r="AW174" s="35" t="s">
        <v>75</v>
      </c>
      <c r="AX174" s="34"/>
      <c r="AY174" s="37"/>
      <c r="AZ174" s="35" t="s">
        <v>41</v>
      </c>
      <c r="BA174" s="37"/>
      <c r="BB174" s="37"/>
      <c r="BC174" s="34"/>
      <c r="BD174" s="35" t="s">
        <v>3584</v>
      </c>
      <c r="BE174" s="35" t="s">
        <v>3584</v>
      </c>
      <c r="BF174" s="35" t="s">
        <v>6937</v>
      </c>
      <c r="BG174" s="35" t="s">
        <v>6938</v>
      </c>
      <c r="BH174" s="32">
        <v>1.0</v>
      </c>
      <c r="BI174" s="34"/>
      <c r="BJ174" s="35" t="s">
        <v>6939</v>
      </c>
      <c r="BK174" s="34"/>
      <c r="BL174" s="35" t="s">
        <v>6940</v>
      </c>
      <c r="BM174" s="35" t="s">
        <v>6941</v>
      </c>
      <c r="BN174" s="34"/>
      <c r="BO174" s="34"/>
      <c r="BP174" s="35" t="s">
        <v>6942</v>
      </c>
      <c r="BQ174" s="37"/>
      <c r="BR174" s="32">
        <v>8.97</v>
      </c>
      <c r="BS174" s="35" t="s">
        <v>3593</v>
      </c>
      <c r="BT174" s="32">
        <v>19.61</v>
      </c>
      <c r="BU174" s="35" t="s">
        <v>3593</v>
      </c>
      <c r="BV174" s="35" t="s">
        <v>3698</v>
      </c>
      <c r="BW174" s="35" t="s">
        <v>3698</v>
      </c>
      <c r="BX174" s="34"/>
      <c r="BY174" s="35" t="s">
        <v>3573</v>
      </c>
      <c r="BZ174" s="34"/>
      <c r="CA174" s="35" t="s">
        <v>3591</v>
      </c>
      <c r="CB174" s="38" t="s">
        <v>6943</v>
      </c>
      <c r="CC174" s="37"/>
      <c r="CD174" s="34"/>
      <c r="CE174" s="37"/>
      <c r="CF174" s="34"/>
      <c r="CG174" s="35" t="s">
        <v>4977</v>
      </c>
      <c r="CH174" s="34"/>
      <c r="CI174" s="34"/>
      <c r="CJ174" s="35" t="s">
        <v>3663</v>
      </c>
      <c r="CK174" s="38" t="s">
        <v>6944</v>
      </c>
      <c r="CL174" s="32">
        <v>8.18</v>
      </c>
      <c r="CM174" s="34"/>
      <c r="CN174" s="35" t="s">
        <v>3966</v>
      </c>
      <c r="CO174" s="37"/>
      <c r="CP174" s="37"/>
      <c r="CQ174" s="37"/>
      <c r="CR174" s="37"/>
      <c r="CS174" s="37"/>
      <c r="CT174" s="37"/>
      <c r="CU174" s="37"/>
      <c r="CV174" s="37"/>
      <c r="CW174" s="37"/>
      <c r="CX174" s="37"/>
      <c r="CY174" s="37"/>
      <c r="CZ174" s="37"/>
      <c r="DA174" s="37"/>
      <c r="DB174" s="37"/>
      <c r="DC174" s="37"/>
      <c r="DD174" s="37"/>
      <c r="DE174" s="37"/>
      <c r="DF174" s="37"/>
      <c r="DG174" s="37"/>
      <c r="DH174" s="37"/>
      <c r="DI174" s="37"/>
      <c r="DJ174" s="37"/>
      <c r="DK174" s="37"/>
      <c r="DL174" s="37"/>
      <c r="DM174" s="37"/>
      <c r="DN174" s="37"/>
      <c r="DO174" s="32" t="s">
        <v>3600</v>
      </c>
      <c r="DP174" s="38" t="s">
        <v>6945</v>
      </c>
      <c r="DQ174" s="37"/>
      <c r="DR174" s="37"/>
      <c r="DS174" s="37"/>
      <c r="DT174" s="37"/>
      <c r="DU174" s="37"/>
      <c r="DV174" s="37"/>
      <c r="DW174" s="34"/>
      <c r="DX174" s="37"/>
      <c r="DY174" s="34"/>
      <c r="DZ174" s="37"/>
      <c r="EA174" s="37"/>
      <c r="EB174" s="34"/>
      <c r="EC174" s="37"/>
      <c r="ED174" s="37"/>
      <c r="EE174" s="32">
        <v>48.5</v>
      </c>
      <c r="EF174" s="38" t="s">
        <v>6946</v>
      </c>
      <c r="EG174" s="35" t="s">
        <v>3594</v>
      </c>
      <c r="EH174" s="37"/>
      <c r="EI174" s="37"/>
      <c r="EJ174" s="37"/>
      <c r="EK174" s="34"/>
      <c r="EL174" s="37"/>
      <c r="EM174" s="37"/>
      <c r="EN174" s="37"/>
      <c r="EO174" s="32">
        <v>0.82</v>
      </c>
      <c r="EP174" s="40" t="s">
        <v>3559</v>
      </c>
    </row>
    <row r="175">
      <c r="A175" s="41">
        <v>0.45</v>
      </c>
      <c r="B175" s="42" t="s">
        <v>6947</v>
      </c>
      <c r="C175" s="43"/>
      <c r="D175" s="43"/>
      <c r="E175" s="42" t="s">
        <v>6948</v>
      </c>
      <c r="F175" s="43"/>
      <c r="G175" s="42" t="s">
        <v>6949</v>
      </c>
      <c r="H175" s="42" t="s">
        <v>3867</v>
      </c>
      <c r="I175" s="42" t="s">
        <v>3897</v>
      </c>
      <c r="J175" s="42" t="s">
        <v>3898</v>
      </c>
      <c r="K175" s="42" t="s">
        <v>6950</v>
      </c>
      <c r="L175" s="42" t="s">
        <v>6951</v>
      </c>
      <c r="M175" s="42" t="s">
        <v>6952</v>
      </c>
      <c r="N175" s="42" t="s">
        <v>3569</v>
      </c>
      <c r="O175" s="42" t="s">
        <v>6953</v>
      </c>
      <c r="P175" s="42"/>
      <c r="R175" s="42" t="s">
        <v>3571</v>
      </c>
      <c r="S175" s="42" t="s">
        <v>3572</v>
      </c>
      <c r="T175" s="42" t="s">
        <v>3573</v>
      </c>
      <c r="U175" s="44" t="s">
        <v>6954</v>
      </c>
      <c r="V175" s="44" t="s">
        <v>6955</v>
      </c>
      <c r="W175" s="41">
        <v>5.0</v>
      </c>
      <c r="X175" s="42" t="s">
        <v>6956</v>
      </c>
      <c r="Y175" s="43"/>
      <c r="Z175" s="43"/>
      <c r="AA175" s="45"/>
      <c r="AB175" s="43"/>
      <c r="AC175" s="43"/>
      <c r="AD175" s="43"/>
      <c r="AE175" s="45"/>
      <c r="AF175" s="45"/>
      <c r="AG175" s="45"/>
      <c r="AH175" s="45"/>
      <c r="AI175" s="45"/>
      <c r="AJ175" s="45"/>
      <c r="AK175" s="45"/>
      <c r="AL175" s="45"/>
      <c r="AM175" s="45"/>
      <c r="AN175" s="45"/>
      <c r="AO175" s="42" t="s">
        <v>6957</v>
      </c>
      <c r="AP175" s="42" t="s">
        <v>6958</v>
      </c>
      <c r="AQ175" s="42" t="s">
        <v>4397</v>
      </c>
      <c r="AR175" s="42" t="s">
        <v>6959</v>
      </c>
      <c r="AS175" s="43" t="str">
        <f>+972 (0)52 920 3695</f>
        <v>#ERROR!</v>
      </c>
      <c r="AT175" s="42" t="s">
        <v>4448</v>
      </c>
      <c r="AU175" s="43"/>
      <c r="AV175" s="43"/>
      <c r="AW175" s="42" t="s">
        <v>485</v>
      </c>
      <c r="AX175" s="43"/>
      <c r="AY175" s="45"/>
      <c r="AZ175" s="42" t="s">
        <v>41</v>
      </c>
      <c r="BA175" s="45" t="str">
        <f>+972 (0)52 920 3695</f>
        <v>#ERROR!</v>
      </c>
      <c r="BB175" s="45"/>
      <c r="BC175" s="42" t="s">
        <v>6960</v>
      </c>
      <c r="BD175" s="42" t="s">
        <v>3584</v>
      </c>
      <c r="BE175" s="42" t="s">
        <v>3584</v>
      </c>
      <c r="BF175" s="42" t="s">
        <v>6961</v>
      </c>
      <c r="BG175" s="42" t="s">
        <v>6962</v>
      </c>
      <c r="BH175" s="41">
        <v>2.0</v>
      </c>
      <c r="BI175" s="43"/>
      <c r="BJ175" s="42" t="s">
        <v>6963</v>
      </c>
      <c r="BK175" s="43"/>
      <c r="BL175" s="42" t="s">
        <v>6964</v>
      </c>
      <c r="BM175" s="42" t="s">
        <v>6965</v>
      </c>
      <c r="BN175" s="43"/>
      <c r="BO175" s="43"/>
      <c r="BP175" s="43"/>
      <c r="BQ175" s="46" t="s">
        <v>6966</v>
      </c>
      <c r="BR175" s="45"/>
      <c r="BS175" s="43"/>
      <c r="BT175" s="45"/>
      <c r="BU175" s="43"/>
      <c r="BV175" s="42" t="s">
        <v>3589</v>
      </c>
      <c r="BW175" s="43"/>
      <c r="BX175" s="43"/>
      <c r="BY175" s="42" t="s">
        <v>3590</v>
      </c>
      <c r="BZ175" s="43"/>
      <c r="CA175" s="42" t="s">
        <v>3591</v>
      </c>
      <c r="CB175" s="46" t="s">
        <v>6967</v>
      </c>
      <c r="CC175" s="41">
        <v>0.45</v>
      </c>
      <c r="CD175" s="42" t="s">
        <v>3593</v>
      </c>
      <c r="CE175" s="41">
        <v>7.0</v>
      </c>
      <c r="CF175" s="42" t="s">
        <v>3593</v>
      </c>
      <c r="CG175" s="42" t="s">
        <v>3589</v>
      </c>
      <c r="CH175" s="43"/>
      <c r="CI175" s="43"/>
      <c r="CJ175" s="42" t="s">
        <v>3590</v>
      </c>
      <c r="CK175" s="45"/>
      <c r="CL175" s="45"/>
      <c r="CM175" s="43"/>
      <c r="CN175" s="42" t="s">
        <v>3591</v>
      </c>
      <c r="CO175" s="47">
        <v>0.0</v>
      </c>
      <c r="CP175" s="41">
        <v>14.0</v>
      </c>
      <c r="CQ175" s="47">
        <v>0.0</v>
      </c>
      <c r="CR175" s="47">
        <v>0.0</v>
      </c>
      <c r="CS175" s="47">
        <v>0.0</v>
      </c>
      <c r="CT175" s="41">
        <v>12.0</v>
      </c>
      <c r="CU175" s="45"/>
      <c r="CV175" s="45"/>
      <c r="CW175" s="47">
        <v>0.0</v>
      </c>
      <c r="CX175" s="41">
        <v>12.0</v>
      </c>
      <c r="CY175" s="41" t="s">
        <v>5616</v>
      </c>
      <c r="CZ175" s="41">
        <v>18.0</v>
      </c>
      <c r="DA175" s="41" t="s">
        <v>3598</v>
      </c>
      <c r="DB175" s="47">
        <v>0.0</v>
      </c>
      <c r="DC175" s="41" t="s">
        <v>5616</v>
      </c>
      <c r="DD175" s="41">
        <v>20.0</v>
      </c>
      <c r="DE175" s="45"/>
      <c r="DF175" s="45"/>
      <c r="DG175" s="41" t="s">
        <v>5616</v>
      </c>
      <c r="DH175" s="41">
        <v>17.0</v>
      </c>
      <c r="DI175" s="45"/>
      <c r="DJ175" s="45"/>
      <c r="DK175" s="45"/>
      <c r="DL175" s="41">
        <v>10.0</v>
      </c>
      <c r="DM175" s="41">
        <v>1.0</v>
      </c>
      <c r="DN175" s="47">
        <v>0.1111</v>
      </c>
      <c r="DO175" s="41" t="s">
        <v>3600</v>
      </c>
      <c r="DP175" s="46" t="s">
        <v>6968</v>
      </c>
      <c r="DQ175" s="45"/>
      <c r="DR175" s="45"/>
      <c r="DS175" s="45"/>
      <c r="DT175" s="45"/>
      <c r="DU175" s="45"/>
      <c r="DV175" s="45"/>
      <c r="DW175" s="43"/>
      <c r="DX175" s="45"/>
      <c r="DY175" s="43"/>
      <c r="DZ175" s="45"/>
      <c r="EA175" s="45"/>
      <c r="EB175" s="43"/>
      <c r="EC175" s="45"/>
      <c r="ED175" s="45"/>
      <c r="EE175" s="41">
        <v>7.0</v>
      </c>
      <c r="EF175" s="46" t="s">
        <v>6967</v>
      </c>
      <c r="EG175" s="42" t="s">
        <v>3589</v>
      </c>
      <c r="EH175" s="45"/>
      <c r="EI175" s="45"/>
      <c r="EJ175" s="45"/>
      <c r="EK175" s="43"/>
      <c r="EL175" s="45"/>
      <c r="EM175" s="45"/>
      <c r="EN175" s="45"/>
      <c r="EO175" s="45"/>
      <c r="EP175" s="48" t="s">
        <v>3559</v>
      </c>
    </row>
    <row r="176">
      <c r="A176" s="37"/>
      <c r="B176" s="35" t="s">
        <v>6969</v>
      </c>
      <c r="C176" s="34"/>
      <c r="D176" s="34"/>
      <c r="E176" s="35" t="s">
        <v>6970</v>
      </c>
      <c r="F176" s="34"/>
      <c r="G176" s="35" t="s">
        <v>6971</v>
      </c>
      <c r="H176" s="35" t="s">
        <v>4560</v>
      </c>
      <c r="I176" s="35" t="s">
        <v>4561</v>
      </c>
      <c r="J176" s="35" t="s">
        <v>66</v>
      </c>
      <c r="K176" s="35" t="s">
        <v>4562</v>
      </c>
      <c r="L176" s="34"/>
      <c r="M176" s="34"/>
      <c r="N176" s="35" t="s">
        <v>4923</v>
      </c>
      <c r="O176" s="35" t="s">
        <v>6972</v>
      </c>
      <c r="P176" s="35"/>
      <c r="R176" s="34"/>
      <c r="S176" s="35" t="s">
        <v>4925</v>
      </c>
      <c r="T176" s="35" t="s">
        <v>4926</v>
      </c>
      <c r="U176" s="40" t="s">
        <v>6973</v>
      </c>
      <c r="V176" s="36" t="s">
        <v>6974</v>
      </c>
      <c r="W176" s="32">
        <v>11.0</v>
      </c>
      <c r="X176" s="35" t="s">
        <v>5062</v>
      </c>
      <c r="Y176" s="34"/>
      <c r="Z176" s="34"/>
      <c r="AA176" s="32">
        <v>2011.0</v>
      </c>
      <c r="AB176" s="34"/>
      <c r="AC176" s="34"/>
      <c r="AD176" s="34"/>
      <c r="AE176" s="37"/>
      <c r="AF176" s="37"/>
      <c r="AG176" s="37"/>
      <c r="AH176" s="37"/>
      <c r="AI176" s="37"/>
      <c r="AJ176" s="37"/>
      <c r="AK176" s="37"/>
      <c r="AL176" s="37"/>
      <c r="AM176" s="37"/>
      <c r="AN176" s="37"/>
      <c r="AO176" s="34"/>
      <c r="AP176" s="34"/>
      <c r="AQ176" s="34"/>
      <c r="AR176" s="34"/>
      <c r="AS176" s="34"/>
      <c r="AT176" s="35" t="s">
        <v>4448</v>
      </c>
      <c r="AU176" s="35" t="s">
        <v>6975</v>
      </c>
      <c r="AV176" s="34"/>
      <c r="AW176" s="35" t="s">
        <v>485</v>
      </c>
      <c r="AX176" s="35" t="s">
        <v>6976</v>
      </c>
      <c r="AY176" s="32">
        <v>580025.0</v>
      </c>
      <c r="AZ176" s="35" t="s">
        <v>41</v>
      </c>
      <c r="BA176" s="37"/>
      <c r="BB176" s="37"/>
      <c r="BC176" s="34"/>
      <c r="BD176" s="35" t="s">
        <v>3584</v>
      </c>
      <c r="BE176" s="35" t="s">
        <v>3584</v>
      </c>
      <c r="BF176" s="34"/>
      <c r="BG176" s="34"/>
      <c r="BH176" s="37"/>
      <c r="BI176" s="34"/>
      <c r="BJ176" s="34"/>
      <c r="BK176" s="34"/>
      <c r="BL176" s="34"/>
      <c r="BM176" s="34"/>
      <c r="BN176" s="34"/>
      <c r="BO176" s="34"/>
      <c r="BP176" s="34"/>
      <c r="BQ176" s="37"/>
      <c r="BR176" s="37"/>
      <c r="BS176" s="34"/>
      <c r="BT176" s="37"/>
      <c r="BU176" s="34"/>
      <c r="BV176" s="34"/>
      <c r="BW176" s="34"/>
      <c r="BX176" s="34"/>
      <c r="BY176" s="34"/>
      <c r="BZ176" s="34"/>
      <c r="CA176" s="34"/>
      <c r="CB176" s="37"/>
      <c r="CC176" s="37"/>
      <c r="CD176" s="34"/>
      <c r="CE176" s="37"/>
      <c r="CF176" s="34"/>
      <c r="CG176" s="34"/>
      <c r="CH176" s="34"/>
      <c r="CI176" s="34"/>
      <c r="CJ176" s="34"/>
      <c r="CK176" s="37"/>
      <c r="CL176" s="37"/>
      <c r="CM176" s="34"/>
      <c r="CN176" s="34"/>
      <c r="CO176" s="39">
        <v>0.0037</v>
      </c>
      <c r="CP176" s="32">
        <v>91.0</v>
      </c>
      <c r="CQ176" s="39">
        <v>0.0</v>
      </c>
      <c r="CR176" s="39">
        <v>0.0</v>
      </c>
      <c r="CS176" s="39">
        <v>0.0074</v>
      </c>
      <c r="CT176" s="32">
        <v>96.0</v>
      </c>
      <c r="CU176" s="37"/>
      <c r="CV176" s="37"/>
      <c r="CW176" s="39">
        <v>0.0074</v>
      </c>
      <c r="CX176" s="32">
        <v>96.0</v>
      </c>
      <c r="CY176" s="32" t="s">
        <v>6977</v>
      </c>
      <c r="CZ176" s="32">
        <v>81.0</v>
      </c>
      <c r="DA176" s="32" t="s">
        <v>3598</v>
      </c>
      <c r="DB176" s="39">
        <v>0.0</v>
      </c>
      <c r="DC176" s="32" t="s">
        <v>6978</v>
      </c>
      <c r="DD176" s="32">
        <v>90.0</v>
      </c>
      <c r="DE176" s="37"/>
      <c r="DF176" s="37"/>
      <c r="DG176" s="32" t="s">
        <v>6978</v>
      </c>
      <c r="DH176" s="32">
        <v>89.0</v>
      </c>
      <c r="DI176" s="37"/>
      <c r="DJ176" s="37"/>
      <c r="DK176" s="37"/>
      <c r="DL176" s="32">
        <v>211.0</v>
      </c>
      <c r="DM176" s="32">
        <v>1.0</v>
      </c>
      <c r="DN176" s="39">
        <v>0.0048</v>
      </c>
      <c r="DO176" s="32" t="s">
        <v>5066</v>
      </c>
      <c r="DP176" s="38" t="s">
        <v>6493</v>
      </c>
      <c r="DQ176" s="37"/>
      <c r="DR176" s="37"/>
      <c r="DS176" s="37"/>
      <c r="DT176" s="37"/>
      <c r="DU176" s="37"/>
      <c r="DV176" s="37"/>
      <c r="DW176" s="34"/>
      <c r="DX176" s="37"/>
      <c r="DY176" s="34"/>
      <c r="DZ176" s="37"/>
      <c r="EA176" s="37"/>
      <c r="EB176" s="34"/>
      <c r="EC176" s="37"/>
      <c r="ED176" s="37"/>
      <c r="EE176" s="37"/>
      <c r="EF176" s="37"/>
      <c r="EG176" s="34"/>
      <c r="EH176" s="37"/>
      <c r="EI176" s="37"/>
      <c r="EJ176" s="37"/>
      <c r="EK176" s="34"/>
      <c r="EL176" s="37"/>
      <c r="EM176" s="37"/>
      <c r="EN176" s="37"/>
      <c r="EO176" s="37"/>
      <c r="EP176" s="40" t="s">
        <v>3559</v>
      </c>
    </row>
    <row r="177">
      <c r="A177" s="41">
        <v>0.57</v>
      </c>
      <c r="B177" s="42" t="s">
        <v>2428</v>
      </c>
      <c r="C177" s="43"/>
      <c r="D177" s="43"/>
      <c r="E177" s="42" t="s">
        <v>6979</v>
      </c>
      <c r="F177" s="43"/>
      <c r="G177" s="42" t="s">
        <v>6980</v>
      </c>
      <c r="H177" s="42" t="s">
        <v>4560</v>
      </c>
      <c r="I177" s="42" t="s">
        <v>4561</v>
      </c>
      <c r="J177" s="42" t="s">
        <v>66</v>
      </c>
      <c r="K177" s="42" t="s">
        <v>6981</v>
      </c>
      <c r="L177" s="42" t="s">
        <v>3612</v>
      </c>
      <c r="M177" s="42" t="s">
        <v>6982</v>
      </c>
      <c r="N177" s="42" t="s">
        <v>6039</v>
      </c>
      <c r="O177" s="42" t="s">
        <v>6983</v>
      </c>
      <c r="P177" s="42"/>
      <c r="R177" s="42" t="s">
        <v>6041</v>
      </c>
      <c r="S177" s="42" t="s">
        <v>3572</v>
      </c>
      <c r="T177" s="42" t="s">
        <v>5147</v>
      </c>
      <c r="U177" s="43"/>
      <c r="V177" s="43"/>
      <c r="W177" s="45"/>
      <c r="X177" s="43"/>
      <c r="Y177" s="43"/>
      <c r="Z177" s="43"/>
      <c r="AA177" s="41">
        <v>2015.0</v>
      </c>
      <c r="AB177" s="43"/>
      <c r="AC177" s="43"/>
      <c r="AD177" s="43"/>
      <c r="AE177" s="45"/>
      <c r="AF177" s="45"/>
      <c r="AG177" s="45"/>
      <c r="AH177" s="45"/>
      <c r="AI177" s="45"/>
      <c r="AJ177" s="45"/>
      <c r="AK177" s="45"/>
      <c r="AL177" s="45"/>
      <c r="AM177" s="45"/>
      <c r="AN177" s="45"/>
      <c r="AO177" s="42" t="s">
        <v>6984</v>
      </c>
      <c r="AP177" s="42" t="s">
        <v>6985</v>
      </c>
      <c r="AQ177" s="42" t="s">
        <v>4312</v>
      </c>
      <c r="AR177" s="43"/>
      <c r="AS177" s="43"/>
      <c r="AT177" s="42" t="s">
        <v>6986</v>
      </c>
      <c r="AU177" s="42" t="s">
        <v>6987</v>
      </c>
      <c r="AV177" s="43"/>
      <c r="AW177" s="42" t="s">
        <v>6988</v>
      </c>
      <c r="AX177" s="43"/>
      <c r="AY177" s="45"/>
      <c r="AZ177" s="42" t="s">
        <v>41</v>
      </c>
      <c r="BA177" s="45"/>
      <c r="BB177" s="45"/>
      <c r="BC177" s="43"/>
      <c r="BD177" s="42" t="s">
        <v>3584</v>
      </c>
      <c r="BE177" s="42" t="s">
        <v>3584</v>
      </c>
      <c r="BF177" s="42" t="s">
        <v>6989</v>
      </c>
      <c r="BG177" s="43"/>
      <c r="BH177" s="45"/>
      <c r="BI177" s="43"/>
      <c r="BJ177" s="43"/>
      <c r="BK177" s="43"/>
      <c r="BL177" s="43"/>
      <c r="BM177" s="43"/>
      <c r="BN177" s="43"/>
      <c r="BO177" s="43"/>
      <c r="BP177" s="42" t="s">
        <v>6990</v>
      </c>
      <c r="BQ177" s="46" t="s">
        <v>6991</v>
      </c>
      <c r="BR177" s="41">
        <v>0.57</v>
      </c>
      <c r="BS177" s="42" t="s">
        <v>3593</v>
      </c>
      <c r="BT177" s="45"/>
      <c r="BU177" s="43"/>
      <c r="BV177" s="42" t="s">
        <v>5462</v>
      </c>
      <c r="BW177" s="43"/>
      <c r="BX177" s="43"/>
      <c r="BY177" s="42" t="s">
        <v>3803</v>
      </c>
      <c r="BZ177" s="43"/>
      <c r="CA177" s="42" t="s">
        <v>3591</v>
      </c>
      <c r="CB177" s="46" t="s">
        <v>6991</v>
      </c>
      <c r="CC177" s="41">
        <v>0.57</v>
      </c>
      <c r="CD177" s="42" t="s">
        <v>3593</v>
      </c>
      <c r="CE177" s="45"/>
      <c r="CF177" s="43"/>
      <c r="CG177" s="42" t="s">
        <v>5462</v>
      </c>
      <c r="CH177" s="43"/>
      <c r="CI177" s="43"/>
      <c r="CJ177" s="42" t="s">
        <v>3803</v>
      </c>
      <c r="CK177" s="45"/>
      <c r="CL177" s="45"/>
      <c r="CM177" s="43"/>
      <c r="CN177" s="42" t="s">
        <v>3591</v>
      </c>
      <c r="CO177" s="45"/>
      <c r="CP177" s="45"/>
      <c r="CQ177" s="45"/>
      <c r="CR177" s="45"/>
      <c r="CS177" s="45"/>
      <c r="CT177" s="45"/>
      <c r="CU177" s="45"/>
      <c r="CV177" s="45"/>
      <c r="CW177" s="45"/>
      <c r="CX177" s="45"/>
      <c r="CY177" s="45"/>
      <c r="CZ177" s="45"/>
      <c r="DA177" s="45"/>
      <c r="DB177" s="45"/>
      <c r="DC177" s="45"/>
      <c r="DD177" s="45"/>
      <c r="DE177" s="45"/>
      <c r="DF177" s="45"/>
      <c r="DG177" s="45"/>
      <c r="DH177" s="45"/>
      <c r="DI177" s="45"/>
      <c r="DJ177" s="45"/>
      <c r="DK177" s="45"/>
      <c r="DL177" s="45"/>
      <c r="DM177" s="45"/>
      <c r="DN177" s="45"/>
      <c r="DO177" s="41" t="s">
        <v>3600</v>
      </c>
      <c r="DP177" s="46" t="s">
        <v>6992</v>
      </c>
      <c r="DQ177" s="41">
        <v>2.0</v>
      </c>
      <c r="DR177" s="41">
        <v>1.0</v>
      </c>
      <c r="DS177" s="45"/>
      <c r="DT177" s="41">
        <v>1.0</v>
      </c>
      <c r="DU177" s="45"/>
      <c r="DV177" s="41">
        <v>1.0</v>
      </c>
      <c r="DW177" s="42" t="s">
        <v>6993</v>
      </c>
      <c r="DX177" s="45"/>
      <c r="DY177" s="43"/>
      <c r="DZ177" s="45"/>
      <c r="EA177" s="45"/>
      <c r="EB177" s="43"/>
      <c r="EC177" s="45"/>
      <c r="ED177" s="45"/>
      <c r="EE177" s="45"/>
      <c r="EF177" s="45"/>
      <c r="EG177" s="43"/>
      <c r="EH177" s="45"/>
      <c r="EI177" s="45"/>
      <c r="EJ177" s="45"/>
      <c r="EK177" s="43"/>
      <c r="EL177" s="45"/>
      <c r="EM177" s="45"/>
      <c r="EN177" s="45"/>
      <c r="EO177" s="45"/>
      <c r="EP177" s="48" t="s">
        <v>3559</v>
      </c>
    </row>
    <row r="178">
      <c r="A178" s="32">
        <v>0.22</v>
      </c>
      <c r="B178" s="35" t="s">
        <v>2487</v>
      </c>
      <c r="C178" s="35" t="s">
        <v>6994</v>
      </c>
      <c r="D178" s="34"/>
      <c r="E178" s="35" t="s">
        <v>6995</v>
      </c>
      <c r="F178" s="34"/>
      <c r="G178" s="35" t="s">
        <v>6996</v>
      </c>
      <c r="H178" s="35" t="s">
        <v>4560</v>
      </c>
      <c r="I178" s="35" t="s">
        <v>4561</v>
      </c>
      <c r="J178" s="35" t="s">
        <v>66</v>
      </c>
      <c r="K178" s="35" t="s">
        <v>6997</v>
      </c>
      <c r="L178" s="34"/>
      <c r="M178" s="35" t="s">
        <v>6998</v>
      </c>
      <c r="N178" s="35" t="s">
        <v>6039</v>
      </c>
      <c r="O178" s="35" t="s">
        <v>6999</v>
      </c>
      <c r="P178" s="35"/>
      <c r="R178" s="35" t="s">
        <v>3571</v>
      </c>
      <c r="S178" s="35" t="s">
        <v>3572</v>
      </c>
      <c r="T178" s="35" t="s">
        <v>5147</v>
      </c>
      <c r="U178" s="36" t="s">
        <v>7000</v>
      </c>
      <c r="V178" s="36" t="s">
        <v>7001</v>
      </c>
      <c r="W178" s="32">
        <v>2.0</v>
      </c>
      <c r="X178" s="35" t="s">
        <v>5455</v>
      </c>
      <c r="Y178" s="34"/>
      <c r="Z178" s="34"/>
      <c r="AA178" s="32">
        <v>2020.0</v>
      </c>
      <c r="AB178" s="34"/>
      <c r="AC178" s="34"/>
      <c r="AD178" s="34"/>
      <c r="AE178" s="37"/>
      <c r="AF178" s="37"/>
      <c r="AG178" s="37"/>
      <c r="AH178" s="37"/>
      <c r="AI178" s="37"/>
      <c r="AJ178" s="37"/>
      <c r="AK178" s="37"/>
      <c r="AL178" s="37"/>
      <c r="AM178" s="37"/>
      <c r="AN178" s="37"/>
      <c r="AO178" s="35" t="s">
        <v>7002</v>
      </c>
      <c r="AP178" s="35" t="s">
        <v>2489</v>
      </c>
      <c r="AQ178" s="35" t="s">
        <v>3579</v>
      </c>
      <c r="AR178" s="34"/>
      <c r="AS178" s="34"/>
      <c r="AT178" s="35" t="s">
        <v>7003</v>
      </c>
      <c r="AU178" s="35" t="s">
        <v>7004</v>
      </c>
      <c r="AV178" s="34"/>
      <c r="AW178" s="35" t="s">
        <v>2493</v>
      </c>
      <c r="AX178" s="34"/>
      <c r="AY178" s="32">
        <v>3657000.0</v>
      </c>
      <c r="AZ178" s="35" t="s">
        <v>41</v>
      </c>
      <c r="BA178" s="37"/>
      <c r="BB178" s="37"/>
      <c r="BC178" s="35" t="s">
        <v>2494</v>
      </c>
      <c r="BD178" s="35" t="s">
        <v>3584</v>
      </c>
      <c r="BE178" s="35" t="s">
        <v>3584</v>
      </c>
      <c r="BF178" s="35" t="s">
        <v>7005</v>
      </c>
      <c r="BG178" s="34"/>
      <c r="BH178" s="37"/>
      <c r="BI178" s="34"/>
      <c r="BJ178" s="34"/>
      <c r="BK178" s="34"/>
      <c r="BL178" s="34"/>
      <c r="BM178" s="34"/>
      <c r="BN178" s="34"/>
      <c r="BO178" s="34"/>
      <c r="BP178" s="35" t="s">
        <v>6990</v>
      </c>
      <c r="BQ178" s="38" t="s">
        <v>3888</v>
      </c>
      <c r="BR178" s="32">
        <v>0.22</v>
      </c>
      <c r="BS178" s="35" t="s">
        <v>3593</v>
      </c>
      <c r="BT178" s="37"/>
      <c r="BU178" s="34"/>
      <c r="BV178" s="35" t="s">
        <v>5462</v>
      </c>
      <c r="BW178" s="34"/>
      <c r="BX178" s="34"/>
      <c r="BY178" s="35" t="s">
        <v>3803</v>
      </c>
      <c r="BZ178" s="34"/>
      <c r="CA178" s="35" t="s">
        <v>3591</v>
      </c>
      <c r="CB178" s="38" t="s">
        <v>3888</v>
      </c>
      <c r="CC178" s="32">
        <v>0.22</v>
      </c>
      <c r="CD178" s="35" t="s">
        <v>3593</v>
      </c>
      <c r="CE178" s="37"/>
      <c r="CF178" s="34"/>
      <c r="CG178" s="35" t="s">
        <v>5462</v>
      </c>
      <c r="CH178" s="34"/>
      <c r="CI178" s="34"/>
      <c r="CJ178" s="35" t="s">
        <v>3803</v>
      </c>
      <c r="CK178" s="37"/>
      <c r="CL178" s="37"/>
      <c r="CM178" s="34"/>
      <c r="CN178" s="35" t="s">
        <v>3591</v>
      </c>
      <c r="CO178" s="39">
        <v>0.0</v>
      </c>
      <c r="CP178" s="32">
        <v>14.0</v>
      </c>
      <c r="CQ178" s="39">
        <v>0.0</v>
      </c>
      <c r="CR178" s="39">
        <v>0.0</v>
      </c>
      <c r="CS178" s="39">
        <v>0.0</v>
      </c>
      <c r="CT178" s="32">
        <v>12.0</v>
      </c>
      <c r="CU178" s="37"/>
      <c r="CV178" s="37"/>
      <c r="CW178" s="39">
        <v>0.0</v>
      </c>
      <c r="CX178" s="32">
        <v>12.0</v>
      </c>
      <c r="CY178" s="32" t="s">
        <v>4643</v>
      </c>
      <c r="CZ178" s="32">
        <v>56.0</v>
      </c>
      <c r="DA178" s="32" t="s">
        <v>3598</v>
      </c>
      <c r="DB178" s="39">
        <v>0.0</v>
      </c>
      <c r="DC178" s="32" t="s">
        <v>4643</v>
      </c>
      <c r="DD178" s="32">
        <v>58.0</v>
      </c>
      <c r="DE178" s="37"/>
      <c r="DF178" s="37"/>
      <c r="DG178" s="32" t="s">
        <v>4643</v>
      </c>
      <c r="DH178" s="32">
        <v>56.0</v>
      </c>
      <c r="DI178" s="37"/>
      <c r="DJ178" s="37"/>
      <c r="DK178" s="37"/>
      <c r="DL178" s="32">
        <v>27.0</v>
      </c>
      <c r="DM178" s="32">
        <v>0.0</v>
      </c>
      <c r="DN178" s="39">
        <v>0.0</v>
      </c>
      <c r="DO178" s="32" t="s">
        <v>3600</v>
      </c>
      <c r="DP178" s="38" t="s">
        <v>7006</v>
      </c>
      <c r="DQ178" s="37"/>
      <c r="DR178" s="37"/>
      <c r="DS178" s="37"/>
      <c r="DT178" s="37"/>
      <c r="DU178" s="37"/>
      <c r="DV178" s="37"/>
      <c r="DW178" s="34"/>
      <c r="DX178" s="37"/>
      <c r="DY178" s="34"/>
      <c r="DZ178" s="37"/>
      <c r="EA178" s="37"/>
      <c r="EB178" s="34"/>
      <c r="EC178" s="37"/>
      <c r="ED178" s="37"/>
      <c r="EE178" s="37"/>
      <c r="EF178" s="37"/>
      <c r="EG178" s="34"/>
      <c r="EH178" s="37"/>
      <c r="EI178" s="37"/>
      <c r="EJ178" s="37"/>
      <c r="EK178" s="34"/>
      <c r="EL178" s="37"/>
      <c r="EM178" s="37"/>
      <c r="EN178" s="37"/>
      <c r="EO178" s="37"/>
      <c r="EP178" s="40" t="s">
        <v>3559</v>
      </c>
    </row>
    <row r="179">
      <c r="A179" s="41">
        <v>15.08</v>
      </c>
      <c r="B179" s="42" t="s">
        <v>7007</v>
      </c>
      <c r="C179" s="43"/>
      <c r="D179" s="42" t="s">
        <v>7008</v>
      </c>
      <c r="E179" s="42" t="s">
        <v>7009</v>
      </c>
      <c r="F179" s="42" t="s">
        <v>7010</v>
      </c>
      <c r="G179" s="42" t="s">
        <v>7011</v>
      </c>
      <c r="H179" s="42" t="s">
        <v>3563</v>
      </c>
      <c r="I179" s="42" t="s">
        <v>3609</v>
      </c>
      <c r="J179" s="42" t="s">
        <v>3610</v>
      </c>
      <c r="K179" s="42" t="s">
        <v>7012</v>
      </c>
      <c r="L179" s="42" t="s">
        <v>5684</v>
      </c>
      <c r="M179" s="42" t="s">
        <v>7013</v>
      </c>
      <c r="N179" s="42" t="s">
        <v>5018</v>
      </c>
      <c r="O179" s="42" t="s">
        <v>7014</v>
      </c>
      <c r="P179" s="42"/>
      <c r="R179" s="42" t="s">
        <v>3571</v>
      </c>
      <c r="S179" s="42" t="s">
        <v>5020</v>
      </c>
      <c r="T179" s="42" t="s">
        <v>3573</v>
      </c>
      <c r="U179" s="44" t="s">
        <v>7015</v>
      </c>
      <c r="V179" s="43"/>
      <c r="W179" s="41">
        <v>30.0</v>
      </c>
      <c r="X179" s="42" t="s">
        <v>7016</v>
      </c>
      <c r="Y179" s="43"/>
      <c r="Z179" s="43"/>
      <c r="AA179" s="41">
        <v>2014.0</v>
      </c>
      <c r="AB179" s="43"/>
      <c r="AC179" s="43"/>
      <c r="AD179" s="43"/>
      <c r="AE179" s="45"/>
      <c r="AF179" s="45"/>
      <c r="AG179" s="45"/>
      <c r="AH179" s="45"/>
      <c r="AI179" s="45"/>
      <c r="AJ179" s="45"/>
      <c r="AK179" s="45"/>
      <c r="AL179" s="45"/>
      <c r="AM179" s="45"/>
      <c r="AN179" s="45"/>
      <c r="AO179" s="43"/>
      <c r="AP179" s="43"/>
      <c r="AQ179" s="43"/>
      <c r="AR179" s="43"/>
      <c r="AS179" s="43"/>
      <c r="AT179" s="42" t="s">
        <v>3581</v>
      </c>
      <c r="AU179" s="42" t="s">
        <v>7017</v>
      </c>
      <c r="AV179" s="43"/>
      <c r="AW179" s="42" t="s">
        <v>75</v>
      </c>
      <c r="AX179" s="43"/>
      <c r="AY179" s="41">
        <v>6789208.0</v>
      </c>
      <c r="AZ179" s="42" t="s">
        <v>41</v>
      </c>
      <c r="BA179" s="45"/>
      <c r="BB179" s="45"/>
      <c r="BC179" s="43"/>
      <c r="BD179" s="42" t="s">
        <v>3584</v>
      </c>
      <c r="BE179" s="42" t="s">
        <v>3584</v>
      </c>
      <c r="BF179" s="42" t="s">
        <v>7018</v>
      </c>
      <c r="BG179" s="43"/>
      <c r="BH179" s="45"/>
      <c r="BI179" s="42" t="s">
        <v>7019</v>
      </c>
      <c r="BJ179" s="42" t="s">
        <v>7020</v>
      </c>
      <c r="BK179" s="43"/>
      <c r="BL179" s="43"/>
      <c r="BM179" s="42" t="s">
        <v>7021</v>
      </c>
      <c r="BN179" s="43"/>
      <c r="BO179" s="43"/>
      <c r="BP179" s="43"/>
      <c r="BQ179" s="46" t="s">
        <v>7022</v>
      </c>
      <c r="BR179" s="41">
        <v>4.0</v>
      </c>
      <c r="BS179" s="42" t="s">
        <v>3593</v>
      </c>
      <c r="BT179" s="45"/>
      <c r="BU179" s="43"/>
      <c r="BV179" s="42" t="s">
        <v>3802</v>
      </c>
      <c r="BW179" s="42" t="s">
        <v>3802</v>
      </c>
      <c r="BX179" s="43"/>
      <c r="BY179" s="42" t="s">
        <v>3803</v>
      </c>
      <c r="BZ179" s="43"/>
      <c r="CA179" s="42" t="s">
        <v>3591</v>
      </c>
      <c r="CB179" s="46" t="s">
        <v>7023</v>
      </c>
      <c r="CC179" s="41">
        <v>12.0</v>
      </c>
      <c r="CD179" s="42" t="s">
        <v>3593</v>
      </c>
      <c r="CE179" s="41">
        <v>12.0</v>
      </c>
      <c r="CF179" s="42" t="s">
        <v>3697</v>
      </c>
      <c r="CG179" s="42" t="s">
        <v>4977</v>
      </c>
      <c r="CH179" s="43"/>
      <c r="CI179" s="43"/>
      <c r="CJ179" s="42" t="s">
        <v>3663</v>
      </c>
      <c r="CK179" s="45"/>
      <c r="CL179" s="45"/>
      <c r="CM179" s="43"/>
      <c r="CN179" s="42" t="s">
        <v>3591</v>
      </c>
      <c r="CO179" s="45"/>
      <c r="CP179" s="45"/>
      <c r="CQ179" s="45"/>
      <c r="CR179" s="45"/>
      <c r="CS179" s="45"/>
      <c r="CT179" s="45"/>
      <c r="CU179" s="45"/>
      <c r="CV179" s="45"/>
      <c r="CW179" s="45"/>
      <c r="CX179" s="45"/>
      <c r="CY179" s="45"/>
      <c r="CZ179" s="45"/>
      <c r="DA179" s="45"/>
      <c r="DB179" s="45"/>
      <c r="DC179" s="45"/>
      <c r="DD179" s="45"/>
      <c r="DE179" s="45"/>
      <c r="DF179" s="45"/>
      <c r="DG179" s="45"/>
      <c r="DH179" s="45"/>
      <c r="DI179" s="45"/>
      <c r="DJ179" s="45"/>
      <c r="DK179" s="45"/>
      <c r="DL179" s="45"/>
      <c r="DM179" s="45"/>
      <c r="DN179" s="45"/>
      <c r="DO179" s="41" t="s">
        <v>3600</v>
      </c>
      <c r="DP179" s="46" t="s">
        <v>7024</v>
      </c>
      <c r="DQ179" s="52">
        <v>5032.0</v>
      </c>
      <c r="DR179" s="52">
        <v>1492.0</v>
      </c>
      <c r="DS179" s="52">
        <v>2640.0</v>
      </c>
      <c r="DT179" s="41">
        <v>240.0</v>
      </c>
      <c r="DU179" s="41">
        <v>83.0</v>
      </c>
      <c r="DV179" s="52">
        <v>2152.0</v>
      </c>
      <c r="DW179" s="42" t="s">
        <v>7025</v>
      </c>
      <c r="DX179" s="45"/>
      <c r="DY179" s="43"/>
      <c r="DZ179" s="45"/>
      <c r="EA179" s="45"/>
      <c r="EB179" s="43"/>
      <c r="EC179" s="45"/>
      <c r="ED179" s="45"/>
      <c r="EE179" s="41">
        <v>12.0</v>
      </c>
      <c r="EF179" s="46" t="s">
        <v>7023</v>
      </c>
      <c r="EG179" s="42" t="s">
        <v>4977</v>
      </c>
      <c r="EH179" s="45"/>
      <c r="EI179" s="45"/>
      <c r="EJ179" s="45"/>
      <c r="EK179" s="43"/>
      <c r="EL179" s="45"/>
      <c r="EM179" s="45"/>
      <c r="EN179" s="45"/>
      <c r="EO179" s="45"/>
      <c r="EP179" s="48" t="s">
        <v>3559</v>
      </c>
    </row>
    <row r="180">
      <c r="A180" s="32">
        <v>60.0</v>
      </c>
      <c r="B180" s="35" t="s">
        <v>1437</v>
      </c>
      <c r="C180" s="34"/>
      <c r="D180" s="34"/>
      <c r="E180" s="35" t="s">
        <v>7026</v>
      </c>
      <c r="F180" s="35" t="s">
        <v>7027</v>
      </c>
      <c r="G180" s="35" t="s">
        <v>7028</v>
      </c>
      <c r="H180" s="35" t="s">
        <v>4560</v>
      </c>
      <c r="I180" s="35" t="s">
        <v>4561</v>
      </c>
      <c r="J180" s="35" t="s">
        <v>66</v>
      </c>
      <c r="K180" s="35" t="s">
        <v>7029</v>
      </c>
      <c r="L180" s="35" t="s">
        <v>7030</v>
      </c>
      <c r="M180" s="35" t="s">
        <v>7031</v>
      </c>
      <c r="N180" s="35" t="s">
        <v>5018</v>
      </c>
      <c r="O180" s="35" t="s">
        <v>7032</v>
      </c>
      <c r="P180" s="35"/>
      <c r="R180" s="35" t="s">
        <v>5222</v>
      </c>
      <c r="S180" s="35" t="s">
        <v>5222</v>
      </c>
      <c r="T180" s="35" t="s">
        <v>3573</v>
      </c>
      <c r="U180" s="36" t="s">
        <v>7033</v>
      </c>
      <c r="V180" s="34"/>
      <c r="W180" s="32">
        <v>80.0</v>
      </c>
      <c r="X180" s="35" t="s">
        <v>7034</v>
      </c>
      <c r="Y180" s="34"/>
      <c r="Z180" s="34"/>
      <c r="AA180" s="32">
        <v>2016.0</v>
      </c>
      <c r="AB180" s="34"/>
      <c r="AC180" s="34"/>
      <c r="AD180" s="34"/>
      <c r="AE180" s="37"/>
      <c r="AF180" s="37"/>
      <c r="AG180" s="37"/>
      <c r="AH180" s="37"/>
      <c r="AI180" s="37"/>
      <c r="AJ180" s="37"/>
      <c r="AK180" s="37"/>
      <c r="AL180" s="37"/>
      <c r="AM180" s="37"/>
      <c r="AN180" s="37"/>
      <c r="AO180" s="34"/>
      <c r="AP180" s="34"/>
      <c r="AQ180" s="34"/>
      <c r="AR180" s="34"/>
      <c r="AS180" s="34"/>
      <c r="AT180" s="35" t="s">
        <v>5917</v>
      </c>
      <c r="AU180" s="35" t="s">
        <v>7035</v>
      </c>
      <c r="AV180" s="35" t="s">
        <v>7036</v>
      </c>
      <c r="AW180" s="35" t="s">
        <v>1442</v>
      </c>
      <c r="AX180" s="34"/>
      <c r="AY180" s="32">
        <v>7210202.0</v>
      </c>
      <c r="AZ180" s="35" t="s">
        <v>41</v>
      </c>
      <c r="BA180" s="37"/>
      <c r="BB180" s="37"/>
      <c r="BC180" s="34"/>
      <c r="BD180" s="35" t="s">
        <v>3584</v>
      </c>
      <c r="BE180" s="35" t="s">
        <v>3584</v>
      </c>
      <c r="BF180" s="35" t="s">
        <v>7037</v>
      </c>
      <c r="BG180" s="34"/>
      <c r="BH180" s="37"/>
      <c r="BI180" s="34"/>
      <c r="BJ180" s="35" t="s">
        <v>7038</v>
      </c>
      <c r="BK180" s="34"/>
      <c r="BL180" s="34"/>
      <c r="BM180" s="35" t="s">
        <v>7039</v>
      </c>
      <c r="BN180" s="34"/>
      <c r="BO180" s="34"/>
      <c r="BP180" s="34"/>
      <c r="BQ180" s="38" t="s">
        <v>7040</v>
      </c>
      <c r="BR180" s="37"/>
      <c r="BS180" s="34"/>
      <c r="BT180" s="37"/>
      <c r="BU180" s="34"/>
      <c r="BV180" s="35" t="s">
        <v>3589</v>
      </c>
      <c r="BW180" s="34"/>
      <c r="BX180" s="34"/>
      <c r="BY180" s="35" t="s">
        <v>3590</v>
      </c>
      <c r="BZ180" s="34"/>
      <c r="CA180" s="35" t="s">
        <v>3591</v>
      </c>
      <c r="CB180" s="38" t="s">
        <v>7041</v>
      </c>
      <c r="CC180" s="37"/>
      <c r="CD180" s="34"/>
      <c r="CE180" s="37"/>
      <c r="CF180" s="34"/>
      <c r="CG180" s="35" t="s">
        <v>5222</v>
      </c>
      <c r="CH180" s="34"/>
      <c r="CI180" s="34"/>
      <c r="CJ180" s="35" t="s">
        <v>5222</v>
      </c>
      <c r="CK180" s="37"/>
      <c r="CL180" s="37"/>
      <c r="CM180" s="34"/>
      <c r="CN180" s="35" t="s">
        <v>3591</v>
      </c>
      <c r="CO180" s="37"/>
      <c r="CP180" s="37"/>
      <c r="CQ180" s="37"/>
      <c r="CR180" s="37"/>
      <c r="CS180" s="37"/>
      <c r="CT180" s="37"/>
      <c r="CU180" s="37"/>
      <c r="CV180" s="37"/>
      <c r="CW180" s="37"/>
      <c r="CX180" s="37"/>
      <c r="CY180" s="37"/>
      <c r="CZ180" s="37"/>
      <c r="DA180" s="37"/>
      <c r="DB180" s="37"/>
      <c r="DC180" s="37"/>
      <c r="DD180" s="37"/>
      <c r="DE180" s="37"/>
      <c r="DF180" s="37"/>
      <c r="DG180" s="37"/>
      <c r="DH180" s="37"/>
      <c r="DI180" s="37"/>
      <c r="DJ180" s="37"/>
      <c r="DK180" s="37"/>
      <c r="DL180" s="37"/>
      <c r="DM180" s="37"/>
      <c r="DN180" s="37"/>
      <c r="DO180" s="32" t="s">
        <v>3600</v>
      </c>
      <c r="DP180" s="38" t="s">
        <v>6624</v>
      </c>
      <c r="DQ180" s="32">
        <v>42.0</v>
      </c>
      <c r="DR180" s="32">
        <v>3.0</v>
      </c>
      <c r="DS180" s="32">
        <v>33.0</v>
      </c>
      <c r="DT180" s="32">
        <v>3.0</v>
      </c>
      <c r="DU180" s="37"/>
      <c r="DV180" s="32">
        <v>6.0</v>
      </c>
      <c r="DW180" s="35" t="s">
        <v>4160</v>
      </c>
      <c r="DX180" s="37"/>
      <c r="DY180" s="34"/>
      <c r="DZ180" s="37"/>
      <c r="EA180" s="37"/>
      <c r="EB180" s="34"/>
      <c r="EC180" s="37"/>
      <c r="ED180" s="37"/>
      <c r="EE180" s="32">
        <v>96.51</v>
      </c>
      <c r="EF180" s="38" t="s">
        <v>7042</v>
      </c>
      <c r="EG180" s="35" t="s">
        <v>3669</v>
      </c>
      <c r="EH180" s="37"/>
      <c r="EI180" s="37"/>
      <c r="EJ180" s="37"/>
      <c r="EK180" s="34"/>
      <c r="EL180" s="37"/>
      <c r="EM180" s="37"/>
      <c r="EN180" s="37"/>
      <c r="EO180" s="32">
        <v>7.83</v>
      </c>
      <c r="EP180" s="40" t="s">
        <v>3559</v>
      </c>
    </row>
    <row r="181">
      <c r="A181" s="45"/>
      <c r="B181" s="42" t="s">
        <v>7043</v>
      </c>
      <c r="C181" s="43"/>
      <c r="D181" s="43"/>
      <c r="E181" s="42" t="s">
        <v>7044</v>
      </c>
      <c r="F181" s="43"/>
      <c r="G181" s="42" t="s">
        <v>7045</v>
      </c>
      <c r="H181" s="42" t="s">
        <v>3867</v>
      </c>
      <c r="I181" s="42" t="s">
        <v>3897</v>
      </c>
      <c r="J181" s="42" t="s">
        <v>5092</v>
      </c>
      <c r="K181" s="42" t="s">
        <v>7046</v>
      </c>
      <c r="L181" s="42" t="s">
        <v>5736</v>
      </c>
      <c r="M181" s="42" t="s">
        <v>7047</v>
      </c>
      <c r="N181" s="42" t="s">
        <v>4962</v>
      </c>
      <c r="O181" s="42" t="s">
        <v>7048</v>
      </c>
      <c r="P181" s="42"/>
      <c r="R181" s="42" t="s">
        <v>3571</v>
      </c>
      <c r="S181" s="42" t="s">
        <v>5020</v>
      </c>
      <c r="T181" s="42" t="s">
        <v>3603</v>
      </c>
      <c r="U181" s="43"/>
      <c r="V181" s="43"/>
      <c r="W181" s="45"/>
      <c r="X181" s="43"/>
      <c r="Y181" s="43"/>
      <c r="Z181" s="43"/>
      <c r="AA181" s="41">
        <v>1994.0</v>
      </c>
      <c r="AB181" s="43"/>
      <c r="AC181" s="43"/>
      <c r="AD181" s="43"/>
      <c r="AE181" s="45"/>
      <c r="AF181" s="45"/>
      <c r="AG181" s="45"/>
      <c r="AH181" s="45"/>
      <c r="AI181" s="45"/>
      <c r="AJ181" s="45"/>
      <c r="AK181" s="45"/>
      <c r="AL181" s="45"/>
      <c r="AM181" s="45"/>
      <c r="AN181" s="45"/>
      <c r="AO181" s="43"/>
      <c r="AP181" s="43"/>
      <c r="AQ181" s="43"/>
      <c r="AR181" s="43"/>
      <c r="AS181" s="43"/>
      <c r="AT181" s="42" t="s">
        <v>3581</v>
      </c>
      <c r="AU181" s="42" t="s">
        <v>7049</v>
      </c>
      <c r="AV181" s="42" t="s">
        <v>75</v>
      </c>
      <c r="AW181" s="42" t="s">
        <v>75</v>
      </c>
      <c r="AX181" s="43"/>
      <c r="AY181" s="41">
        <v>6701101.0</v>
      </c>
      <c r="AZ181" s="42" t="s">
        <v>41</v>
      </c>
      <c r="BA181" s="45"/>
      <c r="BB181" s="45"/>
      <c r="BC181" s="43"/>
      <c r="BD181" s="42" t="s">
        <v>3584</v>
      </c>
      <c r="BE181" s="42" t="s">
        <v>3584</v>
      </c>
      <c r="BF181" s="42" t="s">
        <v>7050</v>
      </c>
      <c r="BG181" s="43"/>
      <c r="BH181" s="45"/>
      <c r="BI181" s="42" t="s">
        <v>7051</v>
      </c>
      <c r="BJ181" s="43"/>
      <c r="BK181" s="43"/>
      <c r="BL181" s="43"/>
      <c r="BM181" s="43"/>
      <c r="BN181" s="43"/>
      <c r="BO181" s="43"/>
      <c r="BP181" s="43"/>
      <c r="BQ181" s="46" t="s">
        <v>7052</v>
      </c>
      <c r="BR181" s="41">
        <v>4.76</v>
      </c>
      <c r="BS181" s="42" t="s">
        <v>3593</v>
      </c>
      <c r="BT181" s="41">
        <v>9.51</v>
      </c>
      <c r="BU181" s="42" t="s">
        <v>3697</v>
      </c>
      <c r="BV181" s="42" t="s">
        <v>4977</v>
      </c>
      <c r="BW181" s="43"/>
      <c r="BX181" s="43"/>
      <c r="BY181" s="42" t="s">
        <v>3663</v>
      </c>
      <c r="BZ181" s="43"/>
      <c r="CA181" s="42" t="s">
        <v>3591</v>
      </c>
      <c r="CB181" s="46" t="s">
        <v>7052</v>
      </c>
      <c r="CC181" s="41">
        <v>4.76</v>
      </c>
      <c r="CD181" s="42" t="s">
        <v>3593</v>
      </c>
      <c r="CE181" s="41">
        <v>9.51</v>
      </c>
      <c r="CF181" s="42" t="s">
        <v>3697</v>
      </c>
      <c r="CG181" s="42" t="s">
        <v>4977</v>
      </c>
      <c r="CH181" s="43"/>
      <c r="CI181" s="43"/>
      <c r="CJ181" s="42" t="s">
        <v>3663</v>
      </c>
      <c r="CK181" s="45"/>
      <c r="CL181" s="45"/>
      <c r="CM181" s="43"/>
      <c r="CN181" s="42" t="s">
        <v>3591</v>
      </c>
      <c r="CO181" s="45"/>
      <c r="CP181" s="45"/>
      <c r="CQ181" s="45"/>
      <c r="CR181" s="45"/>
      <c r="CS181" s="45"/>
      <c r="CT181" s="45"/>
      <c r="CU181" s="45"/>
      <c r="CV181" s="45"/>
      <c r="CW181" s="45"/>
      <c r="CX181" s="45"/>
      <c r="CY181" s="45"/>
      <c r="CZ181" s="45"/>
      <c r="DA181" s="45"/>
      <c r="DB181" s="45"/>
      <c r="DC181" s="45"/>
      <c r="DD181" s="45"/>
      <c r="DE181" s="45"/>
      <c r="DF181" s="45"/>
      <c r="DG181" s="45"/>
      <c r="DH181" s="45"/>
      <c r="DI181" s="45"/>
      <c r="DJ181" s="45"/>
      <c r="DK181" s="45"/>
      <c r="DL181" s="45"/>
      <c r="DM181" s="45"/>
      <c r="DN181" s="45"/>
      <c r="DO181" s="41" t="s">
        <v>3600</v>
      </c>
      <c r="DP181" s="46" t="s">
        <v>5350</v>
      </c>
      <c r="DQ181" s="41">
        <v>15.0</v>
      </c>
      <c r="DR181" s="41">
        <v>3.0</v>
      </c>
      <c r="DS181" s="41">
        <v>6.0</v>
      </c>
      <c r="DT181" s="45"/>
      <c r="DU181" s="45"/>
      <c r="DV181" s="41">
        <v>9.0</v>
      </c>
      <c r="DW181" s="42" t="s">
        <v>7053</v>
      </c>
      <c r="DX181" s="45"/>
      <c r="DY181" s="43"/>
      <c r="DZ181" s="45"/>
      <c r="EA181" s="45"/>
      <c r="EB181" s="43"/>
      <c r="EC181" s="45"/>
      <c r="ED181" s="45"/>
      <c r="EE181" s="41">
        <v>9.51</v>
      </c>
      <c r="EF181" s="46" t="s">
        <v>7052</v>
      </c>
      <c r="EG181" s="42" t="s">
        <v>4977</v>
      </c>
      <c r="EH181" s="45"/>
      <c r="EI181" s="45"/>
      <c r="EJ181" s="45"/>
      <c r="EK181" s="43"/>
      <c r="EL181" s="45"/>
      <c r="EM181" s="45"/>
      <c r="EN181" s="45"/>
      <c r="EO181" s="45"/>
      <c r="EP181" s="48" t="s">
        <v>3559</v>
      </c>
    </row>
    <row r="182">
      <c r="A182" s="37"/>
      <c r="B182" s="35" t="s">
        <v>7054</v>
      </c>
      <c r="C182" s="34"/>
      <c r="D182" s="34"/>
      <c r="E182" s="34"/>
      <c r="F182" s="34"/>
      <c r="G182" s="35" t="s">
        <v>7055</v>
      </c>
      <c r="H182" s="35" t="s">
        <v>3563</v>
      </c>
      <c r="I182" s="35" t="s">
        <v>4648</v>
      </c>
      <c r="J182" s="35" t="s">
        <v>7056</v>
      </c>
      <c r="K182" s="35" t="s">
        <v>7057</v>
      </c>
      <c r="L182" s="34"/>
      <c r="M182" s="34"/>
      <c r="N182" s="35" t="s">
        <v>4923</v>
      </c>
      <c r="O182" s="35" t="s">
        <v>7058</v>
      </c>
      <c r="P182" s="35"/>
      <c r="R182" s="34"/>
      <c r="S182" s="35" t="s">
        <v>4925</v>
      </c>
      <c r="T182" s="35" t="s">
        <v>4926</v>
      </c>
      <c r="U182" s="36" t="s">
        <v>7059</v>
      </c>
      <c r="V182" s="36" t="s">
        <v>7060</v>
      </c>
      <c r="W182" s="32">
        <v>2.0</v>
      </c>
      <c r="X182" s="35" t="s">
        <v>6401</v>
      </c>
      <c r="Y182" s="34"/>
      <c r="Z182" s="34"/>
      <c r="AA182" s="37"/>
      <c r="AB182" s="34"/>
      <c r="AC182" s="34"/>
      <c r="AD182" s="34"/>
      <c r="AE182" s="37"/>
      <c r="AF182" s="37"/>
      <c r="AG182" s="37"/>
      <c r="AH182" s="37"/>
      <c r="AI182" s="37"/>
      <c r="AJ182" s="37"/>
      <c r="AK182" s="37"/>
      <c r="AL182" s="37"/>
      <c r="AM182" s="37"/>
      <c r="AN182" s="37"/>
      <c r="AO182" s="34"/>
      <c r="AP182" s="34"/>
      <c r="AQ182" s="34"/>
      <c r="AR182" s="34"/>
      <c r="AS182" s="34"/>
      <c r="AT182" s="35" t="s">
        <v>6220</v>
      </c>
      <c r="AU182" s="35" t="s">
        <v>7061</v>
      </c>
      <c r="AV182" s="34"/>
      <c r="AW182" s="35" t="s">
        <v>6222</v>
      </c>
      <c r="AX182" s="34"/>
      <c r="AY182" s="32">
        <v>580025.0</v>
      </c>
      <c r="AZ182" s="35" t="s">
        <v>41</v>
      </c>
      <c r="BA182" s="37"/>
      <c r="BB182" s="37"/>
      <c r="BC182" s="34"/>
      <c r="BD182" s="35" t="s">
        <v>3584</v>
      </c>
      <c r="BE182" s="35" t="s">
        <v>3584</v>
      </c>
      <c r="BF182" s="34"/>
      <c r="BG182" s="34"/>
      <c r="BH182" s="37"/>
      <c r="BI182" s="34"/>
      <c r="BJ182" s="34"/>
      <c r="BK182" s="34"/>
      <c r="BL182" s="34"/>
      <c r="BM182" s="34"/>
      <c r="BN182" s="34"/>
      <c r="BO182" s="34"/>
      <c r="BP182" s="34"/>
      <c r="BQ182" s="37"/>
      <c r="BR182" s="37"/>
      <c r="BS182" s="34"/>
      <c r="BT182" s="37"/>
      <c r="BU182" s="34"/>
      <c r="BV182" s="34"/>
      <c r="BW182" s="34"/>
      <c r="BX182" s="34"/>
      <c r="BY182" s="34"/>
      <c r="BZ182" s="34"/>
      <c r="CA182" s="34"/>
      <c r="CB182" s="37"/>
      <c r="CC182" s="37"/>
      <c r="CD182" s="34"/>
      <c r="CE182" s="37"/>
      <c r="CF182" s="34"/>
      <c r="CG182" s="34"/>
      <c r="CH182" s="34"/>
      <c r="CI182" s="34"/>
      <c r="CJ182" s="34"/>
      <c r="CK182" s="37"/>
      <c r="CL182" s="37"/>
      <c r="CM182" s="34"/>
      <c r="CN182" s="34"/>
      <c r="CO182" s="39">
        <v>0.0</v>
      </c>
      <c r="CP182" s="32">
        <v>14.0</v>
      </c>
      <c r="CQ182" s="39">
        <v>0.0</v>
      </c>
      <c r="CR182" s="39">
        <v>0.0</v>
      </c>
      <c r="CS182" s="39">
        <v>0.0</v>
      </c>
      <c r="CT182" s="32">
        <v>12.0</v>
      </c>
      <c r="CU182" s="37"/>
      <c r="CV182" s="37"/>
      <c r="CW182" s="39">
        <v>0.0</v>
      </c>
      <c r="CX182" s="32">
        <v>12.0</v>
      </c>
      <c r="CY182" s="32" t="s">
        <v>4663</v>
      </c>
      <c r="CZ182" s="32">
        <v>35.0</v>
      </c>
      <c r="DA182" s="32" t="s">
        <v>3598</v>
      </c>
      <c r="DB182" s="39">
        <v>0.0</v>
      </c>
      <c r="DC182" s="32" t="s">
        <v>4663</v>
      </c>
      <c r="DD182" s="32">
        <v>37.0</v>
      </c>
      <c r="DE182" s="37"/>
      <c r="DF182" s="37"/>
      <c r="DG182" s="32" t="s">
        <v>4663</v>
      </c>
      <c r="DH182" s="32">
        <v>34.0</v>
      </c>
      <c r="DI182" s="32">
        <v>0.0</v>
      </c>
      <c r="DJ182" s="32">
        <v>0.0</v>
      </c>
      <c r="DK182" s="39">
        <v>0.0</v>
      </c>
      <c r="DL182" s="32">
        <v>16.0</v>
      </c>
      <c r="DM182" s="32">
        <v>0.0</v>
      </c>
      <c r="DN182" s="39">
        <v>0.0</v>
      </c>
      <c r="DO182" s="32" t="s">
        <v>5066</v>
      </c>
      <c r="DP182" s="38" t="s">
        <v>6493</v>
      </c>
      <c r="DQ182" s="37"/>
      <c r="DR182" s="37"/>
      <c r="DS182" s="37"/>
      <c r="DT182" s="37"/>
      <c r="DU182" s="37"/>
      <c r="DV182" s="37"/>
      <c r="DW182" s="34"/>
      <c r="DX182" s="37"/>
      <c r="DY182" s="34"/>
      <c r="DZ182" s="37"/>
      <c r="EA182" s="37"/>
      <c r="EB182" s="34"/>
      <c r="EC182" s="37"/>
      <c r="ED182" s="37"/>
      <c r="EE182" s="37"/>
      <c r="EF182" s="37"/>
      <c r="EG182" s="34"/>
      <c r="EH182" s="37"/>
      <c r="EI182" s="37"/>
      <c r="EJ182" s="37"/>
      <c r="EK182" s="34"/>
      <c r="EL182" s="37"/>
      <c r="EM182" s="37"/>
      <c r="EN182" s="37"/>
      <c r="EO182" s="37"/>
      <c r="EP182" s="40" t="s">
        <v>3559</v>
      </c>
    </row>
    <row r="183">
      <c r="A183" s="45"/>
      <c r="B183" s="42" t="s">
        <v>7062</v>
      </c>
      <c r="C183" s="43"/>
      <c r="D183" s="43"/>
      <c r="E183" s="42" t="s">
        <v>7063</v>
      </c>
      <c r="F183" s="43"/>
      <c r="G183" s="42" t="s">
        <v>7064</v>
      </c>
      <c r="H183" s="42" t="s">
        <v>3867</v>
      </c>
      <c r="I183" s="42" t="s">
        <v>7065</v>
      </c>
      <c r="J183" s="42" t="s">
        <v>7066</v>
      </c>
      <c r="K183" s="42" t="s">
        <v>7067</v>
      </c>
      <c r="L183" s="42" t="s">
        <v>5736</v>
      </c>
      <c r="M183" s="42" t="s">
        <v>7068</v>
      </c>
      <c r="N183" s="42" t="s">
        <v>4962</v>
      </c>
      <c r="O183" s="42" t="s">
        <v>7069</v>
      </c>
      <c r="P183" s="42"/>
      <c r="R183" s="43"/>
      <c r="S183" s="42" t="s">
        <v>5020</v>
      </c>
      <c r="T183" s="42" t="s">
        <v>3603</v>
      </c>
      <c r="U183" s="44" t="s">
        <v>7070</v>
      </c>
      <c r="V183" s="43"/>
      <c r="W183" s="45"/>
      <c r="X183" s="43"/>
      <c r="Y183" s="43"/>
      <c r="Z183" s="43"/>
      <c r="AA183" s="45"/>
      <c r="AB183" s="43"/>
      <c r="AC183" s="43"/>
      <c r="AD183" s="43"/>
      <c r="AE183" s="45"/>
      <c r="AF183" s="45"/>
      <c r="AG183" s="45"/>
      <c r="AH183" s="45"/>
      <c r="AI183" s="45"/>
      <c r="AJ183" s="45"/>
      <c r="AK183" s="45"/>
      <c r="AL183" s="45"/>
      <c r="AM183" s="45"/>
      <c r="AN183" s="45"/>
      <c r="AO183" s="43"/>
      <c r="AP183" s="43"/>
      <c r="AQ183" s="43"/>
      <c r="AR183" s="43"/>
      <c r="AS183" s="43"/>
      <c r="AT183" s="42" t="s">
        <v>5629</v>
      </c>
      <c r="AU183" s="42" t="s">
        <v>7071</v>
      </c>
      <c r="AV183" s="43"/>
      <c r="AW183" s="42" t="s">
        <v>1407</v>
      </c>
      <c r="AX183" s="43"/>
      <c r="AY183" s="45"/>
      <c r="AZ183" s="42" t="s">
        <v>41</v>
      </c>
      <c r="BA183" s="45" t="str">
        <f>+972 (0)3 538 3838</f>
        <v>#ERROR!</v>
      </c>
      <c r="BB183" s="45"/>
      <c r="BC183" s="43"/>
      <c r="BD183" s="42" t="s">
        <v>3584</v>
      </c>
      <c r="BE183" s="42" t="s">
        <v>3584</v>
      </c>
      <c r="BF183" s="42" t="s">
        <v>7072</v>
      </c>
      <c r="BG183" s="43"/>
      <c r="BH183" s="45"/>
      <c r="BI183" s="43"/>
      <c r="BJ183" s="43"/>
      <c r="BK183" s="43"/>
      <c r="BL183" s="43"/>
      <c r="BM183" s="43"/>
      <c r="BN183" s="43"/>
      <c r="BO183" s="43"/>
      <c r="BP183" s="43"/>
      <c r="BQ183" s="45"/>
      <c r="BR183" s="45"/>
      <c r="BS183" s="43"/>
      <c r="BT183" s="45"/>
      <c r="BU183" s="43"/>
      <c r="BV183" s="43"/>
      <c r="BW183" s="43"/>
      <c r="BX183" s="43"/>
      <c r="BY183" s="43"/>
      <c r="BZ183" s="43"/>
      <c r="CA183" s="43"/>
      <c r="CB183" s="45"/>
      <c r="CC183" s="45"/>
      <c r="CD183" s="43"/>
      <c r="CE183" s="45"/>
      <c r="CF183" s="43"/>
      <c r="CG183" s="43"/>
      <c r="CH183" s="43"/>
      <c r="CI183" s="43"/>
      <c r="CJ183" s="43"/>
      <c r="CK183" s="45"/>
      <c r="CL183" s="45"/>
      <c r="CM183" s="43"/>
      <c r="CN183" s="43"/>
      <c r="CO183" s="45"/>
      <c r="CP183" s="45"/>
      <c r="CQ183" s="45"/>
      <c r="CR183" s="45"/>
      <c r="CS183" s="45"/>
      <c r="CT183" s="45"/>
      <c r="CU183" s="45"/>
      <c r="CV183" s="45"/>
      <c r="CW183" s="45"/>
      <c r="CX183" s="45"/>
      <c r="CY183" s="45"/>
      <c r="CZ183" s="45"/>
      <c r="DA183" s="45"/>
      <c r="DB183" s="45"/>
      <c r="DC183" s="45"/>
      <c r="DD183" s="45"/>
      <c r="DE183" s="45"/>
      <c r="DF183" s="45"/>
      <c r="DG183" s="45"/>
      <c r="DH183" s="45"/>
      <c r="DI183" s="45"/>
      <c r="DJ183" s="45"/>
      <c r="DK183" s="45"/>
      <c r="DL183" s="45"/>
      <c r="DM183" s="45"/>
      <c r="DN183" s="45"/>
      <c r="DO183" s="41" t="s">
        <v>3600</v>
      </c>
      <c r="DP183" s="46" t="s">
        <v>7073</v>
      </c>
      <c r="DQ183" s="45"/>
      <c r="DR183" s="45"/>
      <c r="DS183" s="45"/>
      <c r="DT183" s="45"/>
      <c r="DU183" s="45"/>
      <c r="DV183" s="45"/>
      <c r="DW183" s="43"/>
      <c r="DX183" s="45"/>
      <c r="DY183" s="43"/>
      <c r="DZ183" s="45"/>
      <c r="EA183" s="45"/>
      <c r="EB183" s="43"/>
      <c r="EC183" s="45"/>
      <c r="ED183" s="45"/>
      <c r="EE183" s="45"/>
      <c r="EF183" s="45"/>
      <c r="EG183" s="43"/>
      <c r="EH183" s="45"/>
      <c r="EI183" s="45"/>
      <c r="EJ183" s="45"/>
      <c r="EK183" s="43"/>
      <c r="EL183" s="45"/>
      <c r="EM183" s="45"/>
      <c r="EN183" s="45"/>
      <c r="EO183" s="45"/>
      <c r="EP183" s="48" t="s">
        <v>3559</v>
      </c>
    </row>
    <row r="184">
      <c r="A184" s="37"/>
      <c r="B184" s="35" t="s">
        <v>7074</v>
      </c>
      <c r="C184" s="34"/>
      <c r="D184" s="34"/>
      <c r="E184" s="35" t="s">
        <v>7075</v>
      </c>
      <c r="F184" s="34"/>
      <c r="G184" s="35" t="s">
        <v>7076</v>
      </c>
      <c r="H184" s="35" t="s">
        <v>3563</v>
      </c>
      <c r="I184" s="35" t="s">
        <v>3609</v>
      </c>
      <c r="J184" s="35" t="s">
        <v>4050</v>
      </c>
      <c r="K184" s="35" t="s">
        <v>5964</v>
      </c>
      <c r="L184" s="35" t="s">
        <v>7077</v>
      </c>
      <c r="M184" s="35" t="s">
        <v>7078</v>
      </c>
      <c r="N184" s="35" t="s">
        <v>4923</v>
      </c>
      <c r="O184" s="35" t="s">
        <v>7079</v>
      </c>
      <c r="P184" s="35"/>
      <c r="R184" s="35" t="s">
        <v>5222</v>
      </c>
      <c r="S184" s="35" t="s">
        <v>5222</v>
      </c>
      <c r="T184" s="35" t="s">
        <v>4926</v>
      </c>
      <c r="U184" s="36" t="s">
        <v>7080</v>
      </c>
      <c r="V184" s="34"/>
      <c r="W184" s="32">
        <v>2.0</v>
      </c>
      <c r="X184" s="35" t="s">
        <v>5455</v>
      </c>
      <c r="Y184" s="34"/>
      <c r="Z184" s="34"/>
      <c r="AA184" s="32">
        <v>2022.0</v>
      </c>
      <c r="AB184" s="34"/>
      <c r="AC184" s="34"/>
      <c r="AD184" s="34"/>
      <c r="AE184" s="37"/>
      <c r="AF184" s="37"/>
      <c r="AG184" s="37"/>
      <c r="AH184" s="37"/>
      <c r="AI184" s="37"/>
      <c r="AJ184" s="37"/>
      <c r="AK184" s="37"/>
      <c r="AL184" s="37"/>
      <c r="AM184" s="37"/>
      <c r="AN184" s="37"/>
      <c r="AO184" s="34"/>
      <c r="AP184" s="34"/>
      <c r="AQ184" s="34"/>
      <c r="AR184" s="34"/>
      <c r="AS184" s="34"/>
      <c r="AT184" s="35" t="s">
        <v>41</v>
      </c>
      <c r="AU184" s="34"/>
      <c r="AV184" s="34"/>
      <c r="AW184" s="34"/>
      <c r="AX184" s="34"/>
      <c r="AY184" s="37"/>
      <c r="AZ184" s="35" t="s">
        <v>41</v>
      </c>
      <c r="BA184" s="37"/>
      <c r="BB184" s="37"/>
      <c r="BC184" s="34"/>
      <c r="BD184" s="35" t="s">
        <v>3584</v>
      </c>
      <c r="BE184" s="35" t="s">
        <v>3584</v>
      </c>
      <c r="BF184" s="35" t="s">
        <v>5332</v>
      </c>
      <c r="BG184" s="34"/>
      <c r="BH184" s="37"/>
      <c r="BI184" s="34"/>
      <c r="BJ184" s="34"/>
      <c r="BK184" s="34"/>
      <c r="BL184" s="34"/>
      <c r="BM184" s="34"/>
      <c r="BN184" s="34"/>
      <c r="BO184" s="34"/>
      <c r="BP184" s="34"/>
      <c r="BQ184" s="37"/>
      <c r="BR184" s="37"/>
      <c r="BS184" s="34"/>
      <c r="BT184" s="37"/>
      <c r="BU184" s="34"/>
      <c r="BV184" s="34"/>
      <c r="BW184" s="34"/>
      <c r="BX184" s="34"/>
      <c r="BY184" s="34"/>
      <c r="BZ184" s="34"/>
      <c r="CA184" s="34"/>
      <c r="CB184" s="37"/>
      <c r="CC184" s="37"/>
      <c r="CD184" s="34"/>
      <c r="CE184" s="37"/>
      <c r="CF184" s="34"/>
      <c r="CG184" s="34"/>
      <c r="CH184" s="34"/>
      <c r="CI184" s="34"/>
      <c r="CJ184" s="34"/>
      <c r="CK184" s="37"/>
      <c r="CL184" s="37"/>
      <c r="CM184" s="34"/>
      <c r="CN184" s="34"/>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c r="DO184" s="32" t="s">
        <v>3600</v>
      </c>
      <c r="DP184" s="38" t="s">
        <v>6394</v>
      </c>
      <c r="DQ184" s="37"/>
      <c r="DR184" s="37"/>
      <c r="DS184" s="37"/>
      <c r="DT184" s="37"/>
      <c r="DU184" s="37"/>
      <c r="DV184" s="37"/>
      <c r="DW184" s="34"/>
      <c r="DX184" s="37"/>
      <c r="DY184" s="34"/>
      <c r="DZ184" s="37"/>
      <c r="EA184" s="37"/>
      <c r="EB184" s="34"/>
      <c r="EC184" s="37"/>
      <c r="ED184" s="37"/>
      <c r="EE184" s="37"/>
      <c r="EF184" s="37"/>
      <c r="EG184" s="34"/>
      <c r="EH184" s="37"/>
      <c r="EI184" s="37"/>
      <c r="EJ184" s="37"/>
      <c r="EK184" s="34"/>
      <c r="EL184" s="37"/>
      <c r="EM184" s="37"/>
      <c r="EN184" s="37"/>
      <c r="EO184" s="37"/>
      <c r="EP184" s="40" t="s">
        <v>3559</v>
      </c>
    </row>
    <row r="185">
      <c r="A185" s="41">
        <v>2.07</v>
      </c>
      <c r="B185" s="42" t="s">
        <v>7081</v>
      </c>
      <c r="C185" s="43"/>
      <c r="D185" s="43"/>
      <c r="E185" s="43"/>
      <c r="F185" s="43"/>
      <c r="G185" s="42" t="s">
        <v>7082</v>
      </c>
      <c r="H185" s="42" t="s">
        <v>3563</v>
      </c>
      <c r="I185" s="42" t="s">
        <v>3564</v>
      </c>
      <c r="J185" s="42" t="s">
        <v>3565</v>
      </c>
      <c r="K185" s="42" t="s">
        <v>7083</v>
      </c>
      <c r="L185" s="42" t="s">
        <v>7084</v>
      </c>
      <c r="M185" s="42" t="s">
        <v>7085</v>
      </c>
      <c r="N185" s="42" t="s">
        <v>3569</v>
      </c>
      <c r="O185" s="42" t="s">
        <v>7086</v>
      </c>
      <c r="P185" s="42"/>
      <c r="R185" s="42" t="s">
        <v>3571</v>
      </c>
      <c r="S185" s="42" t="s">
        <v>3572</v>
      </c>
      <c r="T185" s="42" t="s">
        <v>3573</v>
      </c>
      <c r="U185" s="44" t="s">
        <v>7087</v>
      </c>
      <c r="V185" s="44" t="s">
        <v>7088</v>
      </c>
      <c r="W185" s="41">
        <v>2.0</v>
      </c>
      <c r="X185" s="42" t="s">
        <v>7089</v>
      </c>
      <c r="Y185" s="43"/>
      <c r="Z185" s="43"/>
      <c r="AA185" s="41">
        <v>2014.0</v>
      </c>
      <c r="AB185" s="43"/>
      <c r="AC185" s="43"/>
      <c r="AD185" s="43"/>
      <c r="AE185" s="45"/>
      <c r="AF185" s="45"/>
      <c r="AG185" s="45"/>
      <c r="AH185" s="45"/>
      <c r="AI185" s="45"/>
      <c r="AJ185" s="45"/>
      <c r="AK185" s="45"/>
      <c r="AL185" s="45"/>
      <c r="AM185" s="45"/>
      <c r="AN185" s="45"/>
      <c r="AO185" s="42" t="s">
        <v>7090</v>
      </c>
      <c r="AP185" s="42" t="s">
        <v>7091</v>
      </c>
      <c r="AQ185" s="42" t="s">
        <v>7092</v>
      </c>
      <c r="AR185" s="43"/>
      <c r="AS185" s="43" t="str">
        <f>+972 (0)50 535 6338</f>
        <v>#ERROR!</v>
      </c>
      <c r="AT185" s="42" t="s">
        <v>7093</v>
      </c>
      <c r="AU185" s="42" t="s">
        <v>7094</v>
      </c>
      <c r="AV185" s="42" t="s">
        <v>7095</v>
      </c>
      <c r="AW185" s="42" t="s">
        <v>7096</v>
      </c>
      <c r="AX185" s="43"/>
      <c r="AY185" s="41">
        <v>7177908.0</v>
      </c>
      <c r="AZ185" s="42" t="s">
        <v>41</v>
      </c>
      <c r="BA185" s="45" t="str">
        <f>+972 (0)3 375 1705</f>
        <v>#ERROR!</v>
      </c>
      <c r="BB185" s="45" t="str">
        <f>+972 (0)8 679 8501</f>
        <v>#ERROR!</v>
      </c>
      <c r="BC185" s="42" t="s">
        <v>2822</v>
      </c>
      <c r="BD185" s="42" t="s">
        <v>3584</v>
      </c>
      <c r="BE185" s="42" t="s">
        <v>3584</v>
      </c>
      <c r="BF185" s="42" t="s">
        <v>7097</v>
      </c>
      <c r="BG185" s="42" t="s">
        <v>7098</v>
      </c>
      <c r="BH185" s="41">
        <v>5.0</v>
      </c>
      <c r="BI185" s="43"/>
      <c r="BJ185" s="43"/>
      <c r="BK185" s="43"/>
      <c r="BL185" s="42" t="s">
        <v>7099</v>
      </c>
      <c r="BM185" s="43"/>
      <c r="BN185" s="43"/>
      <c r="BO185" s="43"/>
      <c r="BP185" s="42" t="s">
        <v>6990</v>
      </c>
      <c r="BQ185" s="46" t="s">
        <v>7100</v>
      </c>
      <c r="BR185" s="45"/>
      <c r="BS185" s="43"/>
      <c r="BT185" s="45"/>
      <c r="BU185" s="43"/>
      <c r="BV185" s="42" t="s">
        <v>3589</v>
      </c>
      <c r="BW185" s="43"/>
      <c r="BX185" s="43"/>
      <c r="BY185" s="42" t="s">
        <v>3590</v>
      </c>
      <c r="BZ185" s="43"/>
      <c r="CA185" s="42" t="s">
        <v>3591</v>
      </c>
      <c r="CB185" s="46" t="s">
        <v>7101</v>
      </c>
      <c r="CC185" s="45"/>
      <c r="CD185" s="43"/>
      <c r="CE185" s="45"/>
      <c r="CF185" s="43"/>
      <c r="CG185" s="42" t="s">
        <v>3589</v>
      </c>
      <c r="CH185" s="43"/>
      <c r="CI185" s="43"/>
      <c r="CJ185" s="42" t="s">
        <v>3590</v>
      </c>
      <c r="CK185" s="45"/>
      <c r="CL185" s="45"/>
      <c r="CM185" s="43"/>
      <c r="CN185" s="42" t="s">
        <v>3591</v>
      </c>
      <c r="CO185" s="47">
        <v>0.0033</v>
      </c>
      <c r="CP185" s="41">
        <v>90.0</v>
      </c>
      <c r="CQ185" s="47">
        <v>0.0</v>
      </c>
      <c r="CR185" s="47">
        <v>0.0</v>
      </c>
      <c r="CS185" s="47">
        <v>0.0033</v>
      </c>
      <c r="CT185" s="41">
        <v>92.0</v>
      </c>
      <c r="CU185" s="45"/>
      <c r="CV185" s="45"/>
      <c r="CW185" s="47">
        <v>0.0033</v>
      </c>
      <c r="CX185" s="41">
        <v>91.0</v>
      </c>
      <c r="CY185" s="41" t="s">
        <v>7102</v>
      </c>
      <c r="CZ185" s="41">
        <v>85.0</v>
      </c>
      <c r="DA185" s="41" t="s">
        <v>3598</v>
      </c>
      <c r="DB185" s="47">
        <v>0.0</v>
      </c>
      <c r="DC185" s="41" t="s">
        <v>7102</v>
      </c>
      <c r="DD185" s="41">
        <v>84.0</v>
      </c>
      <c r="DE185" s="45"/>
      <c r="DF185" s="45"/>
      <c r="DG185" s="41" t="s">
        <v>7102</v>
      </c>
      <c r="DH185" s="41">
        <v>82.0</v>
      </c>
      <c r="DI185" s="45"/>
      <c r="DJ185" s="45"/>
      <c r="DK185" s="45"/>
      <c r="DL185" s="41">
        <v>154.0</v>
      </c>
      <c r="DM185" s="41">
        <v>0.0</v>
      </c>
      <c r="DN185" s="47">
        <v>0.0</v>
      </c>
      <c r="DO185" s="41" t="s">
        <v>3600</v>
      </c>
      <c r="DP185" s="46" t="s">
        <v>6901</v>
      </c>
      <c r="DQ185" s="45"/>
      <c r="DR185" s="45"/>
      <c r="DS185" s="45"/>
      <c r="DT185" s="45"/>
      <c r="DU185" s="45"/>
      <c r="DV185" s="45"/>
      <c r="DW185" s="43"/>
      <c r="DX185" s="45"/>
      <c r="DY185" s="43"/>
      <c r="DZ185" s="45"/>
      <c r="EA185" s="45"/>
      <c r="EB185" s="43"/>
      <c r="EC185" s="45"/>
      <c r="ED185" s="45"/>
      <c r="EE185" s="41">
        <v>9.93</v>
      </c>
      <c r="EF185" s="46" t="s">
        <v>7103</v>
      </c>
      <c r="EG185" s="42" t="s">
        <v>5462</v>
      </c>
      <c r="EH185" s="45"/>
      <c r="EI185" s="45"/>
      <c r="EJ185" s="45"/>
      <c r="EK185" s="43"/>
      <c r="EL185" s="45"/>
      <c r="EM185" s="45"/>
      <c r="EN185" s="45"/>
      <c r="EO185" s="45"/>
      <c r="EP185" s="48" t="s">
        <v>3559</v>
      </c>
    </row>
    <row r="186">
      <c r="A186" s="37"/>
      <c r="B186" s="35" t="s">
        <v>7104</v>
      </c>
      <c r="C186" s="34"/>
      <c r="D186" s="34"/>
      <c r="E186" s="34"/>
      <c r="F186" s="34"/>
      <c r="G186" s="35" t="s">
        <v>7105</v>
      </c>
      <c r="H186" s="35" t="s">
        <v>3867</v>
      </c>
      <c r="I186" s="35" t="s">
        <v>3868</v>
      </c>
      <c r="J186" s="35" t="s">
        <v>3869</v>
      </c>
      <c r="K186" s="35" t="s">
        <v>3925</v>
      </c>
      <c r="L186" s="35" t="s">
        <v>6762</v>
      </c>
      <c r="M186" s="35" t="s">
        <v>7106</v>
      </c>
      <c r="N186" s="35" t="s">
        <v>4962</v>
      </c>
      <c r="O186" s="35" t="s">
        <v>7107</v>
      </c>
      <c r="P186" s="35"/>
      <c r="R186" s="35" t="s">
        <v>3571</v>
      </c>
      <c r="S186" s="35" t="s">
        <v>5020</v>
      </c>
      <c r="T186" s="35" t="s">
        <v>3603</v>
      </c>
      <c r="U186" s="34"/>
      <c r="V186" s="34"/>
      <c r="W186" s="37"/>
      <c r="X186" s="34"/>
      <c r="Y186" s="34"/>
      <c r="Z186" s="34"/>
      <c r="AA186" s="37"/>
      <c r="AB186" s="34"/>
      <c r="AC186" s="34"/>
      <c r="AD186" s="34"/>
      <c r="AE186" s="37"/>
      <c r="AF186" s="37"/>
      <c r="AG186" s="37"/>
      <c r="AH186" s="37"/>
      <c r="AI186" s="37"/>
      <c r="AJ186" s="37"/>
      <c r="AK186" s="37"/>
      <c r="AL186" s="37"/>
      <c r="AM186" s="37"/>
      <c r="AN186" s="37"/>
      <c r="AO186" s="34"/>
      <c r="AP186" s="34"/>
      <c r="AQ186" s="34"/>
      <c r="AR186" s="34"/>
      <c r="AS186" s="34"/>
      <c r="AT186" s="35" t="s">
        <v>4448</v>
      </c>
      <c r="AU186" s="34"/>
      <c r="AV186" s="34"/>
      <c r="AW186" s="35" t="s">
        <v>485</v>
      </c>
      <c r="AX186" s="34"/>
      <c r="AY186" s="37"/>
      <c r="AZ186" s="35" t="s">
        <v>41</v>
      </c>
      <c r="BA186" s="37"/>
      <c r="BB186" s="37"/>
      <c r="BC186" s="34"/>
      <c r="BD186" s="35" t="s">
        <v>3584</v>
      </c>
      <c r="BE186" s="35" t="s">
        <v>3584</v>
      </c>
      <c r="BF186" s="35" t="s">
        <v>7108</v>
      </c>
      <c r="BG186" s="34"/>
      <c r="BH186" s="37"/>
      <c r="BI186" s="35" t="s">
        <v>7109</v>
      </c>
      <c r="BJ186" s="35" t="s">
        <v>7110</v>
      </c>
      <c r="BK186" s="34"/>
      <c r="BL186" s="34"/>
      <c r="BM186" s="35" t="s">
        <v>7111</v>
      </c>
      <c r="BN186" s="34"/>
      <c r="BO186" s="34"/>
      <c r="BP186" s="34"/>
      <c r="BQ186" s="38" t="s">
        <v>7112</v>
      </c>
      <c r="BR186" s="37"/>
      <c r="BS186" s="34"/>
      <c r="BT186" s="37"/>
      <c r="BU186" s="34"/>
      <c r="BV186" s="35" t="s">
        <v>4977</v>
      </c>
      <c r="BW186" s="35" t="s">
        <v>5708</v>
      </c>
      <c r="BX186" s="34"/>
      <c r="BY186" s="35" t="s">
        <v>3663</v>
      </c>
      <c r="BZ186" s="34"/>
      <c r="CA186" s="35" t="s">
        <v>3591</v>
      </c>
      <c r="CB186" s="38" t="s">
        <v>7112</v>
      </c>
      <c r="CC186" s="37"/>
      <c r="CD186" s="34"/>
      <c r="CE186" s="37"/>
      <c r="CF186" s="34"/>
      <c r="CG186" s="35" t="s">
        <v>4977</v>
      </c>
      <c r="CH186" s="35" t="s">
        <v>5708</v>
      </c>
      <c r="CI186" s="34"/>
      <c r="CJ186" s="35" t="s">
        <v>3663</v>
      </c>
      <c r="CK186" s="37"/>
      <c r="CL186" s="37"/>
      <c r="CM186" s="34"/>
      <c r="CN186" s="35" t="s">
        <v>3591</v>
      </c>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c r="DO186" s="32" t="s">
        <v>3600</v>
      </c>
      <c r="DP186" s="38" t="s">
        <v>5177</v>
      </c>
      <c r="DQ186" s="37"/>
      <c r="DR186" s="37"/>
      <c r="DS186" s="37"/>
      <c r="DT186" s="37"/>
      <c r="DU186" s="37"/>
      <c r="DV186" s="37"/>
      <c r="DW186" s="34"/>
      <c r="DX186" s="37"/>
      <c r="DY186" s="34"/>
      <c r="DZ186" s="37"/>
      <c r="EA186" s="37"/>
      <c r="EB186" s="34"/>
      <c r="EC186" s="37"/>
      <c r="ED186" s="37"/>
      <c r="EE186" s="37"/>
      <c r="EF186" s="37"/>
      <c r="EG186" s="34"/>
      <c r="EH186" s="37"/>
      <c r="EI186" s="37"/>
      <c r="EJ186" s="37"/>
      <c r="EK186" s="34"/>
      <c r="EL186" s="37"/>
      <c r="EM186" s="37"/>
      <c r="EN186" s="37"/>
      <c r="EO186" s="37"/>
      <c r="EP186" s="40" t="s">
        <v>3559</v>
      </c>
    </row>
    <row r="187">
      <c r="A187" s="45"/>
      <c r="B187" s="42" t="s">
        <v>7113</v>
      </c>
      <c r="C187" s="43"/>
      <c r="D187" s="43"/>
      <c r="E187" s="42" t="s">
        <v>7114</v>
      </c>
      <c r="F187" s="43"/>
      <c r="G187" s="42" t="s">
        <v>7115</v>
      </c>
      <c r="H187" s="42" t="s">
        <v>3867</v>
      </c>
      <c r="I187" s="42" t="s">
        <v>3868</v>
      </c>
      <c r="J187" s="42" t="s">
        <v>3869</v>
      </c>
      <c r="K187" s="42" t="s">
        <v>7116</v>
      </c>
      <c r="L187" s="43"/>
      <c r="M187" s="42" t="s">
        <v>7117</v>
      </c>
      <c r="N187" s="42" t="s">
        <v>4923</v>
      </c>
      <c r="O187" s="42" t="s">
        <v>7118</v>
      </c>
      <c r="P187" s="42"/>
      <c r="R187" s="42" t="s">
        <v>3571</v>
      </c>
      <c r="S187" s="42" t="s">
        <v>4925</v>
      </c>
      <c r="T187" s="42" t="s">
        <v>4926</v>
      </c>
      <c r="U187" s="44" t="s">
        <v>7119</v>
      </c>
      <c r="V187" s="43"/>
      <c r="W187" s="45"/>
      <c r="X187" s="43"/>
      <c r="Y187" s="43"/>
      <c r="Z187" s="43"/>
      <c r="AA187" s="41">
        <v>1982.0</v>
      </c>
      <c r="AB187" s="43"/>
      <c r="AC187" s="43"/>
      <c r="AD187" s="43"/>
      <c r="AE187" s="45"/>
      <c r="AF187" s="45"/>
      <c r="AG187" s="45"/>
      <c r="AH187" s="45"/>
      <c r="AI187" s="45"/>
      <c r="AJ187" s="45"/>
      <c r="AK187" s="45"/>
      <c r="AL187" s="45"/>
      <c r="AM187" s="45"/>
      <c r="AN187" s="45"/>
      <c r="AO187" s="42" t="s">
        <v>7120</v>
      </c>
      <c r="AP187" s="42" t="s">
        <v>7121</v>
      </c>
      <c r="AQ187" s="42" t="s">
        <v>7122</v>
      </c>
      <c r="AR187" s="43"/>
      <c r="AS187" s="43" t="str">
        <f>+972 (0)50 524 4185</f>
        <v>#ERROR!</v>
      </c>
      <c r="AT187" s="42" t="s">
        <v>7123</v>
      </c>
      <c r="AU187" s="42" t="s">
        <v>7124</v>
      </c>
      <c r="AV187" s="43"/>
      <c r="AW187" s="42" t="s">
        <v>7125</v>
      </c>
      <c r="AX187" s="43"/>
      <c r="AY187" s="45"/>
      <c r="AZ187" s="42" t="s">
        <v>41</v>
      </c>
      <c r="BA187" s="45" t="str">
        <f>+972 (0)50 524 4185</f>
        <v>#ERROR!</v>
      </c>
      <c r="BB187" s="45" t="str">
        <f>+972 (0)4 637 9644</f>
        <v>#ERROR!</v>
      </c>
      <c r="BC187" s="43"/>
      <c r="BD187" s="42" t="s">
        <v>3584</v>
      </c>
      <c r="BE187" s="42" t="s">
        <v>3584</v>
      </c>
      <c r="BF187" s="43"/>
      <c r="BG187" s="43"/>
      <c r="BH187" s="45"/>
      <c r="BI187" s="43"/>
      <c r="BJ187" s="43"/>
      <c r="BK187" s="43"/>
      <c r="BL187" s="43"/>
      <c r="BM187" s="43"/>
      <c r="BN187" s="43"/>
      <c r="BO187" s="43"/>
      <c r="BP187" s="43"/>
      <c r="BQ187" s="45"/>
      <c r="BR187" s="45"/>
      <c r="BS187" s="43"/>
      <c r="BT187" s="45"/>
      <c r="BU187" s="43"/>
      <c r="BV187" s="43"/>
      <c r="BW187" s="43"/>
      <c r="BX187" s="43"/>
      <c r="BY187" s="43"/>
      <c r="BZ187" s="43"/>
      <c r="CA187" s="43"/>
      <c r="CB187" s="45"/>
      <c r="CC187" s="45"/>
      <c r="CD187" s="43"/>
      <c r="CE187" s="45"/>
      <c r="CF187" s="43"/>
      <c r="CG187" s="43"/>
      <c r="CH187" s="43"/>
      <c r="CI187" s="43"/>
      <c r="CJ187" s="43"/>
      <c r="CK187" s="45"/>
      <c r="CL187" s="45"/>
      <c r="CM187" s="43"/>
      <c r="CN187" s="43"/>
      <c r="CO187" s="47">
        <v>0.0</v>
      </c>
      <c r="CP187" s="41">
        <v>14.0</v>
      </c>
      <c r="CQ187" s="47">
        <v>0.0</v>
      </c>
      <c r="CR187" s="47">
        <v>0.0</v>
      </c>
      <c r="CS187" s="47">
        <v>0.0</v>
      </c>
      <c r="CT187" s="41">
        <v>12.0</v>
      </c>
      <c r="CU187" s="45"/>
      <c r="CV187" s="45"/>
      <c r="CW187" s="47">
        <v>0.0</v>
      </c>
      <c r="CX187" s="41">
        <v>12.0</v>
      </c>
      <c r="CY187" s="41" t="s">
        <v>5719</v>
      </c>
      <c r="CZ187" s="41">
        <v>51.0</v>
      </c>
      <c r="DA187" s="41" t="s">
        <v>3598</v>
      </c>
      <c r="DB187" s="47">
        <v>0.0</v>
      </c>
      <c r="DC187" s="41" t="s">
        <v>5719</v>
      </c>
      <c r="DD187" s="41">
        <v>54.0</v>
      </c>
      <c r="DE187" s="45"/>
      <c r="DF187" s="45"/>
      <c r="DG187" s="41" t="s">
        <v>5719</v>
      </c>
      <c r="DH187" s="41">
        <v>52.0</v>
      </c>
      <c r="DI187" s="41">
        <v>0.0</v>
      </c>
      <c r="DJ187" s="41">
        <v>0.0</v>
      </c>
      <c r="DK187" s="47">
        <v>0.0</v>
      </c>
      <c r="DL187" s="41">
        <v>24.0</v>
      </c>
      <c r="DM187" s="41">
        <v>1.0</v>
      </c>
      <c r="DN187" s="47">
        <v>0.0435</v>
      </c>
      <c r="DO187" s="41" t="s">
        <v>3600</v>
      </c>
      <c r="DP187" s="46" t="s">
        <v>7126</v>
      </c>
      <c r="DQ187" s="41">
        <v>2.0</v>
      </c>
      <c r="DR187" s="41">
        <v>2.0</v>
      </c>
      <c r="DS187" s="45"/>
      <c r="DT187" s="45"/>
      <c r="DU187" s="45"/>
      <c r="DV187" s="41">
        <v>2.0</v>
      </c>
      <c r="DW187" s="43"/>
      <c r="DX187" s="45"/>
      <c r="DY187" s="43"/>
      <c r="DZ187" s="45"/>
      <c r="EA187" s="45"/>
      <c r="EB187" s="43"/>
      <c r="EC187" s="45"/>
      <c r="ED187" s="45"/>
      <c r="EE187" s="45"/>
      <c r="EF187" s="45"/>
      <c r="EG187" s="43"/>
      <c r="EH187" s="45"/>
      <c r="EI187" s="45"/>
      <c r="EJ187" s="45"/>
      <c r="EK187" s="43"/>
      <c r="EL187" s="45"/>
      <c r="EM187" s="45"/>
      <c r="EN187" s="45"/>
      <c r="EO187" s="45"/>
      <c r="EP187" s="48" t="s">
        <v>3559</v>
      </c>
    </row>
    <row r="188">
      <c r="A188" s="37"/>
      <c r="B188" s="35" t="s">
        <v>7127</v>
      </c>
      <c r="C188" s="34"/>
      <c r="D188" s="34"/>
      <c r="E188" s="34"/>
      <c r="F188" s="34"/>
      <c r="G188" s="35" t="s">
        <v>7128</v>
      </c>
      <c r="H188" s="35" t="s">
        <v>3867</v>
      </c>
      <c r="I188" s="35" t="s">
        <v>3868</v>
      </c>
      <c r="J188" s="35" t="s">
        <v>3869</v>
      </c>
      <c r="K188" s="35" t="s">
        <v>7116</v>
      </c>
      <c r="L188" s="35" t="s">
        <v>4986</v>
      </c>
      <c r="M188" s="35" t="s">
        <v>7129</v>
      </c>
      <c r="N188" s="35" t="s">
        <v>4962</v>
      </c>
      <c r="O188" s="35" t="s">
        <v>7130</v>
      </c>
      <c r="P188" s="35"/>
      <c r="R188" s="35" t="s">
        <v>3571</v>
      </c>
      <c r="S188" s="35" t="s">
        <v>5020</v>
      </c>
      <c r="T188" s="35" t="s">
        <v>3603</v>
      </c>
      <c r="U188" s="34"/>
      <c r="V188" s="34"/>
      <c r="W188" s="37"/>
      <c r="X188" s="34"/>
      <c r="Y188" s="34"/>
      <c r="Z188" s="34"/>
      <c r="AA188" s="37"/>
      <c r="AB188" s="34"/>
      <c r="AC188" s="34"/>
      <c r="AD188" s="34"/>
      <c r="AE188" s="37"/>
      <c r="AF188" s="37"/>
      <c r="AG188" s="37"/>
      <c r="AH188" s="37"/>
      <c r="AI188" s="37"/>
      <c r="AJ188" s="37"/>
      <c r="AK188" s="37"/>
      <c r="AL188" s="37"/>
      <c r="AM188" s="37"/>
      <c r="AN188" s="37"/>
      <c r="AO188" s="34"/>
      <c r="AP188" s="34"/>
      <c r="AQ188" s="34"/>
      <c r="AR188" s="34"/>
      <c r="AS188" s="34"/>
      <c r="AT188" s="35" t="s">
        <v>7131</v>
      </c>
      <c r="AU188" s="34"/>
      <c r="AV188" s="34"/>
      <c r="AW188" s="35" t="s">
        <v>7132</v>
      </c>
      <c r="AX188" s="34"/>
      <c r="AY188" s="37"/>
      <c r="AZ188" s="35" t="s">
        <v>41</v>
      </c>
      <c r="BA188" s="37"/>
      <c r="BB188" s="37"/>
      <c r="BC188" s="34"/>
      <c r="BD188" s="35" t="s">
        <v>3584</v>
      </c>
      <c r="BE188" s="35" t="s">
        <v>3584</v>
      </c>
      <c r="BF188" s="35" t="s">
        <v>7133</v>
      </c>
      <c r="BG188" s="34"/>
      <c r="BH188" s="37"/>
      <c r="BI188" s="35" t="s">
        <v>7134</v>
      </c>
      <c r="BJ188" s="35" t="s">
        <v>7113</v>
      </c>
      <c r="BK188" s="34"/>
      <c r="BL188" s="34"/>
      <c r="BM188" s="35" t="s">
        <v>7135</v>
      </c>
      <c r="BN188" s="34"/>
      <c r="BO188" s="34"/>
      <c r="BP188" s="34"/>
      <c r="BQ188" s="38" t="s">
        <v>6184</v>
      </c>
      <c r="BR188" s="37"/>
      <c r="BS188" s="34"/>
      <c r="BT188" s="37"/>
      <c r="BU188" s="34"/>
      <c r="BV188" s="35" t="s">
        <v>4977</v>
      </c>
      <c r="BW188" s="35" t="s">
        <v>5708</v>
      </c>
      <c r="BX188" s="34"/>
      <c r="BY188" s="35" t="s">
        <v>3663</v>
      </c>
      <c r="BZ188" s="34"/>
      <c r="CA188" s="35" t="s">
        <v>3591</v>
      </c>
      <c r="CB188" s="38" t="s">
        <v>6184</v>
      </c>
      <c r="CC188" s="37"/>
      <c r="CD188" s="34"/>
      <c r="CE188" s="37"/>
      <c r="CF188" s="34"/>
      <c r="CG188" s="35" t="s">
        <v>4977</v>
      </c>
      <c r="CH188" s="35" t="s">
        <v>5708</v>
      </c>
      <c r="CI188" s="34"/>
      <c r="CJ188" s="35" t="s">
        <v>3663</v>
      </c>
      <c r="CK188" s="37"/>
      <c r="CL188" s="37"/>
      <c r="CM188" s="34"/>
      <c r="CN188" s="35" t="s">
        <v>3591</v>
      </c>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c r="DO188" s="32" t="s">
        <v>3600</v>
      </c>
      <c r="DP188" s="38" t="s">
        <v>7136</v>
      </c>
      <c r="DQ188" s="37"/>
      <c r="DR188" s="37"/>
      <c r="DS188" s="37"/>
      <c r="DT188" s="37"/>
      <c r="DU188" s="37"/>
      <c r="DV188" s="37"/>
      <c r="DW188" s="34"/>
      <c r="DX188" s="37"/>
      <c r="DY188" s="34"/>
      <c r="DZ188" s="37"/>
      <c r="EA188" s="37"/>
      <c r="EB188" s="34"/>
      <c r="EC188" s="37"/>
      <c r="ED188" s="37"/>
      <c r="EE188" s="37"/>
      <c r="EF188" s="37"/>
      <c r="EG188" s="34"/>
      <c r="EH188" s="37"/>
      <c r="EI188" s="37"/>
      <c r="EJ188" s="37"/>
      <c r="EK188" s="34"/>
      <c r="EL188" s="37"/>
      <c r="EM188" s="37"/>
      <c r="EN188" s="37"/>
      <c r="EO188" s="37"/>
      <c r="EP188" s="40" t="s">
        <v>3559</v>
      </c>
    </row>
    <row r="189">
      <c r="A189" s="41">
        <v>598.98</v>
      </c>
      <c r="B189" s="42" t="s">
        <v>7137</v>
      </c>
      <c r="C189" s="43"/>
      <c r="D189" s="42" t="s">
        <v>1922</v>
      </c>
      <c r="E189" s="42" t="s">
        <v>7138</v>
      </c>
      <c r="F189" s="42" t="s">
        <v>7139</v>
      </c>
      <c r="G189" s="42" t="s">
        <v>7140</v>
      </c>
      <c r="H189" s="42" t="s">
        <v>3563</v>
      </c>
      <c r="I189" s="42" t="s">
        <v>3609</v>
      </c>
      <c r="J189" s="42" t="s">
        <v>3610</v>
      </c>
      <c r="K189" s="42" t="s">
        <v>7141</v>
      </c>
      <c r="L189" s="42" t="s">
        <v>7142</v>
      </c>
      <c r="M189" s="42" t="s">
        <v>7143</v>
      </c>
      <c r="N189" s="42" t="s">
        <v>5018</v>
      </c>
      <c r="O189" s="42" t="s">
        <v>7144</v>
      </c>
      <c r="P189" s="42"/>
      <c r="R189" s="42" t="s">
        <v>5412</v>
      </c>
      <c r="S189" s="42" t="s">
        <v>5236</v>
      </c>
      <c r="T189" s="42" t="s">
        <v>5867</v>
      </c>
      <c r="U189" s="44" t="s">
        <v>7145</v>
      </c>
      <c r="V189" s="44" t="s">
        <v>7146</v>
      </c>
      <c r="W189" s="41">
        <v>415.0</v>
      </c>
      <c r="X189" s="42" t="s">
        <v>7147</v>
      </c>
      <c r="Y189" s="42" t="s">
        <v>5241</v>
      </c>
      <c r="Z189" s="42" t="s">
        <v>7148</v>
      </c>
      <c r="AA189" s="41">
        <v>2016.0</v>
      </c>
      <c r="AB189" s="43"/>
      <c r="AC189" s="43"/>
      <c r="AD189" s="43"/>
      <c r="AE189" s="41">
        <v>48.44</v>
      </c>
      <c r="AF189" s="41">
        <v>11.38</v>
      </c>
      <c r="AG189" s="41">
        <v>-65.14</v>
      </c>
      <c r="AH189" s="41">
        <v>365.46</v>
      </c>
      <c r="AI189" s="41">
        <v>-60.39</v>
      </c>
      <c r="AJ189" s="41">
        <v>-66.06</v>
      </c>
      <c r="AK189" s="41">
        <v>199.1</v>
      </c>
      <c r="AL189" s="41">
        <v>-39.38</v>
      </c>
      <c r="AM189" s="47">
        <v>0.4609</v>
      </c>
      <c r="AN189" s="41" t="s">
        <v>5245</v>
      </c>
      <c r="AO189" s="42" t="s">
        <v>7149</v>
      </c>
      <c r="AP189" s="42" t="s">
        <v>7150</v>
      </c>
      <c r="AQ189" s="42" t="s">
        <v>7151</v>
      </c>
      <c r="AR189" s="42" t="s">
        <v>7152</v>
      </c>
      <c r="AS189" s="43" t="str">
        <f>+972 (0)74 700 3692</f>
        <v>#ERROR!</v>
      </c>
      <c r="AT189" s="42" t="s">
        <v>5952</v>
      </c>
      <c r="AU189" s="42" t="s">
        <v>7153</v>
      </c>
      <c r="AV189" s="42" t="s">
        <v>7154</v>
      </c>
      <c r="AW189" s="42" t="s">
        <v>1928</v>
      </c>
      <c r="AX189" s="43"/>
      <c r="AY189" s="41">
        <v>4809202.0</v>
      </c>
      <c r="AZ189" s="42" t="s">
        <v>41</v>
      </c>
      <c r="BA189" s="45" t="str">
        <f>+972 (0)74 700 3692</f>
        <v>#ERROR!</v>
      </c>
      <c r="BB189" s="45"/>
      <c r="BC189" s="42" t="s">
        <v>7155</v>
      </c>
      <c r="BD189" s="42" t="s">
        <v>3584</v>
      </c>
      <c r="BE189" s="42" t="s">
        <v>3584</v>
      </c>
      <c r="BF189" s="42" t="s">
        <v>7156</v>
      </c>
      <c r="BG189" s="43"/>
      <c r="BH189" s="45"/>
      <c r="BI189" s="43"/>
      <c r="BJ189" s="42" t="s">
        <v>7157</v>
      </c>
      <c r="BK189" s="43"/>
      <c r="BL189" s="43"/>
      <c r="BM189" s="42" t="s">
        <v>7158</v>
      </c>
      <c r="BN189" s="43"/>
      <c r="BO189" s="43"/>
      <c r="BP189" s="42" t="s">
        <v>7159</v>
      </c>
      <c r="BQ189" s="46" t="s">
        <v>7160</v>
      </c>
      <c r="BR189" s="41">
        <v>8.99</v>
      </c>
      <c r="BS189" s="42" t="s">
        <v>3593</v>
      </c>
      <c r="BT189" s="41">
        <v>16.75</v>
      </c>
      <c r="BU189" s="42" t="s">
        <v>3697</v>
      </c>
      <c r="BV189" s="42" t="s">
        <v>3669</v>
      </c>
      <c r="BW189" s="42" t="s">
        <v>3595</v>
      </c>
      <c r="BX189" s="43"/>
      <c r="BY189" s="42" t="s">
        <v>3573</v>
      </c>
      <c r="BZ189" s="43"/>
      <c r="CA189" s="42" t="s">
        <v>3591</v>
      </c>
      <c r="CB189" s="46" t="s">
        <v>7161</v>
      </c>
      <c r="CC189" s="41">
        <v>40.0</v>
      </c>
      <c r="CD189" s="42" t="s">
        <v>3697</v>
      </c>
      <c r="CE189" s="45"/>
      <c r="CF189" s="43"/>
      <c r="CG189" s="42" t="s">
        <v>5257</v>
      </c>
      <c r="CH189" s="43"/>
      <c r="CI189" s="43"/>
      <c r="CJ189" s="42" t="s">
        <v>3663</v>
      </c>
      <c r="CK189" s="45"/>
      <c r="CL189" s="45"/>
      <c r="CM189" s="43"/>
      <c r="CN189" s="42" t="s">
        <v>4321</v>
      </c>
      <c r="CO189" s="47">
        <v>-0.0011</v>
      </c>
      <c r="CP189" s="41">
        <v>12.0</v>
      </c>
      <c r="CQ189" s="47">
        <v>0.0</v>
      </c>
      <c r="CR189" s="47">
        <v>0.0</v>
      </c>
      <c r="CS189" s="47">
        <v>-0.0011</v>
      </c>
      <c r="CT189" s="41">
        <v>11.0</v>
      </c>
      <c r="CU189" s="45"/>
      <c r="CV189" s="45"/>
      <c r="CW189" s="47">
        <v>-0.0011</v>
      </c>
      <c r="CX189" s="41">
        <v>11.0</v>
      </c>
      <c r="CY189" s="41" t="s">
        <v>7162</v>
      </c>
      <c r="CZ189" s="41">
        <v>98.0</v>
      </c>
      <c r="DA189" s="41" t="s">
        <v>3598</v>
      </c>
      <c r="DB189" s="47">
        <v>0.0</v>
      </c>
      <c r="DC189" s="41" t="s">
        <v>7162</v>
      </c>
      <c r="DD189" s="41">
        <v>98.0</v>
      </c>
      <c r="DE189" s="45"/>
      <c r="DF189" s="45"/>
      <c r="DG189" s="41" t="s">
        <v>7162</v>
      </c>
      <c r="DH189" s="41">
        <v>99.0</v>
      </c>
      <c r="DI189" s="45"/>
      <c r="DJ189" s="45"/>
      <c r="DK189" s="45"/>
      <c r="DL189" s="41">
        <v>951.0</v>
      </c>
      <c r="DM189" s="41">
        <v>2.0</v>
      </c>
      <c r="DN189" s="47">
        <v>0.0021</v>
      </c>
      <c r="DO189" s="41" t="s">
        <v>3600</v>
      </c>
      <c r="DP189" s="46" t="s">
        <v>3783</v>
      </c>
      <c r="DQ189" s="41">
        <v>265.0</v>
      </c>
      <c r="DR189" s="41">
        <v>62.0</v>
      </c>
      <c r="DS189" s="41">
        <v>116.0</v>
      </c>
      <c r="DT189" s="41">
        <v>83.0</v>
      </c>
      <c r="DU189" s="41">
        <v>5.0</v>
      </c>
      <c r="DV189" s="41">
        <v>66.0</v>
      </c>
      <c r="DW189" s="42" t="s">
        <v>7163</v>
      </c>
      <c r="DX189" s="45"/>
      <c r="DY189" s="43"/>
      <c r="DZ189" s="45"/>
      <c r="EA189" s="45"/>
      <c r="EB189" s="43"/>
      <c r="EC189" s="45"/>
      <c r="ED189" s="45"/>
      <c r="EE189" s="51">
        <v>1298.0</v>
      </c>
      <c r="EF189" s="46" t="s">
        <v>7164</v>
      </c>
      <c r="EG189" s="42" t="s">
        <v>4775</v>
      </c>
      <c r="EH189" s="45"/>
      <c r="EI189" s="45"/>
      <c r="EJ189" s="45"/>
      <c r="EK189" s="42" t="s">
        <v>4108</v>
      </c>
      <c r="EL189" s="45"/>
      <c r="EM189" s="45"/>
      <c r="EN189" s="41">
        <v>1.41</v>
      </c>
      <c r="EO189" s="41">
        <v>1.41</v>
      </c>
      <c r="EP189" s="48" t="s">
        <v>3559</v>
      </c>
    </row>
    <row r="190">
      <c r="A190" s="32">
        <v>3.0</v>
      </c>
      <c r="B190" s="35" t="s">
        <v>7165</v>
      </c>
      <c r="C190" s="34"/>
      <c r="D190" s="34"/>
      <c r="E190" s="35" t="s">
        <v>7166</v>
      </c>
      <c r="F190" s="34"/>
      <c r="G190" s="35" t="s">
        <v>7167</v>
      </c>
      <c r="H190" s="35" t="s">
        <v>4560</v>
      </c>
      <c r="I190" s="35" t="s">
        <v>4561</v>
      </c>
      <c r="J190" s="35" t="s">
        <v>66</v>
      </c>
      <c r="K190" s="35" t="s">
        <v>6997</v>
      </c>
      <c r="L190" s="35" t="s">
        <v>5513</v>
      </c>
      <c r="M190" s="35" t="s">
        <v>7168</v>
      </c>
      <c r="N190" s="35" t="s">
        <v>5018</v>
      </c>
      <c r="O190" s="35" t="s">
        <v>7169</v>
      </c>
      <c r="P190" s="35"/>
      <c r="R190" s="35" t="s">
        <v>3571</v>
      </c>
      <c r="S190" s="35" t="s">
        <v>5020</v>
      </c>
      <c r="T190" s="35" t="s">
        <v>3573</v>
      </c>
      <c r="U190" s="36" t="s">
        <v>7170</v>
      </c>
      <c r="V190" s="34"/>
      <c r="W190" s="37"/>
      <c r="X190" s="34"/>
      <c r="Y190" s="34"/>
      <c r="Z190" s="34"/>
      <c r="AA190" s="32">
        <v>2011.0</v>
      </c>
      <c r="AB190" s="34"/>
      <c r="AC190" s="34"/>
      <c r="AD190" s="34"/>
      <c r="AE190" s="37"/>
      <c r="AF190" s="37"/>
      <c r="AG190" s="37"/>
      <c r="AH190" s="37"/>
      <c r="AI190" s="37"/>
      <c r="AJ190" s="37"/>
      <c r="AK190" s="37"/>
      <c r="AL190" s="37"/>
      <c r="AM190" s="37"/>
      <c r="AN190" s="37"/>
      <c r="AO190" s="34"/>
      <c r="AP190" s="34"/>
      <c r="AQ190" s="34"/>
      <c r="AR190" s="34"/>
      <c r="AS190" s="34"/>
      <c r="AT190" s="35" t="s">
        <v>3851</v>
      </c>
      <c r="AU190" s="35" t="s">
        <v>7171</v>
      </c>
      <c r="AV190" s="34"/>
      <c r="AW190" s="35" t="s">
        <v>616</v>
      </c>
      <c r="AX190" s="34"/>
      <c r="AY190" s="32">
        <v>52523.0</v>
      </c>
      <c r="AZ190" s="35" t="s">
        <v>41</v>
      </c>
      <c r="BA190" s="37" t="str">
        <f>+972 (0)74 702 0972</f>
        <v>#ERROR!</v>
      </c>
      <c r="BB190" s="37" t="str">
        <f>+972 (0)3 761 7182</f>
        <v>#ERROR!</v>
      </c>
      <c r="BC190" s="35" t="s">
        <v>7172</v>
      </c>
      <c r="BD190" s="35" t="s">
        <v>3584</v>
      </c>
      <c r="BE190" s="35" t="s">
        <v>3584</v>
      </c>
      <c r="BF190" s="35" t="s">
        <v>7173</v>
      </c>
      <c r="BG190" s="34"/>
      <c r="BH190" s="37"/>
      <c r="BI190" s="35" t="s">
        <v>5692</v>
      </c>
      <c r="BJ190" s="35" t="s">
        <v>7174</v>
      </c>
      <c r="BK190" s="34"/>
      <c r="BL190" s="34"/>
      <c r="BM190" s="35" t="s">
        <v>7175</v>
      </c>
      <c r="BN190" s="34"/>
      <c r="BO190" s="34"/>
      <c r="BP190" s="35" t="s">
        <v>7176</v>
      </c>
      <c r="BQ190" s="37"/>
      <c r="BR190" s="32">
        <v>2.75</v>
      </c>
      <c r="BS190" s="35" t="s">
        <v>3593</v>
      </c>
      <c r="BT190" s="37"/>
      <c r="BU190" s="34"/>
      <c r="BV190" s="35" t="s">
        <v>3669</v>
      </c>
      <c r="BW190" s="34"/>
      <c r="BX190" s="34"/>
      <c r="BY190" s="35" t="s">
        <v>3573</v>
      </c>
      <c r="BZ190" s="34"/>
      <c r="CA190" s="35" t="s">
        <v>3591</v>
      </c>
      <c r="CB190" s="38" t="s">
        <v>7177</v>
      </c>
      <c r="CC190" s="32">
        <v>8.5</v>
      </c>
      <c r="CD190" s="35" t="s">
        <v>3593</v>
      </c>
      <c r="CE190" s="32">
        <v>8.5</v>
      </c>
      <c r="CF190" s="35" t="s">
        <v>3697</v>
      </c>
      <c r="CG190" s="35" t="s">
        <v>4977</v>
      </c>
      <c r="CH190" s="34"/>
      <c r="CI190" s="34"/>
      <c r="CJ190" s="35" t="s">
        <v>3663</v>
      </c>
      <c r="CK190" s="38" t="s">
        <v>7178</v>
      </c>
      <c r="CL190" s="32">
        <v>0.15</v>
      </c>
      <c r="CM190" s="34"/>
      <c r="CN190" s="35" t="s">
        <v>3591</v>
      </c>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c r="DO190" s="32" t="s">
        <v>3600</v>
      </c>
      <c r="DP190" s="38" t="s">
        <v>7179</v>
      </c>
      <c r="DQ190" s="37"/>
      <c r="DR190" s="37"/>
      <c r="DS190" s="37"/>
      <c r="DT190" s="37"/>
      <c r="DU190" s="37"/>
      <c r="DV190" s="37"/>
      <c r="DW190" s="34"/>
      <c r="DX190" s="37"/>
      <c r="DY190" s="34"/>
      <c r="DZ190" s="37"/>
      <c r="EA190" s="37"/>
      <c r="EB190" s="34"/>
      <c r="EC190" s="37"/>
      <c r="ED190" s="37"/>
      <c r="EE190" s="32">
        <v>8.5</v>
      </c>
      <c r="EF190" s="38" t="s">
        <v>7177</v>
      </c>
      <c r="EG190" s="35" t="s">
        <v>4977</v>
      </c>
      <c r="EH190" s="37"/>
      <c r="EI190" s="37"/>
      <c r="EJ190" s="37"/>
      <c r="EK190" s="34"/>
      <c r="EL190" s="37"/>
      <c r="EM190" s="37"/>
      <c r="EN190" s="37"/>
      <c r="EO190" s="37"/>
      <c r="EP190" s="40" t="s">
        <v>3559</v>
      </c>
    </row>
    <row r="191">
      <c r="A191" s="45"/>
      <c r="B191" s="42" t="s">
        <v>7180</v>
      </c>
      <c r="C191" s="43"/>
      <c r="D191" s="43"/>
      <c r="E191" s="42" t="s">
        <v>7181</v>
      </c>
      <c r="F191" s="43"/>
      <c r="G191" s="42" t="s">
        <v>7182</v>
      </c>
      <c r="H191" s="42" t="s">
        <v>3867</v>
      </c>
      <c r="I191" s="42" t="s">
        <v>3897</v>
      </c>
      <c r="J191" s="42" t="s">
        <v>5092</v>
      </c>
      <c r="K191" s="42" t="s">
        <v>7183</v>
      </c>
      <c r="L191" s="43"/>
      <c r="M191" s="42" t="s">
        <v>7184</v>
      </c>
      <c r="N191" s="42" t="s">
        <v>4923</v>
      </c>
      <c r="O191" s="42" t="s">
        <v>7185</v>
      </c>
      <c r="P191" s="42"/>
      <c r="R191" s="42" t="s">
        <v>3571</v>
      </c>
      <c r="S191" s="42" t="s">
        <v>4925</v>
      </c>
      <c r="T191" s="42" t="s">
        <v>4926</v>
      </c>
      <c r="U191" s="44" t="s">
        <v>7186</v>
      </c>
      <c r="V191" s="44" t="s">
        <v>7187</v>
      </c>
      <c r="W191" s="45"/>
      <c r="X191" s="43"/>
      <c r="Y191" s="43"/>
      <c r="Z191" s="43"/>
      <c r="AA191" s="41">
        <v>2021.0</v>
      </c>
      <c r="AB191" s="43"/>
      <c r="AC191" s="43"/>
      <c r="AD191" s="43"/>
      <c r="AE191" s="45"/>
      <c r="AF191" s="45"/>
      <c r="AG191" s="45"/>
      <c r="AH191" s="45"/>
      <c r="AI191" s="45"/>
      <c r="AJ191" s="45"/>
      <c r="AK191" s="45"/>
      <c r="AL191" s="45"/>
      <c r="AM191" s="45"/>
      <c r="AN191" s="45"/>
      <c r="AO191" s="42" t="s">
        <v>7188</v>
      </c>
      <c r="AP191" s="42" t="s">
        <v>7189</v>
      </c>
      <c r="AQ191" s="42" t="s">
        <v>7190</v>
      </c>
      <c r="AR191" s="42" t="s">
        <v>7191</v>
      </c>
      <c r="AS191" s="43"/>
      <c r="AT191" s="42" t="s">
        <v>3654</v>
      </c>
      <c r="AU191" s="42" t="s">
        <v>7192</v>
      </c>
      <c r="AV191" s="43"/>
      <c r="AW191" s="42" t="s">
        <v>147</v>
      </c>
      <c r="AX191" s="43"/>
      <c r="AY191" s="41">
        <v>91036.0</v>
      </c>
      <c r="AZ191" s="42" t="s">
        <v>41</v>
      </c>
      <c r="BA191" s="45"/>
      <c r="BB191" s="45"/>
      <c r="BC191" s="43"/>
      <c r="BD191" s="42" t="s">
        <v>3584</v>
      </c>
      <c r="BE191" s="42" t="s">
        <v>3584</v>
      </c>
      <c r="BF191" s="43"/>
      <c r="BG191" s="43"/>
      <c r="BH191" s="45"/>
      <c r="BI191" s="43"/>
      <c r="BJ191" s="43"/>
      <c r="BK191" s="43"/>
      <c r="BL191" s="43"/>
      <c r="BM191" s="43"/>
      <c r="BN191" s="43"/>
      <c r="BO191" s="43"/>
      <c r="BP191" s="43"/>
      <c r="BQ191" s="45"/>
      <c r="BR191" s="45"/>
      <c r="BS191" s="43"/>
      <c r="BT191" s="45"/>
      <c r="BU191" s="43"/>
      <c r="BV191" s="43"/>
      <c r="BW191" s="43"/>
      <c r="BX191" s="43"/>
      <c r="BY191" s="43"/>
      <c r="BZ191" s="43"/>
      <c r="CA191" s="43"/>
      <c r="CB191" s="45"/>
      <c r="CC191" s="45"/>
      <c r="CD191" s="43"/>
      <c r="CE191" s="45"/>
      <c r="CF191" s="43"/>
      <c r="CG191" s="43"/>
      <c r="CH191" s="43"/>
      <c r="CI191" s="43"/>
      <c r="CJ191" s="43"/>
      <c r="CK191" s="45"/>
      <c r="CL191" s="45"/>
      <c r="CM191" s="43"/>
      <c r="CN191" s="43"/>
      <c r="CO191" s="47">
        <v>-0.0237</v>
      </c>
      <c r="CP191" s="41">
        <v>3.0</v>
      </c>
      <c r="CQ191" s="47">
        <v>0.0</v>
      </c>
      <c r="CR191" s="47">
        <v>0.0</v>
      </c>
      <c r="CS191" s="47">
        <v>-0.0237</v>
      </c>
      <c r="CT191" s="41">
        <v>4.0</v>
      </c>
      <c r="CU191" s="47">
        <v>-0.0508</v>
      </c>
      <c r="CV191" s="41">
        <v>3.0</v>
      </c>
      <c r="CW191" s="47">
        <v>0.0033</v>
      </c>
      <c r="CX191" s="41">
        <v>91.0</v>
      </c>
      <c r="CY191" s="41" t="s">
        <v>7193</v>
      </c>
      <c r="CZ191" s="41">
        <v>97.0</v>
      </c>
      <c r="DA191" s="41" t="s">
        <v>3598</v>
      </c>
      <c r="DB191" s="47">
        <v>0.0</v>
      </c>
      <c r="DC191" s="41" t="s">
        <v>7193</v>
      </c>
      <c r="DD191" s="41">
        <v>97.0</v>
      </c>
      <c r="DE191" s="41" t="s">
        <v>7194</v>
      </c>
      <c r="DF191" s="41">
        <v>86.0</v>
      </c>
      <c r="DG191" s="41" t="s">
        <v>7195</v>
      </c>
      <c r="DH191" s="41">
        <v>98.0</v>
      </c>
      <c r="DI191" s="52">
        <v>1335.0</v>
      </c>
      <c r="DJ191" s="41">
        <v>-299.0</v>
      </c>
      <c r="DK191" s="47">
        <v>-0.183</v>
      </c>
      <c r="DL191" s="41">
        <v>840.0</v>
      </c>
      <c r="DM191" s="41">
        <v>3.0</v>
      </c>
      <c r="DN191" s="47">
        <v>0.0036</v>
      </c>
      <c r="DO191" s="41" t="s">
        <v>3600</v>
      </c>
      <c r="DP191" s="46" t="s">
        <v>5464</v>
      </c>
      <c r="DQ191" s="45"/>
      <c r="DR191" s="45"/>
      <c r="DS191" s="45"/>
      <c r="DT191" s="45"/>
      <c r="DU191" s="45"/>
      <c r="DV191" s="45"/>
      <c r="DW191" s="43"/>
      <c r="DX191" s="45"/>
      <c r="DY191" s="43"/>
      <c r="DZ191" s="45"/>
      <c r="EA191" s="45"/>
      <c r="EB191" s="43"/>
      <c r="EC191" s="45"/>
      <c r="ED191" s="45"/>
      <c r="EE191" s="45"/>
      <c r="EF191" s="45"/>
      <c r="EG191" s="43"/>
      <c r="EH191" s="45"/>
      <c r="EI191" s="45"/>
      <c r="EJ191" s="45"/>
      <c r="EK191" s="43"/>
      <c r="EL191" s="45"/>
      <c r="EM191" s="45"/>
      <c r="EN191" s="45"/>
      <c r="EO191" s="45"/>
      <c r="EP191" s="48" t="s">
        <v>3559</v>
      </c>
    </row>
    <row r="192">
      <c r="A192" s="32">
        <v>31.12</v>
      </c>
      <c r="B192" s="35" t="s">
        <v>7196</v>
      </c>
      <c r="C192" s="35" t="s">
        <v>7197</v>
      </c>
      <c r="D192" s="35" t="s">
        <v>7198</v>
      </c>
      <c r="E192" s="35" t="s">
        <v>7199</v>
      </c>
      <c r="F192" s="34"/>
      <c r="G192" s="35" t="s">
        <v>7200</v>
      </c>
      <c r="H192" s="35" t="s">
        <v>4560</v>
      </c>
      <c r="I192" s="35" t="s">
        <v>4561</v>
      </c>
      <c r="J192" s="35" t="s">
        <v>5057</v>
      </c>
      <c r="K192" s="35" t="s">
        <v>7201</v>
      </c>
      <c r="L192" s="35" t="s">
        <v>5736</v>
      </c>
      <c r="M192" s="35" t="s">
        <v>7202</v>
      </c>
      <c r="N192" s="35" t="s">
        <v>7203</v>
      </c>
      <c r="O192" s="35" t="s">
        <v>7204</v>
      </c>
      <c r="P192" s="35"/>
      <c r="R192" s="35" t="s">
        <v>5750</v>
      </c>
      <c r="S192" s="35" t="s">
        <v>5236</v>
      </c>
      <c r="T192" s="35" t="s">
        <v>7205</v>
      </c>
      <c r="U192" s="36" t="s">
        <v>7206</v>
      </c>
      <c r="V192" s="34"/>
      <c r="W192" s="32">
        <v>841.0</v>
      </c>
      <c r="X192" s="35" t="s">
        <v>7207</v>
      </c>
      <c r="Y192" s="35" t="s">
        <v>5417</v>
      </c>
      <c r="Z192" s="35" t="s">
        <v>7208</v>
      </c>
      <c r="AA192" s="32">
        <v>1989.0</v>
      </c>
      <c r="AB192" s="35" t="s">
        <v>7209</v>
      </c>
      <c r="AC192" s="34"/>
      <c r="AD192" s="34"/>
      <c r="AE192" s="32">
        <v>664.42</v>
      </c>
      <c r="AF192" s="32">
        <v>90.27</v>
      </c>
      <c r="AG192" s="32">
        <v>12.19</v>
      </c>
      <c r="AH192" s="32">
        <v>292.6</v>
      </c>
      <c r="AI192" s="32">
        <v>64.35</v>
      </c>
      <c r="AJ192" s="32">
        <v>27.54</v>
      </c>
      <c r="AK192" s="32">
        <v>139.91</v>
      </c>
      <c r="AL192" s="32">
        <v>133.86</v>
      </c>
      <c r="AM192" s="39">
        <v>0.8044</v>
      </c>
      <c r="AN192" s="32" t="s">
        <v>5245</v>
      </c>
      <c r="AO192" s="35" t="s">
        <v>7210</v>
      </c>
      <c r="AP192" s="35" t="s">
        <v>7211</v>
      </c>
      <c r="AQ192" s="35" t="s">
        <v>4093</v>
      </c>
      <c r="AR192" s="35" t="s">
        <v>7212</v>
      </c>
      <c r="AS192" s="34" t="str">
        <f>+972 (0)3 510 9589</f>
        <v>#ERROR!</v>
      </c>
      <c r="AT192" s="35" t="s">
        <v>3581</v>
      </c>
      <c r="AU192" s="35" t="s">
        <v>7213</v>
      </c>
      <c r="AV192" s="34"/>
      <c r="AW192" s="35" t="s">
        <v>75</v>
      </c>
      <c r="AX192" s="34"/>
      <c r="AY192" s="32">
        <v>6721503.0</v>
      </c>
      <c r="AZ192" s="35" t="s">
        <v>41</v>
      </c>
      <c r="BA192" s="37" t="str">
        <f>+972 (0)3 510 9589</f>
        <v>#ERROR!</v>
      </c>
      <c r="BB192" s="37" t="str">
        <f>+972 (0)3 795 4051</f>
        <v>#ERROR!</v>
      </c>
      <c r="BC192" s="34"/>
      <c r="BD192" s="35" t="s">
        <v>3584</v>
      </c>
      <c r="BE192" s="35" t="s">
        <v>3584</v>
      </c>
      <c r="BF192" s="35" t="s">
        <v>7214</v>
      </c>
      <c r="BG192" s="34"/>
      <c r="BH192" s="37"/>
      <c r="BI192" s="35" t="s">
        <v>7209</v>
      </c>
      <c r="BJ192" s="35" t="s">
        <v>7215</v>
      </c>
      <c r="BK192" s="35" t="s">
        <v>7216</v>
      </c>
      <c r="BL192" s="34"/>
      <c r="BM192" s="35" t="s">
        <v>7217</v>
      </c>
      <c r="BN192" s="35" t="s">
        <v>7218</v>
      </c>
      <c r="BO192" s="34"/>
      <c r="BP192" s="35" t="s">
        <v>7219</v>
      </c>
      <c r="BQ192" s="38" t="s">
        <v>7220</v>
      </c>
      <c r="BR192" s="32">
        <v>45.0</v>
      </c>
      <c r="BS192" s="35" t="s">
        <v>3593</v>
      </c>
      <c r="BT192" s="32">
        <v>45.0</v>
      </c>
      <c r="BU192" s="35" t="s">
        <v>3697</v>
      </c>
      <c r="BV192" s="35" t="s">
        <v>4977</v>
      </c>
      <c r="BW192" s="35" t="s">
        <v>5708</v>
      </c>
      <c r="BX192" s="34"/>
      <c r="BY192" s="35" t="s">
        <v>3663</v>
      </c>
      <c r="BZ192" s="34"/>
      <c r="CA192" s="35" t="s">
        <v>3966</v>
      </c>
      <c r="CB192" s="38" t="s">
        <v>5504</v>
      </c>
      <c r="CC192" s="32">
        <v>23.73</v>
      </c>
      <c r="CD192" s="35" t="s">
        <v>3593</v>
      </c>
      <c r="CE192" s="37"/>
      <c r="CF192" s="34"/>
      <c r="CG192" s="35" t="s">
        <v>7221</v>
      </c>
      <c r="CH192" s="34"/>
      <c r="CI192" s="34"/>
      <c r="CJ192" s="35" t="s">
        <v>6182</v>
      </c>
      <c r="CK192" s="38" t="s">
        <v>5504</v>
      </c>
      <c r="CL192" s="32">
        <v>23.73</v>
      </c>
      <c r="CM192" s="35" t="s">
        <v>7222</v>
      </c>
      <c r="CN192" s="35" t="s">
        <v>3591</v>
      </c>
      <c r="CO192" s="39">
        <v>-0.0244</v>
      </c>
      <c r="CP192" s="32">
        <v>3.0</v>
      </c>
      <c r="CQ192" s="39">
        <v>0.0</v>
      </c>
      <c r="CR192" s="39">
        <v>0.0</v>
      </c>
      <c r="CS192" s="39">
        <v>-0.0244</v>
      </c>
      <c r="CT192" s="32">
        <v>4.0</v>
      </c>
      <c r="CU192" s="37"/>
      <c r="CV192" s="37"/>
      <c r="CW192" s="39">
        <v>-0.0244</v>
      </c>
      <c r="CX192" s="32">
        <v>4.0</v>
      </c>
      <c r="CY192" s="32" t="s">
        <v>7223</v>
      </c>
      <c r="CZ192" s="32">
        <v>97.0</v>
      </c>
      <c r="DA192" s="32" t="s">
        <v>3598</v>
      </c>
      <c r="DB192" s="39">
        <v>0.0</v>
      </c>
      <c r="DC192" s="32" t="s">
        <v>7223</v>
      </c>
      <c r="DD192" s="32">
        <v>97.0</v>
      </c>
      <c r="DE192" s="37"/>
      <c r="DF192" s="37"/>
      <c r="DG192" s="32" t="s">
        <v>7223</v>
      </c>
      <c r="DH192" s="32">
        <v>98.0</v>
      </c>
      <c r="DI192" s="37"/>
      <c r="DJ192" s="37"/>
      <c r="DK192" s="37"/>
      <c r="DL192" s="32">
        <v>666.0</v>
      </c>
      <c r="DM192" s="32">
        <v>-7.0</v>
      </c>
      <c r="DN192" s="39">
        <v>-0.0104</v>
      </c>
      <c r="DO192" s="32" t="s">
        <v>3600</v>
      </c>
      <c r="DP192" s="38" t="s">
        <v>7224</v>
      </c>
      <c r="DQ192" s="37"/>
      <c r="DR192" s="37"/>
      <c r="DS192" s="37"/>
      <c r="DT192" s="37"/>
      <c r="DU192" s="37"/>
      <c r="DV192" s="37"/>
      <c r="DW192" s="34"/>
      <c r="DX192" s="37"/>
      <c r="DY192" s="34"/>
      <c r="DZ192" s="37"/>
      <c r="EA192" s="37"/>
      <c r="EB192" s="34"/>
      <c r="EC192" s="37"/>
      <c r="ED192" s="37"/>
      <c r="EE192" s="32">
        <v>72.41</v>
      </c>
      <c r="EF192" s="38" t="s">
        <v>7225</v>
      </c>
      <c r="EG192" s="35" t="s">
        <v>4532</v>
      </c>
      <c r="EH192" s="37"/>
      <c r="EI192" s="37"/>
      <c r="EJ192" s="37"/>
      <c r="EK192" s="34"/>
      <c r="EL192" s="37"/>
      <c r="EM192" s="37"/>
      <c r="EN192" s="37"/>
      <c r="EO192" s="37"/>
      <c r="EP192" s="40" t="s">
        <v>3559</v>
      </c>
    </row>
    <row r="193">
      <c r="A193" s="45"/>
      <c r="B193" s="42" t="s">
        <v>7226</v>
      </c>
      <c r="C193" s="43"/>
      <c r="D193" s="43"/>
      <c r="E193" s="43"/>
      <c r="F193" s="43"/>
      <c r="G193" s="42" t="s">
        <v>7227</v>
      </c>
      <c r="H193" s="42" t="s">
        <v>4560</v>
      </c>
      <c r="I193" s="42" t="s">
        <v>6452</v>
      </c>
      <c r="J193" s="42" t="s">
        <v>6453</v>
      </c>
      <c r="K193" s="42" t="s">
        <v>7228</v>
      </c>
      <c r="L193" s="43"/>
      <c r="M193" s="42" t="s">
        <v>7229</v>
      </c>
      <c r="N193" s="42" t="s">
        <v>4962</v>
      </c>
      <c r="O193" s="42" t="s">
        <v>7230</v>
      </c>
      <c r="P193" s="42"/>
      <c r="R193" s="42" t="s">
        <v>3571</v>
      </c>
      <c r="S193" s="42" t="s">
        <v>5020</v>
      </c>
      <c r="T193" s="42" t="s">
        <v>3603</v>
      </c>
      <c r="U193" s="43"/>
      <c r="V193" s="43"/>
      <c r="W193" s="45"/>
      <c r="X193" s="43"/>
      <c r="Y193" s="43"/>
      <c r="Z193" s="43"/>
      <c r="AA193" s="45"/>
      <c r="AB193" s="43"/>
      <c r="AC193" s="43"/>
      <c r="AD193" s="43"/>
      <c r="AE193" s="41">
        <v>269.1</v>
      </c>
      <c r="AF193" s="45"/>
      <c r="AG193" s="45"/>
      <c r="AH193" s="45"/>
      <c r="AI193" s="45"/>
      <c r="AJ193" s="45"/>
      <c r="AK193" s="45"/>
      <c r="AL193" s="45"/>
      <c r="AM193" s="45"/>
      <c r="AN193" s="41" t="s">
        <v>5341</v>
      </c>
      <c r="AO193" s="43"/>
      <c r="AP193" s="43"/>
      <c r="AQ193" s="43"/>
      <c r="AR193" s="43"/>
      <c r="AS193" s="43"/>
      <c r="AT193" s="42" t="s">
        <v>41</v>
      </c>
      <c r="AU193" s="43"/>
      <c r="AV193" s="43"/>
      <c r="AW193" s="43"/>
      <c r="AX193" s="43"/>
      <c r="AY193" s="45"/>
      <c r="AZ193" s="42" t="s">
        <v>41</v>
      </c>
      <c r="BA193" s="45"/>
      <c r="BB193" s="45"/>
      <c r="BC193" s="43"/>
      <c r="BD193" s="42" t="s">
        <v>3584</v>
      </c>
      <c r="BE193" s="42" t="s">
        <v>3584</v>
      </c>
      <c r="BF193" s="42" t="s">
        <v>7231</v>
      </c>
      <c r="BG193" s="43"/>
      <c r="BH193" s="45"/>
      <c r="BI193" s="42" t="s">
        <v>7232</v>
      </c>
      <c r="BJ193" s="42" t="s">
        <v>7233</v>
      </c>
      <c r="BK193" s="43"/>
      <c r="BL193" s="43"/>
      <c r="BM193" s="42" t="s">
        <v>7234</v>
      </c>
      <c r="BN193" s="43"/>
      <c r="BO193" s="43"/>
      <c r="BP193" s="43"/>
      <c r="BQ193" s="46" t="s">
        <v>7235</v>
      </c>
      <c r="BR193" s="45"/>
      <c r="BS193" s="43"/>
      <c r="BT193" s="45"/>
      <c r="BU193" s="43"/>
      <c r="BV193" s="42" t="s">
        <v>4977</v>
      </c>
      <c r="BW193" s="42" t="s">
        <v>5708</v>
      </c>
      <c r="BX193" s="43"/>
      <c r="BY193" s="42" t="s">
        <v>3663</v>
      </c>
      <c r="BZ193" s="43"/>
      <c r="CA193" s="42" t="s">
        <v>3591</v>
      </c>
      <c r="CB193" s="46" t="s">
        <v>7235</v>
      </c>
      <c r="CC193" s="45"/>
      <c r="CD193" s="43"/>
      <c r="CE193" s="45"/>
      <c r="CF193" s="43"/>
      <c r="CG193" s="42" t="s">
        <v>4977</v>
      </c>
      <c r="CH193" s="42" t="s">
        <v>5708</v>
      </c>
      <c r="CI193" s="43"/>
      <c r="CJ193" s="42" t="s">
        <v>3663</v>
      </c>
      <c r="CK193" s="45"/>
      <c r="CL193" s="45"/>
      <c r="CM193" s="43"/>
      <c r="CN193" s="42" t="s">
        <v>3591</v>
      </c>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1" t="s">
        <v>3600</v>
      </c>
      <c r="DP193" s="46" t="s">
        <v>5177</v>
      </c>
      <c r="DQ193" s="45"/>
      <c r="DR193" s="45"/>
      <c r="DS193" s="45"/>
      <c r="DT193" s="45"/>
      <c r="DU193" s="45"/>
      <c r="DV193" s="45"/>
      <c r="DW193" s="43"/>
      <c r="DX193" s="45"/>
      <c r="DY193" s="43"/>
      <c r="DZ193" s="45"/>
      <c r="EA193" s="45"/>
      <c r="EB193" s="43"/>
      <c r="EC193" s="45"/>
      <c r="ED193" s="45"/>
      <c r="EE193" s="45"/>
      <c r="EF193" s="45"/>
      <c r="EG193" s="43"/>
      <c r="EH193" s="45"/>
      <c r="EI193" s="45"/>
      <c r="EJ193" s="45"/>
      <c r="EK193" s="43"/>
      <c r="EL193" s="45"/>
      <c r="EM193" s="45"/>
      <c r="EN193" s="45"/>
      <c r="EO193" s="45"/>
      <c r="EP193" s="48" t="s">
        <v>3559</v>
      </c>
    </row>
    <row r="194">
      <c r="A194" s="37"/>
      <c r="B194" s="35" t="s">
        <v>7236</v>
      </c>
      <c r="C194" s="34"/>
      <c r="D194" s="35" t="s">
        <v>861</v>
      </c>
      <c r="E194" s="35" t="s">
        <v>7237</v>
      </c>
      <c r="F194" s="34"/>
      <c r="G194" s="35" t="s">
        <v>7238</v>
      </c>
      <c r="H194" s="35" t="s">
        <v>3563</v>
      </c>
      <c r="I194" s="35" t="s">
        <v>3564</v>
      </c>
      <c r="J194" s="35" t="s">
        <v>3565</v>
      </c>
      <c r="K194" s="35" t="s">
        <v>7239</v>
      </c>
      <c r="L194" s="35" t="s">
        <v>7240</v>
      </c>
      <c r="M194" s="34"/>
      <c r="N194" s="35" t="s">
        <v>4923</v>
      </c>
      <c r="O194" s="35" t="s">
        <v>7241</v>
      </c>
      <c r="P194" s="35"/>
      <c r="R194" s="35" t="s">
        <v>5750</v>
      </c>
      <c r="S194" s="35" t="s">
        <v>5236</v>
      </c>
      <c r="T194" s="35" t="s">
        <v>5568</v>
      </c>
      <c r="U194" s="36" t="s">
        <v>7242</v>
      </c>
      <c r="V194" s="36" t="s">
        <v>7243</v>
      </c>
      <c r="W194" s="49">
        <v>2800.0</v>
      </c>
      <c r="X194" s="35" t="s">
        <v>7244</v>
      </c>
      <c r="Y194" s="35" t="s">
        <v>5241</v>
      </c>
      <c r="Z194" s="35" t="s">
        <v>7245</v>
      </c>
      <c r="AA194" s="32">
        <v>1995.0</v>
      </c>
      <c r="AB194" s="34"/>
      <c r="AC194" s="34"/>
      <c r="AD194" s="34"/>
      <c r="AE194" s="32">
        <v>348.41</v>
      </c>
      <c r="AF194" s="32">
        <v>172.48</v>
      </c>
      <c r="AG194" s="32">
        <v>56.53</v>
      </c>
      <c r="AH194" s="32">
        <v>632.67</v>
      </c>
      <c r="AI194" s="32">
        <v>93.48</v>
      </c>
      <c r="AJ194" s="32">
        <v>74.74</v>
      </c>
      <c r="AK194" s="32">
        <v>904.36</v>
      </c>
      <c r="AL194" s="32">
        <v>-88.22</v>
      </c>
      <c r="AM194" s="39">
        <v>0.052</v>
      </c>
      <c r="AN194" s="32" t="s">
        <v>5245</v>
      </c>
      <c r="AO194" s="35" t="s">
        <v>7246</v>
      </c>
      <c r="AP194" s="35" t="s">
        <v>7247</v>
      </c>
      <c r="AQ194" s="35" t="s">
        <v>4033</v>
      </c>
      <c r="AR194" s="35" t="s">
        <v>865</v>
      </c>
      <c r="AS194" s="34" t="str">
        <f>+972 (0)3 557 1314</f>
        <v>#ERROR!</v>
      </c>
      <c r="AT194" s="35" t="s">
        <v>7248</v>
      </c>
      <c r="AU194" s="35" t="s">
        <v>7249</v>
      </c>
      <c r="AV194" s="34"/>
      <c r="AW194" s="35" t="s">
        <v>7250</v>
      </c>
      <c r="AX194" s="34"/>
      <c r="AY194" s="32">
        <v>5800182.0</v>
      </c>
      <c r="AZ194" s="35" t="s">
        <v>41</v>
      </c>
      <c r="BA194" s="37" t="str">
        <f>+972 (0)3 557 1314</f>
        <v>#ERROR!</v>
      </c>
      <c r="BB194" s="37" t="str">
        <f>+972 (0)3 557 1327</f>
        <v>#ERROR!</v>
      </c>
      <c r="BC194" s="34"/>
      <c r="BD194" s="35" t="s">
        <v>3584</v>
      </c>
      <c r="BE194" s="35" t="s">
        <v>3584</v>
      </c>
      <c r="BF194" s="35" t="s">
        <v>7251</v>
      </c>
      <c r="BG194" s="34"/>
      <c r="BH194" s="37"/>
      <c r="BI194" s="34"/>
      <c r="BJ194" s="34"/>
      <c r="BK194" s="34"/>
      <c r="BL194" s="34"/>
      <c r="BM194" s="34"/>
      <c r="BN194" s="34"/>
      <c r="BO194" s="34"/>
      <c r="BP194" s="34"/>
      <c r="BQ194" s="38" t="s">
        <v>7252</v>
      </c>
      <c r="BR194" s="37"/>
      <c r="BS194" s="34"/>
      <c r="BT194" s="37"/>
      <c r="BU194" s="34"/>
      <c r="BV194" s="35" t="s">
        <v>4532</v>
      </c>
      <c r="BW194" s="34"/>
      <c r="BX194" s="34"/>
      <c r="BY194" s="35" t="s">
        <v>5764</v>
      </c>
      <c r="BZ194" s="34"/>
      <c r="CA194" s="35" t="s">
        <v>3591</v>
      </c>
      <c r="CB194" s="38" t="s">
        <v>7252</v>
      </c>
      <c r="CC194" s="37"/>
      <c r="CD194" s="34"/>
      <c r="CE194" s="37"/>
      <c r="CF194" s="34"/>
      <c r="CG194" s="35" t="s">
        <v>4532</v>
      </c>
      <c r="CH194" s="34"/>
      <c r="CI194" s="34"/>
      <c r="CJ194" s="35" t="s">
        <v>5764</v>
      </c>
      <c r="CK194" s="37"/>
      <c r="CL194" s="37"/>
      <c r="CM194" s="34"/>
      <c r="CN194" s="35" t="s">
        <v>3591</v>
      </c>
      <c r="CO194" s="39">
        <v>-5.0E-4</v>
      </c>
      <c r="CP194" s="32">
        <v>13.0</v>
      </c>
      <c r="CQ194" s="39">
        <v>0.0</v>
      </c>
      <c r="CR194" s="39">
        <v>0.0</v>
      </c>
      <c r="CS194" s="39">
        <v>-3.0E-4</v>
      </c>
      <c r="CT194" s="32">
        <v>12.0</v>
      </c>
      <c r="CU194" s="37"/>
      <c r="CV194" s="37"/>
      <c r="CW194" s="39">
        <v>-3.0E-4</v>
      </c>
      <c r="CX194" s="32">
        <v>12.0</v>
      </c>
      <c r="CY194" s="32" t="s">
        <v>7253</v>
      </c>
      <c r="CZ194" s="32">
        <v>100.0</v>
      </c>
      <c r="DA194" s="32" t="s">
        <v>3598</v>
      </c>
      <c r="DB194" s="39">
        <v>0.0</v>
      </c>
      <c r="DC194" s="32" t="s">
        <v>7254</v>
      </c>
      <c r="DD194" s="32">
        <v>96.0</v>
      </c>
      <c r="DE194" s="37"/>
      <c r="DF194" s="37"/>
      <c r="DG194" s="32" t="s">
        <v>7254</v>
      </c>
      <c r="DH194" s="32">
        <v>96.0</v>
      </c>
      <c r="DI194" s="37"/>
      <c r="DJ194" s="37"/>
      <c r="DK194" s="37"/>
      <c r="DL194" s="32">
        <v>469.0</v>
      </c>
      <c r="DM194" s="32">
        <v>0.0</v>
      </c>
      <c r="DN194" s="39">
        <v>0.0</v>
      </c>
      <c r="DO194" s="32" t="s">
        <v>3600</v>
      </c>
      <c r="DP194" s="38" t="s">
        <v>7255</v>
      </c>
      <c r="DQ194" s="32">
        <v>2.0</v>
      </c>
      <c r="DR194" s="32">
        <v>1.0</v>
      </c>
      <c r="DS194" s="37"/>
      <c r="DT194" s="37"/>
      <c r="DU194" s="37"/>
      <c r="DV194" s="32">
        <v>2.0</v>
      </c>
      <c r="DW194" s="34"/>
      <c r="DX194" s="37"/>
      <c r="DY194" s="34"/>
      <c r="DZ194" s="37"/>
      <c r="EA194" s="37"/>
      <c r="EB194" s="34"/>
      <c r="EC194" s="37"/>
      <c r="ED194" s="37"/>
      <c r="EE194" s="37"/>
      <c r="EF194" s="37"/>
      <c r="EG194" s="34"/>
      <c r="EH194" s="37"/>
      <c r="EI194" s="37"/>
      <c r="EJ194" s="37"/>
      <c r="EK194" s="34"/>
      <c r="EL194" s="37"/>
      <c r="EM194" s="37"/>
      <c r="EN194" s="37"/>
      <c r="EO194" s="37"/>
      <c r="EP194" s="40" t="s">
        <v>3559</v>
      </c>
    </row>
    <row r="195">
      <c r="A195" s="41">
        <v>0.2</v>
      </c>
      <c r="B195" s="42" t="s">
        <v>7256</v>
      </c>
      <c r="C195" s="43"/>
      <c r="D195" s="43"/>
      <c r="E195" s="42" t="s">
        <v>7257</v>
      </c>
      <c r="F195" s="43"/>
      <c r="G195" s="42" t="s">
        <v>7258</v>
      </c>
      <c r="H195" s="42" t="s">
        <v>4560</v>
      </c>
      <c r="I195" s="42" t="s">
        <v>6034</v>
      </c>
      <c r="J195" s="42" t="s">
        <v>6035</v>
      </c>
      <c r="K195" s="42" t="s">
        <v>7259</v>
      </c>
      <c r="L195" s="42" t="s">
        <v>7260</v>
      </c>
      <c r="M195" s="42" t="s">
        <v>7261</v>
      </c>
      <c r="N195" s="42" t="s">
        <v>5018</v>
      </c>
      <c r="O195" s="42" t="s">
        <v>7262</v>
      </c>
      <c r="P195" s="42"/>
      <c r="R195" s="42" t="s">
        <v>5222</v>
      </c>
      <c r="S195" s="42" t="s">
        <v>5222</v>
      </c>
      <c r="T195" s="42" t="s">
        <v>3573</v>
      </c>
      <c r="U195" s="44" t="s">
        <v>7263</v>
      </c>
      <c r="V195" s="43"/>
      <c r="W195" s="45"/>
      <c r="X195" s="43"/>
      <c r="Y195" s="43"/>
      <c r="Z195" s="43"/>
      <c r="AA195" s="41">
        <v>2015.0</v>
      </c>
      <c r="AB195" s="43"/>
      <c r="AC195" s="43"/>
      <c r="AD195" s="43"/>
      <c r="AE195" s="45"/>
      <c r="AF195" s="45"/>
      <c r="AG195" s="45"/>
      <c r="AH195" s="45"/>
      <c r="AI195" s="45"/>
      <c r="AJ195" s="45"/>
      <c r="AK195" s="45"/>
      <c r="AL195" s="45"/>
      <c r="AM195" s="45"/>
      <c r="AN195" s="45"/>
      <c r="AO195" s="43"/>
      <c r="AP195" s="43"/>
      <c r="AQ195" s="43"/>
      <c r="AR195" s="43"/>
      <c r="AS195" s="43"/>
      <c r="AT195" s="42" t="s">
        <v>3581</v>
      </c>
      <c r="AU195" s="42" t="s">
        <v>7264</v>
      </c>
      <c r="AV195" s="43"/>
      <c r="AW195" s="42" t="s">
        <v>75</v>
      </c>
      <c r="AX195" s="43"/>
      <c r="AY195" s="45"/>
      <c r="AZ195" s="42" t="s">
        <v>41</v>
      </c>
      <c r="BA195" s="45"/>
      <c r="BB195" s="45"/>
      <c r="BC195" s="43"/>
      <c r="BD195" s="42" t="s">
        <v>3584</v>
      </c>
      <c r="BE195" s="42" t="s">
        <v>3584</v>
      </c>
      <c r="BF195" s="42" t="s">
        <v>7265</v>
      </c>
      <c r="BG195" s="43"/>
      <c r="BH195" s="45"/>
      <c r="BI195" s="43"/>
      <c r="BJ195" s="42" t="s">
        <v>7266</v>
      </c>
      <c r="BK195" s="43"/>
      <c r="BL195" s="43"/>
      <c r="BM195" s="42" t="s">
        <v>7267</v>
      </c>
      <c r="BN195" s="43"/>
      <c r="BO195" s="43"/>
      <c r="BP195" s="43"/>
      <c r="BQ195" s="46" t="s">
        <v>7268</v>
      </c>
      <c r="BR195" s="41">
        <v>0.2</v>
      </c>
      <c r="BS195" s="42" t="s">
        <v>3593</v>
      </c>
      <c r="BT195" s="45"/>
      <c r="BU195" s="43"/>
      <c r="BV195" s="42" t="s">
        <v>3669</v>
      </c>
      <c r="BW195" s="43"/>
      <c r="BX195" s="43"/>
      <c r="BY195" s="42" t="s">
        <v>3573</v>
      </c>
      <c r="BZ195" s="43"/>
      <c r="CA195" s="42" t="s">
        <v>3591</v>
      </c>
      <c r="CB195" s="46" t="s">
        <v>7269</v>
      </c>
      <c r="CC195" s="45"/>
      <c r="CD195" s="43"/>
      <c r="CE195" s="45"/>
      <c r="CF195" s="43"/>
      <c r="CG195" s="42" t="s">
        <v>5222</v>
      </c>
      <c r="CH195" s="43"/>
      <c r="CI195" s="43"/>
      <c r="CJ195" s="42" t="s">
        <v>5222</v>
      </c>
      <c r="CK195" s="45"/>
      <c r="CL195" s="45"/>
      <c r="CM195" s="43"/>
      <c r="CN195" s="42" t="s">
        <v>3591</v>
      </c>
      <c r="CO195" s="45"/>
      <c r="CP195" s="45"/>
      <c r="CQ195" s="45"/>
      <c r="CR195" s="45"/>
      <c r="CS195" s="45"/>
      <c r="CT195" s="45"/>
      <c r="CU195" s="45"/>
      <c r="CV195" s="45"/>
      <c r="CW195" s="45"/>
      <c r="CX195" s="45"/>
      <c r="CY195" s="45"/>
      <c r="CZ195" s="45"/>
      <c r="DA195" s="45"/>
      <c r="DB195" s="45"/>
      <c r="DC195" s="45"/>
      <c r="DD195" s="45"/>
      <c r="DE195" s="45"/>
      <c r="DF195" s="45"/>
      <c r="DG195" s="45"/>
      <c r="DH195" s="45"/>
      <c r="DI195" s="45"/>
      <c r="DJ195" s="45"/>
      <c r="DK195" s="45"/>
      <c r="DL195" s="45"/>
      <c r="DM195" s="45"/>
      <c r="DN195" s="45"/>
      <c r="DO195" s="41" t="s">
        <v>3600</v>
      </c>
      <c r="DP195" s="46" t="s">
        <v>5177</v>
      </c>
      <c r="DQ195" s="45"/>
      <c r="DR195" s="45"/>
      <c r="DS195" s="45"/>
      <c r="DT195" s="45"/>
      <c r="DU195" s="45"/>
      <c r="DV195" s="45"/>
      <c r="DW195" s="43"/>
      <c r="DX195" s="45"/>
      <c r="DY195" s="43"/>
      <c r="DZ195" s="45"/>
      <c r="EA195" s="45"/>
      <c r="EB195" s="43"/>
      <c r="EC195" s="45"/>
      <c r="ED195" s="45"/>
      <c r="EE195" s="45"/>
      <c r="EF195" s="45"/>
      <c r="EG195" s="43"/>
      <c r="EH195" s="45"/>
      <c r="EI195" s="45"/>
      <c r="EJ195" s="45"/>
      <c r="EK195" s="43"/>
      <c r="EL195" s="45"/>
      <c r="EM195" s="45"/>
      <c r="EN195" s="45"/>
      <c r="EO195" s="45"/>
      <c r="EP195" s="48" t="s">
        <v>3559</v>
      </c>
    </row>
    <row r="196">
      <c r="A196" s="37"/>
      <c r="B196" s="35" t="s">
        <v>7270</v>
      </c>
      <c r="C196" s="34"/>
      <c r="D196" s="34"/>
      <c r="E196" s="34"/>
      <c r="F196" s="34"/>
      <c r="G196" s="35" t="s">
        <v>7271</v>
      </c>
      <c r="H196" s="35" t="s">
        <v>3563</v>
      </c>
      <c r="I196" s="35" t="s">
        <v>3564</v>
      </c>
      <c r="J196" s="35" t="s">
        <v>5583</v>
      </c>
      <c r="K196" s="35" t="s">
        <v>5584</v>
      </c>
      <c r="L196" s="34"/>
      <c r="M196" s="34"/>
      <c r="N196" s="35" t="s">
        <v>4923</v>
      </c>
      <c r="O196" s="35" t="s">
        <v>7272</v>
      </c>
      <c r="P196" s="35"/>
      <c r="R196" s="34"/>
      <c r="S196" s="35" t="s">
        <v>4925</v>
      </c>
      <c r="T196" s="35" t="s">
        <v>4926</v>
      </c>
      <c r="U196" s="36" t="s">
        <v>7273</v>
      </c>
      <c r="V196" s="36" t="s">
        <v>7274</v>
      </c>
      <c r="W196" s="32">
        <v>5.0</v>
      </c>
      <c r="X196" s="35" t="s">
        <v>6503</v>
      </c>
      <c r="Y196" s="34"/>
      <c r="Z196" s="34"/>
      <c r="AA196" s="32">
        <v>2023.0</v>
      </c>
      <c r="AB196" s="34"/>
      <c r="AC196" s="34"/>
      <c r="AD196" s="34"/>
      <c r="AE196" s="37"/>
      <c r="AF196" s="37"/>
      <c r="AG196" s="37"/>
      <c r="AH196" s="37"/>
      <c r="AI196" s="37"/>
      <c r="AJ196" s="37"/>
      <c r="AK196" s="37"/>
      <c r="AL196" s="37"/>
      <c r="AM196" s="37"/>
      <c r="AN196" s="37"/>
      <c r="AO196" s="34"/>
      <c r="AP196" s="34"/>
      <c r="AQ196" s="34"/>
      <c r="AR196" s="34"/>
      <c r="AS196" s="34"/>
      <c r="AT196" s="35" t="s">
        <v>3581</v>
      </c>
      <c r="AU196" s="34"/>
      <c r="AV196" s="34"/>
      <c r="AW196" s="35" t="s">
        <v>75</v>
      </c>
      <c r="AX196" s="34"/>
      <c r="AY196" s="37"/>
      <c r="AZ196" s="35" t="s">
        <v>41</v>
      </c>
      <c r="BA196" s="37"/>
      <c r="BB196" s="37"/>
      <c r="BC196" s="34"/>
      <c r="BD196" s="35" t="s">
        <v>3584</v>
      </c>
      <c r="BE196" s="35" t="s">
        <v>3584</v>
      </c>
      <c r="BF196" s="34"/>
      <c r="BG196" s="34"/>
      <c r="BH196" s="37"/>
      <c r="BI196" s="34"/>
      <c r="BJ196" s="34"/>
      <c r="BK196" s="34"/>
      <c r="BL196" s="34"/>
      <c r="BM196" s="34"/>
      <c r="BN196" s="34"/>
      <c r="BO196" s="34"/>
      <c r="BP196" s="34"/>
      <c r="BQ196" s="37"/>
      <c r="BR196" s="37"/>
      <c r="BS196" s="34"/>
      <c r="BT196" s="37"/>
      <c r="BU196" s="34"/>
      <c r="BV196" s="34"/>
      <c r="BW196" s="34"/>
      <c r="BX196" s="34"/>
      <c r="BY196" s="34"/>
      <c r="BZ196" s="34"/>
      <c r="CA196" s="34"/>
      <c r="CB196" s="37"/>
      <c r="CC196" s="37"/>
      <c r="CD196" s="34"/>
      <c r="CE196" s="37"/>
      <c r="CF196" s="34"/>
      <c r="CG196" s="34"/>
      <c r="CH196" s="34"/>
      <c r="CI196" s="34"/>
      <c r="CJ196" s="34"/>
      <c r="CK196" s="37"/>
      <c r="CL196" s="37"/>
      <c r="CM196" s="34"/>
      <c r="CN196" s="34"/>
      <c r="CO196" s="39">
        <v>0.0156</v>
      </c>
      <c r="CP196" s="32">
        <v>98.0</v>
      </c>
      <c r="CQ196" s="39">
        <v>0.0</v>
      </c>
      <c r="CR196" s="39">
        <v>0.0</v>
      </c>
      <c r="CS196" s="39">
        <v>0.0</v>
      </c>
      <c r="CT196" s="32">
        <v>12.0</v>
      </c>
      <c r="CU196" s="37"/>
      <c r="CV196" s="37"/>
      <c r="CW196" s="39">
        <v>0.0</v>
      </c>
      <c r="CX196" s="32">
        <v>12.0</v>
      </c>
      <c r="CY196" s="32" t="s">
        <v>7275</v>
      </c>
      <c r="CZ196" s="32">
        <v>34.0</v>
      </c>
      <c r="DA196" s="32" t="s">
        <v>3598</v>
      </c>
      <c r="DB196" s="39">
        <v>0.0</v>
      </c>
      <c r="DC196" s="32" t="s">
        <v>6013</v>
      </c>
      <c r="DD196" s="32">
        <v>40.0</v>
      </c>
      <c r="DE196" s="37"/>
      <c r="DF196" s="37"/>
      <c r="DG196" s="32" t="s">
        <v>6013</v>
      </c>
      <c r="DH196" s="32">
        <v>37.0</v>
      </c>
      <c r="DI196" s="37"/>
      <c r="DJ196" s="37"/>
      <c r="DK196" s="37"/>
      <c r="DL196" s="32">
        <v>17.0</v>
      </c>
      <c r="DM196" s="32">
        <v>1.0</v>
      </c>
      <c r="DN196" s="39">
        <v>0.0625</v>
      </c>
      <c r="DO196" s="32" t="s">
        <v>5066</v>
      </c>
      <c r="DP196" s="38" t="s">
        <v>7276</v>
      </c>
      <c r="DQ196" s="37"/>
      <c r="DR196" s="37"/>
      <c r="DS196" s="37"/>
      <c r="DT196" s="37"/>
      <c r="DU196" s="37"/>
      <c r="DV196" s="37"/>
      <c r="DW196" s="34"/>
      <c r="DX196" s="37"/>
      <c r="DY196" s="34"/>
      <c r="DZ196" s="37"/>
      <c r="EA196" s="37"/>
      <c r="EB196" s="34"/>
      <c r="EC196" s="37"/>
      <c r="ED196" s="37"/>
      <c r="EE196" s="37"/>
      <c r="EF196" s="37"/>
      <c r="EG196" s="34"/>
      <c r="EH196" s="37"/>
      <c r="EI196" s="37"/>
      <c r="EJ196" s="37"/>
      <c r="EK196" s="34"/>
      <c r="EL196" s="37"/>
      <c r="EM196" s="37"/>
      <c r="EN196" s="37"/>
      <c r="EO196" s="37"/>
      <c r="EP196" s="40" t="s">
        <v>3559</v>
      </c>
    </row>
    <row r="197">
      <c r="A197" s="45"/>
      <c r="B197" s="42" t="s">
        <v>7277</v>
      </c>
      <c r="C197" s="43"/>
      <c r="D197" s="43"/>
      <c r="E197" s="43"/>
      <c r="F197" s="43"/>
      <c r="G197" s="42" t="s">
        <v>7278</v>
      </c>
      <c r="H197" s="42" t="s">
        <v>4560</v>
      </c>
      <c r="I197" s="42" t="s">
        <v>4561</v>
      </c>
      <c r="J197" s="42" t="s">
        <v>66</v>
      </c>
      <c r="K197" s="42" t="s">
        <v>4562</v>
      </c>
      <c r="L197" s="42" t="s">
        <v>7279</v>
      </c>
      <c r="M197" s="42" t="s">
        <v>7280</v>
      </c>
      <c r="N197" s="42" t="s">
        <v>4923</v>
      </c>
      <c r="O197" s="42" t="s">
        <v>7281</v>
      </c>
      <c r="P197" s="42"/>
      <c r="R197" s="42" t="s">
        <v>5222</v>
      </c>
      <c r="S197" s="42" t="s">
        <v>5222</v>
      </c>
      <c r="T197" s="42" t="s">
        <v>4926</v>
      </c>
      <c r="U197" s="44" t="s">
        <v>7282</v>
      </c>
      <c r="V197" s="43"/>
      <c r="W197" s="45"/>
      <c r="X197" s="43"/>
      <c r="Y197" s="43"/>
      <c r="Z197" s="43"/>
      <c r="AA197" s="45"/>
      <c r="AB197" s="43"/>
      <c r="AC197" s="43"/>
      <c r="AD197" s="43"/>
      <c r="AE197" s="45"/>
      <c r="AF197" s="45"/>
      <c r="AG197" s="45"/>
      <c r="AH197" s="45"/>
      <c r="AI197" s="45"/>
      <c r="AJ197" s="45"/>
      <c r="AK197" s="45"/>
      <c r="AL197" s="45"/>
      <c r="AM197" s="45"/>
      <c r="AN197" s="45"/>
      <c r="AO197" s="43"/>
      <c r="AP197" s="43"/>
      <c r="AQ197" s="43"/>
      <c r="AR197" s="43"/>
      <c r="AS197" s="43"/>
      <c r="AT197" s="42" t="s">
        <v>3851</v>
      </c>
      <c r="AU197" s="42" t="s">
        <v>7283</v>
      </c>
      <c r="AV197" s="43"/>
      <c r="AW197" s="42" t="s">
        <v>616</v>
      </c>
      <c r="AX197" s="43"/>
      <c r="AY197" s="41">
        <v>5221550.0</v>
      </c>
      <c r="AZ197" s="42" t="s">
        <v>41</v>
      </c>
      <c r="BA197" s="45" t="str">
        <f>+972 (0)3 529 5790</f>
        <v>#ERROR!</v>
      </c>
      <c r="BB197" s="45"/>
      <c r="BC197" s="42" t="s">
        <v>7284</v>
      </c>
      <c r="BD197" s="42" t="s">
        <v>3584</v>
      </c>
      <c r="BE197" s="42" t="s">
        <v>3584</v>
      </c>
      <c r="BF197" s="42" t="s">
        <v>5332</v>
      </c>
      <c r="BG197" s="43"/>
      <c r="BH197" s="45"/>
      <c r="BI197" s="43"/>
      <c r="BJ197" s="43"/>
      <c r="BK197" s="43"/>
      <c r="BL197" s="43"/>
      <c r="BM197" s="43"/>
      <c r="BN197" s="43"/>
      <c r="BO197" s="43"/>
      <c r="BP197" s="43"/>
      <c r="BQ197" s="45"/>
      <c r="BR197" s="45"/>
      <c r="BS197" s="43"/>
      <c r="BT197" s="45"/>
      <c r="BU197" s="43"/>
      <c r="BV197" s="43"/>
      <c r="BW197" s="43"/>
      <c r="BX197" s="43"/>
      <c r="BY197" s="43"/>
      <c r="BZ197" s="43"/>
      <c r="CA197" s="43"/>
      <c r="CB197" s="45"/>
      <c r="CC197" s="45"/>
      <c r="CD197" s="43"/>
      <c r="CE197" s="45"/>
      <c r="CF197" s="43"/>
      <c r="CG197" s="43"/>
      <c r="CH197" s="43"/>
      <c r="CI197" s="43"/>
      <c r="CJ197" s="43"/>
      <c r="CK197" s="45"/>
      <c r="CL197" s="45"/>
      <c r="CM197" s="43"/>
      <c r="CN197" s="43"/>
      <c r="CO197" s="45"/>
      <c r="CP197" s="45"/>
      <c r="CQ197" s="45"/>
      <c r="CR197" s="45"/>
      <c r="CS197" s="45"/>
      <c r="CT197" s="45"/>
      <c r="CU197" s="45"/>
      <c r="CV197" s="45"/>
      <c r="CW197" s="45"/>
      <c r="CX197" s="45"/>
      <c r="CY197" s="45"/>
      <c r="CZ197" s="45"/>
      <c r="DA197" s="45"/>
      <c r="DB197" s="45"/>
      <c r="DC197" s="45"/>
      <c r="DD197" s="45"/>
      <c r="DE197" s="45"/>
      <c r="DF197" s="45"/>
      <c r="DG197" s="45"/>
      <c r="DH197" s="45"/>
      <c r="DI197" s="45"/>
      <c r="DJ197" s="45"/>
      <c r="DK197" s="45"/>
      <c r="DL197" s="45"/>
      <c r="DM197" s="45"/>
      <c r="DN197" s="45"/>
      <c r="DO197" s="41" t="s">
        <v>3600</v>
      </c>
      <c r="DP197" s="46" t="s">
        <v>7285</v>
      </c>
      <c r="DQ197" s="45"/>
      <c r="DR197" s="45"/>
      <c r="DS197" s="45"/>
      <c r="DT197" s="45"/>
      <c r="DU197" s="45"/>
      <c r="DV197" s="45"/>
      <c r="DW197" s="43"/>
      <c r="DX197" s="45"/>
      <c r="DY197" s="43"/>
      <c r="DZ197" s="45"/>
      <c r="EA197" s="45"/>
      <c r="EB197" s="43"/>
      <c r="EC197" s="45"/>
      <c r="ED197" s="45"/>
      <c r="EE197" s="45"/>
      <c r="EF197" s="45"/>
      <c r="EG197" s="43"/>
      <c r="EH197" s="45"/>
      <c r="EI197" s="45"/>
      <c r="EJ197" s="45"/>
      <c r="EK197" s="43"/>
      <c r="EL197" s="45"/>
      <c r="EM197" s="45"/>
      <c r="EN197" s="45"/>
      <c r="EO197" s="45"/>
      <c r="EP197" s="48" t="s">
        <v>3559</v>
      </c>
    </row>
    <row r="198">
      <c r="A198" s="37"/>
      <c r="B198" s="35" t="s">
        <v>2670</v>
      </c>
      <c r="C198" s="34"/>
      <c r="D198" s="34"/>
      <c r="E198" s="34"/>
      <c r="F198" s="34"/>
      <c r="G198" s="35" t="s">
        <v>7286</v>
      </c>
      <c r="H198" s="35" t="s">
        <v>4560</v>
      </c>
      <c r="I198" s="35" t="s">
        <v>4561</v>
      </c>
      <c r="J198" s="35" t="s">
        <v>66</v>
      </c>
      <c r="K198" s="35" t="s">
        <v>4562</v>
      </c>
      <c r="L198" s="35" t="s">
        <v>7287</v>
      </c>
      <c r="M198" s="35" t="s">
        <v>7288</v>
      </c>
      <c r="N198" s="35" t="s">
        <v>4923</v>
      </c>
      <c r="O198" s="35" t="s">
        <v>7289</v>
      </c>
      <c r="P198" s="35"/>
      <c r="R198" s="35" t="s">
        <v>3571</v>
      </c>
      <c r="S198" s="35" t="s">
        <v>4925</v>
      </c>
      <c r="T198" s="35" t="s">
        <v>4926</v>
      </c>
      <c r="U198" s="36" t="s">
        <v>7290</v>
      </c>
      <c r="V198" s="34"/>
      <c r="W198" s="37"/>
      <c r="X198" s="34"/>
      <c r="Y198" s="34"/>
      <c r="Z198" s="34"/>
      <c r="AA198" s="37"/>
      <c r="AB198" s="34"/>
      <c r="AC198" s="34"/>
      <c r="AD198" s="34"/>
      <c r="AE198" s="37"/>
      <c r="AF198" s="37"/>
      <c r="AG198" s="37"/>
      <c r="AH198" s="37"/>
      <c r="AI198" s="37"/>
      <c r="AJ198" s="37"/>
      <c r="AK198" s="37"/>
      <c r="AL198" s="37"/>
      <c r="AM198" s="37"/>
      <c r="AN198" s="37"/>
      <c r="AO198" s="34"/>
      <c r="AP198" s="34"/>
      <c r="AQ198" s="34"/>
      <c r="AR198" s="34"/>
      <c r="AS198" s="34"/>
      <c r="AT198" s="35" t="s">
        <v>41</v>
      </c>
      <c r="AU198" s="34"/>
      <c r="AV198" s="34"/>
      <c r="AW198" s="34"/>
      <c r="AX198" s="34"/>
      <c r="AY198" s="37"/>
      <c r="AZ198" s="35" t="s">
        <v>41</v>
      </c>
      <c r="BA198" s="37" t="str">
        <f>+972 (0)8 648 4849</f>
        <v>#ERROR!</v>
      </c>
      <c r="BB198" s="37"/>
      <c r="BC198" s="35" t="s">
        <v>2674</v>
      </c>
      <c r="BD198" s="35" t="s">
        <v>3584</v>
      </c>
      <c r="BE198" s="35" t="s">
        <v>3584</v>
      </c>
      <c r="BF198" s="34"/>
      <c r="BG198" s="34"/>
      <c r="BH198" s="37"/>
      <c r="BI198" s="34"/>
      <c r="BJ198" s="34"/>
      <c r="BK198" s="34"/>
      <c r="BL198" s="34"/>
      <c r="BM198" s="34"/>
      <c r="BN198" s="34"/>
      <c r="BO198" s="34"/>
      <c r="BP198" s="34"/>
      <c r="BQ198" s="37"/>
      <c r="BR198" s="37"/>
      <c r="BS198" s="34"/>
      <c r="BT198" s="37"/>
      <c r="BU198" s="34"/>
      <c r="BV198" s="34"/>
      <c r="BW198" s="34"/>
      <c r="BX198" s="34"/>
      <c r="BY198" s="34"/>
      <c r="BZ198" s="34"/>
      <c r="CA198" s="34"/>
      <c r="CB198" s="37"/>
      <c r="CC198" s="37"/>
      <c r="CD198" s="34"/>
      <c r="CE198" s="37"/>
      <c r="CF198" s="34"/>
      <c r="CG198" s="34"/>
      <c r="CH198" s="34"/>
      <c r="CI198" s="34"/>
      <c r="CJ198" s="34"/>
      <c r="CK198" s="37"/>
      <c r="CL198" s="37"/>
      <c r="CM198" s="34"/>
      <c r="CN198" s="34"/>
      <c r="CO198" s="37"/>
      <c r="CP198" s="37"/>
      <c r="CQ198" s="37"/>
      <c r="CR198" s="37"/>
      <c r="CS198" s="37"/>
      <c r="CT198" s="37"/>
      <c r="CU198" s="37"/>
      <c r="CV198" s="37"/>
      <c r="CW198" s="37"/>
      <c r="CX198" s="37"/>
      <c r="CY198" s="37"/>
      <c r="CZ198" s="37"/>
      <c r="DA198" s="37"/>
      <c r="DB198" s="37"/>
      <c r="DC198" s="37"/>
      <c r="DD198" s="37"/>
      <c r="DE198" s="37"/>
      <c r="DF198" s="37"/>
      <c r="DG198" s="37"/>
      <c r="DH198" s="37"/>
      <c r="DI198" s="37"/>
      <c r="DJ198" s="37"/>
      <c r="DK198" s="37"/>
      <c r="DL198" s="37"/>
      <c r="DM198" s="37"/>
      <c r="DN198" s="37"/>
      <c r="DO198" s="32" t="s">
        <v>3600</v>
      </c>
      <c r="DP198" s="38" t="s">
        <v>7291</v>
      </c>
      <c r="DQ198" s="37"/>
      <c r="DR198" s="37"/>
      <c r="DS198" s="37"/>
      <c r="DT198" s="37"/>
      <c r="DU198" s="37"/>
      <c r="DV198" s="37"/>
      <c r="DW198" s="34"/>
      <c r="DX198" s="37"/>
      <c r="DY198" s="34"/>
      <c r="DZ198" s="37"/>
      <c r="EA198" s="37"/>
      <c r="EB198" s="34"/>
      <c r="EC198" s="37"/>
      <c r="ED198" s="37"/>
      <c r="EE198" s="37"/>
      <c r="EF198" s="37"/>
      <c r="EG198" s="34"/>
      <c r="EH198" s="37"/>
      <c r="EI198" s="37"/>
      <c r="EJ198" s="37"/>
      <c r="EK198" s="35" t="s">
        <v>4248</v>
      </c>
      <c r="EL198" s="37"/>
      <c r="EM198" s="37"/>
      <c r="EN198" s="37"/>
      <c r="EO198" s="37"/>
      <c r="EP198" s="40" t="s">
        <v>3559</v>
      </c>
    </row>
    <row r="199">
      <c r="A199" s="41">
        <v>1.41</v>
      </c>
      <c r="B199" s="42" t="s">
        <v>7292</v>
      </c>
      <c r="C199" s="43"/>
      <c r="D199" s="42" t="s">
        <v>7293</v>
      </c>
      <c r="E199" s="42" t="s">
        <v>7294</v>
      </c>
      <c r="F199" s="43"/>
      <c r="G199" s="42" t="s">
        <v>7295</v>
      </c>
      <c r="H199" s="42" t="s">
        <v>4560</v>
      </c>
      <c r="I199" s="42" t="s">
        <v>4561</v>
      </c>
      <c r="J199" s="42" t="s">
        <v>66</v>
      </c>
      <c r="K199" s="42" t="s">
        <v>7296</v>
      </c>
      <c r="L199" s="42" t="s">
        <v>7297</v>
      </c>
      <c r="M199" s="42" t="s">
        <v>7298</v>
      </c>
      <c r="N199" s="42" t="s">
        <v>5018</v>
      </c>
      <c r="O199" s="42" t="s">
        <v>7299</v>
      </c>
      <c r="P199" s="42"/>
      <c r="R199" s="42" t="s">
        <v>5222</v>
      </c>
      <c r="S199" s="42" t="s">
        <v>5222</v>
      </c>
      <c r="T199" s="42" t="s">
        <v>3573</v>
      </c>
      <c r="U199" s="44" t="s">
        <v>7300</v>
      </c>
      <c r="V199" s="43"/>
      <c r="W199" s="41">
        <v>7.0</v>
      </c>
      <c r="X199" s="42" t="s">
        <v>7301</v>
      </c>
      <c r="Y199" s="43"/>
      <c r="Z199" s="43"/>
      <c r="AA199" s="41">
        <v>2015.0</v>
      </c>
      <c r="AB199" s="43"/>
      <c r="AC199" s="43"/>
      <c r="AD199" s="43"/>
      <c r="AE199" s="45"/>
      <c r="AF199" s="45"/>
      <c r="AG199" s="45"/>
      <c r="AH199" s="45"/>
      <c r="AI199" s="45"/>
      <c r="AJ199" s="45"/>
      <c r="AK199" s="45"/>
      <c r="AL199" s="45"/>
      <c r="AM199" s="45"/>
      <c r="AN199" s="45"/>
      <c r="AO199" s="43"/>
      <c r="AP199" s="43"/>
      <c r="AQ199" s="43"/>
      <c r="AR199" s="43"/>
      <c r="AS199" s="43"/>
      <c r="AT199" s="42" t="s">
        <v>3581</v>
      </c>
      <c r="AU199" s="42" t="s">
        <v>7302</v>
      </c>
      <c r="AV199" s="43"/>
      <c r="AW199" s="42" t="s">
        <v>75</v>
      </c>
      <c r="AX199" s="43"/>
      <c r="AY199" s="41">
        <v>6789807.0</v>
      </c>
      <c r="AZ199" s="42" t="s">
        <v>41</v>
      </c>
      <c r="BA199" s="45"/>
      <c r="BB199" s="45"/>
      <c r="BC199" s="43"/>
      <c r="BD199" s="42" t="s">
        <v>3584</v>
      </c>
      <c r="BE199" s="42" t="s">
        <v>3584</v>
      </c>
      <c r="BF199" s="42" t="s">
        <v>7303</v>
      </c>
      <c r="BG199" s="43"/>
      <c r="BH199" s="45"/>
      <c r="BI199" s="43"/>
      <c r="BJ199" s="42" t="s">
        <v>7304</v>
      </c>
      <c r="BK199" s="43"/>
      <c r="BL199" s="43"/>
      <c r="BM199" s="42" t="s">
        <v>7305</v>
      </c>
      <c r="BN199" s="43"/>
      <c r="BO199" s="43"/>
      <c r="BP199" s="42" t="s">
        <v>5779</v>
      </c>
      <c r="BQ199" s="46" t="s">
        <v>7306</v>
      </c>
      <c r="BR199" s="41">
        <v>0.08</v>
      </c>
      <c r="BS199" s="42" t="s">
        <v>3593</v>
      </c>
      <c r="BT199" s="45"/>
      <c r="BU199" s="43"/>
      <c r="BV199" s="42" t="s">
        <v>5781</v>
      </c>
      <c r="BW199" s="43"/>
      <c r="BX199" s="43"/>
      <c r="BY199" s="42" t="s">
        <v>3803</v>
      </c>
      <c r="BZ199" s="43"/>
      <c r="CA199" s="42" t="s">
        <v>3591</v>
      </c>
      <c r="CB199" s="46" t="s">
        <v>4749</v>
      </c>
      <c r="CC199" s="45"/>
      <c r="CD199" s="43"/>
      <c r="CE199" s="45"/>
      <c r="CF199" s="43"/>
      <c r="CG199" s="42" t="s">
        <v>5222</v>
      </c>
      <c r="CH199" s="43"/>
      <c r="CI199" s="43"/>
      <c r="CJ199" s="42" t="s">
        <v>5222</v>
      </c>
      <c r="CK199" s="46" t="s">
        <v>5465</v>
      </c>
      <c r="CL199" s="41">
        <v>0.1</v>
      </c>
      <c r="CM199" s="43"/>
      <c r="CN199" s="42" t="s">
        <v>3591</v>
      </c>
      <c r="CO199" s="45"/>
      <c r="CP199" s="45"/>
      <c r="CQ199" s="45"/>
      <c r="CR199" s="45"/>
      <c r="CS199" s="45"/>
      <c r="CT199" s="45"/>
      <c r="CU199" s="45"/>
      <c r="CV199" s="45"/>
      <c r="CW199" s="45"/>
      <c r="CX199" s="45"/>
      <c r="CY199" s="45"/>
      <c r="CZ199" s="45"/>
      <c r="DA199" s="45"/>
      <c r="DB199" s="45"/>
      <c r="DC199" s="45"/>
      <c r="DD199" s="45"/>
      <c r="DE199" s="45"/>
      <c r="DF199" s="45"/>
      <c r="DG199" s="45"/>
      <c r="DH199" s="45"/>
      <c r="DI199" s="45"/>
      <c r="DJ199" s="45"/>
      <c r="DK199" s="45"/>
      <c r="DL199" s="45"/>
      <c r="DM199" s="45"/>
      <c r="DN199" s="45"/>
      <c r="DO199" s="41" t="s">
        <v>3600</v>
      </c>
      <c r="DP199" s="46" t="s">
        <v>3699</v>
      </c>
      <c r="DQ199" s="45"/>
      <c r="DR199" s="45"/>
      <c r="DS199" s="45"/>
      <c r="DT199" s="45"/>
      <c r="DU199" s="45"/>
      <c r="DV199" s="45"/>
      <c r="DW199" s="43"/>
      <c r="DX199" s="45"/>
      <c r="DY199" s="43"/>
      <c r="DZ199" s="45"/>
      <c r="EA199" s="45"/>
      <c r="EB199" s="43"/>
      <c r="EC199" s="45"/>
      <c r="ED199" s="45"/>
      <c r="EE199" s="41">
        <v>10.0</v>
      </c>
      <c r="EF199" s="46" t="s">
        <v>7307</v>
      </c>
      <c r="EG199" s="42" t="s">
        <v>3589</v>
      </c>
      <c r="EH199" s="45"/>
      <c r="EI199" s="45"/>
      <c r="EJ199" s="45"/>
      <c r="EK199" s="43"/>
      <c r="EL199" s="45"/>
      <c r="EM199" s="45"/>
      <c r="EN199" s="45"/>
      <c r="EO199" s="45"/>
      <c r="EP199" s="48" t="s">
        <v>3559</v>
      </c>
    </row>
    <row r="200">
      <c r="A200" s="37"/>
      <c r="B200" s="35" t="s">
        <v>7308</v>
      </c>
      <c r="C200" s="34"/>
      <c r="D200" s="34"/>
      <c r="E200" s="35" t="s">
        <v>7309</v>
      </c>
      <c r="F200" s="34"/>
      <c r="G200" s="35" t="s">
        <v>7310</v>
      </c>
      <c r="H200" s="35" t="s">
        <v>4560</v>
      </c>
      <c r="I200" s="35" t="s">
        <v>7311</v>
      </c>
      <c r="J200" s="35" t="s">
        <v>7312</v>
      </c>
      <c r="K200" s="35" t="s">
        <v>7313</v>
      </c>
      <c r="L200" s="34"/>
      <c r="M200" s="35" t="s">
        <v>7314</v>
      </c>
      <c r="N200" s="35" t="s">
        <v>4962</v>
      </c>
      <c r="O200" s="35" t="s">
        <v>7315</v>
      </c>
      <c r="P200" s="35"/>
      <c r="R200" s="35" t="s">
        <v>3571</v>
      </c>
      <c r="S200" s="35" t="s">
        <v>4964</v>
      </c>
      <c r="T200" s="35" t="s">
        <v>3603</v>
      </c>
      <c r="U200" s="36" t="s">
        <v>7316</v>
      </c>
      <c r="V200" s="34"/>
      <c r="W200" s="37"/>
      <c r="X200" s="34"/>
      <c r="Y200" s="34"/>
      <c r="Z200" s="34"/>
      <c r="AA200" s="32">
        <v>1997.0</v>
      </c>
      <c r="AB200" s="35" t="s">
        <v>7317</v>
      </c>
      <c r="AC200" s="34"/>
      <c r="AD200" s="34"/>
      <c r="AE200" s="32">
        <v>159.71</v>
      </c>
      <c r="AF200" s="37"/>
      <c r="AG200" s="37"/>
      <c r="AH200" s="37"/>
      <c r="AI200" s="37"/>
      <c r="AJ200" s="37"/>
      <c r="AK200" s="37"/>
      <c r="AL200" s="37"/>
      <c r="AM200" s="37"/>
      <c r="AN200" s="32" t="s">
        <v>3716</v>
      </c>
      <c r="AO200" s="35" t="s">
        <v>7318</v>
      </c>
      <c r="AP200" s="35" t="s">
        <v>7319</v>
      </c>
      <c r="AQ200" s="35" t="s">
        <v>4093</v>
      </c>
      <c r="AR200" s="34"/>
      <c r="AS200" s="34" t="str">
        <f>+972 (0)3 930 3863</f>
        <v>#ERROR!</v>
      </c>
      <c r="AT200" s="35" t="s">
        <v>4211</v>
      </c>
      <c r="AU200" s="35" t="s">
        <v>7320</v>
      </c>
      <c r="AV200" s="34"/>
      <c r="AW200" s="35" t="s">
        <v>4213</v>
      </c>
      <c r="AX200" s="34"/>
      <c r="AY200" s="37"/>
      <c r="AZ200" s="35" t="s">
        <v>41</v>
      </c>
      <c r="BA200" s="37" t="str">
        <f>+972 (0)3 930 3863</f>
        <v>#ERROR!</v>
      </c>
      <c r="BB200" s="37" t="str">
        <f>+972 (0)3 934 1119</f>
        <v>#ERROR!</v>
      </c>
      <c r="BC200" s="35" t="s">
        <v>7321</v>
      </c>
      <c r="BD200" s="35" t="s">
        <v>3584</v>
      </c>
      <c r="BE200" s="35" t="s">
        <v>3584</v>
      </c>
      <c r="BF200" s="35" t="s">
        <v>7322</v>
      </c>
      <c r="BG200" s="34"/>
      <c r="BH200" s="37"/>
      <c r="BI200" s="35" t="s">
        <v>7317</v>
      </c>
      <c r="BJ200" s="34"/>
      <c r="BK200" s="34"/>
      <c r="BL200" s="34"/>
      <c r="BM200" s="34"/>
      <c r="BN200" s="34"/>
      <c r="BO200" s="34"/>
      <c r="BP200" s="34"/>
      <c r="BQ200" s="38" t="s">
        <v>7323</v>
      </c>
      <c r="BR200" s="32">
        <v>32.12</v>
      </c>
      <c r="BS200" s="35" t="s">
        <v>3593</v>
      </c>
      <c r="BT200" s="32">
        <v>42.83</v>
      </c>
      <c r="BU200" s="35" t="s">
        <v>3697</v>
      </c>
      <c r="BV200" s="35" t="s">
        <v>4977</v>
      </c>
      <c r="BW200" s="34"/>
      <c r="BX200" s="34"/>
      <c r="BY200" s="35" t="s">
        <v>3663</v>
      </c>
      <c r="BZ200" s="34"/>
      <c r="CA200" s="35" t="s">
        <v>3591</v>
      </c>
      <c r="CB200" s="38" t="s">
        <v>7323</v>
      </c>
      <c r="CC200" s="32">
        <v>32.12</v>
      </c>
      <c r="CD200" s="35" t="s">
        <v>3593</v>
      </c>
      <c r="CE200" s="32">
        <v>42.83</v>
      </c>
      <c r="CF200" s="35" t="s">
        <v>3697</v>
      </c>
      <c r="CG200" s="35" t="s">
        <v>4977</v>
      </c>
      <c r="CH200" s="34"/>
      <c r="CI200" s="34"/>
      <c r="CJ200" s="35" t="s">
        <v>3663</v>
      </c>
      <c r="CK200" s="37"/>
      <c r="CL200" s="37"/>
      <c r="CM200" s="34"/>
      <c r="CN200" s="35" t="s">
        <v>3591</v>
      </c>
      <c r="CO200" s="39">
        <v>0.0</v>
      </c>
      <c r="CP200" s="32">
        <v>14.0</v>
      </c>
      <c r="CQ200" s="39">
        <v>0.0</v>
      </c>
      <c r="CR200" s="39">
        <v>0.0</v>
      </c>
      <c r="CS200" s="39">
        <v>0.0</v>
      </c>
      <c r="CT200" s="32">
        <v>12.0</v>
      </c>
      <c r="CU200" s="39">
        <v>0.0</v>
      </c>
      <c r="CV200" s="32">
        <v>10.0</v>
      </c>
      <c r="CW200" s="39">
        <v>0.0</v>
      </c>
      <c r="CX200" s="32">
        <v>12.0</v>
      </c>
      <c r="CY200" s="32" t="s">
        <v>7324</v>
      </c>
      <c r="CZ200" s="32">
        <v>58.0</v>
      </c>
      <c r="DA200" s="32" t="s">
        <v>3598</v>
      </c>
      <c r="DB200" s="39">
        <v>0.0</v>
      </c>
      <c r="DC200" s="32" t="s">
        <v>7324</v>
      </c>
      <c r="DD200" s="32">
        <v>61.0</v>
      </c>
      <c r="DE200" s="32" t="s">
        <v>4481</v>
      </c>
      <c r="DF200" s="32">
        <v>57.0</v>
      </c>
      <c r="DG200" s="32" t="s">
        <v>4504</v>
      </c>
      <c r="DH200" s="32">
        <v>59.0</v>
      </c>
      <c r="DI200" s="32">
        <v>147.0</v>
      </c>
      <c r="DJ200" s="32">
        <v>-6.0</v>
      </c>
      <c r="DK200" s="39">
        <v>-0.0392</v>
      </c>
      <c r="DL200" s="32">
        <v>30.0</v>
      </c>
      <c r="DM200" s="32">
        <v>1.0</v>
      </c>
      <c r="DN200" s="39">
        <v>0.0345</v>
      </c>
      <c r="DO200" s="32" t="s">
        <v>3600</v>
      </c>
      <c r="DP200" s="38" t="s">
        <v>7325</v>
      </c>
      <c r="DQ200" s="37"/>
      <c r="DR200" s="37"/>
      <c r="DS200" s="37"/>
      <c r="DT200" s="37"/>
      <c r="DU200" s="37"/>
      <c r="DV200" s="37"/>
      <c r="DW200" s="34"/>
      <c r="DX200" s="37"/>
      <c r="DY200" s="34"/>
      <c r="DZ200" s="37"/>
      <c r="EA200" s="37"/>
      <c r="EB200" s="34"/>
      <c r="EC200" s="37"/>
      <c r="ED200" s="37"/>
      <c r="EE200" s="32">
        <v>42.83</v>
      </c>
      <c r="EF200" s="38" t="s">
        <v>7323</v>
      </c>
      <c r="EG200" s="35" t="s">
        <v>4977</v>
      </c>
      <c r="EH200" s="37"/>
      <c r="EI200" s="37"/>
      <c r="EJ200" s="37"/>
      <c r="EK200" s="34"/>
      <c r="EL200" s="37"/>
      <c r="EM200" s="37"/>
      <c r="EN200" s="37"/>
      <c r="EO200" s="37"/>
      <c r="EP200" s="40" t="s">
        <v>3559</v>
      </c>
    </row>
    <row r="201">
      <c r="A201" s="45"/>
      <c r="B201" s="42" t="s">
        <v>7326</v>
      </c>
      <c r="C201" s="43"/>
      <c r="D201" s="43"/>
      <c r="E201" s="42" t="s">
        <v>7327</v>
      </c>
      <c r="F201" s="43"/>
      <c r="G201" s="42" t="s">
        <v>7328</v>
      </c>
      <c r="H201" s="42" t="s">
        <v>3867</v>
      </c>
      <c r="I201" s="42" t="s">
        <v>3868</v>
      </c>
      <c r="J201" s="42" t="s">
        <v>3869</v>
      </c>
      <c r="K201" s="42" t="s">
        <v>4024</v>
      </c>
      <c r="L201" s="42" t="s">
        <v>5736</v>
      </c>
      <c r="M201" s="42" t="s">
        <v>7329</v>
      </c>
      <c r="N201" s="42" t="s">
        <v>4923</v>
      </c>
      <c r="O201" s="42" t="s">
        <v>7330</v>
      </c>
      <c r="P201" s="42"/>
      <c r="R201" s="43"/>
      <c r="S201" s="42" t="s">
        <v>4925</v>
      </c>
      <c r="T201" s="42" t="s">
        <v>5568</v>
      </c>
      <c r="U201" s="43"/>
      <c r="V201" s="43"/>
      <c r="W201" s="45"/>
      <c r="X201" s="43"/>
      <c r="Y201" s="43"/>
      <c r="Z201" s="43"/>
      <c r="AA201" s="41">
        <v>1980.0</v>
      </c>
      <c r="AB201" s="43"/>
      <c r="AC201" s="43"/>
      <c r="AD201" s="43"/>
      <c r="AE201" s="45"/>
      <c r="AF201" s="45"/>
      <c r="AG201" s="45"/>
      <c r="AH201" s="45"/>
      <c r="AI201" s="45"/>
      <c r="AJ201" s="45"/>
      <c r="AK201" s="45"/>
      <c r="AL201" s="45"/>
      <c r="AM201" s="45"/>
      <c r="AN201" s="45"/>
      <c r="AO201" s="43"/>
      <c r="AP201" s="43"/>
      <c r="AQ201" s="43"/>
      <c r="AR201" s="43"/>
      <c r="AS201" s="43"/>
      <c r="AT201" s="42" t="s">
        <v>7331</v>
      </c>
      <c r="AU201" s="42" t="s">
        <v>7332</v>
      </c>
      <c r="AV201" s="42" t="s">
        <v>7333</v>
      </c>
      <c r="AW201" s="42" t="s">
        <v>7334</v>
      </c>
      <c r="AX201" s="43"/>
      <c r="AY201" s="41">
        <v>27112.0</v>
      </c>
      <c r="AZ201" s="42" t="s">
        <v>41</v>
      </c>
      <c r="BA201" s="45" t="str">
        <f>+972 (0)4 880 8800</f>
        <v>#ERROR!</v>
      </c>
      <c r="BB201" s="45" t="str">
        <f>+972 (0)4 876 4211</f>
        <v>#ERROR!</v>
      </c>
      <c r="BC201" s="43"/>
      <c r="BD201" s="42" t="s">
        <v>3584</v>
      </c>
      <c r="BE201" s="42" t="s">
        <v>3584</v>
      </c>
      <c r="BF201" s="43"/>
      <c r="BG201" s="43"/>
      <c r="BH201" s="45"/>
      <c r="BI201" s="43"/>
      <c r="BJ201" s="43"/>
      <c r="BK201" s="43"/>
      <c r="BL201" s="43"/>
      <c r="BM201" s="43"/>
      <c r="BN201" s="43"/>
      <c r="BO201" s="43"/>
      <c r="BP201" s="43"/>
      <c r="BQ201" s="45"/>
      <c r="BR201" s="45"/>
      <c r="BS201" s="43"/>
      <c r="BT201" s="45"/>
      <c r="BU201" s="43"/>
      <c r="BV201" s="43"/>
      <c r="BW201" s="43"/>
      <c r="BX201" s="43"/>
      <c r="BY201" s="43"/>
      <c r="BZ201" s="43"/>
      <c r="CA201" s="43"/>
      <c r="CB201" s="45"/>
      <c r="CC201" s="45"/>
      <c r="CD201" s="43"/>
      <c r="CE201" s="45"/>
      <c r="CF201" s="43"/>
      <c r="CG201" s="43"/>
      <c r="CH201" s="43"/>
      <c r="CI201" s="43"/>
      <c r="CJ201" s="43"/>
      <c r="CK201" s="45"/>
      <c r="CL201" s="45"/>
      <c r="CM201" s="43"/>
      <c r="CN201" s="43"/>
      <c r="CO201" s="45"/>
      <c r="CP201" s="45"/>
      <c r="CQ201" s="45"/>
      <c r="CR201" s="45"/>
      <c r="CS201" s="45"/>
      <c r="CT201" s="45"/>
      <c r="CU201" s="45"/>
      <c r="CV201" s="45"/>
      <c r="CW201" s="45"/>
      <c r="CX201" s="45"/>
      <c r="CY201" s="45"/>
      <c r="CZ201" s="45"/>
      <c r="DA201" s="45"/>
      <c r="DB201" s="45"/>
      <c r="DC201" s="45"/>
      <c r="DD201" s="45"/>
      <c r="DE201" s="45"/>
      <c r="DF201" s="45"/>
      <c r="DG201" s="45"/>
      <c r="DH201" s="45"/>
      <c r="DI201" s="45"/>
      <c r="DJ201" s="45"/>
      <c r="DK201" s="45"/>
      <c r="DL201" s="45"/>
      <c r="DM201" s="45"/>
      <c r="DN201" s="45"/>
      <c r="DO201" s="41" t="s">
        <v>3600</v>
      </c>
      <c r="DP201" s="46" t="s">
        <v>7335</v>
      </c>
      <c r="DQ201" s="45"/>
      <c r="DR201" s="45"/>
      <c r="DS201" s="45"/>
      <c r="DT201" s="45"/>
      <c r="DU201" s="45"/>
      <c r="DV201" s="45"/>
      <c r="DW201" s="43"/>
      <c r="DX201" s="45"/>
      <c r="DY201" s="43"/>
      <c r="DZ201" s="45"/>
      <c r="EA201" s="45"/>
      <c r="EB201" s="43"/>
      <c r="EC201" s="45"/>
      <c r="ED201" s="45"/>
      <c r="EE201" s="45"/>
      <c r="EF201" s="45"/>
      <c r="EG201" s="43"/>
      <c r="EH201" s="45"/>
      <c r="EI201" s="45"/>
      <c r="EJ201" s="45"/>
      <c r="EK201" s="43"/>
      <c r="EL201" s="45"/>
      <c r="EM201" s="45"/>
      <c r="EN201" s="45"/>
      <c r="EO201" s="45"/>
      <c r="EP201" s="48" t="s">
        <v>3559</v>
      </c>
    </row>
    <row r="202">
      <c r="A202" s="37"/>
      <c r="B202" s="33" t="s">
        <v>7336</v>
      </c>
      <c r="C202" s="34"/>
      <c r="D202" s="34"/>
      <c r="E202" s="35" t="s">
        <v>7337</v>
      </c>
      <c r="F202" s="34"/>
      <c r="G202" s="35" t="s">
        <v>7338</v>
      </c>
      <c r="H202" s="35" t="s">
        <v>3867</v>
      </c>
      <c r="I202" s="35" t="s">
        <v>3897</v>
      </c>
      <c r="J202" s="35" t="s">
        <v>4689</v>
      </c>
      <c r="K202" s="35" t="s">
        <v>7339</v>
      </c>
      <c r="L202" s="35" t="s">
        <v>3612</v>
      </c>
      <c r="M202" s="35" t="s">
        <v>7340</v>
      </c>
      <c r="N202" s="35" t="s">
        <v>5481</v>
      </c>
      <c r="O202" s="35" t="s">
        <v>7341</v>
      </c>
      <c r="P202" s="35"/>
      <c r="R202" s="35" t="s">
        <v>5222</v>
      </c>
      <c r="S202" s="35" t="s">
        <v>5222</v>
      </c>
      <c r="T202" s="35" t="s">
        <v>5147</v>
      </c>
      <c r="U202" s="36" t="s">
        <v>7342</v>
      </c>
      <c r="V202" s="34"/>
      <c r="W202" s="37"/>
      <c r="X202" s="34"/>
      <c r="Y202" s="34"/>
      <c r="Z202" s="34"/>
      <c r="AA202" s="32">
        <v>2015.0</v>
      </c>
      <c r="AB202" s="34"/>
      <c r="AC202" s="34"/>
      <c r="AD202" s="34"/>
      <c r="AE202" s="37"/>
      <c r="AF202" s="37"/>
      <c r="AG202" s="37"/>
      <c r="AH202" s="37"/>
      <c r="AI202" s="37"/>
      <c r="AJ202" s="37"/>
      <c r="AK202" s="37"/>
      <c r="AL202" s="37"/>
      <c r="AM202" s="37"/>
      <c r="AN202" s="37"/>
      <c r="AO202" s="34"/>
      <c r="AP202" s="34"/>
      <c r="AQ202" s="34"/>
      <c r="AR202" s="34"/>
      <c r="AS202" s="34"/>
      <c r="AT202" s="35" t="s">
        <v>3581</v>
      </c>
      <c r="AU202" s="34"/>
      <c r="AV202" s="34"/>
      <c r="AW202" s="35" t="s">
        <v>75</v>
      </c>
      <c r="AX202" s="34"/>
      <c r="AY202" s="37"/>
      <c r="AZ202" s="35" t="s">
        <v>41</v>
      </c>
      <c r="BA202" s="37"/>
      <c r="BB202" s="37"/>
      <c r="BC202" s="34"/>
      <c r="BD202" s="35" t="s">
        <v>3584</v>
      </c>
      <c r="BE202" s="35" t="s">
        <v>3584</v>
      </c>
      <c r="BF202" s="35" t="s">
        <v>7343</v>
      </c>
      <c r="BG202" s="34"/>
      <c r="BH202" s="37"/>
      <c r="BI202" s="34"/>
      <c r="BJ202" s="35" t="s">
        <v>7344</v>
      </c>
      <c r="BK202" s="34"/>
      <c r="BL202" s="34"/>
      <c r="BM202" s="35" t="s">
        <v>7345</v>
      </c>
      <c r="BN202" s="34"/>
      <c r="BO202" s="34"/>
      <c r="BP202" s="34"/>
      <c r="BQ202" s="37"/>
      <c r="BR202" s="37"/>
      <c r="BS202" s="34"/>
      <c r="BT202" s="37"/>
      <c r="BU202" s="34"/>
      <c r="BV202" s="35" t="s">
        <v>3589</v>
      </c>
      <c r="BW202" s="34"/>
      <c r="BX202" s="34"/>
      <c r="BY202" s="35" t="s">
        <v>3590</v>
      </c>
      <c r="BZ202" s="34"/>
      <c r="CA202" s="35" t="s">
        <v>3591</v>
      </c>
      <c r="CB202" s="38" t="s">
        <v>5255</v>
      </c>
      <c r="CC202" s="37"/>
      <c r="CD202" s="34"/>
      <c r="CE202" s="37"/>
      <c r="CF202" s="34"/>
      <c r="CG202" s="35" t="s">
        <v>5222</v>
      </c>
      <c r="CH202" s="34"/>
      <c r="CI202" s="34"/>
      <c r="CJ202" s="35" t="s">
        <v>5222</v>
      </c>
      <c r="CK202" s="37"/>
      <c r="CL202" s="37"/>
      <c r="CM202" s="34"/>
      <c r="CN202" s="35" t="s">
        <v>3591</v>
      </c>
      <c r="CO202" s="37"/>
      <c r="CP202" s="37"/>
      <c r="CQ202" s="37"/>
      <c r="CR202" s="37"/>
      <c r="CS202" s="37"/>
      <c r="CT202" s="37"/>
      <c r="CU202" s="37"/>
      <c r="CV202" s="37"/>
      <c r="CW202" s="37"/>
      <c r="CX202" s="37"/>
      <c r="CY202" s="37"/>
      <c r="CZ202" s="37"/>
      <c r="DA202" s="37"/>
      <c r="DB202" s="37"/>
      <c r="DC202" s="37"/>
      <c r="DD202" s="37"/>
      <c r="DE202" s="37"/>
      <c r="DF202" s="37"/>
      <c r="DG202" s="37"/>
      <c r="DH202" s="37"/>
      <c r="DI202" s="37"/>
      <c r="DJ202" s="37"/>
      <c r="DK202" s="37"/>
      <c r="DL202" s="37"/>
      <c r="DM202" s="37"/>
      <c r="DN202" s="37"/>
      <c r="DO202" s="32" t="s">
        <v>3600</v>
      </c>
      <c r="DP202" s="38" t="s">
        <v>5177</v>
      </c>
      <c r="DQ202" s="37"/>
      <c r="DR202" s="37"/>
      <c r="DS202" s="37"/>
      <c r="DT202" s="37"/>
      <c r="DU202" s="37"/>
      <c r="DV202" s="37"/>
      <c r="DW202" s="34"/>
      <c r="DX202" s="37"/>
      <c r="DY202" s="34"/>
      <c r="DZ202" s="37"/>
      <c r="EA202" s="37"/>
      <c r="EB202" s="34"/>
      <c r="EC202" s="37"/>
      <c r="ED202" s="37"/>
      <c r="EE202" s="37"/>
      <c r="EF202" s="37"/>
      <c r="EG202" s="34"/>
      <c r="EH202" s="37"/>
      <c r="EI202" s="37"/>
      <c r="EJ202" s="37"/>
      <c r="EK202" s="34"/>
      <c r="EL202" s="37"/>
      <c r="EM202" s="37"/>
      <c r="EN202" s="37"/>
      <c r="EO202" s="37"/>
      <c r="EP202" s="40" t="s">
        <v>3559</v>
      </c>
    </row>
    <row r="203">
      <c r="A203" s="45"/>
      <c r="B203" s="42" t="s">
        <v>7346</v>
      </c>
      <c r="C203" s="43"/>
      <c r="D203" s="43"/>
      <c r="E203" s="43"/>
      <c r="F203" s="43"/>
      <c r="G203" s="42" t="s">
        <v>7347</v>
      </c>
      <c r="H203" s="42" t="s">
        <v>3867</v>
      </c>
      <c r="I203" s="42" t="s">
        <v>3868</v>
      </c>
      <c r="J203" s="42" t="s">
        <v>3869</v>
      </c>
      <c r="K203" s="42" t="s">
        <v>5438</v>
      </c>
      <c r="L203" s="43"/>
      <c r="M203" s="42" t="s">
        <v>7348</v>
      </c>
      <c r="N203" s="42" t="s">
        <v>4923</v>
      </c>
      <c r="O203" s="42" t="s">
        <v>7349</v>
      </c>
      <c r="P203" s="42"/>
      <c r="R203" s="43"/>
      <c r="S203" s="42" t="s">
        <v>4925</v>
      </c>
      <c r="T203" s="42" t="s">
        <v>4926</v>
      </c>
      <c r="U203" s="44" t="s">
        <v>7350</v>
      </c>
      <c r="V203" s="44" t="s">
        <v>7351</v>
      </c>
      <c r="W203" s="41">
        <v>9.0</v>
      </c>
      <c r="X203" s="42" t="s">
        <v>7352</v>
      </c>
      <c r="Y203" s="43"/>
      <c r="Z203" s="43"/>
      <c r="AA203" s="41">
        <v>1979.0</v>
      </c>
      <c r="AB203" s="43"/>
      <c r="AC203" s="43"/>
      <c r="AD203" s="43"/>
      <c r="AE203" s="45"/>
      <c r="AF203" s="45"/>
      <c r="AG203" s="45"/>
      <c r="AH203" s="45"/>
      <c r="AI203" s="45"/>
      <c r="AJ203" s="45"/>
      <c r="AK203" s="45"/>
      <c r="AL203" s="45"/>
      <c r="AM203" s="45"/>
      <c r="AN203" s="45"/>
      <c r="AO203" s="43"/>
      <c r="AP203" s="43"/>
      <c r="AQ203" s="43"/>
      <c r="AR203" s="43"/>
      <c r="AS203" s="43"/>
      <c r="AT203" s="42" t="s">
        <v>3654</v>
      </c>
      <c r="AU203" s="42" t="s">
        <v>7353</v>
      </c>
      <c r="AV203" s="43"/>
      <c r="AW203" s="42" t="s">
        <v>147</v>
      </c>
      <c r="AX203" s="43"/>
      <c r="AY203" s="41" t="s">
        <v>7354</v>
      </c>
      <c r="AZ203" s="42" t="s">
        <v>41</v>
      </c>
      <c r="BA203" s="45"/>
      <c r="BB203" s="45"/>
      <c r="BC203" s="43"/>
      <c r="BD203" s="42" t="s">
        <v>3584</v>
      </c>
      <c r="BE203" s="42" t="s">
        <v>3584</v>
      </c>
      <c r="BF203" s="43"/>
      <c r="BG203" s="43"/>
      <c r="BH203" s="45"/>
      <c r="BI203" s="43"/>
      <c r="BJ203" s="43"/>
      <c r="BK203" s="43"/>
      <c r="BL203" s="43"/>
      <c r="BM203" s="43"/>
      <c r="BN203" s="43"/>
      <c r="BO203" s="43"/>
      <c r="BP203" s="43"/>
      <c r="BQ203" s="45"/>
      <c r="BR203" s="45"/>
      <c r="BS203" s="43"/>
      <c r="BT203" s="45"/>
      <c r="BU203" s="43"/>
      <c r="BV203" s="43"/>
      <c r="BW203" s="43"/>
      <c r="BX203" s="43"/>
      <c r="BY203" s="43"/>
      <c r="BZ203" s="43"/>
      <c r="CA203" s="43"/>
      <c r="CB203" s="45"/>
      <c r="CC203" s="45"/>
      <c r="CD203" s="43"/>
      <c r="CE203" s="45"/>
      <c r="CF203" s="43"/>
      <c r="CG203" s="43"/>
      <c r="CH203" s="43"/>
      <c r="CI203" s="43"/>
      <c r="CJ203" s="43"/>
      <c r="CK203" s="45"/>
      <c r="CL203" s="45"/>
      <c r="CM203" s="43"/>
      <c r="CN203" s="43"/>
      <c r="CO203" s="47">
        <v>-0.0321</v>
      </c>
      <c r="CP203" s="41">
        <v>3.0</v>
      </c>
      <c r="CQ203" s="47">
        <v>0.0</v>
      </c>
      <c r="CR203" s="47">
        <v>0.0</v>
      </c>
      <c r="CS203" s="47">
        <v>-0.0643</v>
      </c>
      <c r="CT203" s="41">
        <v>1.0</v>
      </c>
      <c r="CU203" s="47">
        <v>0.0</v>
      </c>
      <c r="CV203" s="41">
        <v>10.0</v>
      </c>
      <c r="CW203" s="47">
        <v>-0.1285</v>
      </c>
      <c r="CX203" s="41">
        <v>1.0</v>
      </c>
      <c r="CY203" s="41" t="s">
        <v>7355</v>
      </c>
      <c r="CZ203" s="41">
        <v>68.0</v>
      </c>
      <c r="DA203" s="41" t="s">
        <v>3598</v>
      </c>
      <c r="DB203" s="47">
        <v>0.0</v>
      </c>
      <c r="DC203" s="41" t="s">
        <v>7356</v>
      </c>
      <c r="DD203" s="41">
        <v>74.0</v>
      </c>
      <c r="DE203" s="41" t="s">
        <v>3598</v>
      </c>
      <c r="DF203" s="41">
        <v>1.0</v>
      </c>
      <c r="DG203" s="41" t="s">
        <v>3597</v>
      </c>
      <c r="DH203" s="41">
        <v>79.0</v>
      </c>
      <c r="DI203" s="41">
        <v>4.0</v>
      </c>
      <c r="DJ203" s="41">
        <v>-10.0</v>
      </c>
      <c r="DK203" s="47">
        <v>-0.7143</v>
      </c>
      <c r="DL203" s="41">
        <v>137.0</v>
      </c>
      <c r="DM203" s="41">
        <v>-21.0</v>
      </c>
      <c r="DN203" s="47">
        <v>-0.1329</v>
      </c>
      <c r="DO203" s="41" t="s">
        <v>5066</v>
      </c>
      <c r="DP203" s="46" t="s">
        <v>7357</v>
      </c>
      <c r="DQ203" s="45"/>
      <c r="DR203" s="45"/>
      <c r="DS203" s="45"/>
      <c r="DT203" s="45"/>
      <c r="DU203" s="45"/>
      <c r="DV203" s="45"/>
      <c r="DW203" s="43"/>
      <c r="DX203" s="45"/>
      <c r="DY203" s="43"/>
      <c r="DZ203" s="45"/>
      <c r="EA203" s="45"/>
      <c r="EB203" s="43"/>
      <c r="EC203" s="45"/>
      <c r="ED203" s="45"/>
      <c r="EE203" s="45"/>
      <c r="EF203" s="45"/>
      <c r="EG203" s="43"/>
      <c r="EH203" s="45"/>
      <c r="EI203" s="45"/>
      <c r="EJ203" s="45"/>
      <c r="EK203" s="43"/>
      <c r="EL203" s="45"/>
      <c r="EM203" s="45"/>
      <c r="EN203" s="45"/>
      <c r="EO203" s="45"/>
      <c r="EP203" s="48" t="s">
        <v>3559</v>
      </c>
    </row>
    <row r="204">
      <c r="A204" s="37"/>
      <c r="B204" s="35" t="s">
        <v>7358</v>
      </c>
      <c r="C204" s="35" t="s">
        <v>7359</v>
      </c>
      <c r="D204" s="34"/>
      <c r="E204" s="35" t="s">
        <v>7360</v>
      </c>
      <c r="F204" s="34"/>
      <c r="G204" s="35" t="s">
        <v>7361</v>
      </c>
      <c r="H204" s="35" t="s">
        <v>4560</v>
      </c>
      <c r="I204" s="35" t="s">
        <v>4561</v>
      </c>
      <c r="J204" s="35" t="s">
        <v>5057</v>
      </c>
      <c r="K204" s="35" t="s">
        <v>5058</v>
      </c>
      <c r="L204" s="35" t="s">
        <v>5736</v>
      </c>
      <c r="M204" s="35" t="s">
        <v>7362</v>
      </c>
      <c r="N204" s="35" t="s">
        <v>4923</v>
      </c>
      <c r="O204" s="35" t="s">
        <v>7363</v>
      </c>
      <c r="P204" s="35"/>
      <c r="R204" s="35" t="s">
        <v>5750</v>
      </c>
      <c r="S204" s="35" t="s">
        <v>5236</v>
      </c>
      <c r="T204" s="35" t="s">
        <v>5568</v>
      </c>
      <c r="U204" s="36" t="s">
        <v>7364</v>
      </c>
      <c r="V204" s="34"/>
      <c r="W204" s="32">
        <v>225.0</v>
      </c>
      <c r="X204" s="35" t="s">
        <v>7365</v>
      </c>
      <c r="Y204" s="35" t="s">
        <v>5417</v>
      </c>
      <c r="Z204" s="35" t="s">
        <v>7366</v>
      </c>
      <c r="AA204" s="32">
        <v>1980.0</v>
      </c>
      <c r="AB204" s="34"/>
      <c r="AC204" s="34"/>
      <c r="AD204" s="34"/>
      <c r="AE204" s="32">
        <v>29.29</v>
      </c>
      <c r="AF204" s="32">
        <v>12.68</v>
      </c>
      <c r="AG204" s="32">
        <v>27.29</v>
      </c>
      <c r="AH204" s="32">
        <v>85.21</v>
      </c>
      <c r="AI204" s="32">
        <v>31.39</v>
      </c>
      <c r="AJ204" s="32">
        <v>28.7</v>
      </c>
      <c r="AK204" s="32">
        <v>88.43</v>
      </c>
      <c r="AL204" s="32">
        <v>-14.96</v>
      </c>
      <c r="AM204" s="39">
        <v>0.021</v>
      </c>
      <c r="AN204" s="32" t="s">
        <v>5245</v>
      </c>
      <c r="AO204" s="35" t="s">
        <v>7367</v>
      </c>
      <c r="AP204" s="35" t="s">
        <v>7368</v>
      </c>
      <c r="AQ204" s="35" t="s">
        <v>3982</v>
      </c>
      <c r="AR204" s="35" t="s">
        <v>7369</v>
      </c>
      <c r="AS204" s="34" t="str">
        <f>+972 (0)3 653 9999</f>
        <v>#ERROR!</v>
      </c>
      <c r="AT204" s="35" t="s">
        <v>3851</v>
      </c>
      <c r="AU204" s="35" t="s">
        <v>5499</v>
      </c>
      <c r="AV204" s="35" t="s">
        <v>75</v>
      </c>
      <c r="AW204" s="35" t="s">
        <v>616</v>
      </c>
      <c r="AX204" s="34"/>
      <c r="AY204" s="32">
        <v>6971901.0</v>
      </c>
      <c r="AZ204" s="35" t="s">
        <v>41</v>
      </c>
      <c r="BA204" s="37" t="str">
        <f>+972 (0)3 653 9999</f>
        <v>#ERROR!</v>
      </c>
      <c r="BB204" s="37" t="str">
        <f>+972 (0)3 653 9977</f>
        <v>#ERROR!</v>
      </c>
      <c r="BC204" s="35" t="s">
        <v>7370</v>
      </c>
      <c r="BD204" s="35" t="s">
        <v>3584</v>
      </c>
      <c r="BE204" s="35" t="s">
        <v>3584</v>
      </c>
      <c r="BF204" s="35" t="s">
        <v>7371</v>
      </c>
      <c r="BG204" s="34"/>
      <c r="BH204" s="37"/>
      <c r="BI204" s="34"/>
      <c r="BJ204" s="34"/>
      <c r="BK204" s="34"/>
      <c r="BL204" s="34"/>
      <c r="BM204" s="34"/>
      <c r="BN204" s="34"/>
      <c r="BO204" s="34"/>
      <c r="BP204" s="34"/>
      <c r="BQ204" s="38" t="s">
        <v>7372</v>
      </c>
      <c r="BR204" s="37"/>
      <c r="BS204" s="34"/>
      <c r="BT204" s="37"/>
      <c r="BU204" s="34"/>
      <c r="BV204" s="35" t="s">
        <v>4532</v>
      </c>
      <c r="BW204" s="34"/>
      <c r="BX204" s="34"/>
      <c r="BY204" s="35" t="s">
        <v>5764</v>
      </c>
      <c r="BZ204" s="34"/>
      <c r="CA204" s="35" t="s">
        <v>3591</v>
      </c>
      <c r="CB204" s="38" t="s">
        <v>7372</v>
      </c>
      <c r="CC204" s="37"/>
      <c r="CD204" s="34"/>
      <c r="CE204" s="37"/>
      <c r="CF204" s="34"/>
      <c r="CG204" s="35" t="s">
        <v>4532</v>
      </c>
      <c r="CH204" s="34"/>
      <c r="CI204" s="34"/>
      <c r="CJ204" s="35" t="s">
        <v>5764</v>
      </c>
      <c r="CK204" s="37"/>
      <c r="CL204" s="37"/>
      <c r="CM204" s="34"/>
      <c r="CN204" s="35" t="s">
        <v>3591</v>
      </c>
      <c r="CO204" s="39">
        <v>0.0</v>
      </c>
      <c r="CP204" s="32">
        <v>14.0</v>
      </c>
      <c r="CQ204" s="39">
        <v>0.0</v>
      </c>
      <c r="CR204" s="39">
        <v>0.0</v>
      </c>
      <c r="CS204" s="39">
        <v>0.0</v>
      </c>
      <c r="CT204" s="32">
        <v>12.0</v>
      </c>
      <c r="CU204" s="37"/>
      <c r="CV204" s="37"/>
      <c r="CW204" s="39">
        <v>0.0</v>
      </c>
      <c r="CX204" s="32">
        <v>12.0</v>
      </c>
      <c r="CY204" s="32" t="s">
        <v>5065</v>
      </c>
      <c r="CZ204" s="32">
        <v>40.0</v>
      </c>
      <c r="DA204" s="32" t="s">
        <v>3598</v>
      </c>
      <c r="DB204" s="39">
        <v>0.0</v>
      </c>
      <c r="DC204" s="32" t="s">
        <v>5065</v>
      </c>
      <c r="DD204" s="32">
        <v>42.0</v>
      </c>
      <c r="DE204" s="37"/>
      <c r="DF204" s="37"/>
      <c r="DG204" s="32" t="s">
        <v>5065</v>
      </c>
      <c r="DH204" s="32">
        <v>40.0</v>
      </c>
      <c r="DI204" s="37"/>
      <c r="DJ204" s="37"/>
      <c r="DK204" s="37"/>
      <c r="DL204" s="32">
        <v>18.0</v>
      </c>
      <c r="DM204" s="32">
        <v>0.0</v>
      </c>
      <c r="DN204" s="39">
        <v>0.0</v>
      </c>
      <c r="DO204" s="32" t="s">
        <v>3600</v>
      </c>
      <c r="DP204" s="38" t="s">
        <v>7373</v>
      </c>
      <c r="DQ204" s="37"/>
      <c r="DR204" s="37"/>
      <c r="DS204" s="37"/>
      <c r="DT204" s="37"/>
      <c r="DU204" s="37"/>
      <c r="DV204" s="37"/>
      <c r="DW204" s="34"/>
      <c r="DX204" s="37"/>
      <c r="DY204" s="34"/>
      <c r="DZ204" s="37"/>
      <c r="EA204" s="37"/>
      <c r="EB204" s="34"/>
      <c r="EC204" s="37"/>
      <c r="ED204" s="37"/>
      <c r="EE204" s="37"/>
      <c r="EF204" s="37"/>
      <c r="EG204" s="34"/>
      <c r="EH204" s="37"/>
      <c r="EI204" s="37"/>
      <c r="EJ204" s="37"/>
      <c r="EK204" s="34"/>
      <c r="EL204" s="37"/>
      <c r="EM204" s="37"/>
      <c r="EN204" s="37"/>
      <c r="EO204" s="37"/>
      <c r="EP204" s="40" t="s">
        <v>3559</v>
      </c>
    </row>
    <row r="205">
      <c r="A205" s="45"/>
      <c r="B205" s="42" t="s">
        <v>7374</v>
      </c>
      <c r="C205" s="43"/>
      <c r="D205" s="43"/>
      <c r="E205" s="42" t="s">
        <v>7375</v>
      </c>
      <c r="F205" s="43"/>
      <c r="G205" s="42" t="s">
        <v>7376</v>
      </c>
      <c r="H205" s="42" t="s">
        <v>3867</v>
      </c>
      <c r="I205" s="42" t="s">
        <v>3897</v>
      </c>
      <c r="J205" s="42" t="s">
        <v>4689</v>
      </c>
      <c r="K205" s="42" t="s">
        <v>7339</v>
      </c>
      <c r="L205" s="42" t="s">
        <v>3612</v>
      </c>
      <c r="M205" s="42" t="s">
        <v>7377</v>
      </c>
      <c r="N205" s="42" t="s">
        <v>4923</v>
      </c>
      <c r="O205" s="42" t="s">
        <v>7378</v>
      </c>
      <c r="P205" s="42"/>
      <c r="R205" s="42" t="s">
        <v>3571</v>
      </c>
      <c r="S205" s="42" t="s">
        <v>4925</v>
      </c>
      <c r="T205" s="42" t="s">
        <v>4926</v>
      </c>
      <c r="U205" s="44" t="s">
        <v>7379</v>
      </c>
      <c r="V205" s="44" t="s">
        <v>7380</v>
      </c>
      <c r="W205" s="41">
        <v>8.0</v>
      </c>
      <c r="X205" s="42" t="s">
        <v>7381</v>
      </c>
      <c r="Y205" s="43"/>
      <c r="Z205" s="43"/>
      <c r="AA205" s="41">
        <v>2018.0</v>
      </c>
      <c r="AB205" s="43"/>
      <c r="AC205" s="43"/>
      <c r="AD205" s="43"/>
      <c r="AE205" s="45"/>
      <c r="AF205" s="45"/>
      <c r="AG205" s="45"/>
      <c r="AH205" s="45"/>
      <c r="AI205" s="45"/>
      <c r="AJ205" s="45"/>
      <c r="AK205" s="45"/>
      <c r="AL205" s="45"/>
      <c r="AM205" s="45"/>
      <c r="AN205" s="45"/>
      <c r="AO205" s="42" t="s">
        <v>7382</v>
      </c>
      <c r="AP205" s="42" t="s">
        <v>7383</v>
      </c>
      <c r="AQ205" s="42" t="s">
        <v>6892</v>
      </c>
      <c r="AR205" s="43"/>
      <c r="AS205" s="43" t="str">
        <f>+972 (0)53 499 9190</f>
        <v>#ERROR!</v>
      </c>
      <c r="AT205" s="42" t="s">
        <v>3581</v>
      </c>
      <c r="AU205" s="42" t="s">
        <v>7384</v>
      </c>
      <c r="AV205" s="42" t="s">
        <v>7385</v>
      </c>
      <c r="AW205" s="42" t="s">
        <v>75</v>
      </c>
      <c r="AX205" s="43"/>
      <c r="AY205" s="45"/>
      <c r="AZ205" s="42" t="s">
        <v>41</v>
      </c>
      <c r="BA205" s="45" t="str">
        <f>+972 (0)53 499 9190</f>
        <v>#ERROR!</v>
      </c>
      <c r="BB205" s="45"/>
      <c r="BC205" s="42" t="s">
        <v>7386</v>
      </c>
      <c r="BD205" s="42" t="s">
        <v>3584</v>
      </c>
      <c r="BE205" s="42" t="s">
        <v>3584</v>
      </c>
      <c r="BF205" s="43"/>
      <c r="BG205" s="43"/>
      <c r="BH205" s="45"/>
      <c r="BI205" s="43"/>
      <c r="BJ205" s="43"/>
      <c r="BK205" s="43"/>
      <c r="BL205" s="43"/>
      <c r="BM205" s="43"/>
      <c r="BN205" s="43"/>
      <c r="BO205" s="43"/>
      <c r="BP205" s="43"/>
      <c r="BQ205" s="45"/>
      <c r="BR205" s="45"/>
      <c r="BS205" s="43"/>
      <c r="BT205" s="45"/>
      <c r="BU205" s="43"/>
      <c r="BV205" s="43"/>
      <c r="BW205" s="43"/>
      <c r="BX205" s="43"/>
      <c r="BY205" s="43"/>
      <c r="BZ205" s="43"/>
      <c r="CA205" s="43"/>
      <c r="CB205" s="45"/>
      <c r="CC205" s="45"/>
      <c r="CD205" s="43"/>
      <c r="CE205" s="45"/>
      <c r="CF205" s="43"/>
      <c r="CG205" s="43"/>
      <c r="CH205" s="43"/>
      <c r="CI205" s="43"/>
      <c r="CJ205" s="43"/>
      <c r="CK205" s="45"/>
      <c r="CL205" s="45"/>
      <c r="CM205" s="43"/>
      <c r="CN205" s="43"/>
      <c r="CO205" s="47">
        <v>0.0</v>
      </c>
      <c r="CP205" s="41">
        <v>14.0</v>
      </c>
      <c r="CQ205" s="47">
        <v>0.0</v>
      </c>
      <c r="CR205" s="47">
        <v>0.0</v>
      </c>
      <c r="CS205" s="47">
        <v>0.0</v>
      </c>
      <c r="CT205" s="41">
        <v>12.0</v>
      </c>
      <c r="CU205" s="45"/>
      <c r="CV205" s="45"/>
      <c r="CW205" s="47">
        <v>0.0</v>
      </c>
      <c r="CX205" s="41">
        <v>12.0</v>
      </c>
      <c r="CY205" s="41" t="s">
        <v>4246</v>
      </c>
      <c r="CZ205" s="41">
        <v>46.0</v>
      </c>
      <c r="DA205" s="41" t="s">
        <v>3598</v>
      </c>
      <c r="DB205" s="47">
        <v>0.0</v>
      </c>
      <c r="DC205" s="41" t="s">
        <v>4246</v>
      </c>
      <c r="DD205" s="41">
        <v>49.0</v>
      </c>
      <c r="DE205" s="45"/>
      <c r="DF205" s="45"/>
      <c r="DG205" s="41" t="s">
        <v>4246</v>
      </c>
      <c r="DH205" s="41">
        <v>46.0</v>
      </c>
      <c r="DI205" s="41">
        <v>0.0</v>
      </c>
      <c r="DJ205" s="41">
        <v>0.0</v>
      </c>
      <c r="DK205" s="47">
        <v>0.0</v>
      </c>
      <c r="DL205" s="41">
        <v>21.0</v>
      </c>
      <c r="DM205" s="41">
        <v>1.0</v>
      </c>
      <c r="DN205" s="47">
        <v>0.05</v>
      </c>
      <c r="DO205" s="41" t="s">
        <v>3600</v>
      </c>
      <c r="DP205" s="46" t="s">
        <v>5504</v>
      </c>
      <c r="DQ205" s="45"/>
      <c r="DR205" s="45"/>
      <c r="DS205" s="45"/>
      <c r="DT205" s="45"/>
      <c r="DU205" s="45"/>
      <c r="DV205" s="45"/>
      <c r="DW205" s="43"/>
      <c r="DX205" s="45"/>
      <c r="DY205" s="43"/>
      <c r="DZ205" s="45"/>
      <c r="EA205" s="45"/>
      <c r="EB205" s="43"/>
      <c r="EC205" s="45"/>
      <c r="ED205" s="45"/>
      <c r="EE205" s="45"/>
      <c r="EF205" s="45"/>
      <c r="EG205" s="43"/>
      <c r="EH205" s="45"/>
      <c r="EI205" s="45"/>
      <c r="EJ205" s="45"/>
      <c r="EK205" s="43"/>
      <c r="EL205" s="45"/>
      <c r="EM205" s="45"/>
      <c r="EN205" s="45"/>
      <c r="EO205" s="45"/>
      <c r="EP205" s="48" t="s">
        <v>3559</v>
      </c>
    </row>
    <row r="206">
      <c r="A206" s="32">
        <v>0.54</v>
      </c>
      <c r="B206" s="35" t="s">
        <v>7387</v>
      </c>
      <c r="C206" s="34"/>
      <c r="D206" s="34"/>
      <c r="E206" s="34"/>
      <c r="F206" s="34"/>
      <c r="G206" s="35" t="s">
        <v>7388</v>
      </c>
      <c r="H206" s="35" t="s">
        <v>3867</v>
      </c>
      <c r="I206" s="35" t="s">
        <v>3897</v>
      </c>
      <c r="J206" s="35" t="s">
        <v>5092</v>
      </c>
      <c r="K206" s="35" t="s">
        <v>7046</v>
      </c>
      <c r="L206" s="35" t="s">
        <v>6118</v>
      </c>
      <c r="M206" s="35" t="s">
        <v>7389</v>
      </c>
      <c r="N206" s="35" t="s">
        <v>4962</v>
      </c>
      <c r="O206" s="35" t="s">
        <v>7390</v>
      </c>
      <c r="P206" s="35"/>
      <c r="R206" s="35" t="s">
        <v>5222</v>
      </c>
      <c r="S206" s="35" t="s">
        <v>5222</v>
      </c>
      <c r="T206" s="35" t="s">
        <v>3603</v>
      </c>
      <c r="U206" s="36" t="s">
        <v>7391</v>
      </c>
      <c r="V206" s="34"/>
      <c r="W206" s="37"/>
      <c r="X206" s="34"/>
      <c r="Y206" s="34"/>
      <c r="Z206" s="34"/>
      <c r="AA206" s="32">
        <v>2019.0</v>
      </c>
      <c r="AB206" s="34"/>
      <c r="AC206" s="34"/>
      <c r="AD206" s="34"/>
      <c r="AE206" s="37"/>
      <c r="AF206" s="37"/>
      <c r="AG206" s="37"/>
      <c r="AH206" s="37"/>
      <c r="AI206" s="37"/>
      <c r="AJ206" s="37"/>
      <c r="AK206" s="37"/>
      <c r="AL206" s="37"/>
      <c r="AM206" s="37"/>
      <c r="AN206" s="37"/>
      <c r="AO206" s="34"/>
      <c r="AP206" s="34"/>
      <c r="AQ206" s="34"/>
      <c r="AR206" s="34"/>
      <c r="AS206" s="34"/>
      <c r="AT206" s="35" t="s">
        <v>3851</v>
      </c>
      <c r="AU206" s="35" t="s">
        <v>7392</v>
      </c>
      <c r="AV206" s="34"/>
      <c r="AW206" s="35" t="s">
        <v>616</v>
      </c>
      <c r="AX206" s="34"/>
      <c r="AY206" s="37"/>
      <c r="AZ206" s="35" t="s">
        <v>41</v>
      </c>
      <c r="BA206" s="37"/>
      <c r="BB206" s="37"/>
      <c r="BC206" s="34"/>
      <c r="BD206" s="35" t="s">
        <v>3584</v>
      </c>
      <c r="BE206" s="35" t="s">
        <v>3584</v>
      </c>
      <c r="BF206" s="35" t="s">
        <v>7393</v>
      </c>
      <c r="BG206" s="34"/>
      <c r="BH206" s="37"/>
      <c r="BI206" s="34"/>
      <c r="BJ206" s="34"/>
      <c r="BK206" s="34"/>
      <c r="BL206" s="34"/>
      <c r="BM206" s="34"/>
      <c r="BN206" s="34"/>
      <c r="BO206" s="34"/>
      <c r="BP206" s="34"/>
      <c r="BQ206" s="38" t="s">
        <v>7394</v>
      </c>
      <c r="BR206" s="32">
        <v>0.54</v>
      </c>
      <c r="BS206" s="35" t="s">
        <v>3593</v>
      </c>
      <c r="BT206" s="32">
        <v>10.86</v>
      </c>
      <c r="BU206" s="35" t="s">
        <v>3697</v>
      </c>
      <c r="BV206" s="35" t="s">
        <v>3663</v>
      </c>
      <c r="BW206" s="35" t="s">
        <v>3663</v>
      </c>
      <c r="BX206" s="34"/>
      <c r="BY206" s="35" t="s">
        <v>3803</v>
      </c>
      <c r="BZ206" s="34"/>
      <c r="CA206" s="35" t="s">
        <v>3591</v>
      </c>
      <c r="CB206" s="38" t="s">
        <v>7395</v>
      </c>
      <c r="CC206" s="37"/>
      <c r="CD206" s="34"/>
      <c r="CE206" s="37"/>
      <c r="CF206" s="34"/>
      <c r="CG206" s="35" t="s">
        <v>5222</v>
      </c>
      <c r="CH206" s="34"/>
      <c r="CI206" s="34"/>
      <c r="CJ206" s="35" t="s">
        <v>5222</v>
      </c>
      <c r="CK206" s="37"/>
      <c r="CL206" s="37"/>
      <c r="CM206" s="34"/>
      <c r="CN206" s="35" t="s">
        <v>3591</v>
      </c>
      <c r="CO206" s="37"/>
      <c r="CP206" s="37"/>
      <c r="CQ206" s="37"/>
      <c r="CR206" s="37"/>
      <c r="CS206" s="37"/>
      <c r="CT206" s="37"/>
      <c r="CU206" s="37"/>
      <c r="CV206" s="37"/>
      <c r="CW206" s="37"/>
      <c r="CX206" s="37"/>
      <c r="CY206" s="37"/>
      <c r="CZ206" s="37"/>
      <c r="DA206" s="37"/>
      <c r="DB206" s="37"/>
      <c r="DC206" s="37"/>
      <c r="DD206" s="37"/>
      <c r="DE206" s="37"/>
      <c r="DF206" s="37"/>
      <c r="DG206" s="37"/>
      <c r="DH206" s="37"/>
      <c r="DI206" s="37"/>
      <c r="DJ206" s="37"/>
      <c r="DK206" s="37"/>
      <c r="DL206" s="37"/>
      <c r="DM206" s="37"/>
      <c r="DN206" s="37"/>
      <c r="DO206" s="32" t="s">
        <v>3600</v>
      </c>
      <c r="DP206" s="38" t="s">
        <v>7396</v>
      </c>
      <c r="DQ206" s="37"/>
      <c r="DR206" s="37"/>
      <c r="DS206" s="37"/>
      <c r="DT206" s="37"/>
      <c r="DU206" s="37"/>
      <c r="DV206" s="37"/>
      <c r="DW206" s="34"/>
      <c r="DX206" s="37"/>
      <c r="DY206" s="34"/>
      <c r="DZ206" s="37"/>
      <c r="EA206" s="37"/>
      <c r="EB206" s="34"/>
      <c r="EC206" s="37"/>
      <c r="ED206" s="37"/>
      <c r="EE206" s="32">
        <v>10.86</v>
      </c>
      <c r="EF206" s="38" t="s">
        <v>7394</v>
      </c>
      <c r="EG206" s="35" t="s">
        <v>3663</v>
      </c>
      <c r="EH206" s="37"/>
      <c r="EI206" s="37"/>
      <c r="EJ206" s="37"/>
      <c r="EK206" s="34"/>
      <c r="EL206" s="37"/>
      <c r="EM206" s="37"/>
      <c r="EN206" s="37"/>
      <c r="EO206" s="37"/>
      <c r="EP206" s="40" t="s">
        <v>3559</v>
      </c>
    </row>
    <row r="207">
      <c r="A207" s="45"/>
      <c r="B207" s="42" t="s">
        <v>7397</v>
      </c>
      <c r="C207" s="43"/>
      <c r="D207" s="43"/>
      <c r="E207" s="42" t="s">
        <v>7398</v>
      </c>
      <c r="F207" s="43"/>
      <c r="G207" s="42" t="s">
        <v>7399</v>
      </c>
      <c r="H207" s="42" t="s">
        <v>4560</v>
      </c>
      <c r="I207" s="42" t="s">
        <v>4561</v>
      </c>
      <c r="J207" s="42" t="s">
        <v>5604</v>
      </c>
      <c r="K207" s="42" t="s">
        <v>7400</v>
      </c>
      <c r="L207" s="42" t="s">
        <v>4986</v>
      </c>
      <c r="M207" s="42" t="s">
        <v>7401</v>
      </c>
      <c r="N207" s="42" t="s">
        <v>5145</v>
      </c>
      <c r="O207" s="42" t="s">
        <v>7402</v>
      </c>
      <c r="P207" s="42"/>
      <c r="R207" s="42" t="s">
        <v>6041</v>
      </c>
      <c r="S207" s="42" t="s">
        <v>3572</v>
      </c>
      <c r="T207" s="42" t="s">
        <v>5147</v>
      </c>
      <c r="U207" s="44" t="s">
        <v>7403</v>
      </c>
      <c r="V207" s="44" t="s">
        <v>7404</v>
      </c>
      <c r="W207" s="41">
        <v>3.0</v>
      </c>
      <c r="X207" s="42" t="s">
        <v>7405</v>
      </c>
      <c r="Y207" s="43"/>
      <c r="Z207" s="43"/>
      <c r="AA207" s="41">
        <v>2017.0</v>
      </c>
      <c r="AB207" s="43"/>
      <c r="AC207" s="43"/>
      <c r="AD207" s="43"/>
      <c r="AE207" s="45"/>
      <c r="AF207" s="45"/>
      <c r="AG207" s="45"/>
      <c r="AH207" s="45"/>
      <c r="AI207" s="45"/>
      <c r="AJ207" s="45"/>
      <c r="AK207" s="45"/>
      <c r="AL207" s="45"/>
      <c r="AM207" s="45"/>
      <c r="AN207" s="45"/>
      <c r="AO207" s="42" t="s">
        <v>7406</v>
      </c>
      <c r="AP207" s="42" t="s">
        <v>7407</v>
      </c>
      <c r="AQ207" s="42" t="s">
        <v>3579</v>
      </c>
      <c r="AR207" s="42" t="s">
        <v>7408</v>
      </c>
      <c r="AS207" s="43"/>
      <c r="AT207" s="42" t="s">
        <v>4448</v>
      </c>
      <c r="AU207" s="42" t="s">
        <v>7409</v>
      </c>
      <c r="AV207" s="43"/>
      <c r="AW207" s="42" t="s">
        <v>485</v>
      </c>
      <c r="AX207" s="43"/>
      <c r="AY207" s="41">
        <v>3303128.0</v>
      </c>
      <c r="AZ207" s="42" t="s">
        <v>41</v>
      </c>
      <c r="BA207" s="45"/>
      <c r="BB207" s="45"/>
      <c r="BC207" s="42" t="s">
        <v>7410</v>
      </c>
      <c r="BD207" s="42" t="s">
        <v>3584</v>
      </c>
      <c r="BE207" s="42" t="s">
        <v>3584</v>
      </c>
      <c r="BF207" s="42" t="s">
        <v>6961</v>
      </c>
      <c r="BG207" s="42" t="s">
        <v>7411</v>
      </c>
      <c r="BH207" s="41">
        <v>1.0</v>
      </c>
      <c r="BI207" s="43"/>
      <c r="BJ207" s="42" t="s">
        <v>7412</v>
      </c>
      <c r="BK207" s="43"/>
      <c r="BL207" s="42" t="s">
        <v>7413</v>
      </c>
      <c r="BM207" s="42" t="s">
        <v>7414</v>
      </c>
      <c r="BN207" s="43"/>
      <c r="BO207" s="43"/>
      <c r="BP207" s="43"/>
      <c r="BQ207" s="45"/>
      <c r="BR207" s="45"/>
      <c r="BS207" s="43"/>
      <c r="BT207" s="45"/>
      <c r="BU207" s="43"/>
      <c r="BV207" s="42" t="s">
        <v>3589</v>
      </c>
      <c r="BW207" s="43"/>
      <c r="BX207" s="43"/>
      <c r="BY207" s="42" t="s">
        <v>3590</v>
      </c>
      <c r="BZ207" s="43"/>
      <c r="CA207" s="42" t="s">
        <v>3591</v>
      </c>
      <c r="CB207" s="45"/>
      <c r="CC207" s="45"/>
      <c r="CD207" s="43"/>
      <c r="CE207" s="45"/>
      <c r="CF207" s="43"/>
      <c r="CG207" s="42" t="s">
        <v>3589</v>
      </c>
      <c r="CH207" s="43"/>
      <c r="CI207" s="43"/>
      <c r="CJ207" s="42" t="s">
        <v>3590</v>
      </c>
      <c r="CK207" s="45"/>
      <c r="CL207" s="45"/>
      <c r="CM207" s="43"/>
      <c r="CN207" s="42" t="s">
        <v>3591</v>
      </c>
      <c r="CO207" s="47">
        <v>0.0</v>
      </c>
      <c r="CP207" s="41">
        <v>14.0</v>
      </c>
      <c r="CQ207" s="47">
        <v>0.0</v>
      </c>
      <c r="CR207" s="47">
        <v>0.0</v>
      </c>
      <c r="CS207" s="47">
        <v>0.0</v>
      </c>
      <c r="CT207" s="41">
        <v>12.0</v>
      </c>
      <c r="CU207" s="45"/>
      <c r="CV207" s="45"/>
      <c r="CW207" s="47">
        <v>0.0</v>
      </c>
      <c r="CX207" s="41">
        <v>12.0</v>
      </c>
      <c r="CY207" s="41" t="s">
        <v>4504</v>
      </c>
      <c r="CZ207" s="41">
        <v>59.0</v>
      </c>
      <c r="DA207" s="41" t="s">
        <v>3598</v>
      </c>
      <c r="DB207" s="47">
        <v>0.0</v>
      </c>
      <c r="DC207" s="41" t="s">
        <v>4504</v>
      </c>
      <c r="DD207" s="41">
        <v>61.0</v>
      </c>
      <c r="DE207" s="45"/>
      <c r="DF207" s="45"/>
      <c r="DG207" s="41" t="s">
        <v>4504</v>
      </c>
      <c r="DH207" s="41">
        <v>59.0</v>
      </c>
      <c r="DI207" s="45"/>
      <c r="DJ207" s="45"/>
      <c r="DK207" s="45"/>
      <c r="DL207" s="41">
        <v>30.0</v>
      </c>
      <c r="DM207" s="41">
        <v>2.0</v>
      </c>
      <c r="DN207" s="47">
        <v>0.0714</v>
      </c>
      <c r="DO207" s="41" t="s">
        <v>3600</v>
      </c>
      <c r="DP207" s="46" t="s">
        <v>4020</v>
      </c>
      <c r="DQ207" s="41">
        <v>3.0</v>
      </c>
      <c r="DR207" s="41">
        <v>1.0</v>
      </c>
      <c r="DS207" s="45"/>
      <c r="DT207" s="41">
        <v>3.0</v>
      </c>
      <c r="DU207" s="45"/>
      <c r="DV207" s="45"/>
      <c r="DW207" s="42" t="s">
        <v>7415</v>
      </c>
      <c r="DX207" s="45"/>
      <c r="DY207" s="43"/>
      <c r="DZ207" s="45"/>
      <c r="EA207" s="45"/>
      <c r="EB207" s="43"/>
      <c r="EC207" s="45"/>
      <c r="ED207" s="45"/>
      <c r="EE207" s="45"/>
      <c r="EF207" s="45"/>
      <c r="EG207" s="43"/>
      <c r="EH207" s="45"/>
      <c r="EI207" s="45"/>
      <c r="EJ207" s="45"/>
      <c r="EK207" s="43"/>
      <c r="EL207" s="45"/>
      <c r="EM207" s="45"/>
      <c r="EN207" s="45"/>
      <c r="EO207" s="45"/>
      <c r="EP207" s="48" t="s">
        <v>3559</v>
      </c>
    </row>
    <row r="208">
      <c r="A208" s="32">
        <v>2.63</v>
      </c>
      <c r="B208" s="35" t="s">
        <v>934</v>
      </c>
      <c r="C208" s="34"/>
      <c r="D208" s="34"/>
      <c r="E208" s="35" t="s">
        <v>7416</v>
      </c>
      <c r="F208" s="35" t="s">
        <v>7417</v>
      </c>
      <c r="G208" s="35" t="s">
        <v>7418</v>
      </c>
      <c r="H208" s="35" t="s">
        <v>3563</v>
      </c>
      <c r="I208" s="35" t="s">
        <v>3564</v>
      </c>
      <c r="J208" s="35" t="s">
        <v>3565</v>
      </c>
      <c r="K208" s="35" t="s">
        <v>7419</v>
      </c>
      <c r="L208" s="35" t="s">
        <v>7420</v>
      </c>
      <c r="M208" s="35" t="s">
        <v>7421</v>
      </c>
      <c r="N208" s="35" t="s">
        <v>3569</v>
      </c>
      <c r="O208" s="35" t="s">
        <v>7422</v>
      </c>
      <c r="P208" s="35"/>
      <c r="R208" s="35" t="s">
        <v>3571</v>
      </c>
      <c r="S208" s="35" t="s">
        <v>3572</v>
      </c>
      <c r="T208" s="35" t="s">
        <v>3573</v>
      </c>
      <c r="U208" s="36" t="s">
        <v>7423</v>
      </c>
      <c r="V208" s="36" t="s">
        <v>7424</v>
      </c>
      <c r="W208" s="32">
        <v>13.0</v>
      </c>
      <c r="X208" s="35" t="s">
        <v>7425</v>
      </c>
      <c r="Y208" s="34"/>
      <c r="Z208" s="34"/>
      <c r="AA208" s="32">
        <v>2021.0</v>
      </c>
      <c r="AB208" s="34"/>
      <c r="AC208" s="34"/>
      <c r="AD208" s="34"/>
      <c r="AE208" s="37"/>
      <c r="AF208" s="37"/>
      <c r="AG208" s="37"/>
      <c r="AH208" s="37"/>
      <c r="AI208" s="37"/>
      <c r="AJ208" s="37"/>
      <c r="AK208" s="37"/>
      <c r="AL208" s="37"/>
      <c r="AM208" s="37"/>
      <c r="AN208" s="37"/>
      <c r="AO208" s="35" t="s">
        <v>7426</v>
      </c>
      <c r="AP208" s="35" t="s">
        <v>7427</v>
      </c>
      <c r="AQ208" s="35" t="s">
        <v>7428</v>
      </c>
      <c r="AR208" s="35" t="s">
        <v>7429</v>
      </c>
      <c r="AS208" s="34"/>
      <c r="AT208" s="35" t="s">
        <v>3654</v>
      </c>
      <c r="AU208" s="35" t="s">
        <v>7430</v>
      </c>
      <c r="AV208" s="34"/>
      <c r="AW208" s="35" t="s">
        <v>147</v>
      </c>
      <c r="AX208" s="34"/>
      <c r="AY208" s="32">
        <v>9777019.0</v>
      </c>
      <c r="AZ208" s="35" t="s">
        <v>41</v>
      </c>
      <c r="BA208" s="37"/>
      <c r="BB208" s="37"/>
      <c r="BC208" s="35" t="s">
        <v>940</v>
      </c>
      <c r="BD208" s="35" t="s">
        <v>3584</v>
      </c>
      <c r="BE208" s="35" t="s">
        <v>3584</v>
      </c>
      <c r="BF208" s="35" t="s">
        <v>7431</v>
      </c>
      <c r="BG208" s="35" t="s">
        <v>7432</v>
      </c>
      <c r="BH208" s="32">
        <v>10.0</v>
      </c>
      <c r="BI208" s="34"/>
      <c r="BJ208" s="34"/>
      <c r="BK208" s="34"/>
      <c r="BL208" s="35" t="s">
        <v>7433</v>
      </c>
      <c r="BM208" s="34"/>
      <c r="BN208" s="34"/>
      <c r="BO208" s="34"/>
      <c r="BP208" s="34"/>
      <c r="BQ208" s="37"/>
      <c r="BR208" s="37"/>
      <c r="BS208" s="34"/>
      <c r="BT208" s="37"/>
      <c r="BU208" s="34"/>
      <c r="BV208" s="35" t="s">
        <v>3589</v>
      </c>
      <c r="BW208" s="34"/>
      <c r="BX208" s="34"/>
      <c r="BY208" s="35" t="s">
        <v>3590</v>
      </c>
      <c r="BZ208" s="34"/>
      <c r="CA208" s="35" t="s">
        <v>3591</v>
      </c>
      <c r="CB208" s="38" t="s">
        <v>5955</v>
      </c>
      <c r="CC208" s="32">
        <v>2.63</v>
      </c>
      <c r="CD208" s="35" t="s">
        <v>3593</v>
      </c>
      <c r="CE208" s="37"/>
      <c r="CF208" s="34"/>
      <c r="CG208" s="35" t="s">
        <v>3698</v>
      </c>
      <c r="CH208" s="35" t="s">
        <v>3698</v>
      </c>
      <c r="CI208" s="34"/>
      <c r="CJ208" s="35" t="s">
        <v>3573</v>
      </c>
      <c r="CK208" s="37"/>
      <c r="CL208" s="37"/>
      <c r="CM208" s="34"/>
      <c r="CN208" s="35" t="s">
        <v>3591</v>
      </c>
      <c r="CO208" s="39">
        <v>0.0</v>
      </c>
      <c r="CP208" s="32">
        <v>14.0</v>
      </c>
      <c r="CQ208" s="39">
        <v>0.0</v>
      </c>
      <c r="CR208" s="39">
        <v>0.0</v>
      </c>
      <c r="CS208" s="39">
        <v>0.0</v>
      </c>
      <c r="CT208" s="32">
        <v>12.0</v>
      </c>
      <c r="CU208" s="39">
        <v>0.0</v>
      </c>
      <c r="CV208" s="32">
        <v>10.0</v>
      </c>
      <c r="CW208" s="39">
        <v>0.0</v>
      </c>
      <c r="CX208" s="32">
        <v>12.0</v>
      </c>
      <c r="CY208" s="32" t="s">
        <v>7434</v>
      </c>
      <c r="CZ208" s="32">
        <v>62.0</v>
      </c>
      <c r="DA208" s="32" t="s">
        <v>3598</v>
      </c>
      <c r="DB208" s="39">
        <v>0.0</v>
      </c>
      <c r="DC208" s="32" t="s">
        <v>7324</v>
      </c>
      <c r="DD208" s="32">
        <v>61.0</v>
      </c>
      <c r="DE208" s="32" t="s">
        <v>3598</v>
      </c>
      <c r="DF208" s="32">
        <v>1.0</v>
      </c>
      <c r="DG208" s="32" t="s">
        <v>4376</v>
      </c>
      <c r="DH208" s="32">
        <v>71.0</v>
      </c>
      <c r="DI208" s="32">
        <v>0.0</v>
      </c>
      <c r="DJ208" s="32">
        <v>0.0</v>
      </c>
      <c r="DK208" s="39">
        <v>0.0</v>
      </c>
      <c r="DL208" s="32">
        <v>59.0</v>
      </c>
      <c r="DM208" s="32">
        <v>2.0</v>
      </c>
      <c r="DN208" s="39">
        <v>0.0351</v>
      </c>
      <c r="DO208" s="32" t="s">
        <v>3600</v>
      </c>
      <c r="DP208" s="38" t="s">
        <v>4774</v>
      </c>
      <c r="DQ208" s="32">
        <v>13.0</v>
      </c>
      <c r="DR208" s="32">
        <v>4.0</v>
      </c>
      <c r="DS208" s="32">
        <v>5.0</v>
      </c>
      <c r="DT208" s="32">
        <v>4.0</v>
      </c>
      <c r="DU208" s="37"/>
      <c r="DV208" s="32">
        <v>4.0</v>
      </c>
      <c r="DW208" s="35" t="s">
        <v>7435</v>
      </c>
      <c r="DX208" s="37"/>
      <c r="DY208" s="34"/>
      <c r="DZ208" s="37"/>
      <c r="EA208" s="37"/>
      <c r="EB208" s="34"/>
      <c r="EC208" s="37"/>
      <c r="ED208" s="37"/>
      <c r="EE208" s="37"/>
      <c r="EF208" s="37"/>
      <c r="EG208" s="34"/>
      <c r="EH208" s="37"/>
      <c r="EI208" s="37"/>
      <c r="EJ208" s="37"/>
      <c r="EK208" s="34"/>
      <c r="EL208" s="37"/>
      <c r="EM208" s="37"/>
      <c r="EN208" s="37"/>
      <c r="EO208" s="37"/>
      <c r="EP208" s="40" t="s">
        <v>3559</v>
      </c>
    </row>
    <row r="209">
      <c r="A209" s="45"/>
      <c r="B209" s="42" t="s">
        <v>7436</v>
      </c>
      <c r="C209" s="42" t="s">
        <v>7437</v>
      </c>
      <c r="D209" s="43"/>
      <c r="E209" s="42" t="s">
        <v>7438</v>
      </c>
      <c r="F209" s="43"/>
      <c r="G209" s="42" t="s">
        <v>7439</v>
      </c>
      <c r="H209" s="42" t="s">
        <v>3867</v>
      </c>
      <c r="I209" s="42" t="s">
        <v>4199</v>
      </c>
      <c r="J209" s="42" t="s">
        <v>4984</v>
      </c>
      <c r="K209" s="42" t="s">
        <v>7440</v>
      </c>
      <c r="L209" s="42" t="s">
        <v>7441</v>
      </c>
      <c r="M209" s="42" t="s">
        <v>7442</v>
      </c>
      <c r="N209" s="42" t="s">
        <v>4923</v>
      </c>
      <c r="O209" s="42" t="s">
        <v>7443</v>
      </c>
      <c r="P209" s="42"/>
      <c r="R209" s="43"/>
      <c r="S209" s="42" t="s">
        <v>4925</v>
      </c>
      <c r="T209" s="42" t="s">
        <v>5568</v>
      </c>
      <c r="U209" s="43"/>
      <c r="V209" s="43"/>
      <c r="W209" s="45"/>
      <c r="X209" s="43"/>
      <c r="Y209" s="43"/>
      <c r="Z209" s="43"/>
      <c r="AA209" s="41">
        <v>1985.0</v>
      </c>
      <c r="AB209" s="43"/>
      <c r="AC209" s="43"/>
      <c r="AD209" s="43"/>
      <c r="AE209" s="45"/>
      <c r="AF209" s="45"/>
      <c r="AG209" s="45"/>
      <c r="AH209" s="45"/>
      <c r="AI209" s="45"/>
      <c r="AJ209" s="45"/>
      <c r="AK209" s="45"/>
      <c r="AL209" s="45"/>
      <c r="AM209" s="45"/>
      <c r="AN209" s="45"/>
      <c r="AO209" s="43"/>
      <c r="AP209" s="43"/>
      <c r="AQ209" s="43"/>
      <c r="AR209" s="43"/>
      <c r="AS209" s="43"/>
      <c r="AT209" s="42" t="s">
        <v>7444</v>
      </c>
      <c r="AU209" s="42" t="s">
        <v>7445</v>
      </c>
      <c r="AV209" s="42" t="s">
        <v>7446</v>
      </c>
      <c r="AW209" s="42" t="s">
        <v>7447</v>
      </c>
      <c r="AX209" s="43"/>
      <c r="AY209" s="41">
        <v>27110.0</v>
      </c>
      <c r="AZ209" s="42" t="s">
        <v>41</v>
      </c>
      <c r="BA209" s="45" t="str">
        <f>+972 (0)4 666 1900</f>
        <v>#ERROR!</v>
      </c>
      <c r="BB209" s="45" t="str">
        <f>+972 (0)4 636 3110</f>
        <v>#ERROR!</v>
      </c>
      <c r="BC209" s="43"/>
      <c r="BD209" s="42" t="s">
        <v>3584</v>
      </c>
      <c r="BE209" s="42" t="s">
        <v>3584</v>
      </c>
      <c r="BF209" s="43"/>
      <c r="BG209" s="43"/>
      <c r="BH209" s="45"/>
      <c r="BI209" s="43"/>
      <c r="BJ209" s="43"/>
      <c r="BK209" s="43"/>
      <c r="BL209" s="43"/>
      <c r="BM209" s="43"/>
      <c r="BN209" s="43"/>
      <c r="BO209" s="43"/>
      <c r="BP209" s="43"/>
      <c r="BQ209" s="45"/>
      <c r="BR209" s="45"/>
      <c r="BS209" s="43"/>
      <c r="BT209" s="45"/>
      <c r="BU209" s="43"/>
      <c r="BV209" s="43"/>
      <c r="BW209" s="43"/>
      <c r="BX209" s="43"/>
      <c r="BY209" s="43"/>
      <c r="BZ209" s="43"/>
      <c r="CA209" s="43"/>
      <c r="CB209" s="45"/>
      <c r="CC209" s="45"/>
      <c r="CD209" s="43"/>
      <c r="CE209" s="45"/>
      <c r="CF209" s="43"/>
      <c r="CG209" s="43"/>
      <c r="CH209" s="43"/>
      <c r="CI209" s="43"/>
      <c r="CJ209" s="43"/>
      <c r="CK209" s="45"/>
      <c r="CL209" s="45"/>
      <c r="CM209" s="43"/>
      <c r="CN209" s="43"/>
      <c r="CO209" s="45"/>
      <c r="CP209" s="45"/>
      <c r="CQ209" s="45"/>
      <c r="CR209" s="45"/>
      <c r="CS209" s="45"/>
      <c r="CT209" s="45"/>
      <c r="CU209" s="45"/>
      <c r="CV209" s="45"/>
      <c r="CW209" s="45"/>
      <c r="CX209" s="45"/>
      <c r="CY209" s="45"/>
      <c r="CZ209" s="45"/>
      <c r="DA209" s="45"/>
      <c r="DB209" s="45"/>
      <c r="DC209" s="45"/>
      <c r="DD209" s="45"/>
      <c r="DE209" s="45"/>
      <c r="DF209" s="45"/>
      <c r="DG209" s="45"/>
      <c r="DH209" s="45"/>
      <c r="DI209" s="45"/>
      <c r="DJ209" s="45"/>
      <c r="DK209" s="45"/>
      <c r="DL209" s="45"/>
      <c r="DM209" s="45"/>
      <c r="DN209" s="45"/>
      <c r="DO209" s="41" t="s">
        <v>3600</v>
      </c>
      <c r="DP209" s="46" t="s">
        <v>7335</v>
      </c>
      <c r="DQ209" s="45"/>
      <c r="DR209" s="45"/>
      <c r="DS209" s="45"/>
      <c r="DT209" s="45"/>
      <c r="DU209" s="45"/>
      <c r="DV209" s="45"/>
      <c r="DW209" s="43"/>
      <c r="DX209" s="45"/>
      <c r="DY209" s="43"/>
      <c r="DZ209" s="45"/>
      <c r="EA209" s="45"/>
      <c r="EB209" s="43"/>
      <c r="EC209" s="45"/>
      <c r="ED209" s="45"/>
      <c r="EE209" s="45"/>
      <c r="EF209" s="45"/>
      <c r="EG209" s="43"/>
      <c r="EH209" s="45"/>
      <c r="EI209" s="45"/>
      <c r="EJ209" s="45"/>
      <c r="EK209" s="43"/>
      <c r="EL209" s="45"/>
      <c r="EM209" s="45"/>
      <c r="EN209" s="45"/>
      <c r="EO209" s="45"/>
      <c r="EP209" s="48" t="s">
        <v>3559</v>
      </c>
    </row>
    <row r="210">
      <c r="A210" s="37"/>
      <c r="B210" s="35" t="s">
        <v>7448</v>
      </c>
      <c r="C210" s="34"/>
      <c r="D210" s="34"/>
      <c r="E210" s="34"/>
      <c r="F210" s="34"/>
      <c r="G210" s="35" t="s">
        <v>7449</v>
      </c>
      <c r="H210" s="35" t="s">
        <v>3563</v>
      </c>
      <c r="I210" s="35" t="s">
        <v>3564</v>
      </c>
      <c r="J210" s="35" t="s">
        <v>5583</v>
      </c>
      <c r="K210" s="35" t="s">
        <v>5584</v>
      </c>
      <c r="L210" s="34"/>
      <c r="M210" s="35" t="s">
        <v>7450</v>
      </c>
      <c r="N210" s="35" t="s">
        <v>4923</v>
      </c>
      <c r="O210" s="35" t="s">
        <v>7451</v>
      </c>
      <c r="P210" s="35"/>
      <c r="R210" s="34"/>
      <c r="S210" s="35" t="s">
        <v>4925</v>
      </c>
      <c r="T210" s="35" t="s">
        <v>4926</v>
      </c>
      <c r="U210" s="36" t="s">
        <v>7452</v>
      </c>
      <c r="V210" s="36" t="s">
        <v>7453</v>
      </c>
      <c r="W210" s="37"/>
      <c r="X210" s="34"/>
      <c r="Y210" s="34"/>
      <c r="Z210" s="34"/>
      <c r="AA210" s="32">
        <v>2020.0</v>
      </c>
      <c r="AB210" s="34"/>
      <c r="AC210" s="34"/>
      <c r="AD210" s="34"/>
      <c r="AE210" s="37"/>
      <c r="AF210" s="37"/>
      <c r="AG210" s="37"/>
      <c r="AH210" s="37"/>
      <c r="AI210" s="37"/>
      <c r="AJ210" s="37"/>
      <c r="AK210" s="37"/>
      <c r="AL210" s="37"/>
      <c r="AM210" s="37"/>
      <c r="AN210" s="37"/>
      <c r="AO210" s="34"/>
      <c r="AP210" s="34"/>
      <c r="AQ210" s="34"/>
      <c r="AR210" s="34"/>
      <c r="AS210" s="34"/>
      <c r="AT210" s="35" t="s">
        <v>3581</v>
      </c>
      <c r="AU210" s="34"/>
      <c r="AV210" s="34"/>
      <c r="AW210" s="35" t="s">
        <v>75</v>
      </c>
      <c r="AX210" s="34"/>
      <c r="AY210" s="37"/>
      <c r="AZ210" s="35" t="s">
        <v>41</v>
      </c>
      <c r="BA210" s="37"/>
      <c r="BB210" s="37"/>
      <c r="BC210" s="34"/>
      <c r="BD210" s="35" t="s">
        <v>3584</v>
      </c>
      <c r="BE210" s="35" t="s">
        <v>3584</v>
      </c>
      <c r="BF210" s="34"/>
      <c r="BG210" s="34"/>
      <c r="BH210" s="37"/>
      <c r="BI210" s="34"/>
      <c r="BJ210" s="34"/>
      <c r="BK210" s="34"/>
      <c r="BL210" s="34"/>
      <c r="BM210" s="34"/>
      <c r="BN210" s="34"/>
      <c r="BO210" s="34"/>
      <c r="BP210" s="34"/>
      <c r="BQ210" s="37"/>
      <c r="BR210" s="37"/>
      <c r="BS210" s="34"/>
      <c r="BT210" s="37"/>
      <c r="BU210" s="34"/>
      <c r="BV210" s="34"/>
      <c r="BW210" s="34"/>
      <c r="BX210" s="34"/>
      <c r="BY210" s="34"/>
      <c r="BZ210" s="34"/>
      <c r="CA210" s="34"/>
      <c r="CB210" s="37"/>
      <c r="CC210" s="37"/>
      <c r="CD210" s="34"/>
      <c r="CE210" s="37"/>
      <c r="CF210" s="34"/>
      <c r="CG210" s="34"/>
      <c r="CH210" s="34"/>
      <c r="CI210" s="34"/>
      <c r="CJ210" s="34"/>
      <c r="CK210" s="37"/>
      <c r="CL210" s="37"/>
      <c r="CM210" s="34"/>
      <c r="CN210" s="34"/>
      <c r="CO210" s="39">
        <v>0.0</v>
      </c>
      <c r="CP210" s="32">
        <v>14.0</v>
      </c>
      <c r="CQ210" s="39">
        <v>0.0</v>
      </c>
      <c r="CR210" s="39">
        <v>0.0</v>
      </c>
      <c r="CS210" s="39">
        <v>0.0</v>
      </c>
      <c r="CT210" s="32">
        <v>12.0</v>
      </c>
      <c r="CU210" s="37"/>
      <c r="CV210" s="37"/>
      <c r="CW210" s="39">
        <v>0.0</v>
      </c>
      <c r="CX210" s="32">
        <v>12.0</v>
      </c>
      <c r="CY210" s="32" t="s">
        <v>5160</v>
      </c>
      <c r="CZ210" s="32">
        <v>32.0</v>
      </c>
      <c r="DA210" s="32" t="s">
        <v>3598</v>
      </c>
      <c r="DB210" s="39">
        <v>0.0</v>
      </c>
      <c r="DC210" s="32" t="s">
        <v>5160</v>
      </c>
      <c r="DD210" s="32">
        <v>34.0</v>
      </c>
      <c r="DE210" s="37"/>
      <c r="DF210" s="37"/>
      <c r="DG210" s="32" t="s">
        <v>5160</v>
      </c>
      <c r="DH210" s="32">
        <v>31.0</v>
      </c>
      <c r="DI210" s="37"/>
      <c r="DJ210" s="37"/>
      <c r="DK210" s="37"/>
      <c r="DL210" s="32">
        <v>15.0</v>
      </c>
      <c r="DM210" s="32">
        <v>1.0</v>
      </c>
      <c r="DN210" s="39">
        <v>0.0714</v>
      </c>
      <c r="DO210" s="32" t="s">
        <v>5066</v>
      </c>
      <c r="DP210" s="38" t="s">
        <v>7454</v>
      </c>
      <c r="DQ210" s="37"/>
      <c r="DR210" s="37"/>
      <c r="DS210" s="37"/>
      <c r="DT210" s="37"/>
      <c r="DU210" s="37"/>
      <c r="DV210" s="37"/>
      <c r="DW210" s="34"/>
      <c r="DX210" s="37"/>
      <c r="DY210" s="34"/>
      <c r="DZ210" s="37"/>
      <c r="EA210" s="37"/>
      <c r="EB210" s="34"/>
      <c r="EC210" s="37"/>
      <c r="ED210" s="37"/>
      <c r="EE210" s="37"/>
      <c r="EF210" s="37"/>
      <c r="EG210" s="34"/>
      <c r="EH210" s="37"/>
      <c r="EI210" s="37"/>
      <c r="EJ210" s="37"/>
      <c r="EK210" s="34"/>
      <c r="EL210" s="37"/>
      <c r="EM210" s="37"/>
      <c r="EN210" s="37"/>
      <c r="EO210" s="37"/>
      <c r="EP210" s="40" t="s">
        <v>3559</v>
      </c>
    </row>
    <row r="211">
      <c r="A211" s="41">
        <v>17.0</v>
      </c>
      <c r="B211" s="42" t="s">
        <v>7455</v>
      </c>
      <c r="C211" s="43"/>
      <c r="D211" s="43"/>
      <c r="E211" s="42" t="s">
        <v>7456</v>
      </c>
      <c r="F211" s="43"/>
      <c r="G211" s="42" t="s">
        <v>7457</v>
      </c>
      <c r="H211" s="42" t="s">
        <v>3563</v>
      </c>
      <c r="I211" s="42" t="s">
        <v>3564</v>
      </c>
      <c r="J211" s="42" t="s">
        <v>7458</v>
      </c>
      <c r="K211" s="42" t="s">
        <v>7459</v>
      </c>
      <c r="L211" s="42" t="s">
        <v>5513</v>
      </c>
      <c r="M211" s="42" t="s">
        <v>7460</v>
      </c>
      <c r="N211" s="42" t="s">
        <v>5018</v>
      </c>
      <c r="O211" s="42" t="s">
        <v>7461</v>
      </c>
      <c r="P211" s="42"/>
      <c r="R211" s="42" t="s">
        <v>3571</v>
      </c>
      <c r="S211" s="42" t="s">
        <v>5020</v>
      </c>
      <c r="T211" s="42" t="s">
        <v>3573</v>
      </c>
      <c r="U211" s="44" t="s">
        <v>7462</v>
      </c>
      <c r="V211" s="43"/>
      <c r="W211" s="45"/>
      <c r="X211" s="43"/>
      <c r="Y211" s="43"/>
      <c r="Z211" s="43"/>
      <c r="AA211" s="41">
        <v>1991.0</v>
      </c>
      <c r="AB211" s="43"/>
      <c r="AC211" s="43"/>
      <c r="AD211" s="43"/>
      <c r="AE211" s="45"/>
      <c r="AF211" s="45"/>
      <c r="AG211" s="45"/>
      <c r="AH211" s="45"/>
      <c r="AI211" s="45"/>
      <c r="AJ211" s="45"/>
      <c r="AK211" s="45"/>
      <c r="AL211" s="45"/>
      <c r="AM211" s="45"/>
      <c r="AN211" s="45"/>
      <c r="AO211" s="43"/>
      <c r="AP211" s="43"/>
      <c r="AQ211" s="43"/>
      <c r="AR211" s="43"/>
      <c r="AS211" s="43"/>
      <c r="AT211" s="42" t="s">
        <v>3581</v>
      </c>
      <c r="AU211" s="42" t="s">
        <v>7463</v>
      </c>
      <c r="AV211" s="43"/>
      <c r="AW211" s="42" t="s">
        <v>75</v>
      </c>
      <c r="AX211" s="43"/>
      <c r="AY211" s="41">
        <v>6998923.0</v>
      </c>
      <c r="AZ211" s="42" t="s">
        <v>41</v>
      </c>
      <c r="BA211" s="45"/>
      <c r="BB211" s="45"/>
      <c r="BC211" s="43"/>
      <c r="BD211" s="42" t="s">
        <v>3584</v>
      </c>
      <c r="BE211" s="42" t="s">
        <v>3584</v>
      </c>
      <c r="BF211" s="42" t="s">
        <v>7464</v>
      </c>
      <c r="BG211" s="43"/>
      <c r="BH211" s="45"/>
      <c r="BI211" s="42" t="s">
        <v>7465</v>
      </c>
      <c r="BJ211" s="42" t="s">
        <v>7466</v>
      </c>
      <c r="BK211" s="43"/>
      <c r="BL211" s="43"/>
      <c r="BM211" s="42" t="s">
        <v>7467</v>
      </c>
      <c r="BN211" s="43"/>
      <c r="BO211" s="43"/>
      <c r="BP211" s="42" t="s">
        <v>7468</v>
      </c>
      <c r="BQ211" s="46" t="s">
        <v>7469</v>
      </c>
      <c r="BR211" s="41">
        <v>3.0</v>
      </c>
      <c r="BS211" s="42" t="s">
        <v>3593</v>
      </c>
      <c r="BT211" s="45"/>
      <c r="BU211" s="43"/>
      <c r="BV211" s="42" t="s">
        <v>3669</v>
      </c>
      <c r="BW211" s="43"/>
      <c r="BX211" s="43"/>
      <c r="BY211" s="42" t="s">
        <v>3573</v>
      </c>
      <c r="BZ211" s="43"/>
      <c r="CA211" s="42" t="s">
        <v>3591</v>
      </c>
      <c r="CB211" s="45"/>
      <c r="CC211" s="45"/>
      <c r="CD211" s="43"/>
      <c r="CE211" s="45"/>
      <c r="CF211" s="43"/>
      <c r="CG211" s="42" t="s">
        <v>4977</v>
      </c>
      <c r="CH211" s="43"/>
      <c r="CI211" s="43"/>
      <c r="CJ211" s="42" t="s">
        <v>3663</v>
      </c>
      <c r="CK211" s="45"/>
      <c r="CL211" s="45"/>
      <c r="CM211" s="43"/>
      <c r="CN211" s="42" t="s">
        <v>3591</v>
      </c>
      <c r="CO211" s="45"/>
      <c r="CP211" s="45"/>
      <c r="CQ211" s="45"/>
      <c r="CR211" s="45"/>
      <c r="CS211" s="45"/>
      <c r="CT211" s="45"/>
      <c r="CU211" s="45"/>
      <c r="CV211" s="45"/>
      <c r="CW211" s="45"/>
      <c r="CX211" s="45"/>
      <c r="CY211" s="45"/>
      <c r="CZ211" s="45"/>
      <c r="DA211" s="45"/>
      <c r="DB211" s="45"/>
      <c r="DC211" s="45"/>
      <c r="DD211" s="45"/>
      <c r="DE211" s="45"/>
      <c r="DF211" s="45"/>
      <c r="DG211" s="45"/>
      <c r="DH211" s="45"/>
      <c r="DI211" s="45"/>
      <c r="DJ211" s="45"/>
      <c r="DK211" s="45"/>
      <c r="DL211" s="45"/>
      <c r="DM211" s="45"/>
      <c r="DN211" s="45"/>
      <c r="DO211" s="41" t="s">
        <v>3600</v>
      </c>
      <c r="DP211" s="46" t="s">
        <v>7470</v>
      </c>
      <c r="DQ211" s="41">
        <v>1.0</v>
      </c>
      <c r="DR211" s="41">
        <v>1.0</v>
      </c>
      <c r="DS211" s="45"/>
      <c r="DT211" s="45"/>
      <c r="DU211" s="45"/>
      <c r="DV211" s="41">
        <v>1.0</v>
      </c>
      <c r="DW211" s="43"/>
      <c r="DX211" s="45"/>
      <c r="DY211" s="43"/>
      <c r="DZ211" s="45"/>
      <c r="EA211" s="45"/>
      <c r="EB211" s="43"/>
      <c r="EC211" s="45"/>
      <c r="ED211" s="45"/>
      <c r="EE211" s="41">
        <v>34.0</v>
      </c>
      <c r="EF211" s="46" t="s">
        <v>7471</v>
      </c>
      <c r="EG211" s="42" t="s">
        <v>3594</v>
      </c>
      <c r="EH211" s="45"/>
      <c r="EI211" s="45"/>
      <c r="EJ211" s="45"/>
      <c r="EK211" s="43"/>
      <c r="EL211" s="45"/>
      <c r="EM211" s="45"/>
      <c r="EN211" s="45"/>
      <c r="EO211" s="45"/>
      <c r="EP211" s="48" t="s">
        <v>3559</v>
      </c>
    </row>
    <row r="212">
      <c r="A212" s="37"/>
      <c r="B212" s="35" t="s">
        <v>7472</v>
      </c>
      <c r="C212" s="34"/>
      <c r="D212" s="34"/>
      <c r="E212" s="35" t="s">
        <v>7473</v>
      </c>
      <c r="F212" s="34"/>
      <c r="G212" s="35" t="s">
        <v>7474</v>
      </c>
      <c r="H212" s="35" t="s">
        <v>4560</v>
      </c>
      <c r="I212" s="35" t="s">
        <v>4561</v>
      </c>
      <c r="J212" s="35" t="s">
        <v>66</v>
      </c>
      <c r="K212" s="35" t="s">
        <v>7475</v>
      </c>
      <c r="L212" s="35" t="s">
        <v>4986</v>
      </c>
      <c r="M212" s="35" t="s">
        <v>7476</v>
      </c>
      <c r="N212" s="35" t="s">
        <v>4923</v>
      </c>
      <c r="O212" s="35" t="s">
        <v>7477</v>
      </c>
      <c r="P212" s="35"/>
      <c r="R212" s="35" t="s">
        <v>3571</v>
      </c>
      <c r="S212" s="35" t="s">
        <v>4925</v>
      </c>
      <c r="T212" s="35" t="s">
        <v>4926</v>
      </c>
      <c r="U212" s="36" t="s">
        <v>7478</v>
      </c>
      <c r="V212" s="36" t="s">
        <v>7479</v>
      </c>
      <c r="W212" s="32">
        <v>14.0</v>
      </c>
      <c r="X212" s="53">
        <v>84.21805555555555</v>
      </c>
      <c r="Y212" s="34"/>
      <c r="Z212" s="34"/>
      <c r="AA212" s="32">
        <v>1978.0</v>
      </c>
      <c r="AB212" s="34"/>
      <c r="AC212" s="34"/>
      <c r="AD212" s="34"/>
      <c r="AE212" s="37"/>
      <c r="AF212" s="37"/>
      <c r="AG212" s="37"/>
      <c r="AH212" s="37"/>
      <c r="AI212" s="37"/>
      <c r="AJ212" s="37"/>
      <c r="AK212" s="37"/>
      <c r="AL212" s="37"/>
      <c r="AM212" s="37"/>
      <c r="AN212" s="37"/>
      <c r="AO212" s="34"/>
      <c r="AP212" s="34"/>
      <c r="AQ212" s="34"/>
      <c r="AR212" s="34"/>
      <c r="AS212" s="34"/>
      <c r="AT212" s="35" t="s">
        <v>7480</v>
      </c>
      <c r="AU212" s="34"/>
      <c r="AV212" s="34"/>
      <c r="AW212" s="35" t="s">
        <v>7481</v>
      </c>
      <c r="AX212" s="34"/>
      <c r="AY212" s="37"/>
      <c r="AZ212" s="35" t="s">
        <v>41</v>
      </c>
      <c r="BA212" s="37" t="str">
        <f>+972 (0)54 900 9908</f>
        <v>#ERROR!</v>
      </c>
      <c r="BB212" s="37"/>
      <c r="BC212" s="34"/>
      <c r="BD212" s="35" t="s">
        <v>3584</v>
      </c>
      <c r="BE212" s="35" t="s">
        <v>3584</v>
      </c>
      <c r="BF212" s="34"/>
      <c r="BG212" s="34"/>
      <c r="BH212" s="37"/>
      <c r="BI212" s="34"/>
      <c r="BJ212" s="34"/>
      <c r="BK212" s="34"/>
      <c r="BL212" s="34"/>
      <c r="BM212" s="34"/>
      <c r="BN212" s="34"/>
      <c r="BO212" s="34"/>
      <c r="BP212" s="34"/>
      <c r="BQ212" s="37"/>
      <c r="BR212" s="37"/>
      <c r="BS212" s="34"/>
      <c r="BT212" s="37"/>
      <c r="BU212" s="34"/>
      <c r="BV212" s="34"/>
      <c r="BW212" s="34"/>
      <c r="BX212" s="34"/>
      <c r="BY212" s="34"/>
      <c r="BZ212" s="34"/>
      <c r="CA212" s="34"/>
      <c r="CB212" s="37"/>
      <c r="CC212" s="37"/>
      <c r="CD212" s="34"/>
      <c r="CE212" s="37"/>
      <c r="CF212" s="34"/>
      <c r="CG212" s="34"/>
      <c r="CH212" s="34"/>
      <c r="CI212" s="34"/>
      <c r="CJ212" s="34"/>
      <c r="CK212" s="37"/>
      <c r="CL212" s="37"/>
      <c r="CM212" s="34"/>
      <c r="CN212" s="34"/>
      <c r="CO212" s="39">
        <v>0.0</v>
      </c>
      <c r="CP212" s="32">
        <v>14.0</v>
      </c>
      <c r="CQ212" s="39">
        <v>0.0</v>
      </c>
      <c r="CR212" s="39">
        <v>0.0</v>
      </c>
      <c r="CS212" s="39">
        <v>0.0</v>
      </c>
      <c r="CT212" s="32">
        <v>12.0</v>
      </c>
      <c r="CU212" s="37"/>
      <c r="CV212" s="37"/>
      <c r="CW212" s="39">
        <v>0.0</v>
      </c>
      <c r="CX212" s="32">
        <v>12.0</v>
      </c>
      <c r="CY212" s="32" t="s">
        <v>7482</v>
      </c>
      <c r="CZ212" s="32">
        <v>4.0</v>
      </c>
      <c r="DA212" s="32" t="s">
        <v>3598</v>
      </c>
      <c r="DB212" s="39">
        <v>0.0</v>
      </c>
      <c r="DC212" s="32" t="s">
        <v>7482</v>
      </c>
      <c r="DD212" s="32">
        <v>5.0</v>
      </c>
      <c r="DE212" s="37"/>
      <c r="DF212" s="37"/>
      <c r="DG212" s="32" t="s">
        <v>7482</v>
      </c>
      <c r="DH212" s="32">
        <v>4.0</v>
      </c>
      <c r="DI212" s="37"/>
      <c r="DJ212" s="37"/>
      <c r="DK212" s="37"/>
      <c r="DL212" s="32">
        <v>4.0</v>
      </c>
      <c r="DM212" s="32">
        <v>0.0</v>
      </c>
      <c r="DN212" s="39">
        <v>0.0</v>
      </c>
      <c r="DO212" s="32" t="s">
        <v>3600</v>
      </c>
      <c r="DP212" s="38" t="s">
        <v>7483</v>
      </c>
      <c r="DQ212" s="37"/>
      <c r="DR212" s="37"/>
      <c r="DS212" s="37"/>
      <c r="DT212" s="37"/>
      <c r="DU212" s="37"/>
      <c r="DV212" s="37"/>
      <c r="DW212" s="34"/>
      <c r="DX212" s="37"/>
      <c r="DY212" s="34"/>
      <c r="DZ212" s="37"/>
      <c r="EA212" s="37"/>
      <c r="EB212" s="34"/>
      <c r="EC212" s="37"/>
      <c r="ED212" s="37"/>
      <c r="EE212" s="37"/>
      <c r="EF212" s="37"/>
      <c r="EG212" s="34"/>
      <c r="EH212" s="37"/>
      <c r="EI212" s="37"/>
      <c r="EJ212" s="37"/>
      <c r="EK212" s="34"/>
      <c r="EL212" s="37"/>
      <c r="EM212" s="37"/>
      <c r="EN212" s="37"/>
      <c r="EO212" s="37"/>
      <c r="EP212" s="40" t="s">
        <v>3559</v>
      </c>
    </row>
    <row r="213">
      <c r="A213" s="45"/>
      <c r="B213" s="42" t="s">
        <v>7484</v>
      </c>
      <c r="C213" s="43"/>
      <c r="D213" s="43"/>
      <c r="E213" s="43"/>
      <c r="F213" s="43"/>
      <c r="G213" s="42" t="s">
        <v>7485</v>
      </c>
      <c r="H213" s="42" t="s">
        <v>4560</v>
      </c>
      <c r="I213" s="42" t="s">
        <v>4561</v>
      </c>
      <c r="J213" s="42" t="s">
        <v>66</v>
      </c>
      <c r="K213" s="42" t="s">
        <v>4562</v>
      </c>
      <c r="L213" s="43"/>
      <c r="M213" s="43"/>
      <c r="N213" s="42" t="s">
        <v>4923</v>
      </c>
      <c r="O213" s="42" t="s">
        <v>7486</v>
      </c>
      <c r="P213" s="42"/>
      <c r="R213" s="43"/>
      <c r="S213" s="42" t="s">
        <v>4925</v>
      </c>
      <c r="T213" s="42" t="s">
        <v>4926</v>
      </c>
      <c r="U213" s="44" t="s">
        <v>7487</v>
      </c>
      <c r="V213" s="44" t="s">
        <v>7488</v>
      </c>
      <c r="W213" s="45"/>
      <c r="X213" s="43"/>
      <c r="Y213" s="43"/>
      <c r="Z213" s="43"/>
      <c r="AA213" s="41">
        <v>2019.0</v>
      </c>
      <c r="AB213" s="43"/>
      <c r="AC213" s="43"/>
      <c r="AD213" s="43"/>
      <c r="AE213" s="45"/>
      <c r="AF213" s="45"/>
      <c r="AG213" s="45"/>
      <c r="AH213" s="45"/>
      <c r="AI213" s="45"/>
      <c r="AJ213" s="45"/>
      <c r="AK213" s="45"/>
      <c r="AL213" s="45"/>
      <c r="AM213" s="45"/>
      <c r="AN213" s="45"/>
      <c r="AO213" s="43"/>
      <c r="AP213" s="43"/>
      <c r="AQ213" s="43"/>
      <c r="AR213" s="43"/>
      <c r="AS213" s="43"/>
      <c r="AT213" s="42" t="s">
        <v>3581</v>
      </c>
      <c r="AU213" s="43"/>
      <c r="AV213" s="43"/>
      <c r="AW213" s="42" t="s">
        <v>75</v>
      </c>
      <c r="AX213" s="42" t="s">
        <v>41</v>
      </c>
      <c r="AY213" s="41">
        <v>27000.0</v>
      </c>
      <c r="AZ213" s="42" t="s">
        <v>41</v>
      </c>
      <c r="BA213" s="45"/>
      <c r="BB213" s="45"/>
      <c r="BC213" s="43"/>
      <c r="BD213" s="42" t="s">
        <v>3584</v>
      </c>
      <c r="BE213" s="42" t="s">
        <v>3584</v>
      </c>
      <c r="BF213" s="43"/>
      <c r="BG213" s="43"/>
      <c r="BH213" s="45"/>
      <c r="BI213" s="43"/>
      <c r="BJ213" s="43"/>
      <c r="BK213" s="43"/>
      <c r="BL213" s="43"/>
      <c r="BM213" s="43"/>
      <c r="BN213" s="43"/>
      <c r="BO213" s="43"/>
      <c r="BP213" s="43"/>
      <c r="BQ213" s="45"/>
      <c r="BR213" s="45"/>
      <c r="BS213" s="43"/>
      <c r="BT213" s="45"/>
      <c r="BU213" s="43"/>
      <c r="BV213" s="43"/>
      <c r="BW213" s="43"/>
      <c r="BX213" s="43"/>
      <c r="BY213" s="43"/>
      <c r="BZ213" s="43"/>
      <c r="CA213" s="43"/>
      <c r="CB213" s="45"/>
      <c r="CC213" s="45"/>
      <c r="CD213" s="43"/>
      <c r="CE213" s="45"/>
      <c r="CF213" s="43"/>
      <c r="CG213" s="43"/>
      <c r="CH213" s="43"/>
      <c r="CI213" s="43"/>
      <c r="CJ213" s="43"/>
      <c r="CK213" s="45"/>
      <c r="CL213" s="45"/>
      <c r="CM213" s="43"/>
      <c r="CN213" s="43"/>
      <c r="CO213" s="47">
        <v>0.0</v>
      </c>
      <c r="CP213" s="41">
        <v>14.0</v>
      </c>
      <c r="CQ213" s="47">
        <v>0.0</v>
      </c>
      <c r="CR213" s="47">
        <v>0.0</v>
      </c>
      <c r="CS213" s="47">
        <v>0.0</v>
      </c>
      <c r="CT213" s="41">
        <v>12.0</v>
      </c>
      <c r="CU213" s="45"/>
      <c r="CV213" s="45"/>
      <c r="CW213" s="47">
        <v>0.0</v>
      </c>
      <c r="CX213" s="41">
        <v>12.0</v>
      </c>
      <c r="CY213" s="41" t="s">
        <v>6013</v>
      </c>
      <c r="CZ213" s="41">
        <v>37.0</v>
      </c>
      <c r="DA213" s="41" t="s">
        <v>3598</v>
      </c>
      <c r="DB213" s="47">
        <v>0.0</v>
      </c>
      <c r="DC213" s="41" t="s">
        <v>6013</v>
      </c>
      <c r="DD213" s="41">
        <v>40.0</v>
      </c>
      <c r="DE213" s="45"/>
      <c r="DF213" s="45"/>
      <c r="DG213" s="41" t="s">
        <v>6013</v>
      </c>
      <c r="DH213" s="41">
        <v>37.0</v>
      </c>
      <c r="DI213" s="45"/>
      <c r="DJ213" s="45"/>
      <c r="DK213" s="45"/>
      <c r="DL213" s="41">
        <v>17.0</v>
      </c>
      <c r="DM213" s="41">
        <v>1.0</v>
      </c>
      <c r="DN213" s="47">
        <v>0.0625</v>
      </c>
      <c r="DO213" s="41" t="s">
        <v>5066</v>
      </c>
      <c r="DP213" s="46" t="s">
        <v>5404</v>
      </c>
      <c r="DQ213" s="45"/>
      <c r="DR213" s="45"/>
      <c r="DS213" s="45"/>
      <c r="DT213" s="45"/>
      <c r="DU213" s="45"/>
      <c r="DV213" s="45"/>
      <c r="DW213" s="43"/>
      <c r="DX213" s="45"/>
      <c r="DY213" s="43"/>
      <c r="DZ213" s="45"/>
      <c r="EA213" s="45"/>
      <c r="EB213" s="43"/>
      <c r="EC213" s="45"/>
      <c r="ED213" s="45"/>
      <c r="EE213" s="45"/>
      <c r="EF213" s="45"/>
      <c r="EG213" s="43"/>
      <c r="EH213" s="45"/>
      <c r="EI213" s="45"/>
      <c r="EJ213" s="45"/>
      <c r="EK213" s="43"/>
      <c r="EL213" s="45"/>
      <c r="EM213" s="45"/>
      <c r="EN213" s="45"/>
      <c r="EO213" s="45"/>
      <c r="EP213" s="48" t="s">
        <v>3559</v>
      </c>
    </row>
    <row r="214">
      <c r="A214" s="37"/>
      <c r="B214" s="35" t="s">
        <v>7489</v>
      </c>
      <c r="C214" s="34"/>
      <c r="D214" s="34"/>
      <c r="E214" s="34"/>
      <c r="F214" s="34"/>
      <c r="G214" s="35" t="s">
        <v>7490</v>
      </c>
      <c r="H214" s="35" t="s">
        <v>4560</v>
      </c>
      <c r="I214" s="35" t="s">
        <v>4561</v>
      </c>
      <c r="J214" s="35" t="s">
        <v>66</v>
      </c>
      <c r="K214" s="35" t="s">
        <v>4562</v>
      </c>
      <c r="L214" s="34"/>
      <c r="M214" s="35" t="s">
        <v>7491</v>
      </c>
      <c r="N214" s="35" t="s">
        <v>4923</v>
      </c>
      <c r="O214" s="35" t="s">
        <v>7492</v>
      </c>
      <c r="P214" s="35"/>
      <c r="R214" s="34"/>
      <c r="S214" s="35" t="s">
        <v>4925</v>
      </c>
      <c r="T214" s="35" t="s">
        <v>4926</v>
      </c>
      <c r="U214" s="36" t="s">
        <v>7493</v>
      </c>
      <c r="V214" s="36" t="s">
        <v>7494</v>
      </c>
      <c r="W214" s="32">
        <v>50.0</v>
      </c>
      <c r="X214" s="35" t="s">
        <v>7495</v>
      </c>
      <c r="Y214" s="34"/>
      <c r="Z214" s="34"/>
      <c r="AA214" s="32">
        <v>2005.0</v>
      </c>
      <c r="AB214" s="34"/>
      <c r="AC214" s="34"/>
      <c r="AD214" s="34"/>
      <c r="AE214" s="37"/>
      <c r="AF214" s="37"/>
      <c r="AG214" s="37"/>
      <c r="AH214" s="37"/>
      <c r="AI214" s="37"/>
      <c r="AJ214" s="37"/>
      <c r="AK214" s="37"/>
      <c r="AL214" s="37"/>
      <c r="AM214" s="37"/>
      <c r="AN214" s="37"/>
      <c r="AO214" s="34"/>
      <c r="AP214" s="34"/>
      <c r="AQ214" s="34"/>
      <c r="AR214" s="34"/>
      <c r="AS214" s="34"/>
      <c r="AT214" s="35" t="s">
        <v>7496</v>
      </c>
      <c r="AU214" s="34"/>
      <c r="AV214" s="34"/>
      <c r="AW214" s="35" t="s">
        <v>7497</v>
      </c>
      <c r="AX214" s="35" t="s">
        <v>7497</v>
      </c>
      <c r="AY214" s="37"/>
      <c r="AZ214" s="35" t="s">
        <v>41</v>
      </c>
      <c r="BA214" s="37"/>
      <c r="BB214" s="37"/>
      <c r="BC214" s="34"/>
      <c r="BD214" s="35" t="s">
        <v>3584</v>
      </c>
      <c r="BE214" s="35" t="s">
        <v>3584</v>
      </c>
      <c r="BF214" s="34"/>
      <c r="BG214" s="34"/>
      <c r="BH214" s="37"/>
      <c r="BI214" s="34"/>
      <c r="BJ214" s="34"/>
      <c r="BK214" s="34"/>
      <c r="BL214" s="34"/>
      <c r="BM214" s="34"/>
      <c r="BN214" s="34"/>
      <c r="BO214" s="34"/>
      <c r="BP214" s="34"/>
      <c r="BQ214" s="37"/>
      <c r="BR214" s="37"/>
      <c r="BS214" s="34"/>
      <c r="BT214" s="37"/>
      <c r="BU214" s="34"/>
      <c r="BV214" s="34"/>
      <c r="BW214" s="34"/>
      <c r="BX214" s="34"/>
      <c r="BY214" s="34"/>
      <c r="BZ214" s="34"/>
      <c r="CA214" s="34"/>
      <c r="CB214" s="37"/>
      <c r="CC214" s="37"/>
      <c r="CD214" s="34"/>
      <c r="CE214" s="37"/>
      <c r="CF214" s="34"/>
      <c r="CG214" s="34"/>
      <c r="CH214" s="34"/>
      <c r="CI214" s="34"/>
      <c r="CJ214" s="34"/>
      <c r="CK214" s="37"/>
      <c r="CL214" s="37"/>
      <c r="CM214" s="34"/>
      <c r="CN214" s="34"/>
      <c r="CO214" s="39">
        <v>0.0</v>
      </c>
      <c r="CP214" s="32">
        <v>14.0</v>
      </c>
      <c r="CQ214" s="39">
        <v>0.0</v>
      </c>
      <c r="CR214" s="39">
        <v>0.0</v>
      </c>
      <c r="CS214" s="39">
        <v>0.0</v>
      </c>
      <c r="CT214" s="32">
        <v>12.0</v>
      </c>
      <c r="CU214" s="37"/>
      <c r="CV214" s="37"/>
      <c r="CW214" s="39">
        <v>0.0</v>
      </c>
      <c r="CX214" s="32">
        <v>12.0</v>
      </c>
      <c r="CY214" s="32" t="s">
        <v>7498</v>
      </c>
      <c r="CZ214" s="32">
        <v>75.0</v>
      </c>
      <c r="DA214" s="32" t="s">
        <v>3598</v>
      </c>
      <c r="DB214" s="39">
        <v>0.0</v>
      </c>
      <c r="DC214" s="32" t="s">
        <v>4663</v>
      </c>
      <c r="DD214" s="32">
        <v>37.0</v>
      </c>
      <c r="DE214" s="37"/>
      <c r="DF214" s="37"/>
      <c r="DG214" s="32" t="s">
        <v>4663</v>
      </c>
      <c r="DH214" s="32">
        <v>34.0</v>
      </c>
      <c r="DI214" s="32">
        <v>102.0</v>
      </c>
      <c r="DJ214" s="32">
        <v>-19.0</v>
      </c>
      <c r="DK214" s="39">
        <v>-0.157</v>
      </c>
      <c r="DL214" s="32">
        <v>16.0</v>
      </c>
      <c r="DM214" s="32">
        <v>1.0</v>
      </c>
      <c r="DN214" s="39">
        <v>0.0667</v>
      </c>
      <c r="DO214" s="32" t="s">
        <v>5066</v>
      </c>
      <c r="DP214" s="38" t="s">
        <v>5960</v>
      </c>
      <c r="DQ214" s="37"/>
      <c r="DR214" s="37"/>
      <c r="DS214" s="37"/>
      <c r="DT214" s="37"/>
      <c r="DU214" s="37"/>
      <c r="DV214" s="37"/>
      <c r="DW214" s="34"/>
      <c r="DX214" s="37"/>
      <c r="DY214" s="34"/>
      <c r="DZ214" s="37"/>
      <c r="EA214" s="37"/>
      <c r="EB214" s="34"/>
      <c r="EC214" s="37"/>
      <c r="ED214" s="37"/>
      <c r="EE214" s="37"/>
      <c r="EF214" s="37"/>
      <c r="EG214" s="34"/>
      <c r="EH214" s="37"/>
      <c r="EI214" s="37"/>
      <c r="EJ214" s="37"/>
      <c r="EK214" s="34"/>
      <c r="EL214" s="37"/>
      <c r="EM214" s="37"/>
      <c r="EN214" s="37"/>
      <c r="EO214" s="37"/>
      <c r="EP214" s="40" t="s">
        <v>3559</v>
      </c>
    </row>
    <row r="215">
      <c r="A215" s="45"/>
      <c r="B215" s="42" t="s">
        <v>177</v>
      </c>
      <c r="C215" s="43"/>
      <c r="D215" s="43"/>
      <c r="E215" s="42" t="s">
        <v>7499</v>
      </c>
      <c r="F215" s="42" t="s">
        <v>7500</v>
      </c>
      <c r="G215" s="42" t="s">
        <v>7501</v>
      </c>
      <c r="H215" s="42" t="s">
        <v>3563</v>
      </c>
      <c r="I215" s="42" t="s">
        <v>3609</v>
      </c>
      <c r="J215" s="42" t="s">
        <v>3610</v>
      </c>
      <c r="K215" s="42" t="s">
        <v>7502</v>
      </c>
      <c r="L215" s="42" t="s">
        <v>7503</v>
      </c>
      <c r="M215" s="42" t="s">
        <v>7504</v>
      </c>
      <c r="N215" s="42" t="s">
        <v>3569</v>
      </c>
      <c r="O215" s="42" t="s">
        <v>7505</v>
      </c>
      <c r="P215" s="42"/>
      <c r="R215" s="42" t="s">
        <v>3571</v>
      </c>
      <c r="S215" s="42" t="s">
        <v>3572</v>
      </c>
      <c r="T215" s="42" t="s">
        <v>3573</v>
      </c>
      <c r="U215" s="44" t="s">
        <v>7506</v>
      </c>
      <c r="V215" s="44" t="s">
        <v>7507</v>
      </c>
      <c r="W215" s="41">
        <v>15.0</v>
      </c>
      <c r="X215" s="42" t="s">
        <v>7508</v>
      </c>
      <c r="Y215" s="43"/>
      <c r="Z215" s="43"/>
      <c r="AA215" s="41">
        <v>2019.0</v>
      </c>
      <c r="AB215" s="43"/>
      <c r="AC215" s="43"/>
      <c r="AD215" s="43"/>
      <c r="AE215" s="45"/>
      <c r="AF215" s="45"/>
      <c r="AG215" s="45"/>
      <c r="AH215" s="45"/>
      <c r="AI215" s="45"/>
      <c r="AJ215" s="45"/>
      <c r="AK215" s="45"/>
      <c r="AL215" s="45"/>
      <c r="AM215" s="45"/>
      <c r="AN215" s="45"/>
      <c r="AO215" s="42" t="s">
        <v>7509</v>
      </c>
      <c r="AP215" s="42" t="s">
        <v>7510</v>
      </c>
      <c r="AQ215" s="42" t="s">
        <v>7511</v>
      </c>
      <c r="AR215" s="42" t="s">
        <v>7512</v>
      </c>
      <c r="AS215" s="43" t="str">
        <f>+972 (0)54 323 3092</f>
        <v>#ERROR!</v>
      </c>
      <c r="AT215" s="42" t="s">
        <v>3744</v>
      </c>
      <c r="AU215" s="42" t="s">
        <v>7513</v>
      </c>
      <c r="AV215" s="43"/>
      <c r="AW215" s="42" t="s">
        <v>183</v>
      </c>
      <c r="AX215" s="43"/>
      <c r="AY215" s="41">
        <v>7608802.0</v>
      </c>
      <c r="AZ215" s="42" t="s">
        <v>41</v>
      </c>
      <c r="BA215" s="45" t="str">
        <f>+972 (0)54 323 3092</f>
        <v>#ERROR!</v>
      </c>
      <c r="BB215" s="45"/>
      <c r="BC215" s="42" t="s">
        <v>184</v>
      </c>
      <c r="BD215" s="42" t="s">
        <v>3584</v>
      </c>
      <c r="BE215" s="42" t="s">
        <v>3584</v>
      </c>
      <c r="BF215" s="42" t="s">
        <v>7514</v>
      </c>
      <c r="BG215" s="42" t="s">
        <v>7515</v>
      </c>
      <c r="BH215" s="41">
        <v>1.0</v>
      </c>
      <c r="BI215" s="43"/>
      <c r="BJ215" s="43"/>
      <c r="BK215" s="43"/>
      <c r="BL215" s="42" t="s">
        <v>7516</v>
      </c>
      <c r="BM215" s="43"/>
      <c r="BN215" s="43"/>
      <c r="BO215" s="43"/>
      <c r="BP215" s="43"/>
      <c r="BQ215" s="46" t="s">
        <v>6919</v>
      </c>
      <c r="BR215" s="45"/>
      <c r="BS215" s="43"/>
      <c r="BT215" s="45"/>
      <c r="BU215" s="43"/>
      <c r="BV215" s="42" t="s">
        <v>3698</v>
      </c>
      <c r="BW215" s="42" t="s">
        <v>3698</v>
      </c>
      <c r="BX215" s="43"/>
      <c r="BY215" s="42" t="s">
        <v>3573</v>
      </c>
      <c r="BZ215" s="43"/>
      <c r="CA215" s="42" t="s">
        <v>3591</v>
      </c>
      <c r="CB215" s="46" t="s">
        <v>6919</v>
      </c>
      <c r="CC215" s="45"/>
      <c r="CD215" s="43"/>
      <c r="CE215" s="45"/>
      <c r="CF215" s="43"/>
      <c r="CG215" s="42" t="s">
        <v>3698</v>
      </c>
      <c r="CH215" s="42" t="s">
        <v>3698</v>
      </c>
      <c r="CI215" s="43"/>
      <c r="CJ215" s="42" t="s">
        <v>3573</v>
      </c>
      <c r="CK215" s="45"/>
      <c r="CL215" s="45"/>
      <c r="CM215" s="43"/>
      <c r="CN215" s="42" t="s">
        <v>3591</v>
      </c>
      <c r="CO215" s="47">
        <v>0.0</v>
      </c>
      <c r="CP215" s="41">
        <v>14.0</v>
      </c>
      <c r="CQ215" s="47">
        <v>0.0</v>
      </c>
      <c r="CR215" s="47">
        <v>0.0</v>
      </c>
      <c r="CS215" s="47">
        <v>0.0</v>
      </c>
      <c r="CT215" s="41">
        <v>12.0</v>
      </c>
      <c r="CU215" s="45"/>
      <c r="CV215" s="45"/>
      <c r="CW215" s="47">
        <v>0.0</v>
      </c>
      <c r="CX215" s="41">
        <v>12.0</v>
      </c>
      <c r="CY215" s="41" t="s">
        <v>7517</v>
      </c>
      <c r="CZ215" s="41">
        <v>57.0</v>
      </c>
      <c r="DA215" s="41" t="s">
        <v>3598</v>
      </c>
      <c r="DB215" s="47">
        <v>0.0</v>
      </c>
      <c r="DC215" s="41" t="s">
        <v>7517</v>
      </c>
      <c r="DD215" s="41">
        <v>59.0</v>
      </c>
      <c r="DE215" s="45"/>
      <c r="DF215" s="45"/>
      <c r="DG215" s="41" t="s">
        <v>7517</v>
      </c>
      <c r="DH215" s="41">
        <v>57.0</v>
      </c>
      <c r="DI215" s="45"/>
      <c r="DJ215" s="45"/>
      <c r="DK215" s="45"/>
      <c r="DL215" s="41">
        <v>28.0</v>
      </c>
      <c r="DM215" s="41">
        <v>0.0</v>
      </c>
      <c r="DN215" s="47">
        <v>0.0</v>
      </c>
      <c r="DO215" s="41" t="s">
        <v>3600</v>
      </c>
      <c r="DP215" s="46" t="s">
        <v>7518</v>
      </c>
      <c r="DQ215" s="41">
        <v>12.0</v>
      </c>
      <c r="DR215" s="41">
        <v>2.0</v>
      </c>
      <c r="DS215" s="41">
        <v>6.0</v>
      </c>
      <c r="DT215" s="41">
        <v>4.0</v>
      </c>
      <c r="DU215" s="45"/>
      <c r="DV215" s="41">
        <v>2.0</v>
      </c>
      <c r="DW215" s="42" t="s">
        <v>6993</v>
      </c>
      <c r="DX215" s="45"/>
      <c r="DY215" s="43"/>
      <c r="DZ215" s="45"/>
      <c r="EA215" s="45"/>
      <c r="EB215" s="43"/>
      <c r="EC215" s="45"/>
      <c r="ED215" s="45"/>
      <c r="EE215" s="45"/>
      <c r="EF215" s="45"/>
      <c r="EG215" s="43"/>
      <c r="EH215" s="45"/>
      <c r="EI215" s="45"/>
      <c r="EJ215" s="45"/>
      <c r="EK215" s="43"/>
      <c r="EL215" s="45"/>
      <c r="EM215" s="45"/>
      <c r="EN215" s="45"/>
      <c r="EO215" s="45"/>
      <c r="EP215" s="48" t="s">
        <v>3559</v>
      </c>
    </row>
    <row r="216">
      <c r="A216" s="37"/>
      <c r="B216" s="35" t="s">
        <v>7519</v>
      </c>
      <c r="C216" s="34"/>
      <c r="D216" s="34"/>
      <c r="E216" s="35" t="s">
        <v>7520</v>
      </c>
      <c r="F216" s="34"/>
      <c r="G216" s="35" t="s">
        <v>7521</v>
      </c>
      <c r="H216" s="35" t="s">
        <v>3867</v>
      </c>
      <c r="I216" s="35" t="s">
        <v>3897</v>
      </c>
      <c r="J216" s="35" t="s">
        <v>3898</v>
      </c>
      <c r="K216" s="35" t="s">
        <v>7522</v>
      </c>
      <c r="L216" s="35" t="s">
        <v>5736</v>
      </c>
      <c r="M216" s="35" t="s">
        <v>7523</v>
      </c>
      <c r="N216" s="35" t="s">
        <v>4923</v>
      </c>
      <c r="O216" s="35" t="s">
        <v>7524</v>
      </c>
      <c r="P216" s="35"/>
      <c r="R216" s="35" t="s">
        <v>3571</v>
      </c>
      <c r="S216" s="35" t="s">
        <v>4925</v>
      </c>
      <c r="T216" s="35" t="s">
        <v>5568</v>
      </c>
      <c r="U216" s="36" t="s">
        <v>7525</v>
      </c>
      <c r="V216" s="34"/>
      <c r="W216" s="32">
        <v>443.0</v>
      </c>
      <c r="X216" s="35" t="s">
        <v>7526</v>
      </c>
      <c r="Y216" s="34"/>
      <c r="Z216" s="34"/>
      <c r="AA216" s="32">
        <v>1974.0</v>
      </c>
      <c r="AB216" s="34"/>
      <c r="AC216" s="34"/>
      <c r="AD216" s="34"/>
      <c r="AE216" s="32">
        <v>318.22</v>
      </c>
      <c r="AF216" s="32">
        <v>55.76</v>
      </c>
      <c r="AG216" s="32">
        <v>14.41</v>
      </c>
      <c r="AH216" s="32">
        <v>433.53</v>
      </c>
      <c r="AI216" s="32">
        <v>77.92</v>
      </c>
      <c r="AJ216" s="32">
        <v>37.43</v>
      </c>
      <c r="AK216" s="32">
        <v>156.99</v>
      </c>
      <c r="AL216" s="32">
        <v>269.49</v>
      </c>
      <c r="AM216" s="37"/>
      <c r="AN216" s="32" t="s">
        <v>7527</v>
      </c>
      <c r="AO216" s="35" t="s">
        <v>7528</v>
      </c>
      <c r="AP216" s="35" t="s">
        <v>7529</v>
      </c>
      <c r="AQ216" s="35" t="s">
        <v>7530</v>
      </c>
      <c r="AR216" s="35" t="s">
        <v>7531</v>
      </c>
      <c r="AS216" s="34" t="str">
        <f>+972 (0)3 971 5300</f>
        <v>#ERROR!</v>
      </c>
      <c r="AT216" s="35" t="s">
        <v>6317</v>
      </c>
      <c r="AU216" s="35" t="s">
        <v>7532</v>
      </c>
      <c r="AV216" s="35" t="s">
        <v>7533</v>
      </c>
      <c r="AW216" s="35" t="s">
        <v>246</v>
      </c>
      <c r="AX216" s="34"/>
      <c r="AY216" s="37"/>
      <c r="AZ216" s="35" t="s">
        <v>41</v>
      </c>
      <c r="BA216" s="37" t="str">
        <f>+972 (0)3 971 5300</f>
        <v>#ERROR!</v>
      </c>
      <c r="BB216" s="37" t="str">
        <f>+972 (0)3 972 1733</f>
        <v>#ERROR!</v>
      </c>
      <c r="BC216" s="35" t="s">
        <v>7534</v>
      </c>
      <c r="BD216" s="35" t="s">
        <v>3584</v>
      </c>
      <c r="BE216" s="35" t="s">
        <v>3584</v>
      </c>
      <c r="BF216" s="35" t="s">
        <v>7535</v>
      </c>
      <c r="BG216" s="34"/>
      <c r="BH216" s="37"/>
      <c r="BI216" s="34"/>
      <c r="BJ216" s="35" t="s">
        <v>7536</v>
      </c>
      <c r="BK216" s="34"/>
      <c r="BL216" s="34"/>
      <c r="BM216" s="35" t="s">
        <v>7537</v>
      </c>
      <c r="BN216" s="34"/>
      <c r="BO216" s="34"/>
      <c r="BP216" s="34"/>
      <c r="BQ216" s="38" t="s">
        <v>7538</v>
      </c>
      <c r="BR216" s="37"/>
      <c r="BS216" s="34"/>
      <c r="BT216" s="37"/>
      <c r="BU216" s="34"/>
      <c r="BV216" s="35" t="s">
        <v>4532</v>
      </c>
      <c r="BW216" s="34"/>
      <c r="BX216" s="34"/>
      <c r="BY216" s="35" t="s">
        <v>5764</v>
      </c>
      <c r="BZ216" s="34"/>
      <c r="CA216" s="35" t="s">
        <v>3591</v>
      </c>
      <c r="CB216" s="38" t="s">
        <v>7539</v>
      </c>
      <c r="CC216" s="32">
        <v>15.4</v>
      </c>
      <c r="CD216" s="35" t="s">
        <v>3593</v>
      </c>
      <c r="CE216" s="32">
        <v>61.6</v>
      </c>
      <c r="CF216" s="35" t="s">
        <v>3697</v>
      </c>
      <c r="CG216" s="35" t="s">
        <v>3830</v>
      </c>
      <c r="CH216" s="34"/>
      <c r="CI216" s="34"/>
      <c r="CJ216" s="35" t="s">
        <v>3663</v>
      </c>
      <c r="CK216" s="37"/>
      <c r="CL216" s="37"/>
      <c r="CM216" s="34"/>
      <c r="CN216" s="35" t="s">
        <v>3591</v>
      </c>
      <c r="CO216" s="39">
        <v>0.0</v>
      </c>
      <c r="CP216" s="32">
        <v>14.0</v>
      </c>
      <c r="CQ216" s="39">
        <v>0.0</v>
      </c>
      <c r="CR216" s="39">
        <v>0.0</v>
      </c>
      <c r="CS216" s="39">
        <v>0.0</v>
      </c>
      <c r="CT216" s="32">
        <v>12.0</v>
      </c>
      <c r="CU216" s="37"/>
      <c r="CV216" s="37"/>
      <c r="CW216" s="39">
        <v>0.0</v>
      </c>
      <c r="CX216" s="32">
        <v>12.0</v>
      </c>
      <c r="CY216" s="32" t="s">
        <v>7540</v>
      </c>
      <c r="CZ216" s="32">
        <v>70.0</v>
      </c>
      <c r="DA216" s="32" t="s">
        <v>3598</v>
      </c>
      <c r="DB216" s="39">
        <v>0.0</v>
      </c>
      <c r="DC216" s="32" t="s">
        <v>7540</v>
      </c>
      <c r="DD216" s="32">
        <v>72.0</v>
      </c>
      <c r="DE216" s="37"/>
      <c r="DF216" s="37"/>
      <c r="DG216" s="32" t="s">
        <v>7540</v>
      </c>
      <c r="DH216" s="32">
        <v>71.0</v>
      </c>
      <c r="DI216" s="37"/>
      <c r="DJ216" s="37"/>
      <c r="DK216" s="37"/>
      <c r="DL216" s="32">
        <v>57.0</v>
      </c>
      <c r="DM216" s="32">
        <v>2.0</v>
      </c>
      <c r="DN216" s="39">
        <v>0.0364</v>
      </c>
      <c r="DO216" s="32" t="s">
        <v>3600</v>
      </c>
      <c r="DP216" s="38" t="s">
        <v>7541</v>
      </c>
      <c r="DQ216" s="37"/>
      <c r="DR216" s="37"/>
      <c r="DS216" s="37"/>
      <c r="DT216" s="37"/>
      <c r="DU216" s="37"/>
      <c r="DV216" s="37"/>
      <c r="DW216" s="34"/>
      <c r="DX216" s="37"/>
      <c r="DY216" s="34"/>
      <c r="DZ216" s="37"/>
      <c r="EA216" s="37"/>
      <c r="EB216" s="34"/>
      <c r="EC216" s="37"/>
      <c r="ED216" s="37"/>
      <c r="EE216" s="32">
        <v>61.6</v>
      </c>
      <c r="EF216" s="38" t="s">
        <v>7539</v>
      </c>
      <c r="EG216" s="35" t="s">
        <v>3830</v>
      </c>
      <c r="EH216" s="37"/>
      <c r="EI216" s="37"/>
      <c r="EJ216" s="37"/>
      <c r="EK216" s="34"/>
      <c r="EL216" s="37"/>
      <c r="EM216" s="37"/>
      <c r="EN216" s="37"/>
      <c r="EO216" s="37"/>
      <c r="EP216" s="40" t="s">
        <v>3559</v>
      </c>
    </row>
    <row r="217">
      <c r="A217" s="45"/>
      <c r="B217" s="42" t="s">
        <v>7542</v>
      </c>
      <c r="C217" s="43"/>
      <c r="D217" s="43"/>
      <c r="E217" s="42" t="s">
        <v>7543</v>
      </c>
      <c r="F217" s="43"/>
      <c r="G217" s="42" t="s">
        <v>7544</v>
      </c>
      <c r="H217" s="42" t="s">
        <v>3867</v>
      </c>
      <c r="I217" s="42" t="s">
        <v>3868</v>
      </c>
      <c r="J217" s="42" t="s">
        <v>7545</v>
      </c>
      <c r="K217" s="42" t="s">
        <v>7546</v>
      </c>
      <c r="L217" s="42" t="s">
        <v>7547</v>
      </c>
      <c r="M217" s="42" t="s">
        <v>7548</v>
      </c>
      <c r="N217" s="42" t="s">
        <v>4923</v>
      </c>
      <c r="O217" s="42" t="s">
        <v>7549</v>
      </c>
      <c r="P217" s="42"/>
      <c r="R217" s="42" t="s">
        <v>3571</v>
      </c>
      <c r="S217" s="42" t="s">
        <v>4925</v>
      </c>
      <c r="T217" s="42" t="s">
        <v>4926</v>
      </c>
      <c r="U217" s="44" t="s">
        <v>7550</v>
      </c>
      <c r="V217" s="44" t="s">
        <v>7551</v>
      </c>
      <c r="W217" s="41">
        <v>3.0</v>
      </c>
      <c r="X217" s="42" t="s">
        <v>7552</v>
      </c>
      <c r="Y217" s="43"/>
      <c r="Z217" s="43"/>
      <c r="AA217" s="41">
        <v>2012.0</v>
      </c>
      <c r="AB217" s="43"/>
      <c r="AC217" s="43"/>
      <c r="AD217" s="43"/>
      <c r="AE217" s="45"/>
      <c r="AF217" s="45"/>
      <c r="AG217" s="45"/>
      <c r="AH217" s="45"/>
      <c r="AI217" s="45"/>
      <c r="AJ217" s="45"/>
      <c r="AK217" s="45"/>
      <c r="AL217" s="45"/>
      <c r="AM217" s="45"/>
      <c r="AN217" s="45"/>
      <c r="AO217" s="42" t="s">
        <v>7553</v>
      </c>
      <c r="AP217" s="42" t="s">
        <v>7554</v>
      </c>
      <c r="AQ217" s="42" t="s">
        <v>4614</v>
      </c>
      <c r="AR217" s="42" t="s">
        <v>7555</v>
      </c>
      <c r="AS217" s="43" t="str">
        <f>+972 (0)4 627 6771</f>
        <v>#ERROR!</v>
      </c>
      <c r="AT217" s="42" t="s">
        <v>3622</v>
      </c>
      <c r="AU217" s="42" t="s">
        <v>7556</v>
      </c>
      <c r="AV217" s="42" t="s">
        <v>7557</v>
      </c>
      <c r="AW217" s="42" t="s">
        <v>3625</v>
      </c>
      <c r="AX217" s="43"/>
      <c r="AY217" s="41">
        <v>3079560.0</v>
      </c>
      <c r="AZ217" s="42" t="s">
        <v>41</v>
      </c>
      <c r="BA217" s="45" t="str">
        <f>+972 (0)4 627 6771</f>
        <v>#ERROR!</v>
      </c>
      <c r="BB217" s="45" t="str">
        <f>+972 (0)4 627 6773</f>
        <v>#ERROR!</v>
      </c>
      <c r="BC217" s="42" t="s">
        <v>7558</v>
      </c>
      <c r="BD217" s="42" t="s">
        <v>3584</v>
      </c>
      <c r="BE217" s="42" t="s">
        <v>3584</v>
      </c>
      <c r="BF217" s="43"/>
      <c r="BG217" s="43"/>
      <c r="BH217" s="45"/>
      <c r="BI217" s="43"/>
      <c r="BJ217" s="43"/>
      <c r="BK217" s="43"/>
      <c r="BL217" s="43"/>
      <c r="BM217" s="43"/>
      <c r="BN217" s="43"/>
      <c r="BO217" s="43"/>
      <c r="BP217" s="43"/>
      <c r="BQ217" s="45"/>
      <c r="BR217" s="45"/>
      <c r="BS217" s="43"/>
      <c r="BT217" s="45"/>
      <c r="BU217" s="43"/>
      <c r="BV217" s="43"/>
      <c r="BW217" s="43"/>
      <c r="BX217" s="43"/>
      <c r="BY217" s="43"/>
      <c r="BZ217" s="43"/>
      <c r="CA217" s="43"/>
      <c r="CB217" s="45"/>
      <c r="CC217" s="45"/>
      <c r="CD217" s="43"/>
      <c r="CE217" s="45"/>
      <c r="CF217" s="43"/>
      <c r="CG217" s="43"/>
      <c r="CH217" s="43"/>
      <c r="CI217" s="43"/>
      <c r="CJ217" s="43"/>
      <c r="CK217" s="45"/>
      <c r="CL217" s="45"/>
      <c r="CM217" s="43"/>
      <c r="CN217" s="43"/>
      <c r="CO217" s="47">
        <v>0.0</v>
      </c>
      <c r="CP217" s="41">
        <v>14.0</v>
      </c>
      <c r="CQ217" s="47">
        <v>0.0</v>
      </c>
      <c r="CR217" s="47">
        <v>0.0</v>
      </c>
      <c r="CS217" s="47">
        <v>0.0</v>
      </c>
      <c r="CT217" s="41">
        <v>12.0</v>
      </c>
      <c r="CU217" s="45"/>
      <c r="CV217" s="45"/>
      <c r="CW217" s="47">
        <v>0.0</v>
      </c>
      <c r="CX217" s="41">
        <v>12.0</v>
      </c>
      <c r="CY217" s="41" t="s">
        <v>4643</v>
      </c>
      <c r="CZ217" s="41">
        <v>56.0</v>
      </c>
      <c r="DA217" s="41" t="s">
        <v>3598</v>
      </c>
      <c r="DB217" s="47">
        <v>0.0</v>
      </c>
      <c r="DC217" s="41" t="s">
        <v>4643</v>
      </c>
      <c r="DD217" s="41">
        <v>58.0</v>
      </c>
      <c r="DE217" s="45"/>
      <c r="DF217" s="45"/>
      <c r="DG217" s="41" t="s">
        <v>4643</v>
      </c>
      <c r="DH217" s="41">
        <v>56.0</v>
      </c>
      <c r="DI217" s="45"/>
      <c r="DJ217" s="45"/>
      <c r="DK217" s="45"/>
      <c r="DL217" s="41">
        <v>27.0</v>
      </c>
      <c r="DM217" s="41">
        <v>1.0</v>
      </c>
      <c r="DN217" s="47">
        <v>0.0385</v>
      </c>
      <c r="DO217" s="41" t="s">
        <v>3600</v>
      </c>
      <c r="DP217" s="46" t="s">
        <v>7559</v>
      </c>
      <c r="DQ217" s="41">
        <v>6.0</v>
      </c>
      <c r="DR217" s="41">
        <v>1.0</v>
      </c>
      <c r="DS217" s="41">
        <v>2.0</v>
      </c>
      <c r="DT217" s="45"/>
      <c r="DU217" s="45"/>
      <c r="DV217" s="41">
        <v>4.0</v>
      </c>
      <c r="DW217" s="42" t="s">
        <v>7560</v>
      </c>
      <c r="DX217" s="45"/>
      <c r="DY217" s="43"/>
      <c r="DZ217" s="45"/>
      <c r="EA217" s="45"/>
      <c r="EB217" s="43"/>
      <c r="EC217" s="45"/>
      <c r="ED217" s="45"/>
      <c r="EE217" s="45"/>
      <c r="EF217" s="45"/>
      <c r="EG217" s="43"/>
      <c r="EH217" s="45"/>
      <c r="EI217" s="45"/>
      <c r="EJ217" s="45"/>
      <c r="EK217" s="43"/>
      <c r="EL217" s="45"/>
      <c r="EM217" s="45"/>
      <c r="EN217" s="45"/>
      <c r="EO217" s="45"/>
      <c r="EP217" s="48" t="s">
        <v>3559</v>
      </c>
    </row>
    <row r="218">
      <c r="A218" s="37"/>
      <c r="B218" s="35" t="s">
        <v>7561</v>
      </c>
      <c r="C218" s="34"/>
      <c r="D218" s="34"/>
      <c r="E218" s="35" t="s">
        <v>7562</v>
      </c>
      <c r="F218" s="34"/>
      <c r="G218" s="35" t="s">
        <v>7563</v>
      </c>
      <c r="H218" s="35" t="s">
        <v>4560</v>
      </c>
      <c r="I218" s="35" t="s">
        <v>4561</v>
      </c>
      <c r="J218" s="35" t="s">
        <v>5604</v>
      </c>
      <c r="K218" s="35" t="s">
        <v>7564</v>
      </c>
      <c r="L218" s="35" t="s">
        <v>7565</v>
      </c>
      <c r="M218" s="35" t="s">
        <v>7566</v>
      </c>
      <c r="N218" s="35" t="s">
        <v>4923</v>
      </c>
      <c r="O218" s="35" t="s">
        <v>7567</v>
      </c>
      <c r="P218" s="35"/>
      <c r="R218" s="35" t="s">
        <v>3571</v>
      </c>
      <c r="S218" s="35" t="s">
        <v>4925</v>
      </c>
      <c r="T218" s="35" t="s">
        <v>4926</v>
      </c>
      <c r="U218" s="36" t="s">
        <v>7568</v>
      </c>
      <c r="V218" s="36" t="s">
        <v>7569</v>
      </c>
      <c r="W218" s="37"/>
      <c r="X218" s="34"/>
      <c r="Y218" s="34"/>
      <c r="Z218" s="34"/>
      <c r="AA218" s="37"/>
      <c r="AB218" s="34"/>
      <c r="AC218" s="34"/>
      <c r="AD218" s="34"/>
      <c r="AE218" s="37"/>
      <c r="AF218" s="37"/>
      <c r="AG218" s="37"/>
      <c r="AH218" s="37"/>
      <c r="AI218" s="37"/>
      <c r="AJ218" s="37"/>
      <c r="AK218" s="37"/>
      <c r="AL218" s="37"/>
      <c r="AM218" s="37"/>
      <c r="AN218" s="37"/>
      <c r="AO218" s="35" t="s">
        <v>7570</v>
      </c>
      <c r="AP218" s="35" t="s">
        <v>7571</v>
      </c>
      <c r="AQ218" s="35" t="s">
        <v>4093</v>
      </c>
      <c r="AR218" s="34"/>
      <c r="AS218" s="34" t="str">
        <f>+972 (0)3 633 7070</f>
        <v>#ERROR!</v>
      </c>
      <c r="AT218" s="35" t="s">
        <v>5344</v>
      </c>
      <c r="AU218" s="35" t="s">
        <v>7572</v>
      </c>
      <c r="AV218" s="34"/>
      <c r="AW218" s="35" t="s">
        <v>2444</v>
      </c>
      <c r="AX218" s="34"/>
      <c r="AY218" s="37"/>
      <c r="AZ218" s="35" t="s">
        <v>41</v>
      </c>
      <c r="BA218" s="37" t="str">
        <f>+972 (0)3 633 7070</f>
        <v>#ERROR!</v>
      </c>
      <c r="BB218" s="37" t="str">
        <f>+972 (0)36 337 0780</f>
        <v>#ERROR!</v>
      </c>
      <c r="BC218" s="35" t="s">
        <v>7573</v>
      </c>
      <c r="BD218" s="35" t="s">
        <v>3584</v>
      </c>
      <c r="BE218" s="35" t="s">
        <v>3584</v>
      </c>
      <c r="BF218" s="34"/>
      <c r="BG218" s="34"/>
      <c r="BH218" s="37"/>
      <c r="BI218" s="34"/>
      <c r="BJ218" s="34"/>
      <c r="BK218" s="34"/>
      <c r="BL218" s="34"/>
      <c r="BM218" s="34"/>
      <c r="BN218" s="34"/>
      <c r="BO218" s="34"/>
      <c r="BP218" s="34"/>
      <c r="BQ218" s="37"/>
      <c r="BR218" s="37"/>
      <c r="BS218" s="34"/>
      <c r="BT218" s="37"/>
      <c r="BU218" s="34"/>
      <c r="BV218" s="34"/>
      <c r="BW218" s="34"/>
      <c r="BX218" s="34"/>
      <c r="BY218" s="34"/>
      <c r="BZ218" s="34"/>
      <c r="CA218" s="34"/>
      <c r="CB218" s="37"/>
      <c r="CC218" s="37"/>
      <c r="CD218" s="34"/>
      <c r="CE218" s="37"/>
      <c r="CF218" s="34"/>
      <c r="CG218" s="34"/>
      <c r="CH218" s="34"/>
      <c r="CI218" s="34"/>
      <c r="CJ218" s="34"/>
      <c r="CK218" s="37"/>
      <c r="CL218" s="37"/>
      <c r="CM218" s="34"/>
      <c r="CN218" s="34"/>
      <c r="CO218" s="39">
        <v>0.0</v>
      </c>
      <c r="CP218" s="32">
        <v>14.0</v>
      </c>
      <c r="CQ218" s="39">
        <v>0.0</v>
      </c>
      <c r="CR218" s="39">
        <v>0.0</v>
      </c>
      <c r="CS218" s="39">
        <v>0.0</v>
      </c>
      <c r="CT218" s="32">
        <v>12.0</v>
      </c>
      <c r="CU218" s="37"/>
      <c r="CV218" s="37"/>
      <c r="CW218" s="39">
        <v>0.0</v>
      </c>
      <c r="CX218" s="32">
        <v>12.0</v>
      </c>
      <c r="CY218" s="32" t="s">
        <v>6632</v>
      </c>
      <c r="CZ218" s="32">
        <v>44.0</v>
      </c>
      <c r="DA218" s="32" t="s">
        <v>3598</v>
      </c>
      <c r="DB218" s="39">
        <v>0.0</v>
      </c>
      <c r="DC218" s="32" t="s">
        <v>6632</v>
      </c>
      <c r="DD218" s="32">
        <v>47.0</v>
      </c>
      <c r="DE218" s="37"/>
      <c r="DF218" s="37"/>
      <c r="DG218" s="32" t="s">
        <v>6632</v>
      </c>
      <c r="DH218" s="32">
        <v>44.0</v>
      </c>
      <c r="DI218" s="32">
        <v>0.0</v>
      </c>
      <c r="DJ218" s="32">
        <v>0.0</v>
      </c>
      <c r="DK218" s="39">
        <v>0.0</v>
      </c>
      <c r="DL218" s="32">
        <v>20.0</v>
      </c>
      <c r="DM218" s="32">
        <v>1.0</v>
      </c>
      <c r="DN218" s="39">
        <v>0.0526</v>
      </c>
      <c r="DO218" s="32" t="s">
        <v>3600</v>
      </c>
      <c r="DP218" s="38" t="s">
        <v>7574</v>
      </c>
      <c r="DQ218" s="37"/>
      <c r="DR218" s="37"/>
      <c r="DS218" s="37"/>
      <c r="DT218" s="37"/>
      <c r="DU218" s="37"/>
      <c r="DV218" s="37"/>
      <c r="DW218" s="34"/>
      <c r="DX218" s="37"/>
      <c r="DY218" s="34"/>
      <c r="DZ218" s="37"/>
      <c r="EA218" s="37"/>
      <c r="EB218" s="34"/>
      <c r="EC218" s="37"/>
      <c r="ED218" s="37"/>
      <c r="EE218" s="37"/>
      <c r="EF218" s="37"/>
      <c r="EG218" s="34"/>
      <c r="EH218" s="37"/>
      <c r="EI218" s="37"/>
      <c r="EJ218" s="37"/>
      <c r="EK218" s="34"/>
      <c r="EL218" s="37"/>
      <c r="EM218" s="37"/>
      <c r="EN218" s="37"/>
      <c r="EO218" s="37"/>
      <c r="EP218" s="40" t="s">
        <v>3559</v>
      </c>
    </row>
    <row r="219">
      <c r="A219" s="45"/>
      <c r="B219" s="42" t="s">
        <v>7575</v>
      </c>
      <c r="C219" s="43"/>
      <c r="D219" s="43"/>
      <c r="E219" s="43"/>
      <c r="F219" s="43"/>
      <c r="G219" s="42" t="s">
        <v>7576</v>
      </c>
      <c r="H219" s="42" t="s">
        <v>3563</v>
      </c>
      <c r="I219" s="42" t="s">
        <v>3564</v>
      </c>
      <c r="J219" s="42" t="s">
        <v>3565</v>
      </c>
      <c r="K219" s="42" t="s">
        <v>7577</v>
      </c>
      <c r="L219" s="42" t="s">
        <v>4000</v>
      </c>
      <c r="M219" s="42" t="s">
        <v>7578</v>
      </c>
      <c r="N219" s="42" t="s">
        <v>3569</v>
      </c>
      <c r="O219" s="42" t="s">
        <v>7579</v>
      </c>
      <c r="P219" s="42"/>
      <c r="R219" s="42" t="s">
        <v>6041</v>
      </c>
      <c r="S219" s="42" t="s">
        <v>3572</v>
      </c>
      <c r="T219" s="42" t="s">
        <v>3573</v>
      </c>
      <c r="U219" s="44" t="s">
        <v>7580</v>
      </c>
      <c r="V219" s="44" t="s">
        <v>7581</v>
      </c>
      <c r="W219" s="41">
        <v>9.0</v>
      </c>
      <c r="X219" s="42" t="s">
        <v>7582</v>
      </c>
      <c r="Y219" s="43"/>
      <c r="Z219" s="43"/>
      <c r="AA219" s="41">
        <v>2021.0</v>
      </c>
      <c r="AB219" s="43"/>
      <c r="AC219" s="43"/>
      <c r="AD219" s="43"/>
      <c r="AE219" s="45"/>
      <c r="AF219" s="45"/>
      <c r="AG219" s="45"/>
      <c r="AH219" s="45"/>
      <c r="AI219" s="45"/>
      <c r="AJ219" s="45"/>
      <c r="AK219" s="45"/>
      <c r="AL219" s="45"/>
      <c r="AM219" s="45"/>
      <c r="AN219" s="45"/>
      <c r="AO219" s="42" t="s">
        <v>7583</v>
      </c>
      <c r="AP219" s="42" t="s">
        <v>7584</v>
      </c>
      <c r="AQ219" s="42" t="s">
        <v>3579</v>
      </c>
      <c r="AR219" s="42" t="s">
        <v>7585</v>
      </c>
      <c r="AS219" s="43" t="str">
        <f>+972 (0)52 945 4423</f>
        <v>#ERROR!</v>
      </c>
      <c r="AT219" s="42" t="s">
        <v>4448</v>
      </c>
      <c r="AU219" s="42" t="s">
        <v>7586</v>
      </c>
      <c r="AV219" s="43"/>
      <c r="AW219" s="42" t="s">
        <v>485</v>
      </c>
      <c r="AX219" s="43"/>
      <c r="AY219" s="45"/>
      <c r="AZ219" s="42" t="s">
        <v>41</v>
      </c>
      <c r="BA219" s="45"/>
      <c r="BB219" s="45"/>
      <c r="BC219" s="42" t="s">
        <v>7587</v>
      </c>
      <c r="BD219" s="42" t="s">
        <v>3584</v>
      </c>
      <c r="BE219" s="42" t="s">
        <v>3584</v>
      </c>
      <c r="BF219" s="42" t="s">
        <v>7588</v>
      </c>
      <c r="BG219" s="42" t="s">
        <v>7589</v>
      </c>
      <c r="BH219" s="41">
        <v>7.0</v>
      </c>
      <c r="BI219" s="43"/>
      <c r="BJ219" s="43"/>
      <c r="BK219" s="43"/>
      <c r="BL219" s="42" t="s">
        <v>7590</v>
      </c>
      <c r="BM219" s="43"/>
      <c r="BN219" s="43"/>
      <c r="BO219" s="43"/>
      <c r="BP219" s="42" t="s">
        <v>7591</v>
      </c>
      <c r="BQ219" s="46" t="s">
        <v>6568</v>
      </c>
      <c r="BR219" s="45"/>
      <c r="BS219" s="43"/>
      <c r="BT219" s="45"/>
      <c r="BU219" s="43"/>
      <c r="BV219" s="42" t="s">
        <v>3589</v>
      </c>
      <c r="BW219" s="43"/>
      <c r="BX219" s="43"/>
      <c r="BY219" s="42" t="s">
        <v>3590</v>
      </c>
      <c r="BZ219" s="43"/>
      <c r="CA219" s="42" t="s">
        <v>3591</v>
      </c>
      <c r="CB219" s="46" t="s">
        <v>7592</v>
      </c>
      <c r="CC219" s="45"/>
      <c r="CD219" s="43"/>
      <c r="CE219" s="45"/>
      <c r="CF219" s="43"/>
      <c r="CG219" s="42" t="s">
        <v>3669</v>
      </c>
      <c r="CH219" s="42" t="s">
        <v>7593</v>
      </c>
      <c r="CI219" s="43"/>
      <c r="CJ219" s="42" t="s">
        <v>3573</v>
      </c>
      <c r="CK219" s="45"/>
      <c r="CL219" s="45"/>
      <c r="CM219" s="43"/>
      <c r="CN219" s="42" t="s">
        <v>3591</v>
      </c>
      <c r="CO219" s="47">
        <v>0.0</v>
      </c>
      <c r="CP219" s="41">
        <v>14.0</v>
      </c>
      <c r="CQ219" s="47">
        <v>0.0</v>
      </c>
      <c r="CR219" s="47">
        <v>0.0</v>
      </c>
      <c r="CS219" s="47">
        <v>0.0</v>
      </c>
      <c r="CT219" s="41">
        <v>12.0</v>
      </c>
      <c r="CU219" s="45"/>
      <c r="CV219" s="45"/>
      <c r="CW219" s="47">
        <v>0.0</v>
      </c>
      <c r="CX219" s="41">
        <v>12.0</v>
      </c>
      <c r="CY219" s="41" t="s">
        <v>6560</v>
      </c>
      <c r="CZ219" s="41">
        <v>62.0</v>
      </c>
      <c r="DA219" s="41" t="s">
        <v>3598</v>
      </c>
      <c r="DB219" s="47">
        <v>0.0</v>
      </c>
      <c r="DC219" s="41" t="s">
        <v>6560</v>
      </c>
      <c r="DD219" s="41">
        <v>64.0</v>
      </c>
      <c r="DE219" s="45"/>
      <c r="DF219" s="45"/>
      <c r="DG219" s="41" t="s">
        <v>6560</v>
      </c>
      <c r="DH219" s="41">
        <v>63.0</v>
      </c>
      <c r="DI219" s="45"/>
      <c r="DJ219" s="45"/>
      <c r="DK219" s="45"/>
      <c r="DL219" s="41">
        <v>34.0</v>
      </c>
      <c r="DM219" s="41">
        <v>1.0</v>
      </c>
      <c r="DN219" s="47">
        <v>0.0303</v>
      </c>
      <c r="DO219" s="41" t="s">
        <v>3600</v>
      </c>
      <c r="DP219" s="46" t="s">
        <v>6968</v>
      </c>
      <c r="DQ219" s="45"/>
      <c r="DR219" s="45"/>
      <c r="DS219" s="45"/>
      <c r="DT219" s="45"/>
      <c r="DU219" s="45"/>
      <c r="DV219" s="45"/>
      <c r="DW219" s="43"/>
      <c r="DX219" s="45"/>
      <c r="DY219" s="43"/>
      <c r="DZ219" s="45"/>
      <c r="EA219" s="45"/>
      <c r="EB219" s="43"/>
      <c r="EC219" s="45"/>
      <c r="ED219" s="45"/>
      <c r="EE219" s="45"/>
      <c r="EF219" s="45"/>
      <c r="EG219" s="43"/>
      <c r="EH219" s="45"/>
      <c r="EI219" s="45"/>
      <c r="EJ219" s="45"/>
      <c r="EK219" s="43"/>
      <c r="EL219" s="45"/>
      <c r="EM219" s="45"/>
      <c r="EN219" s="45"/>
      <c r="EO219" s="45"/>
      <c r="EP219" s="48" t="s">
        <v>3559</v>
      </c>
    </row>
    <row r="220">
      <c r="A220" s="37"/>
      <c r="B220" s="35" t="s">
        <v>7594</v>
      </c>
      <c r="C220" s="34"/>
      <c r="D220" s="35" t="s">
        <v>7595</v>
      </c>
      <c r="E220" s="35" t="s">
        <v>7596</v>
      </c>
      <c r="F220" s="34"/>
      <c r="G220" s="35" t="s">
        <v>7597</v>
      </c>
      <c r="H220" s="35" t="s">
        <v>4560</v>
      </c>
      <c r="I220" s="35" t="s">
        <v>5163</v>
      </c>
      <c r="J220" s="35" t="s">
        <v>5164</v>
      </c>
      <c r="K220" s="35" t="s">
        <v>5165</v>
      </c>
      <c r="L220" s="35" t="s">
        <v>5736</v>
      </c>
      <c r="M220" s="35" t="s">
        <v>7598</v>
      </c>
      <c r="N220" s="35" t="s">
        <v>4962</v>
      </c>
      <c r="O220" s="35" t="s">
        <v>7599</v>
      </c>
      <c r="P220" s="35"/>
      <c r="R220" s="35" t="s">
        <v>5750</v>
      </c>
      <c r="S220" s="35" t="s">
        <v>4964</v>
      </c>
      <c r="T220" s="35" t="s">
        <v>3603</v>
      </c>
      <c r="U220" s="36" t="s">
        <v>7600</v>
      </c>
      <c r="V220" s="36" t="s">
        <v>7601</v>
      </c>
      <c r="W220" s="49">
        <v>2500.0</v>
      </c>
      <c r="X220" s="35" t="s">
        <v>7602</v>
      </c>
      <c r="Y220" s="34"/>
      <c r="Z220" s="34"/>
      <c r="AA220" s="32">
        <v>1967.0</v>
      </c>
      <c r="AB220" s="35" t="s">
        <v>7603</v>
      </c>
      <c r="AC220" s="34"/>
      <c r="AD220" s="34"/>
      <c r="AE220" s="32">
        <v>3.94</v>
      </c>
      <c r="AF220" s="37"/>
      <c r="AG220" s="37"/>
      <c r="AH220" s="37"/>
      <c r="AI220" s="37"/>
      <c r="AJ220" s="37"/>
      <c r="AK220" s="37"/>
      <c r="AL220" s="37"/>
      <c r="AM220" s="37"/>
      <c r="AN220" s="32" t="s">
        <v>6293</v>
      </c>
      <c r="AO220" s="35" t="s">
        <v>7604</v>
      </c>
      <c r="AP220" s="35" t="s">
        <v>7605</v>
      </c>
      <c r="AQ220" s="35" t="s">
        <v>3982</v>
      </c>
      <c r="AR220" s="35" t="s">
        <v>7606</v>
      </c>
      <c r="AS220" s="34" t="str">
        <f>+972 (0)3 568 9999</f>
        <v>#ERROR!</v>
      </c>
      <c r="AT220" s="35" t="s">
        <v>3581</v>
      </c>
      <c r="AU220" s="35" t="s">
        <v>7607</v>
      </c>
      <c r="AV220" s="34"/>
      <c r="AW220" s="35" t="s">
        <v>75</v>
      </c>
      <c r="AX220" s="34"/>
      <c r="AY220" s="37"/>
      <c r="AZ220" s="35" t="s">
        <v>41</v>
      </c>
      <c r="BA220" s="37" t="str">
        <f>+972 (0)3 568 9999</f>
        <v>#ERROR!</v>
      </c>
      <c r="BB220" s="37"/>
      <c r="BC220" s="34"/>
      <c r="BD220" s="35" t="s">
        <v>3584</v>
      </c>
      <c r="BE220" s="35" t="s">
        <v>3584</v>
      </c>
      <c r="BF220" s="35" t="s">
        <v>7608</v>
      </c>
      <c r="BG220" s="35" t="s">
        <v>7609</v>
      </c>
      <c r="BH220" s="32">
        <v>1.0</v>
      </c>
      <c r="BI220" s="35" t="s">
        <v>7603</v>
      </c>
      <c r="BJ220" s="34"/>
      <c r="BK220" s="34"/>
      <c r="BL220" s="35" t="s">
        <v>7610</v>
      </c>
      <c r="BM220" s="34"/>
      <c r="BN220" s="34"/>
      <c r="BO220" s="34"/>
      <c r="BP220" s="34"/>
      <c r="BQ220" s="38" t="s">
        <v>7611</v>
      </c>
      <c r="BR220" s="37"/>
      <c r="BS220" s="34"/>
      <c r="BT220" s="37"/>
      <c r="BU220" s="34"/>
      <c r="BV220" s="35" t="s">
        <v>4977</v>
      </c>
      <c r="BW220" s="34"/>
      <c r="BX220" s="34"/>
      <c r="BY220" s="35" t="s">
        <v>3663</v>
      </c>
      <c r="BZ220" s="34"/>
      <c r="CA220" s="35" t="s">
        <v>3591</v>
      </c>
      <c r="CB220" s="38" t="s">
        <v>3751</v>
      </c>
      <c r="CC220" s="32">
        <v>165.76</v>
      </c>
      <c r="CD220" s="35" t="s">
        <v>3593</v>
      </c>
      <c r="CE220" s="50">
        <v>1184.0</v>
      </c>
      <c r="CF220" s="35" t="s">
        <v>3697</v>
      </c>
      <c r="CG220" s="35" t="s">
        <v>3830</v>
      </c>
      <c r="CH220" s="34"/>
      <c r="CI220" s="34"/>
      <c r="CJ220" s="35" t="s">
        <v>3663</v>
      </c>
      <c r="CK220" s="37"/>
      <c r="CL220" s="37"/>
      <c r="CM220" s="34"/>
      <c r="CN220" s="35" t="s">
        <v>3591</v>
      </c>
      <c r="CO220" s="39">
        <v>9.0E-4</v>
      </c>
      <c r="CP220" s="32">
        <v>86.0</v>
      </c>
      <c r="CQ220" s="39">
        <v>0.0</v>
      </c>
      <c r="CR220" s="39">
        <v>0.0</v>
      </c>
      <c r="CS220" s="39">
        <v>9.0E-4</v>
      </c>
      <c r="CT220" s="32">
        <v>88.0</v>
      </c>
      <c r="CU220" s="39">
        <v>0.0</v>
      </c>
      <c r="CV220" s="32">
        <v>10.0</v>
      </c>
      <c r="CW220" s="39">
        <v>0.0018</v>
      </c>
      <c r="CX220" s="32">
        <v>89.0</v>
      </c>
      <c r="CY220" s="32" t="s">
        <v>7612</v>
      </c>
      <c r="CZ220" s="32">
        <v>92.0</v>
      </c>
      <c r="DA220" s="32" t="s">
        <v>3598</v>
      </c>
      <c r="DB220" s="39">
        <v>0.0</v>
      </c>
      <c r="DC220" s="32" t="s">
        <v>7612</v>
      </c>
      <c r="DD220" s="32">
        <v>92.0</v>
      </c>
      <c r="DE220" s="32" t="s">
        <v>7613</v>
      </c>
      <c r="DF220" s="32">
        <v>81.0</v>
      </c>
      <c r="DG220" s="32" t="s">
        <v>7614</v>
      </c>
      <c r="DH220" s="32">
        <v>94.0</v>
      </c>
      <c r="DI220" s="32">
        <v>684.0</v>
      </c>
      <c r="DJ220" s="32">
        <v>2.0</v>
      </c>
      <c r="DK220" s="39">
        <v>0.0029</v>
      </c>
      <c r="DL220" s="32">
        <v>350.0</v>
      </c>
      <c r="DM220" s="32">
        <v>1.0</v>
      </c>
      <c r="DN220" s="39">
        <v>0.0029</v>
      </c>
      <c r="DO220" s="32" t="s">
        <v>3600</v>
      </c>
      <c r="DP220" s="38" t="s">
        <v>7615</v>
      </c>
      <c r="DQ220" s="37"/>
      <c r="DR220" s="37"/>
      <c r="DS220" s="37"/>
      <c r="DT220" s="37"/>
      <c r="DU220" s="37"/>
      <c r="DV220" s="37"/>
      <c r="DW220" s="34"/>
      <c r="DX220" s="37"/>
      <c r="DY220" s="34"/>
      <c r="DZ220" s="37"/>
      <c r="EA220" s="37"/>
      <c r="EB220" s="34"/>
      <c r="EC220" s="37"/>
      <c r="ED220" s="37"/>
      <c r="EE220" s="50">
        <v>1184.0</v>
      </c>
      <c r="EF220" s="38" t="s">
        <v>3751</v>
      </c>
      <c r="EG220" s="35" t="s">
        <v>3830</v>
      </c>
      <c r="EH220" s="37"/>
      <c r="EI220" s="37"/>
      <c r="EJ220" s="37"/>
      <c r="EK220" s="34"/>
      <c r="EL220" s="37"/>
      <c r="EM220" s="37"/>
      <c r="EN220" s="37"/>
      <c r="EO220" s="37"/>
      <c r="EP220" s="40" t="s">
        <v>3559</v>
      </c>
    </row>
    <row r="221">
      <c r="A221" s="41">
        <v>17.0</v>
      </c>
      <c r="B221" s="42" t="s">
        <v>7616</v>
      </c>
      <c r="C221" s="42" t="s">
        <v>7617</v>
      </c>
      <c r="D221" s="43"/>
      <c r="E221" s="42" t="s">
        <v>7618</v>
      </c>
      <c r="F221" s="43"/>
      <c r="G221" s="42" t="s">
        <v>7619</v>
      </c>
      <c r="H221" s="42" t="s">
        <v>3563</v>
      </c>
      <c r="I221" s="42" t="s">
        <v>3609</v>
      </c>
      <c r="J221" s="42" t="s">
        <v>3610</v>
      </c>
      <c r="K221" s="42" t="s">
        <v>7620</v>
      </c>
      <c r="L221" s="42" t="s">
        <v>7621</v>
      </c>
      <c r="M221" s="42" t="s">
        <v>7622</v>
      </c>
      <c r="N221" s="42" t="s">
        <v>5018</v>
      </c>
      <c r="O221" s="42" t="s">
        <v>7623</v>
      </c>
      <c r="P221" s="42"/>
      <c r="R221" s="42" t="s">
        <v>5222</v>
      </c>
      <c r="S221" s="42" t="s">
        <v>5222</v>
      </c>
      <c r="T221" s="42" t="s">
        <v>3573</v>
      </c>
      <c r="U221" s="44" t="s">
        <v>7624</v>
      </c>
      <c r="V221" s="43"/>
      <c r="W221" s="41">
        <v>34.0</v>
      </c>
      <c r="X221" s="42" t="s">
        <v>7625</v>
      </c>
      <c r="Y221" s="43"/>
      <c r="Z221" s="43"/>
      <c r="AA221" s="41">
        <v>2017.0</v>
      </c>
      <c r="AB221" s="43"/>
      <c r="AC221" s="43"/>
      <c r="AD221" s="43"/>
      <c r="AE221" s="45"/>
      <c r="AF221" s="45"/>
      <c r="AG221" s="45"/>
      <c r="AH221" s="45"/>
      <c r="AI221" s="45"/>
      <c r="AJ221" s="45"/>
      <c r="AK221" s="45"/>
      <c r="AL221" s="45"/>
      <c r="AM221" s="45"/>
      <c r="AN221" s="45"/>
      <c r="AO221" s="43"/>
      <c r="AP221" s="43"/>
      <c r="AQ221" s="43"/>
      <c r="AR221" s="43"/>
      <c r="AS221" s="43"/>
      <c r="AT221" s="42" t="s">
        <v>3581</v>
      </c>
      <c r="AU221" s="42" t="s">
        <v>3582</v>
      </c>
      <c r="AV221" s="43"/>
      <c r="AW221" s="42" t="s">
        <v>75</v>
      </c>
      <c r="AX221" s="43"/>
      <c r="AY221" s="41">
        <v>6789139.0</v>
      </c>
      <c r="AZ221" s="42" t="s">
        <v>41</v>
      </c>
      <c r="BA221" s="45"/>
      <c r="BB221" s="45"/>
      <c r="BC221" s="43"/>
      <c r="BD221" s="42" t="s">
        <v>3584</v>
      </c>
      <c r="BE221" s="42" t="s">
        <v>3584</v>
      </c>
      <c r="BF221" s="42" t="s">
        <v>7626</v>
      </c>
      <c r="BG221" s="43"/>
      <c r="BH221" s="45"/>
      <c r="BI221" s="43"/>
      <c r="BJ221" s="42" t="s">
        <v>7627</v>
      </c>
      <c r="BK221" s="43"/>
      <c r="BL221" s="43"/>
      <c r="BM221" s="42" t="s">
        <v>7628</v>
      </c>
      <c r="BN221" s="43"/>
      <c r="BO221" s="43"/>
      <c r="BP221" s="42" t="s">
        <v>6280</v>
      </c>
      <c r="BQ221" s="45"/>
      <c r="BR221" s="45"/>
      <c r="BS221" s="43"/>
      <c r="BT221" s="45"/>
      <c r="BU221" s="43"/>
      <c r="BV221" s="42" t="s">
        <v>3589</v>
      </c>
      <c r="BW221" s="43"/>
      <c r="BX221" s="43"/>
      <c r="BY221" s="42" t="s">
        <v>3590</v>
      </c>
      <c r="BZ221" s="43"/>
      <c r="CA221" s="42" t="s">
        <v>3591</v>
      </c>
      <c r="CB221" s="46" t="s">
        <v>7629</v>
      </c>
      <c r="CC221" s="45"/>
      <c r="CD221" s="43"/>
      <c r="CE221" s="45"/>
      <c r="CF221" s="43"/>
      <c r="CG221" s="42" t="s">
        <v>5222</v>
      </c>
      <c r="CH221" s="43"/>
      <c r="CI221" s="43"/>
      <c r="CJ221" s="42" t="s">
        <v>5222</v>
      </c>
      <c r="CK221" s="45"/>
      <c r="CL221" s="45"/>
      <c r="CM221" s="43"/>
      <c r="CN221" s="42" t="s">
        <v>3591</v>
      </c>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5"/>
      <c r="DN221" s="45"/>
      <c r="DO221" s="41" t="s">
        <v>3600</v>
      </c>
      <c r="DP221" s="46" t="s">
        <v>7630</v>
      </c>
      <c r="DQ221" s="41">
        <v>10.0</v>
      </c>
      <c r="DR221" s="41">
        <v>3.0</v>
      </c>
      <c r="DS221" s="41">
        <v>2.0</v>
      </c>
      <c r="DT221" s="45"/>
      <c r="DU221" s="45"/>
      <c r="DV221" s="41">
        <v>8.0</v>
      </c>
      <c r="DW221" s="42" t="s">
        <v>7631</v>
      </c>
      <c r="DX221" s="45"/>
      <c r="DY221" s="43"/>
      <c r="DZ221" s="45"/>
      <c r="EA221" s="45"/>
      <c r="EB221" s="43"/>
      <c r="EC221" s="45"/>
      <c r="ED221" s="45"/>
      <c r="EE221" s="41">
        <v>27.6</v>
      </c>
      <c r="EF221" s="46" t="s">
        <v>7632</v>
      </c>
      <c r="EG221" s="42" t="s">
        <v>3698</v>
      </c>
      <c r="EH221" s="45"/>
      <c r="EI221" s="45"/>
      <c r="EJ221" s="45"/>
      <c r="EK221" s="43"/>
      <c r="EL221" s="45"/>
      <c r="EM221" s="45"/>
      <c r="EN221" s="45"/>
      <c r="EO221" s="45"/>
      <c r="EP221" s="48" t="s">
        <v>3559</v>
      </c>
    </row>
    <row r="222">
      <c r="A222" s="37"/>
      <c r="B222" s="35" t="s">
        <v>6713</v>
      </c>
      <c r="C222" s="34"/>
      <c r="D222" s="34"/>
      <c r="E222" s="34"/>
      <c r="F222" s="34"/>
      <c r="G222" s="34"/>
      <c r="H222" s="35" t="s">
        <v>4560</v>
      </c>
      <c r="I222" s="35" t="s">
        <v>4561</v>
      </c>
      <c r="J222" s="35" t="s">
        <v>66</v>
      </c>
      <c r="K222" s="35" t="s">
        <v>4562</v>
      </c>
      <c r="L222" s="34"/>
      <c r="M222" s="34"/>
      <c r="N222" s="35" t="s">
        <v>4923</v>
      </c>
      <c r="O222" s="35" t="s">
        <v>7633</v>
      </c>
      <c r="P222" s="35"/>
      <c r="R222" s="35" t="s">
        <v>3571</v>
      </c>
      <c r="S222" s="35" t="s">
        <v>4925</v>
      </c>
      <c r="T222" s="35" t="s">
        <v>4926</v>
      </c>
      <c r="U222" s="36" t="s">
        <v>7634</v>
      </c>
      <c r="V222" s="34"/>
      <c r="W222" s="32">
        <v>500.0</v>
      </c>
      <c r="X222" s="53">
        <v>84.38888888888889</v>
      </c>
      <c r="Y222" s="34"/>
      <c r="Z222" s="34"/>
      <c r="AA222" s="37"/>
      <c r="AB222" s="34"/>
      <c r="AC222" s="34"/>
      <c r="AD222" s="34"/>
      <c r="AE222" s="37"/>
      <c r="AF222" s="37"/>
      <c r="AG222" s="37"/>
      <c r="AH222" s="37"/>
      <c r="AI222" s="37"/>
      <c r="AJ222" s="37"/>
      <c r="AK222" s="37"/>
      <c r="AL222" s="37"/>
      <c r="AM222" s="37"/>
      <c r="AN222" s="37"/>
      <c r="AO222" s="34"/>
      <c r="AP222" s="34"/>
      <c r="AQ222" s="34"/>
      <c r="AR222" s="34"/>
      <c r="AS222" s="34"/>
      <c r="AT222" s="35" t="s">
        <v>3581</v>
      </c>
      <c r="AU222" s="34"/>
      <c r="AV222" s="34"/>
      <c r="AW222" s="35" t="s">
        <v>75</v>
      </c>
      <c r="AX222" s="34"/>
      <c r="AY222" s="37"/>
      <c r="AZ222" s="35" t="s">
        <v>41</v>
      </c>
      <c r="BA222" s="37"/>
      <c r="BB222" s="37"/>
      <c r="BC222" s="34"/>
      <c r="BD222" s="35" t="s">
        <v>3584</v>
      </c>
      <c r="BE222" s="35" t="s">
        <v>3584</v>
      </c>
      <c r="BF222" s="34"/>
      <c r="BG222" s="34"/>
      <c r="BH222" s="37"/>
      <c r="BI222" s="34"/>
      <c r="BJ222" s="34"/>
      <c r="BK222" s="34"/>
      <c r="BL222" s="34"/>
      <c r="BM222" s="34"/>
      <c r="BN222" s="34"/>
      <c r="BO222" s="34"/>
      <c r="BP222" s="34"/>
      <c r="BQ222" s="37"/>
      <c r="BR222" s="37"/>
      <c r="BS222" s="34"/>
      <c r="BT222" s="37"/>
      <c r="BU222" s="34"/>
      <c r="BV222" s="34"/>
      <c r="BW222" s="34"/>
      <c r="BX222" s="34"/>
      <c r="BY222" s="34"/>
      <c r="BZ222" s="34"/>
      <c r="CA222" s="34"/>
      <c r="CB222" s="37"/>
      <c r="CC222" s="37"/>
      <c r="CD222" s="34"/>
      <c r="CE222" s="37"/>
      <c r="CF222" s="34"/>
      <c r="CG222" s="34"/>
      <c r="CH222" s="34"/>
      <c r="CI222" s="34"/>
      <c r="CJ222" s="34"/>
      <c r="CK222" s="37"/>
      <c r="CL222" s="37"/>
      <c r="CM222" s="34"/>
      <c r="CN222" s="34"/>
      <c r="CO222" s="39">
        <v>0.0</v>
      </c>
      <c r="CP222" s="32">
        <v>14.0</v>
      </c>
      <c r="CQ222" s="39">
        <v>0.0</v>
      </c>
      <c r="CR222" s="39">
        <v>0.0</v>
      </c>
      <c r="CS222" s="39">
        <v>0.0</v>
      </c>
      <c r="CT222" s="32">
        <v>12.0</v>
      </c>
      <c r="CU222" s="37"/>
      <c r="CV222" s="37"/>
      <c r="CW222" s="39">
        <v>0.0</v>
      </c>
      <c r="CX222" s="32">
        <v>12.0</v>
      </c>
      <c r="CY222" s="32" t="s">
        <v>7635</v>
      </c>
      <c r="CZ222" s="32">
        <v>70.0</v>
      </c>
      <c r="DA222" s="32" t="s">
        <v>3598</v>
      </c>
      <c r="DB222" s="39">
        <v>0.0</v>
      </c>
      <c r="DC222" s="32" t="s">
        <v>7635</v>
      </c>
      <c r="DD222" s="32">
        <v>71.0</v>
      </c>
      <c r="DE222" s="37"/>
      <c r="DF222" s="37"/>
      <c r="DG222" s="32" t="s">
        <v>7635</v>
      </c>
      <c r="DH222" s="32">
        <v>70.0</v>
      </c>
      <c r="DI222" s="37"/>
      <c r="DJ222" s="37"/>
      <c r="DK222" s="37"/>
      <c r="DL222" s="32">
        <v>54.0</v>
      </c>
      <c r="DM222" s="32">
        <v>1.0</v>
      </c>
      <c r="DN222" s="39">
        <v>0.0189</v>
      </c>
      <c r="DO222" s="32" t="s">
        <v>3600</v>
      </c>
      <c r="DP222" s="38" t="s">
        <v>7636</v>
      </c>
      <c r="DQ222" s="37"/>
      <c r="DR222" s="37"/>
      <c r="DS222" s="37"/>
      <c r="DT222" s="37"/>
      <c r="DU222" s="37"/>
      <c r="DV222" s="37"/>
      <c r="DW222" s="34"/>
      <c r="DX222" s="37"/>
      <c r="DY222" s="34"/>
      <c r="DZ222" s="37"/>
      <c r="EA222" s="37"/>
      <c r="EB222" s="34"/>
      <c r="EC222" s="37"/>
      <c r="ED222" s="37"/>
      <c r="EE222" s="37"/>
      <c r="EF222" s="37"/>
      <c r="EG222" s="34"/>
      <c r="EH222" s="37"/>
      <c r="EI222" s="37"/>
      <c r="EJ222" s="37"/>
      <c r="EK222" s="34"/>
      <c r="EL222" s="37"/>
      <c r="EM222" s="37"/>
      <c r="EN222" s="37"/>
      <c r="EO222" s="37"/>
      <c r="EP222" s="40" t="s">
        <v>3559</v>
      </c>
    </row>
    <row r="223">
      <c r="A223" s="45"/>
      <c r="B223" s="42" t="s">
        <v>7637</v>
      </c>
      <c r="C223" s="43"/>
      <c r="D223" s="43"/>
      <c r="E223" s="43"/>
      <c r="F223" s="43"/>
      <c r="G223" s="42" t="s">
        <v>7638</v>
      </c>
      <c r="H223" s="42" t="s">
        <v>3563</v>
      </c>
      <c r="I223" s="42" t="s">
        <v>3564</v>
      </c>
      <c r="J223" s="42" t="s">
        <v>5583</v>
      </c>
      <c r="K223" s="42" t="s">
        <v>5584</v>
      </c>
      <c r="L223" s="43"/>
      <c r="M223" s="43"/>
      <c r="N223" s="42" t="s">
        <v>4923</v>
      </c>
      <c r="O223" s="42" t="s">
        <v>7639</v>
      </c>
      <c r="P223" s="42"/>
      <c r="R223" s="43"/>
      <c r="S223" s="42" t="s">
        <v>4925</v>
      </c>
      <c r="T223" s="42" t="s">
        <v>4926</v>
      </c>
      <c r="U223" s="44" t="s">
        <v>7640</v>
      </c>
      <c r="V223" s="44" t="s">
        <v>7641</v>
      </c>
      <c r="W223" s="45"/>
      <c r="X223" s="43"/>
      <c r="Y223" s="43"/>
      <c r="Z223" s="43"/>
      <c r="AA223" s="41">
        <v>2021.0</v>
      </c>
      <c r="AB223" s="43"/>
      <c r="AC223" s="43"/>
      <c r="AD223" s="43"/>
      <c r="AE223" s="45"/>
      <c r="AF223" s="45"/>
      <c r="AG223" s="45"/>
      <c r="AH223" s="45"/>
      <c r="AI223" s="45"/>
      <c r="AJ223" s="45"/>
      <c r="AK223" s="45"/>
      <c r="AL223" s="45"/>
      <c r="AM223" s="45"/>
      <c r="AN223" s="45"/>
      <c r="AO223" s="43"/>
      <c r="AP223" s="43"/>
      <c r="AQ223" s="43"/>
      <c r="AR223" s="43"/>
      <c r="AS223" s="43"/>
      <c r="AT223" s="42" t="s">
        <v>4448</v>
      </c>
      <c r="AU223" s="42" t="s">
        <v>485</v>
      </c>
      <c r="AV223" s="43"/>
      <c r="AW223" s="42" t="s">
        <v>485</v>
      </c>
      <c r="AX223" s="43"/>
      <c r="AY223" s="45"/>
      <c r="AZ223" s="42" t="s">
        <v>41</v>
      </c>
      <c r="BA223" s="45"/>
      <c r="BB223" s="45"/>
      <c r="BC223" s="43"/>
      <c r="BD223" s="42" t="s">
        <v>3584</v>
      </c>
      <c r="BE223" s="42" t="s">
        <v>3584</v>
      </c>
      <c r="BF223" s="43"/>
      <c r="BG223" s="43"/>
      <c r="BH223" s="45"/>
      <c r="BI223" s="43"/>
      <c r="BJ223" s="43"/>
      <c r="BK223" s="43"/>
      <c r="BL223" s="43"/>
      <c r="BM223" s="43"/>
      <c r="BN223" s="43"/>
      <c r="BO223" s="43"/>
      <c r="BP223" s="43"/>
      <c r="BQ223" s="45"/>
      <c r="BR223" s="45"/>
      <c r="BS223" s="43"/>
      <c r="BT223" s="45"/>
      <c r="BU223" s="43"/>
      <c r="BV223" s="43"/>
      <c r="BW223" s="43"/>
      <c r="BX223" s="43"/>
      <c r="BY223" s="43"/>
      <c r="BZ223" s="43"/>
      <c r="CA223" s="43"/>
      <c r="CB223" s="45"/>
      <c r="CC223" s="45"/>
      <c r="CD223" s="43"/>
      <c r="CE223" s="45"/>
      <c r="CF223" s="43"/>
      <c r="CG223" s="43"/>
      <c r="CH223" s="43"/>
      <c r="CI223" s="43"/>
      <c r="CJ223" s="43"/>
      <c r="CK223" s="45"/>
      <c r="CL223" s="45"/>
      <c r="CM223" s="43"/>
      <c r="CN223" s="43"/>
      <c r="CO223" s="47">
        <v>0.0</v>
      </c>
      <c r="CP223" s="41">
        <v>14.0</v>
      </c>
      <c r="CQ223" s="47">
        <v>0.0</v>
      </c>
      <c r="CR223" s="47">
        <v>0.0</v>
      </c>
      <c r="CS223" s="47">
        <v>0.0</v>
      </c>
      <c r="CT223" s="41">
        <v>12.0</v>
      </c>
      <c r="CU223" s="47">
        <v>0.0</v>
      </c>
      <c r="CV223" s="41">
        <v>10.0</v>
      </c>
      <c r="CW223" s="47">
        <v>0.0</v>
      </c>
      <c r="CX223" s="41">
        <v>12.0</v>
      </c>
      <c r="CY223" s="41" t="s">
        <v>7642</v>
      </c>
      <c r="CZ223" s="41">
        <v>7.0</v>
      </c>
      <c r="DA223" s="41" t="s">
        <v>3598</v>
      </c>
      <c r="DB223" s="47">
        <v>0.0</v>
      </c>
      <c r="DC223" s="41" t="s">
        <v>7642</v>
      </c>
      <c r="DD223" s="41">
        <v>8.0</v>
      </c>
      <c r="DE223" s="41" t="s">
        <v>3806</v>
      </c>
      <c r="DF223" s="41">
        <v>20.0</v>
      </c>
      <c r="DG223" s="41" t="s">
        <v>5616</v>
      </c>
      <c r="DH223" s="41">
        <v>17.0</v>
      </c>
      <c r="DI223" s="41">
        <v>0.0</v>
      </c>
      <c r="DJ223" s="41">
        <v>0.0</v>
      </c>
      <c r="DK223" s="47">
        <v>0.0</v>
      </c>
      <c r="DL223" s="41">
        <v>10.0</v>
      </c>
      <c r="DM223" s="41">
        <v>1.0</v>
      </c>
      <c r="DN223" s="47">
        <v>0.1111</v>
      </c>
      <c r="DO223" s="41" t="s">
        <v>5066</v>
      </c>
      <c r="DP223" s="46" t="s">
        <v>5404</v>
      </c>
      <c r="DQ223" s="45"/>
      <c r="DR223" s="45"/>
      <c r="DS223" s="45"/>
      <c r="DT223" s="45"/>
      <c r="DU223" s="45"/>
      <c r="DV223" s="45"/>
      <c r="DW223" s="43"/>
      <c r="DX223" s="45"/>
      <c r="DY223" s="43"/>
      <c r="DZ223" s="45"/>
      <c r="EA223" s="45"/>
      <c r="EB223" s="43"/>
      <c r="EC223" s="45"/>
      <c r="ED223" s="45"/>
      <c r="EE223" s="45"/>
      <c r="EF223" s="45"/>
      <c r="EG223" s="43"/>
      <c r="EH223" s="45"/>
      <c r="EI223" s="45"/>
      <c r="EJ223" s="45"/>
      <c r="EK223" s="42" t="s">
        <v>4248</v>
      </c>
      <c r="EL223" s="45"/>
      <c r="EM223" s="45"/>
      <c r="EN223" s="45"/>
      <c r="EO223" s="45"/>
      <c r="EP223" s="48" t="s">
        <v>3559</v>
      </c>
    </row>
    <row r="224">
      <c r="A224" s="37"/>
      <c r="B224" s="35" t="s">
        <v>7643</v>
      </c>
      <c r="C224" s="34"/>
      <c r="D224" s="35" t="s">
        <v>7644</v>
      </c>
      <c r="E224" s="35" t="s">
        <v>7645</v>
      </c>
      <c r="F224" s="34"/>
      <c r="G224" s="35" t="s">
        <v>7646</v>
      </c>
      <c r="H224" s="35" t="s">
        <v>3867</v>
      </c>
      <c r="I224" s="35" t="s">
        <v>3897</v>
      </c>
      <c r="J224" s="35" t="s">
        <v>3898</v>
      </c>
      <c r="K224" s="35" t="s">
        <v>7647</v>
      </c>
      <c r="L224" s="34"/>
      <c r="M224" s="35" t="s">
        <v>7648</v>
      </c>
      <c r="N224" s="35" t="s">
        <v>4389</v>
      </c>
      <c r="O224" s="35" t="s">
        <v>7649</v>
      </c>
      <c r="P224" s="35"/>
      <c r="R224" s="35" t="s">
        <v>3571</v>
      </c>
      <c r="S224" s="35" t="s">
        <v>3572</v>
      </c>
      <c r="T224" s="35" t="s">
        <v>4989</v>
      </c>
      <c r="U224" s="36" t="s">
        <v>7650</v>
      </c>
      <c r="V224" s="36" t="s">
        <v>7651</v>
      </c>
      <c r="W224" s="32">
        <v>157.0</v>
      </c>
      <c r="X224" s="53">
        <v>84.31736111111111</v>
      </c>
      <c r="Y224" s="34"/>
      <c r="Z224" s="34"/>
      <c r="AA224" s="32">
        <v>1983.0</v>
      </c>
      <c r="AB224" s="34"/>
      <c r="AC224" s="34"/>
      <c r="AD224" s="34"/>
      <c r="AE224" s="37"/>
      <c r="AF224" s="37"/>
      <c r="AG224" s="37"/>
      <c r="AH224" s="37"/>
      <c r="AI224" s="37"/>
      <c r="AJ224" s="37"/>
      <c r="AK224" s="37"/>
      <c r="AL224" s="37"/>
      <c r="AM224" s="37"/>
      <c r="AN224" s="37"/>
      <c r="AO224" s="35" t="s">
        <v>7652</v>
      </c>
      <c r="AP224" s="35" t="s">
        <v>7653</v>
      </c>
      <c r="AQ224" s="35" t="s">
        <v>3982</v>
      </c>
      <c r="AR224" s="35" t="s">
        <v>7654</v>
      </c>
      <c r="AS224" s="34" t="str">
        <f>+44 (0)20 8572 7000</f>
        <v>#ERROR!</v>
      </c>
      <c r="AT224" s="35" t="s">
        <v>7655</v>
      </c>
      <c r="AU224" s="35" t="s">
        <v>7656</v>
      </c>
      <c r="AV224" s="34"/>
      <c r="AW224" s="35" t="s">
        <v>868</v>
      </c>
      <c r="AX224" s="34"/>
      <c r="AY224" s="32">
        <v>5802919.0</v>
      </c>
      <c r="AZ224" s="35" t="s">
        <v>41</v>
      </c>
      <c r="BA224" s="37" t="str">
        <f>+972 (0)3 795 9595</f>
        <v>#ERROR!</v>
      </c>
      <c r="BB224" s="37"/>
      <c r="BC224" s="35" t="s">
        <v>7657</v>
      </c>
      <c r="BD224" s="35" t="s">
        <v>3584</v>
      </c>
      <c r="BE224" s="35" t="s">
        <v>3584</v>
      </c>
      <c r="BF224" s="35" t="s">
        <v>7658</v>
      </c>
      <c r="BG224" s="35" t="s">
        <v>7659</v>
      </c>
      <c r="BH224" s="32">
        <v>1.0</v>
      </c>
      <c r="BI224" s="34"/>
      <c r="BJ224" s="34"/>
      <c r="BK224" s="34"/>
      <c r="BL224" s="35" t="s">
        <v>7660</v>
      </c>
      <c r="BM224" s="34"/>
      <c r="BN224" s="34"/>
      <c r="BO224" s="34"/>
      <c r="BP224" s="34"/>
      <c r="BQ224" s="38" t="s">
        <v>7661</v>
      </c>
      <c r="BR224" s="37"/>
      <c r="BS224" s="34"/>
      <c r="BT224" s="37"/>
      <c r="BU224" s="34"/>
      <c r="BV224" s="35" t="s">
        <v>5005</v>
      </c>
      <c r="BW224" s="34"/>
      <c r="BX224" s="34"/>
      <c r="BY224" s="35" t="s">
        <v>4989</v>
      </c>
      <c r="BZ224" s="34"/>
      <c r="CA224" s="35" t="s">
        <v>3591</v>
      </c>
      <c r="CB224" s="38" t="s">
        <v>7661</v>
      </c>
      <c r="CC224" s="37"/>
      <c r="CD224" s="34"/>
      <c r="CE224" s="37"/>
      <c r="CF224" s="34"/>
      <c r="CG224" s="35" t="s">
        <v>5005</v>
      </c>
      <c r="CH224" s="34"/>
      <c r="CI224" s="34"/>
      <c r="CJ224" s="35" t="s">
        <v>4989</v>
      </c>
      <c r="CK224" s="37"/>
      <c r="CL224" s="37"/>
      <c r="CM224" s="34"/>
      <c r="CN224" s="35" t="s">
        <v>3591</v>
      </c>
      <c r="CO224" s="39">
        <v>0.0</v>
      </c>
      <c r="CP224" s="32">
        <v>14.0</v>
      </c>
      <c r="CQ224" s="39">
        <v>0.0</v>
      </c>
      <c r="CR224" s="39">
        <v>0.0</v>
      </c>
      <c r="CS224" s="39">
        <v>0.0</v>
      </c>
      <c r="CT224" s="32">
        <v>12.0</v>
      </c>
      <c r="CU224" s="37"/>
      <c r="CV224" s="37"/>
      <c r="CW224" s="39">
        <v>0.0</v>
      </c>
      <c r="CX224" s="32">
        <v>12.0</v>
      </c>
      <c r="CY224" s="32" t="s">
        <v>7662</v>
      </c>
      <c r="CZ224" s="32">
        <v>72.0</v>
      </c>
      <c r="DA224" s="32" t="s">
        <v>3598</v>
      </c>
      <c r="DB224" s="39">
        <v>0.0</v>
      </c>
      <c r="DC224" s="32" t="s">
        <v>7662</v>
      </c>
      <c r="DD224" s="32">
        <v>73.0</v>
      </c>
      <c r="DE224" s="37"/>
      <c r="DF224" s="37"/>
      <c r="DG224" s="32" t="s">
        <v>7662</v>
      </c>
      <c r="DH224" s="32">
        <v>72.0</v>
      </c>
      <c r="DI224" s="37"/>
      <c r="DJ224" s="37"/>
      <c r="DK224" s="37"/>
      <c r="DL224" s="32">
        <v>64.0</v>
      </c>
      <c r="DM224" s="32">
        <v>2.0</v>
      </c>
      <c r="DN224" s="39">
        <v>0.0323</v>
      </c>
      <c r="DO224" s="32" t="s">
        <v>3600</v>
      </c>
      <c r="DP224" s="38" t="s">
        <v>5981</v>
      </c>
      <c r="DQ224" s="37"/>
      <c r="DR224" s="37"/>
      <c r="DS224" s="37"/>
      <c r="DT224" s="37"/>
      <c r="DU224" s="37"/>
      <c r="DV224" s="37"/>
      <c r="DW224" s="34"/>
      <c r="DX224" s="37"/>
      <c r="DY224" s="34"/>
      <c r="DZ224" s="37"/>
      <c r="EA224" s="37"/>
      <c r="EB224" s="34"/>
      <c r="EC224" s="37"/>
      <c r="ED224" s="37"/>
      <c r="EE224" s="37"/>
      <c r="EF224" s="37"/>
      <c r="EG224" s="34"/>
      <c r="EH224" s="37"/>
      <c r="EI224" s="37"/>
      <c r="EJ224" s="37"/>
      <c r="EK224" s="34"/>
      <c r="EL224" s="37"/>
      <c r="EM224" s="37"/>
      <c r="EN224" s="37"/>
      <c r="EO224" s="37"/>
      <c r="EP224" s="40" t="s">
        <v>3559</v>
      </c>
    </row>
    <row r="225">
      <c r="A225" s="45"/>
      <c r="B225" s="42" t="s">
        <v>7663</v>
      </c>
      <c r="C225" s="43"/>
      <c r="D225" s="42" t="s">
        <v>7664</v>
      </c>
      <c r="E225" s="42" t="s">
        <v>7665</v>
      </c>
      <c r="F225" s="43"/>
      <c r="G225" s="42" t="s">
        <v>7666</v>
      </c>
      <c r="H225" s="42" t="s">
        <v>4560</v>
      </c>
      <c r="I225" s="42" t="s">
        <v>4561</v>
      </c>
      <c r="J225" s="42" t="s">
        <v>66</v>
      </c>
      <c r="K225" s="42" t="s">
        <v>7667</v>
      </c>
      <c r="L225" s="42" t="s">
        <v>5736</v>
      </c>
      <c r="M225" s="42" t="s">
        <v>7668</v>
      </c>
      <c r="N225" s="42" t="s">
        <v>5075</v>
      </c>
      <c r="O225" s="42" t="s">
        <v>7669</v>
      </c>
      <c r="P225" s="42"/>
      <c r="R225" s="42" t="s">
        <v>3571</v>
      </c>
      <c r="S225" s="42" t="s">
        <v>3572</v>
      </c>
      <c r="T225" s="42" t="s">
        <v>4989</v>
      </c>
      <c r="U225" s="44" t="s">
        <v>7670</v>
      </c>
      <c r="V225" s="43"/>
      <c r="W225" s="45"/>
      <c r="X225" s="43"/>
      <c r="Y225" s="43"/>
      <c r="Z225" s="43"/>
      <c r="AA225" s="41">
        <v>1981.0</v>
      </c>
      <c r="AB225" s="43"/>
      <c r="AC225" s="43"/>
      <c r="AD225" s="43"/>
      <c r="AE225" s="45"/>
      <c r="AF225" s="45"/>
      <c r="AG225" s="45"/>
      <c r="AH225" s="45"/>
      <c r="AI225" s="45"/>
      <c r="AJ225" s="45"/>
      <c r="AK225" s="45"/>
      <c r="AL225" s="45"/>
      <c r="AM225" s="45"/>
      <c r="AN225" s="45"/>
      <c r="AO225" s="42" t="s">
        <v>7671</v>
      </c>
      <c r="AP225" s="42" t="s">
        <v>7672</v>
      </c>
      <c r="AQ225" s="42" t="s">
        <v>7673</v>
      </c>
      <c r="AR225" s="42" t="s">
        <v>7674</v>
      </c>
      <c r="AS225" s="43" t="str">
        <f>+972 (0)3 633 5633</f>
        <v>#ERROR!</v>
      </c>
      <c r="AT225" s="42" t="s">
        <v>3957</v>
      </c>
      <c r="AU225" s="42" t="s">
        <v>7675</v>
      </c>
      <c r="AV225" s="43"/>
      <c r="AW225" s="42" t="s">
        <v>137</v>
      </c>
      <c r="AX225" s="43"/>
      <c r="AY225" s="41">
        <v>66463.0</v>
      </c>
      <c r="AZ225" s="42" t="s">
        <v>41</v>
      </c>
      <c r="BA225" s="45" t="str">
        <f>+972 (0)3 633 5633</f>
        <v>#ERROR!</v>
      </c>
      <c r="BB225" s="45"/>
      <c r="BC225" s="43"/>
      <c r="BD225" s="42" t="s">
        <v>3584</v>
      </c>
      <c r="BE225" s="42" t="s">
        <v>3584</v>
      </c>
      <c r="BF225" s="42" t="s">
        <v>7676</v>
      </c>
      <c r="BG225" s="42" t="s">
        <v>7677</v>
      </c>
      <c r="BH225" s="41">
        <v>2.0</v>
      </c>
      <c r="BI225" s="43"/>
      <c r="BJ225" s="42" t="s">
        <v>7678</v>
      </c>
      <c r="BK225" s="43"/>
      <c r="BL225" s="42" t="s">
        <v>7679</v>
      </c>
      <c r="BM225" s="42" t="s">
        <v>7680</v>
      </c>
      <c r="BN225" s="43"/>
      <c r="BO225" s="43"/>
      <c r="BP225" s="43"/>
      <c r="BQ225" s="46" t="s">
        <v>7681</v>
      </c>
      <c r="BR225" s="45"/>
      <c r="BS225" s="43"/>
      <c r="BT225" s="45"/>
      <c r="BU225" s="43"/>
      <c r="BV225" s="42" t="s">
        <v>3830</v>
      </c>
      <c r="BW225" s="43"/>
      <c r="BX225" s="43"/>
      <c r="BY225" s="43"/>
      <c r="BZ225" s="43"/>
      <c r="CA225" s="42" t="s">
        <v>3591</v>
      </c>
      <c r="CB225" s="46" t="s">
        <v>7682</v>
      </c>
      <c r="CC225" s="41">
        <v>52.67</v>
      </c>
      <c r="CD225" s="42" t="s">
        <v>3593</v>
      </c>
      <c r="CE225" s="41">
        <v>158.18</v>
      </c>
      <c r="CF225" s="42" t="s">
        <v>3697</v>
      </c>
      <c r="CG225" s="42" t="s">
        <v>3830</v>
      </c>
      <c r="CH225" s="43"/>
      <c r="CI225" s="43"/>
      <c r="CJ225" s="42" t="s">
        <v>3663</v>
      </c>
      <c r="CK225" s="45"/>
      <c r="CL225" s="45"/>
      <c r="CM225" s="43"/>
      <c r="CN225" s="42" t="s">
        <v>3591</v>
      </c>
      <c r="CO225" s="45"/>
      <c r="CP225" s="45"/>
      <c r="CQ225" s="45"/>
      <c r="CR225" s="45"/>
      <c r="CS225" s="45"/>
      <c r="CT225" s="45"/>
      <c r="CU225" s="45"/>
      <c r="CV225" s="45"/>
      <c r="CW225" s="45"/>
      <c r="CX225" s="45"/>
      <c r="CY225" s="45"/>
      <c r="CZ225" s="45"/>
      <c r="DA225" s="45"/>
      <c r="DB225" s="45"/>
      <c r="DC225" s="45"/>
      <c r="DD225" s="45"/>
      <c r="DE225" s="45"/>
      <c r="DF225" s="45"/>
      <c r="DG225" s="45"/>
      <c r="DH225" s="45"/>
      <c r="DI225" s="45"/>
      <c r="DJ225" s="45"/>
      <c r="DK225" s="45"/>
      <c r="DL225" s="45"/>
      <c r="DM225" s="45"/>
      <c r="DN225" s="45"/>
      <c r="DO225" s="41" t="s">
        <v>3600</v>
      </c>
      <c r="DP225" s="46" t="s">
        <v>7683</v>
      </c>
      <c r="DQ225" s="45"/>
      <c r="DR225" s="45"/>
      <c r="DS225" s="45"/>
      <c r="DT225" s="45"/>
      <c r="DU225" s="45"/>
      <c r="DV225" s="45"/>
      <c r="DW225" s="43"/>
      <c r="DX225" s="45"/>
      <c r="DY225" s="43"/>
      <c r="DZ225" s="45"/>
      <c r="EA225" s="45"/>
      <c r="EB225" s="43"/>
      <c r="EC225" s="45"/>
      <c r="ED225" s="45"/>
      <c r="EE225" s="41">
        <v>158.18</v>
      </c>
      <c r="EF225" s="46" t="s">
        <v>7682</v>
      </c>
      <c r="EG225" s="42" t="s">
        <v>3830</v>
      </c>
      <c r="EH225" s="45"/>
      <c r="EI225" s="45"/>
      <c r="EJ225" s="45"/>
      <c r="EK225" s="43"/>
      <c r="EL225" s="45"/>
      <c r="EM225" s="45"/>
      <c r="EN225" s="45"/>
      <c r="EO225" s="45"/>
      <c r="EP225" s="48" t="s">
        <v>3559</v>
      </c>
    </row>
    <row r="226">
      <c r="A226" s="37"/>
      <c r="B226" s="35" t="s">
        <v>7684</v>
      </c>
      <c r="C226" s="34"/>
      <c r="D226" s="34"/>
      <c r="E226" s="35" t="s">
        <v>7685</v>
      </c>
      <c r="F226" s="34"/>
      <c r="G226" s="35" t="s">
        <v>7686</v>
      </c>
      <c r="H226" s="35" t="s">
        <v>4560</v>
      </c>
      <c r="I226" s="35" t="s">
        <v>4561</v>
      </c>
      <c r="J226" s="35" t="s">
        <v>66</v>
      </c>
      <c r="K226" s="35" t="s">
        <v>4562</v>
      </c>
      <c r="L226" s="34"/>
      <c r="M226" s="35" t="s">
        <v>7687</v>
      </c>
      <c r="N226" s="35" t="s">
        <v>4389</v>
      </c>
      <c r="O226" s="35" t="s">
        <v>7688</v>
      </c>
      <c r="P226" s="35"/>
      <c r="R226" s="35" t="s">
        <v>3571</v>
      </c>
      <c r="S226" s="35" t="s">
        <v>5020</v>
      </c>
      <c r="T226" s="35" t="s">
        <v>4989</v>
      </c>
      <c r="U226" s="36" t="s">
        <v>7689</v>
      </c>
      <c r="V226" s="34"/>
      <c r="W226" s="49">
        <v>1000.0</v>
      </c>
      <c r="X226" s="53">
        <v>84.90277777777777</v>
      </c>
      <c r="Y226" s="34"/>
      <c r="Z226" s="34"/>
      <c r="AA226" s="32">
        <v>2000.0</v>
      </c>
      <c r="AB226" s="34"/>
      <c r="AC226" s="34"/>
      <c r="AD226" s="34"/>
      <c r="AE226" s="32">
        <v>5.23</v>
      </c>
      <c r="AF226" s="37"/>
      <c r="AG226" s="37"/>
      <c r="AH226" s="37"/>
      <c r="AI226" s="37"/>
      <c r="AJ226" s="37"/>
      <c r="AK226" s="37"/>
      <c r="AL226" s="37"/>
      <c r="AM226" s="37"/>
      <c r="AN226" s="32" t="s">
        <v>4859</v>
      </c>
      <c r="AO226" s="34"/>
      <c r="AP226" s="34"/>
      <c r="AQ226" s="34"/>
      <c r="AR226" s="34"/>
      <c r="AS226" s="34"/>
      <c r="AT226" s="35" t="s">
        <v>3957</v>
      </c>
      <c r="AU226" s="35" t="s">
        <v>7690</v>
      </c>
      <c r="AV226" s="34"/>
      <c r="AW226" s="35" t="s">
        <v>137</v>
      </c>
      <c r="AX226" s="34"/>
      <c r="AY226" s="32">
        <v>4427728.0</v>
      </c>
      <c r="AZ226" s="35" t="s">
        <v>41</v>
      </c>
      <c r="BA226" s="37"/>
      <c r="BB226" s="37"/>
      <c r="BC226" s="34"/>
      <c r="BD226" s="35" t="s">
        <v>3584</v>
      </c>
      <c r="BE226" s="35" t="s">
        <v>3584</v>
      </c>
      <c r="BF226" s="35" t="s">
        <v>7691</v>
      </c>
      <c r="BG226" s="34"/>
      <c r="BH226" s="37"/>
      <c r="BI226" s="35" t="s">
        <v>5618</v>
      </c>
      <c r="BJ226" s="35" t="s">
        <v>7692</v>
      </c>
      <c r="BK226" s="35" t="s">
        <v>7693</v>
      </c>
      <c r="BL226" s="34"/>
      <c r="BM226" s="35" t="s">
        <v>7694</v>
      </c>
      <c r="BN226" s="35" t="s">
        <v>7695</v>
      </c>
      <c r="BO226" s="34"/>
      <c r="BP226" s="34"/>
      <c r="BQ226" s="38" t="s">
        <v>7696</v>
      </c>
      <c r="BR226" s="32">
        <v>34.11</v>
      </c>
      <c r="BS226" s="35" t="s">
        <v>3593</v>
      </c>
      <c r="BT226" s="32">
        <v>68.21</v>
      </c>
      <c r="BU226" s="35" t="s">
        <v>3697</v>
      </c>
      <c r="BV226" s="35" t="s">
        <v>5005</v>
      </c>
      <c r="BW226" s="35" t="s">
        <v>5087</v>
      </c>
      <c r="BX226" s="35" t="s">
        <v>5708</v>
      </c>
      <c r="BY226" s="35" t="s">
        <v>4989</v>
      </c>
      <c r="BZ226" s="34"/>
      <c r="CA226" s="35" t="s">
        <v>3591</v>
      </c>
      <c r="CB226" s="38" t="s">
        <v>7696</v>
      </c>
      <c r="CC226" s="32">
        <v>34.11</v>
      </c>
      <c r="CD226" s="35" t="s">
        <v>3593</v>
      </c>
      <c r="CE226" s="32">
        <v>68.21</v>
      </c>
      <c r="CF226" s="35" t="s">
        <v>3697</v>
      </c>
      <c r="CG226" s="35" t="s">
        <v>5005</v>
      </c>
      <c r="CH226" s="35" t="s">
        <v>5087</v>
      </c>
      <c r="CI226" s="35" t="s">
        <v>5708</v>
      </c>
      <c r="CJ226" s="35" t="s">
        <v>4989</v>
      </c>
      <c r="CK226" s="37"/>
      <c r="CL226" s="37"/>
      <c r="CM226" s="34"/>
      <c r="CN226" s="35" t="s">
        <v>3591</v>
      </c>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c r="DO226" s="32" t="s">
        <v>3600</v>
      </c>
      <c r="DP226" s="38" t="s">
        <v>6285</v>
      </c>
      <c r="DQ226" s="37"/>
      <c r="DR226" s="37"/>
      <c r="DS226" s="37"/>
      <c r="DT226" s="37"/>
      <c r="DU226" s="37"/>
      <c r="DV226" s="37"/>
      <c r="DW226" s="34"/>
      <c r="DX226" s="37"/>
      <c r="DY226" s="34"/>
      <c r="DZ226" s="37"/>
      <c r="EA226" s="37"/>
      <c r="EB226" s="34"/>
      <c r="EC226" s="37"/>
      <c r="ED226" s="37"/>
      <c r="EE226" s="32">
        <v>68.21</v>
      </c>
      <c r="EF226" s="38" t="s">
        <v>7696</v>
      </c>
      <c r="EG226" s="35" t="s">
        <v>5005</v>
      </c>
      <c r="EH226" s="37"/>
      <c r="EI226" s="37"/>
      <c r="EJ226" s="37"/>
      <c r="EK226" s="34"/>
      <c r="EL226" s="37"/>
      <c r="EM226" s="37"/>
      <c r="EN226" s="37"/>
      <c r="EO226" s="37"/>
      <c r="EP226" s="40" t="s">
        <v>3559</v>
      </c>
    </row>
    <row r="227">
      <c r="A227" s="45"/>
      <c r="B227" s="42" t="s">
        <v>7697</v>
      </c>
      <c r="C227" s="43"/>
      <c r="D227" s="43"/>
      <c r="E227" s="42" t="s">
        <v>7698</v>
      </c>
      <c r="F227" s="43"/>
      <c r="G227" s="42" t="s">
        <v>7699</v>
      </c>
      <c r="H227" s="42" t="s">
        <v>3867</v>
      </c>
      <c r="I227" s="42" t="s">
        <v>3868</v>
      </c>
      <c r="J227" s="42" t="s">
        <v>3869</v>
      </c>
      <c r="K227" s="42" t="s">
        <v>4024</v>
      </c>
      <c r="L227" s="42" t="s">
        <v>5736</v>
      </c>
      <c r="M227" s="42" t="s">
        <v>7700</v>
      </c>
      <c r="N227" s="42" t="s">
        <v>4962</v>
      </c>
      <c r="O227" s="42" t="s">
        <v>7701</v>
      </c>
      <c r="P227" s="42"/>
      <c r="R227" s="42" t="s">
        <v>3571</v>
      </c>
      <c r="S227" s="42" t="s">
        <v>3572</v>
      </c>
      <c r="T227" s="42" t="s">
        <v>3603</v>
      </c>
      <c r="U227" s="43"/>
      <c r="V227" s="43"/>
      <c r="W227" s="45"/>
      <c r="X227" s="43"/>
      <c r="Y227" s="43"/>
      <c r="Z227" s="43"/>
      <c r="AA227" s="45"/>
      <c r="AB227" s="43"/>
      <c r="AC227" s="43"/>
      <c r="AD227" s="43"/>
      <c r="AE227" s="45"/>
      <c r="AF227" s="45"/>
      <c r="AG227" s="45"/>
      <c r="AH227" s="45"/>
      <c r="AI227" s="45"/>
      <c r="AJ227" s="45"/>
      <c r="AK227" s="45"/>
      <c r="AL227" s="45"/>
      <c r="AM227" s="45"/>
      <c r="AN227" s="45"/>
      <c r="AO227" s="43"/>
      <c r="AP227" s="43"/>
      <c r="AQ227" s="43"/>
      <c r="AR227" s="43"/>
      <c r="AS227" s="43"/>
      <c r="AT227" s="42" t="s">
        <v>41</v>
      </c>
      <c r="AU227" s="43"/>
      <c r="AV227" s="43"/>
      <c r="AW227" s="43"/>
      <c r="AX227" s="43"/>
      <c r="AY227" s="45"/>
      <c r="AZ227" s="42" t="s">
        <v>41</v>
      </c>
      <c r="BA227" s="45"/>
      <c r="BB227" s="45"/>
      <c r="BC227" s="43"/>
      <c r="BD227" s="42" t="s">
        <v>3584</v>
      </c>
      <c r="BE227" s="42" t="s">
        <v>3584</v>
      </c>
      <c r="BF227" s="42" t="s">
        <v>7702</v>
      </c>
      <c r="BG227" s="43"/>
      <c r="BH227" s="45"/>
      <c r="BI227" s="43"/>
      <c r="BJ227" s="43"/>
      <c r="BK227" s="43"/>
      <c r="BL227" s="43"/>
      <c r="BM227" s="43"/>
      <c r="BN227" s="43"/>
      <c r="BO227" s="43"/>
      <c r="BP227" s="43"/>
      <c r="BQ227" s="46" t="s">
        <v>7703</v>
      </c>
      <c r="BR227" s="45"/>
      <c r="BS227" s="43"/>
      <c r="BT227" s="45"/>
      <c r="BU227" s="43"/>
      <c r="BV227" s="42" t="s">
        <v>4977</v>
      </c>
      <c r="BW227" s="43"/>
      <c r="BX227" s="43"/>
      <c r="BY227" s="42" t="s">
        <v>3663</v>
      </c>
      <c r="BZ227" s="43"/>
      <c r="CA227" s="42" t="s">
        <v>3966</v>
      </c>
      <c r="CB227" s="46" t="s">
        <v>7703</v>
      </c>
      <c r="CC227" s="45"/>
      <c r="CD227" s="43"/>
      <c r="CE227" s="45"/>
      <c r="CF227" s="43"/>
      <c r="CG227" s="42" t="s">
        <v>4977</v>
      </c>
      <c r="CH227" s="43"/>
      <c r="CI227" s="43"/>
      <c r="CJ227" s="42" t="s">
        <v>3663</v>
      </c>
      <c r="CK227" s="45"/>
      <c r="CL227" s="45"/>
      <c r="CM227" s="43"/>
      <c r="CN227" s="42" t="s">
        <v>3966</v>
      </c>
      <c r="CO227" s="45"/>
      <c r="CP227" s="45"/>
      <c r="CQ227" s="45"/>
      <c r="CR227" s="45"/>
      <c r="CS227" s="45"/>
      <c r="CT227" s="45"/>
      <c r="CU227" s="45"/>
      <c r="CV227" s="45"/>
      <c r="CW227" s="45"/>
      <c r="CX227" s="45"/>
      <c r="CY227" s="45"/>
      <c r="CZ227" s="45"/>
      <c r="DA227" s="45"/>
      <c r="DB227" s="45"/>
      <c r="DC227" s="45"/>
      <c r="DD227" s="45"/>
      <c r="DE227" s="45"/>
      <c r="DF227" s="45"/>
      <c r="DG227" s="45"/>
      <c r="DH227" s="45"/>
      <c r="DI227" s="45"/>
      <c r="DJ227" s="45"/>
      <c r="DK227" s="45"/>
      <c r="DL227" s="45"/>
      <c r="DM227" s="45"/>
      <c r="DN227" s="45"/>
      <c r="DO227" s="41" t="s">
        <v>3600</v>
      </c>
      <c r="DP227" s="46" t="s">
        <v>5177</v>
      </c>
      <c r="DQ227" s="45"/>
      <c r="DR227" s="45"/>
      <c r="DS227" s="45"/>
      <c r="DT227" s="45"/>
      <c r="DU227" s="45"/>
      <c r="DV227" s="45"/>
      <c r="DW227" s="43"/>
      <c r="DX227" s="45"/>
      <c r="DY227" s="43"/>
      <c r="DZ227" s="45"/>
      <c r="EA227" s="45"/>
      <c r="EB227" s="43"/>
      <c r="EC227" s="45"/>
      <c r="ED227" s="45"/>
      <c r="EE227" s="45"/>
      <c r="EF227" s="45"/>
      <c r="EG227" s="43"/>
      <c r="EH227" s="45"/>
      <c r="EI227" s="45"/>
      <c r="EJ227" s="45"/>
      <c r="EK227" s="43"/>
      <c r="EL227" s="45"/>
      <c r="EM227" s="45"/>
      <c r="EN227" s="45"/>
      <c r="EO227" s="45"/>
      <c r="EP227" s="48" t="s">
        <v>3559</v>
      </c>
    </row>
    <row r="228">
      <c r="A228" s="37"/>
      <c r="B228" s="35" t="s">
        <v>7704</v>
      </c>
      <c r="C228" s="35" t="s">
        <v>7705</v>
      </c>
      <c r="D228" s="34"/>
      <c r="E228" s="35" t="s">
        <v>7706</v>
      </c>
      <c r="F228" s="34"/>
      <c r="G228" s="35" t="s">
        <v>7707</v>
      </c>
      <c r="H228" s="35" t="s">
        <v>4560</v>
      </c>
      <c r="I228" s="35" t="s">
        <v>4561</v>
      </c>
      <c r="J228" s="35" t="s">
        <v>66</v>
      </c>
      <c r="K228" s="35" t="s">
        <v>4562</v>
      </c>
      <c r="L228" s="35" t="s">
        <v>6390</v>
      </c>
      <c r="M228" s="35" t="s">
        <v>7708</v>
      </c>
      <c r="N228" s="35" t="s">
        <v>4923</v>
      </c>
      <c r="O228" s="35" t="s">
        <v>7709</v>
      </c>
      <c r="P228" s="35"/>
      <c r="R228" s="35" t="s">
        <v>3571</v>
      </c>
      <c r="S228" s="35" t="s">
        <v>5236</v>
      </c>
      <c r="T228" s="35" t="s">
        <v>5568</v>
      </c>
      <c r="U228" s="36" t="s">
        <v>7710</v>
      </c>
      <c r="V228" s="36" t="s">
        <v>7711</v>
      </c>
      <c r="W228" s="37"/>
      <c r="X228" s="34"/>
      <c r="Y228" s="35" t="s">
        <v>5417</v>
      </c>
      <c r="Z228" s="35" t="s">
        <v>7712</v>
      </c>
      <c r="AA228" s="32">
        <v>1991.0</v>
      </c>
      <c r="AB228" s="34"/>
      <c r="AC228" s="34"/>
      <c r="AD228" s="34"/>
      <c r="AE228" s="37"/>
      <c r="AF228" s="37"/>
      <c r="AG228" s="37"/>
      <c r="AH228" s="37"/>
      <c r="AI228" s="37"/>
      <c r="AJ228" s="37"/>
      <c r="AK228" s="32">
        <v>75.46</v>
      </c>
      <c r="AL228" s="37"/>
      <c r="AM228" s="37"/>
      <c r="AN228" s="37"/>
      <c r="AO228" s="35" t="s">
        <v>7713</v>
      </c>
      <c r="AP228" s="35" t="s">
        <v>7714</v>
      </c>
      <c r="AQ228" s="35" t="s">
        <v>4397</v>
      </c>
      <c r="AR228" s="34"/>
      <c r="AS228" s="34"/>
      <c r="AT228" s="35" t="s">
        <v>3581</v>
      </c>
      <c r="AU228" s="35" t="s">
        <v>7715</v>
      </c>
      <c r="AV228" s="35" t="s">
        <v>7716</v>
      </c>
      <c r="AW228" s="35" t="s">
        <v>75</v>
      </c>
      <c r="AX228" s="34"/>
      <c r="AY228" s="37"/>
      <c r="AZ228" s="35" t="s">
        <v>41</v>
      </c>
      <c r="BA228" s="37"/>
      <c r="BB228" s="37"/>
      <c r="BC228" s="35" t="s">
        <v>409</v>
      </c>
      <c r="BD228" s="35" t="s">
        <v>3584</v>
      </c>
      <c r="BE228" s="35" t="s">
        <v>3584</v>
      </c>
      <c r="BF228" s="35" t="s">
        <v>7717</v>
      </c>
      <c r="BG228" s="34"/>
      <c r="BH228" s="37"/>
      <c r="BI228" s="34"/>
      <c r="BJ228" s="34"/>
      <c r="BK228" s="34"/>
      <c r="BL228" s="34"/>
      <c r="BM228" s="34"/>
      <c r="BN228" s="34"/>
      <c r="BO228" s="34"/>
      <c r="BP228" s="34"/>
      <c r="BQ228" s="38" t="s">
        <v>7718</v>
      </c>
      <c r="BR228" s="37"/>
      <c r="BS228" s="34"/>
      <c r="BT228" s="37"/>
      <c r="BU228" s="34"/>
      <c r="BV228" s="35" t="s">
        <v>4532</v>
      </c>
      <c r="BW228" s="34"/>
      <c r="BX228" s="34"/>
      <c r="BY228" s="35" t="s">
        <v>5764</v>
      </c>
      <c r="BZ228" s="34"/>
      <c r="CA228" s="35" t="s">
        <v>3591</v>
      </c>
      <c r="CB228" s="38" t="s">
        <v>7718</v>
      </c>
      <c r="CC228" s="37"/>
      <c r="CD228" s="34"/>
      <c r="CE228" s="37"/>
      <c r="CF228" s="34"/>
      <c r="CG228" s="35" t="s">
        <v>4532</v>
      </c>
      <c r="CH228" s="34"/>
      <c r="CI228" s="34"/>
      <c r="CJ228" s="35" t="s">
        <v>5764</v>
      </c>
      <c r="CK228" s="37"/>
      <c r="CL228" s="37"/>
      <c r="CM228" s="34"/>
      <c r="CN228" s="35" t="s">
        <v>3591</v>
      </c>
      <c r="CO228" s="39">
        <v>0.0</v>
      </c>
      <c r="CP228" s="32">
        <v>14.0</v>
      </c>
      <c r="CQ228" s="39">
        <v>0.0</v>
      </c>
      <c r="CR228" s="39">
        <v>0.0</v>
      </c>
      <c r="CS228" s="39">
        <v>0.0</v>
      </c>
      <c r="CT228" s="32">
        <v>12.0</v>
      </c>
      <c r="CU228" s="39">
        <v>0.0</v>
      </c>
      <c r="CV228" s="32">
        <v>10.0</v>
      </c>
      <c r="CW228" s="39">
        <v>0.0</v>
      </c>
      <c r="CX228" s="32">
        <v>12.0</v>
      </c>
      <c r="CY228" s="32" t="s">
        <v>7719</v>
      </c>
      <c r="CZ228" s="32">
        <v>51.0</v>
      </c>
      <c r="DA228" s="32" t="s">
        <v>3598</v>
      </c>
      <c r="DB228" s="39">
        <v>0.0</v>
      </c>
      <c r="DC228" s="32" t="s">
        <v>7719</v>
      </c>
      <c r="DD228" s="32">
        <v>54.0</v>
      </c>
      <c r="DE228" s="32" t="s">
        <v>4157</v>
      </c>
      <c r="DF228" s="32">
        <v>30.0</v>
      </c>
      <c r="DG228" s="32" t="s">
        <v>7720</v>
      </c>
      <c r="DH228" s="32">
        <v>68.0</v>
      </c>
      <c r="DI228" s="32">
        <v>7.0</v>
      </c>
      <c r="DJ228" s="32">
        <v>-25.0</v>
      </c>
      <c r="DK228" s="39">
        <v>-0.7813</v>
      </c>
      <c r="DL228" s="32">
        <v>46.0</v>
      </c>
      <c r="DM228" s="32">
        <v>2.0</v>
      </c>
      <c r="DN228" s="39">
        <v>0.0455</v>
      </c>
      <c r="DO228" s="32" t="s">
        <v>3600</v>
      </c>
      <c r="DP228" s="38" t="s">
        <v>7721</v>
      </c>
      <c r="DQ228" s="32">
        <v>11.0</v>
      </c>
      <c r="DR228" s="32">
        <v>4.0</v>
      </c>
      <c r="DS228" s="32">
        <v>5.0</v>
      </c>
      <c r="DT228" s="32">
        <v>3.0</v>
      </c>
      <c r="DU228" s="37"/>
      <c r="DV228" s="32">
        <v>3.0</v>
      </c>
      <c r="DW228" s="35" t="s">
        <v>6606</v>
      </c>
      <c r="DX228" s="37"/>
      <c r="DY228" s="34"/>
      <c r="DZ228" s="37"/>
      <c r="EA228" s="37"/>
      <c r="EB228" s="34"/>
      <c r="EC228" s="37"/>
      <c r="ED228" s="37"/>
      <c r="EE228" s="37"/>
      <c r="EF228" s="37"/>
      <c r="EG228" s="34"/>
      <c r="EH228" s="37"/>
      <c r="EI228" s="37"/>
      <c r="EJ228" s="37"/>
      <c r="EK228" s="34"/>
      <c r="EL228" s="37"/>
      <c r="EM228" s="37"/>
      <c r="EN228" s="37"/>
      <c r="EO228" s="37"/>
      <c r="EP228" s="40" t="s">
        <v>3559</v>
      </c>
    </row>
    <row r="229">
      <c r="A229" s="45"/>
      <c r="B229" s="42" t="s">
        <v>7722</v>
      </c>
      <c r="C229" s="43"/>
      <c r="D229" s="43"/>
      <c r="E229" s="43"/>
      <c r="F229" s="43"/>
      <c r="G229" s="42" t="s">
        <v>7723</v>
      </c>
      <c r="H229" s="42" t="s">
        <v>3867</v>
      </c>
      <c r="I229" s="42" t="s">
        <v>3897</v>
      </c>
      <c r="J229" s="42" t="s">
        <v>7724</v>
      </c>
      <c r="K229" s="42" t="s">
        <v>7725</v>
      </c>
      <c r="L229" s="43"/>
      <c r="M229" s="42" t="s">
        <v>7726</v>
      </c>
      <c r="N229" s="42" t="s">
        <v>4923</v>
      </c>
      <c r="O229" s="42" t="s">
        <v>7727</v>
      </c>
      <c r="P229" s="42"/>
      <c r="R229" s="43"/>
      <c r="S229" s="42" t="s">
        <v>4925</v>
      </c>
      <c r="T229" s="42" t="s">
        <v>4926</v>
      </c>
      <c r="U229" s="44" t="s">
        <v>7728</v>
      </c>
      <c r="V229" s="44" t="s">
        <v>7729</v>
      </c>
      <c r="W229" s="41">
        <v>20.0</v>
      </c>
      <c r="X229" s="42" t="s">
        <v>7730</v>
      </c>
      <c r="Y229" s="43"/>
      <c r="Z229" s="43"/>
      <c r="AA229" s="41">
        <v>1989.0</v>
      </c>
      <c r="AB229" s="43"/>
      <c r="AC229" s="43"/>
      <c r="AD229" s="43"/>
      <c r="AE229" s="45"/>
      <c r="AF229" s="45"/>
      <c r="AG229" s="45"/>
      <c r="AH229" s="45"/>
      <c r="AI229" s="45"/>
      <c r="AJ229" s="45"/>
      <c r="AK229" s="45"/>
      <c r="AL229" s="45"/>
      <c r="AM229" s="45"/>
      <c r="AN229" s="45"/>
      <c r="AO229" s="43"/>
      <c r="AP229" s="43"/>
      <c r="AQ229" s="43"/>
      <c r="AR229" s="43"/>
      <c r="AS229" s="43"/>
      <c r="AT229" s="42" t="s">
        <v>7731</v>
      </c>
      <c r="AU229" s="42" t="s">
        <v>7732</v>
      </c>
      <c r="AV229" s="43"/>
      <c r="AW229" s="42" t="s">
        <v>7733</v>
      </c>
      <c r="AX229" s="43"/>
      <c r="AY229" s="41">
        <v>2300.0</v>
      </c>
      <c r="AZ229" s="42" t="s">
        <v>41</v>
      </c>
      <c r="BA229" s="45"/>
      <c r="BB229" s="45"/>
      <c r="BC229" s="43"/>
      <c r="BD229" s="42" t="s">
        <v>3584</v>
      </c>
      <c r="BE229" s="42" t="s">
        <v>3584</v>
      </c>
      <c r="BF229" s="43"/>
      <c r="BG229" s="43"/>
      <c r="BH229" s="45"/>
      <c r="BI229" s="43"/>
      <c r="BJ229" s="43"/>
      <c r="BK229" s="43"/>
      <c r="BL229" s="43"/>
      <c r="BM229" s="43"/>
      <c r="BN229" s="43"/>
      <c r="BO229" s="43"/>
      <c r="BP229" s="43"/>
      <c r="BQ229" s="45"/>
      <c r="BR229" s="45"/>
      <c r="BS229" s="43"/>
      <c r="BT229" s="45"/>
      <c r="BU229" s="43"/>
      <c r="BV229" s="43"/>
      <c r="BW229" s="43"/>
      <c r="BX229" s="43"/>
      <c r="BY229" s="43"/>
      <c r="BZ229" s="43"/>
      <c r="CA229" s="43"/>
      <c r="CB229" s="45"/>
      <c r="CC229" s="45"/>
      <c r="CD229" s="43"/>
      <c r="CE229" s="45"/>
      <c r="CF229" s="43"/>
      <c r="CG229" s="43"/>
      <c r="CH229" s="43"/>
      <c r="CI229" s="43"/>
      <c r="CJ229" s="43"/>
      <c r="CK229" s="45"/>
      <c r="CL229" s="45"/>
      <c r="CM229" s="43"/>
      <c r="CN229" s="43"/>
      <c r="CO229" s="47">
        <v>0.0055</v>
      </c>
      <c r="CP229" s="41">
        <v>93.0</v>
      </c>
      <c r="CQ229" s="47">
        <v>0.0</v>
      </c>
      <c r="CR229" s="47">
        <v>0.0</v>
      </c>
      <c r="CS229" s="47">
        <v>0.0109</v>
      </c>
      <c r="CT229" s="41">
        <v>98.0</v>
      </c>
      <c r="CU229" s="45"/>
      <c r="CV229" s="45"/>
      <c r="CW229" s="47">
        <v>0.0109</v>
      </c>
      <c r="CX229" s="41">
        <v>98.0</v>
      </c>
      <c r="CY229" s="41" t="s">
        <v>7734</v>
      </c>
      <c r="CZ229" s="41">
        <v>85.0</v>
      </c>
      <c r="DA229" s="41" t="s">
        <v>3598</v>
      </c>
      <c r="DB229" s="47">
        <v>0.0</v>
      </c>
      <c r="DC229" s="41" t="s">
        <v>7735</v>
      </c>
      <c r="DD229" s="41">
        <v>92.0</v>
      </c>
      <c r="DE229" s="45"/>
      <c r="DF229" s="45"/>
      <c r="DG229" s="41" t="s">
        <v>7735</v>
      </c>
      <c r="DH229" s="41">
        <v>91.0</v>
      </c>
      <c r="DI229" s="41">
        <v>440.0</v>
      </c>
      <c r="DJ229" s="41">
        <v>-7.0</v>
      </c>
      <c r="DK229" s="47">
        <v>-0.0157</v>
      </c>
      <c r="DL229" s="41">
        <v>254.0</v>
      </c>
      <c r="DM229" s="41">
        <v>1.0</v>
      </c>
      <c r="DN229" s="47">
        <v>0.004</v>
      </c>
      <c r="DO229" s="41" t="s">
        <v>5066</v>
      </c>
      <c r="DP229" s="46" t="s">
        <v>5960</v>
      </c>
      <c r="DQ229" s="45"/>
      <c r="DR229" s="45"/>
      <c r="DS229" s="45"/>
      <c r="DT229" s="45"/>
      <c r="DU229" s="45"/>
      <c r="DV229" s="45"/>
      <c r="DW229" s="43"/>
      <c r="DX229" s="45"/>
      <c r="DY229" s="43"/>
      <c r="DZ229" s="45"/>
      <c r="EA229" s="45"/>
      <c r="EB229" s="43"/>
      <c r="EC229" s="45"/>
      <c r="ED229" s="45"/>
      <c r="EE229" s="45"/>
      <c r="EF229" s="45"/>
      <c r="EG229" s="43"/>
      <c r="EH229" s="45"/>
      <c r="EI229" s="45"/>
      <c r="EJ229" s="45"/>
      <c r="EK229" s="43"/>
      <c r="EL229" s="45"/>
      <c r="EM229" s="45"/>
      <c r="EN229" s="45"/>
      <c r="EO229" s="45"/>
      <c r="EP229" s="48" t="s">
        <v>3559</v>
      </c>
    </row>
    <row r="230">
      <c r="A230" s="32">
        <v>0.04</v>
      </c>
      <c r="B230" s="35" t="s">
        <v>7736</v>
      </c>
      <c r="C230" s="35" t="s">
        <v>7737</v>
      </c>
      <c r="D230" s="34"/>
      <c r="E230" s="35" t="s">
        <v>7738</v>
      </c>
      <c r="F230" s="34"/>
      <c r="G230" s="35" t="s">
        <v>7739</v>
      </c>
      <c r="H230" s="35" t="s">
        <v>4560</v>
      </c>
      <c r="I230" s="35" t="s">
        <v>4561</v>
      </c>
      <c r="J230" s="35" t="s">
        <v>66</v>
      </c>
      <c r="K230" s="35" t="s">
        <v>7740</v>
      </c>
      <c r="L230" s="35" t="s">
        <v>7741</v>
      </c>
      <c r="M230" s="35" t="s">
        <v>7742</v>
      </c>
      <c r="N230" s="35" t="s">
        <v>5018</v>
      </c>
      <c r="O230" s="35" t="s">
        <v>7743</v>
      </c>
      <c r="P230" s="35"/>
      <c r="R230" s="35" t="s">
        <v>3571</v>
      </c>
      <c r="S230" s="35" t="s">
        <v>5020</v>
      </c>
      <c r="T230" s="35" t="s">
        <v>3573</v>
      </c>
      <c r="U230" s="36" t="s">
        <v>7744</v>
      </c>
      <c r="V230" s="34"/>
      <c r="W230" s="32">
        <v>6.0</v>
      </c>
      <c r="X230" s="35" t="s">
        <v>7745</v>
      </c>
      <c r="Y230" s="34"/>
      <c r="Z230" s="34"/>
      <c r="AA230" s="32">
        <v>2019.0</v>
      </c>
      <c r="AB230" s="34"/>
      <c r="AC230" s="34"/>
      <c r="AD230" s="34"/>
      <c r="AE230" s="37"/>
      <c r="AF230" s="37"/>
      <c r="AG230" s="37"/>
      <c r="AH230" s="37"/>
      <c r="AI230" s="37"/>
      <c r="AJ230" s="37"/>
      <c r="AK230" s="37"/>
      <c r="AL230" s="37"/>
      <c r="AM230" s="37"/>
      <c r="AN230" s="37"/>
      <c r="AO230" s="34"/>
      <c r="AP230" s="34"/>
      <c r="AQ230" s="34"/>
      <c r="AR230" s="34"/>
      <c r="AS230" s="34"/>
      <c r="AT230" s="35" t="s">
        <v>3581</v>
      </c>
      <c r="AU230" s="35" t="s">
        <v>7746</v>
      </c>
      <c r="AV230" s="34"/>
      <c r="AW230" s="35" t="s">
        <v>75</v>
      </c>
      <c r="AX230" s="34"/>
      <c r="AY230" s="37"/>
      <c r="AZ230" s="35" t="s">
        <v>41</v>
      </c>
      <c r="BA230" s="37"/>
      <c r="BB230" s="37"/>
      <c r="BC230" s="34"/>
      <c r="BD230" s="35" t="s">
        <v>3584</v>
      </c>
      <c r="BE230" s="35" t="s">
        <v>3584</v>
      </c>
      <c r="BF230" s="35" t="s">
        <v>7747</v>
      </c>
      <c r="BG230" s="34"/>
      <c r="BH230" s="37"/>
      <c r="BI230" s="35" t="s">
        <v>7748</v>
      </c>
      <c r="BJ230" s="35" t="s">
        <v>7749</v>
      </c>
      <c r="BK230" s="34"/>
      <c r="BL230" s="34"/>
      <c r="BM230" s="35" t="s">
        <v>7750</v>
      </c>
      <c r="BN230" s="34"/>
      <c r="BO230" s="34"/>
      <c r="BP230" s="34"/>
      <c r="BQ230" s="37"/>
      <c r="BR230" s="37"/>
      <c r="BS230" s="34"/>
      <c r="BT230" s="37"/>
      <c r="BU230" s="34"/>
      <c r="BV230" s="35" t="s">
        <v>3589</v>
      </c>
      <c r="BW230" s="34"/>
      <c r="BX230" s="34"/>
      <c r="BY230" s="35" t="s">
        <v>3590</v>
      </c>
      <c r="BZ230" s="34"/>
      <c r="CA230" s="35" t="s">
        <v>3591</v>
      </c>
      <c r="CB230" s="38" t="s">
        <v>7751</v>
      </c>
      <c r="CC230" s="37"/>
      <c r="CD230" s="34"/>
      <c r="CE230" s="37"/>
      <c r="CF230" s="34"/>
      <c r="CG230" s="35" t="s">
        <v>4977</v>
      </c>
      <c r="CH230" s="34"/>
      <c r="CI230" s="34"/>
      <c r="CJ230" s="35" t="s">
        <v>3663</v>
      </c>
      <c r="CK230" s="37"/>
      <c r="CL230" s="37"/>
      <c r="CM230" s="34"/>
      <c r="CN230" s="35" t="s">
        <v>3591</v>
      </c>
      <c r="CO230" s="37"/>
      <c r="CP230" s="37"/>
      <c r="CQ230" s="37"/>
      <c r="CR230" s="37"/>
      <c r="CS230" s="37"/>
      <c r="CT230" s="37"/>
      <c r="CU230" s="37"/>
      <c r="CV230" s="37"/>
      <c r="CW230" s="37"/>
      <c r="CX230" s="37"/>
      <c r="CY230" s="37"/>
      <c r="CZ230" s="37"/>
      <c r="DA230" s="37"/>
      <c r="DB230" s="37"/>
      <c r="DC230" s="37"/>
      <c r="DD230" s="37"/>
      <c r="DE230" s="37"/>
      <c r="DF230" s="37"/>
      <c r="DG230" s="37"/>
      <c r="DH230" s="37"/>
      <c r="DI230" s="37"/>
      <c r="DJ230" s="37"/>
      <c r="DK230" s="37"/>
      <c r="DL230" s="37"/>
      <c r="DM230" s="37"/>
      <c r="DN230" s="37"/>
      <c r="DO230" s="32" t="s">
        <v>3600</v>
      </c>
      <c r="DP230" s="38" t="s">
        <v>7752</v>
      </c>
      <c r="DQ230" s="37"/>
      <c r="DR230" s="37"/>
      <c r="DS230" s="37"/>
      <c r="DT230" s="37"/>
      <c r="DU230" s="37"/>
      <c r="DV230" s="37"/>
      <c r="DW230" s="34"/>
      <c r="DX230" s="37"/>
      <c r="DY230" s="34"/>
      <c r="DZ230" s="37"/>
      <c r="EA230" s="37"/>
      <c r="EB230" s="34"/>
      <c r="EC230" s="37"/>
      <c r="ED230" s="37"/>
      <c r="EE230" s="37"/>
      <c r="EF230" s="37"/>
      <c r="EG230" s="34"/>
      <c r="EH230" s="37"/>
      <c r="EI230" s="37"/>
      <c r="EJ230" s="37"/>
      <c r="EK230" s="34"/>
      <c r="EL230" s="37"/>
      <c r="EM230" s="37"/>
      <c r="EN230" s="37"/>
      <c r="EO230" s="37"/>
      <c r="EP230" s="40" t="s">
        <v>3559</v>
      </c>
    </row>
    <row r="231">
      <c r="A231" s="41">
        <v>961.0</v>
      </c>
      <c r="B231" s="42" t="s">
        <v>7753</v>
      </c>
      <c r="C231" s="42" t="s">
        <v>7754</v>
      </c>
      <c r="D231" s="42" t="s">
        <v>2108</v>
      </c>
      <c r="E231" s="42" t="s">
        <v>7755</v>
      </c>
      <c r="F231" s="42" t="s">
        <v>7756</v>
      </c>
      <c r="G231" s="42" t="s">
        <v>7757</v>
      </c>
      <c r="H231" s="42" t="s">
        <v>3563</v>
      </c>
      <c r="I231" s="42" t="s">
        <v>3564</v>
      </c>
      <c r="J231" s="42" t="s">
        <v>3565</v>
      </c>
      <c r="K231" s="42" t="s">
        <v>7758</v>
      </c>
      <c r="L231" s="42" t="s">
        <v>7759</v>
      </c>
      <c r="M231" s="42" t="s">
        <v>7760</v>
      </c>
      <c r="N231" s="42" t="s">
        <v>5075</v>
      </c>
      <c r="O231" s="42" t="s">
        <v>7761</v>
      </c>
      <c r="P231" s="42"/>
      <c r="R231" s="42" t="s">
        <v>5412</v>
      </c>
      <c r="S231" s="42" t="s">
        <v>5236</v>
      </c>
      <c r="T231" s="42" t="s">
        <v>6680</v>
      </c>
      <c r="U231" s="44" t="s">
        <v>7762</v>
      </c>
      <c r="V231" s="44" t="s">
        <v>7763</v>
      </c>
      <c r="W231" s="52">
        <v>3900.0</v>
      </c>
      <c r="X231" s="42" t="s">
        <v>7764</v>
      </c>
      <c r="Y231" s="42" t="s">
        <v>5241</v>
      </c>
      <c r="Z231" s="42" t="s">
        <v>7765</v>
      </c>
      <c r="AA231" s="41">
        <v>1999.0</v>
      </c>
      <c r="AB231" s="42" t="s">
        <v>7766</v>
      </c>
      <c r="AC231" s="43"/>
      <c r="AD231" s="42" t="s">
        <v>5243</v>
      </c>
      <c r="AE231" s="51">
        <v>1894.0</v>
      </c>
      <c r="AF231" s="41">
        <v>904.0</v>
      </c>
      <c r="AG231" s="41">
        <v>-392.0</v>
      </c>
      <c r="AH231" s="51">
        <v>6746.8</v>
      </c>
      <c r="AI231" s="41">
        <v>77.0</v>
      </c>
      <c r="AJ231" s="41">
        <v>-440.0</v>
      </c>
      <c r="AK231" s="51">
        <v>7299.55</v>
      </c>
      <c r="AL231" s="51">
        <v>-1836.0</v>
      </c>
      <c r="AM231" s="47">
        <v>0.1451</v>
      </c>
      <c r="AN231" s="41" t="s">
        <v>7767</v>
      </c>
      <c r="AO231" s="42" t="s">
        <v>7768</v>
      </c>
      <c r="AP231" s="42" t="s">
        <v>7769</v>
      </c>
      <c r="AQ231" s="42" t="s">
        <v>7770</v>
      </c>
      <c r="AR231" s="42" t="s">
        <v>7771</v>
      </c>
      <c r="AS231" s="43" t="str">
        <f>+972 (0)2 541 7333</f>
        <v>#ERROR!</v>
      </c>
      <c r="AT231" s="42" t="s">
        <v>3654</v>
      </c>
      <c r="AU231" s="42" t="s">
        <v>7772</v>
      </c>
      <c r="AV231" s="42" t="s">
        <v>7773</v>
      </c>
      <c r="AW231" s="42" t="s">
        <v>147</v>
      </c>
      <c r="AX231" s="43"/>
      <c r="AY231" s="41">
        <v>9777019.0</v>
      </c>
      <c r="AZ231" s="42" t="s">
        <v>41</v>
      </c>
      <c r="BA231" s="45" t="str">
        <f>+972 (0)2 541 7333</f>
        <v>#ERROR!</v>
      </c>
      <c r="BB231" s="45" t="str">
        <f>+972 (0)2 541 7300</f>
        <v>#ERROR!</v>
      </c>
      <c r="BC231" s="42" t="s">
        <v>2117</v>
      </c>
      <c r="BD231" s="42" t="s">
        <v>3584</v>
      </c>
      <c r="BE231" s="42" t="s">
        <v>3584</v>
      </c>
      <c r="BF231" s="42" t="s">
        <v>7774</v>
      </c>
      <c r="BG231" s="42" t="s">
        <v>7775</v>
      </c>
      <c r="BH231" s="41">
        <v>2.0</v>
      </c>
      <c r="BI231" s="43"/>
      <c r="BJ231" s="42" t="s">
        <v>7776</v>
      </c>
      <c r="BK231" s="43"/>
      <c r="BL231" s="42" t="s">
        <v>7777</v>
      </c>
      <c r="BM231" s="42" t="s">
        <v>7778</v>
      </c>
      <c r="BN231" s="43"/>
      <c r="BO231" s="42" t="s">
        <v>7779</v>
      </c>
      <c r="BP231" s="42" t="s">
        <v>7780</v>
      </c>
      <c r="BQ231" s="45"/>
      <c r="BR231" s="45"/>
      <c r="BS231" s="43"/>
      <c r="BT231" s="45"/>
      <c r="BU231" s="43"/>
      <c r="BV231" s="42" t="s">
        <v>3669</v>
      </c>
      <c r="BW231" s="43"/>
      <c r="BX231" s="43"/>
      <c r="BY231" s="42" t="s">
        <v>3573</v>
      </c>
      <c r="BZ231" s="43"/>
      <c r="CA231" s="42" t="s">
        <v>3591</v>
      </c>
      <c r="CB231" s="46" t="s">
        <v>7781</v>
      </c>
      <c r="CC231" s="41">
        <v>825.0</v>
      </c>
      <c r="CD231" s="42" t="s">
        <v>3593</v>
      </c>
      <c r="CE231" s="45"/>
      <c r="CF231" s="43"/>
      <c r="CG231" s="42" t="s">
        <v>7782</v>
      </c>
      <c r="CH231" s="43"/>
      <c r="CI231" s="43"/>
      <c r="CJ231" s="43"/>
      <c r="CK231" s="46" t="s">
        <v>7783</v>
      </c>
      <c r="CL231" s="45"/>
      <c r="CM231" s="43"/>
      <c r="CN231" s="42" t="s">
        <v>3591</v>
      </c>
      <c r="CO231" s="47">
        <v>-0.0187</v>
      </c>
      <c r="CP231" s="41">
        <v>4.0</v>
      </c>
      <c r="CQ231" s="47">
        <v>0.0</v>
      </c>
      <c r="CR231" s="47">
        <v>0.0</v>
      </c>
      <c r="CS231" s="47">
        <v>-0.0187</v>
      </c>
      <c r="CT231" s="41">
        <v>4.0</v>
      </c>
      <c r="CU231" s="47">
        <v>-0.0302</v>
      </c>
      <c r="CV231" s="41">
        <v>5.0</v>
      </c>
      <c r="CW231" s="47">
        <v>-0.0073</v>
      </c>
      <c r="CX231" s="41">
        <v>6.0</v>
      </c>
      <c r="CY231" s="41" t="s">
        <v>7784</v>
      </c>
      <c r="CZ231" s="41">
        <v>99.0</v>
      </c>
      <c r="DA231" s="41" t="s">
        <v>3598</v>
      </c>
      <c r="DB231" s="47">
        <v>0.0</v>
      </c>
      <c r="DC231" s="41" t="s">
        <v>7784</v>
      </c>
      <c r="DD231" s="41">
        <v>99.0</v>
      </c>
      <c r="DE231" s="41" t="s">
        <v>7785</v>
      </c>
      <c r="DF231" s="41">
        <v>95.0</v>
      </c>
      <c r="DG231" s="41" t="s">
        <v>7786</v>
      </c>
      <c r="DH231" s="41">
        <v>100.0</v>
      </c>
      <c r="DI231" s="52">
        <v>6990.0</v>
      </c>
      <c r="DJ231" s="41">
        <v>-339.0</v>
      </c>
      <c r="DK231" s="47">
        <v>-0.0463</v>
      </c>
      <c r="DL231" s="52">
        <v>3233.0</v>
      </c>
      <c r="DM231" s="41">
        <v>-14.0</v>
      </c>
      <c r="DN231" s="47">
        <v>-0.0043</v>
      </c>
      <c r="DO231" s="41" t="s">
        <v>3600</v>
      </c>
      <c r="DP231" s="46" t="s">
        <v>4020</v>
      </c>
      <c r="DQ231" s="52">
        <v>2059.0</v>
      </c>
      <c r="DR231" s="41">
        <v>340.0</v>
      </c>
      <c r="DS231" s="52">
        <v>1281.0</v>
      </c>
      <c r="DT231" s="41">
        <v>434.0</v>
      </c>
      <c r="DU231" s="41">
        <v>29.0</v>
      </c>
      <c r="DV231" s="41">
        <v>344.0</v>
      </c>
      <c r="DW231" s="42" t="s">
        <v>7787</v>
      </c>
      <c r="DX231" s="45"/>
      <c r="DY231" s="43"/>
      <c r="DZ231" s="45"/>
      <c r="EA231" s="45"/>
      <c r="EB231" s="43"/>
      <c r="EC231" s="45"/>
      <c r="ED231" s="45"/>
      <c r="EE231" s="51">
        <v>16711.0</v>
      </c>
      <c r="EF231" s="46" t="s">
        <v>7788</v>
      </c>
      <c r="EG231" s="42" t="s">
        <v>4532</v>
      </c>
      <c r="EH231" s="45"/>
      <c r="EI231" s="45"/>
      <c r="EJ231" s="45"/>
      <c r="EK231" s="43"/>
      <c r="EL231" s="45"/>
      <c r="EM231" s="45"/>
      <c r="EN231" s="45"/>
      <c r="EO231" s="45"/>
      <c r="EP231" s="48" t="s">
        <v>3559</v>
      </c>
    </row>
    <row r="232">
      <c r="A232" s="37"/>
      <c r="B232" s="35" t="s">
        <v>7789</v>
      </c>
      <c r="C232" s="34"/>
      <c r="D232" s="34"/>
      <c r="E232" s="35" t="s">
        <v>7790</v>
      </c>
      <c r="F232" s="34"/>
      <c r="G232" s="35" t="s">
        <v>7791</v>
      </c>
      <c r="H232" s="35" t="s">
        <v>30</v>
      </c>
      <c r="I232" s="35" t="s">
        <v>7792</v>
      </c>
      <c r="J232" s="35" t="s">
        <v>7793</v>
      </c>
      <c r="K232" s="35" t="s">
        <v>7794</v>
      </c>
      <c r="L232" s="35" t="s">
        <v>7279</v>
      </c>
      <c r="M232" s="35" t="s">
        <v>7795</v>
      </c>
      <c r="N232" s="35" t="s">
        <v>4923</v>
      </c>
      <c r="O232" s="35" t="s">
        <v>7796</v>
      </c>
      <c r="P232" s="35"/>
      <c r="R232" s="35" t="s">
        <v>3571</v>
      </c>
      <c r="S232" s="35" t="s">
        <v>4925</v>
      </c>
      <c r="T232" s="35" t="s">
        <v>5147</v>
      </c>
      <c r="U232" s="36" t="s">
        <v>7797</v>
      </c>
      <c r="V232" s="36" t="s">
        <v>7798</v>
      </c>
      <c r="W232" s="32">
        <v>2.0</v>
      </c>
      <c r="X232" s="35" t="s">
        <v>6401</v>
      </c>
      <c r="Y232" s="34"/>
      <c r="Z232" s="34"/>
      <c r="AA232" s="32">
        <v>2024.0</v>
      </c>
      <c r="AB232" s="34"/>
      <c r="AC232" s="34"/>
      <c r="AD232" s="34"/>
      <c r="AE232" s="37"/>
      <c r="AF232" s="37"/>
      <c r="AG232" s="37"/>
      <c r="AH232" s="37"/>
      <c r="AI232" s="37"/>
      <c r="AJ232" s="37"/>
      <c r="AK232" s="37"/>
      <c r="AL232" s="37"/>
      <c r="AM232" s="37"/>
      <c r="AN232" s="37"/>
      <c r="AO232" s="35" t="s">
        <v>7799</v>
      </c>
      <c r="AP232" s="35" t="s">
        <v>7800</v>
      </c>
      <c r="AQ232" s="35" t="s">
        <v>265</v>
      </c>
      <c r="AR232" s="34"/>
      <c r="AS232" s="34"/>
      <c r="AT232" s="35" t="s">
        <v>3581</v>
      </c>
      <c r="AU232" s="34"/>
      <c r="AV232" s="34"/>
      <c r="AW232" s="35" t="s">
        <v>75</v>
      </c>
      <c r="AX232" s="34"/>
      <c r="AY232" s="37"/>
      <c r="AZ232" s="35" t="s">
        <v>41</v>
      </c>
      <c r="BA232" s="37"/>
      <c r="BB232" s="37"/>
      <c r="BC232" s="35" t="s">
        <v>2318</v>
      </c>
      <c r="BD232" s="35" t="s">
        <v>3584</v>
      </c>
      <c r="BE232" s="35" t="s">
        <v>3584</v>
      </c>
      <c r="BF232" s="34"/>
      <c r="BG232" s="34"/>
      <c r="BH232" s="37"/>
      <c r="BI232" s="34"/>
      <c r="BJ232" s="34"/>
      <c r="BK232" s="34"/>
      <c r="BL232" s="34"/>
      <c r="BM232" s="34"/>
      <c r="BN232" s="34"/>
      <c r="BO232" s="34"/>
      <c r="BP232" s="34"/>
      <c r="BQ232" s="37"/>
      <c r="BR232" s="37"/>
      <c r="BS232" s="34"/>
      <c r="BT232" s="37"/>
      <c r="BU232" s="34"/>
      <c r="BV232" s="34"/>
      <c r="BW232" s="34"/>
      <c r="BX232" s="34"/>
      <c r="BY232" s="34"/>
      <c r="BZ232" s="34"/>
      <c r="CA232" s="34"/>
      <c r="CB232" s="37"/>
      <c r="CC232" s="37"/>
      <c r="CD232" s="34"/>
      <c r="CE232" s="37"/>
      <c r="CF232" s="34"/>
      <c r="CG232" s="34"/>
      <c r="CH232" s="34"/>
      <c r="CI232" s="34"/>
      <c r="CJ232" s="34"/>
      <c r="CK232" s="37"/>
      <c r="CL232" s="37"/>
      <c r="CM232" s="34"/>
      <c r="CN232" s="34"/>
      <c r="CO232" s="39">
        <v>0.0</v>
      </c>
      <c r="CP232" s="32">
        <v>14.0</v>
      </c>
      <c r="CQ232" s="39">
        <v>0.0</v>
      </c>
      <c r="CR232" s="39">
        <v>0.0</v>
      </c>
      <c r="CS232" s="39">
        <v>0.0</v>
      </c>
      <c r="CT232" s="32">
        <v>12.0</v>
      </c>
      <c r="CU232" s="37"/>
      <c r="CV232" s="37"/>
      <c r="CW232" s="39">
        <v>0.0</v>
      </c>
      <c r="CX232" s="32">
        <v>12.0</v>
      </c>
      <c r="CY232" s="32" t="s">
        <v>7801</v>
      </c>
      <c r="CZ232" s="32">
        <v>10.0</v>
      </c>
      <c r="DA232" s="32" t="s">
        <v>3598</v>
      </c>
      <c r="DB232" s="39">
        <v>0.0</v>
      </c>
      <c r="DC232" s="32" t="s">
        <v>7801</v>
      </c>
      <c r="DD232" s="32">
        <v>11.0</v>
      </c>
      <c r="DE232" s="37"/>
      <c r="DF232" s="37"/>
      <c r="DG232" s="32" t="s">
        <v>7801</v>
      </c>
      <c r="DH232" s="32">
        <v>10.0</v>
      </c>
      <c r="DI232" s="37"/>
      <c r="DJ232" s="37"/>
      <c r="DK232" s="37"/>
      <c r="DL232" s="32">
        <v>7.0</v>
      </c>
      <c r="DM232" s="32">
        <v>0.0</v>
      </c>
      <c r="DN232" s="39">
        <v>0.0</v>
      </c>
      <c r="DO232" s="32" t="s">
        <v>3600</v>
      </c>
      <c r="DP232" s="38" t="s">
        <v>6031</v>
      </c>
      <c r="DQ232" s="37"/>
      <c r="DR232" s="37"/>
      <c r="DS232" s="37"/>
      <c r="DT232" s="37"/>
      <c r="DU232" s="37"/>
      <c r="DV232" s="37"/>
      <c r="DW232" s="34"/>
      <c r="DX232" s="37"/>
      <c r="DY232" s="34"/>
      <c r="DZ232" s="37"/>
      <c r="EA232" s="37"/>
      <c r="EB232" s="34"/>
      <c r="EC232" s="37"/>
      <c r="ED232" s="37"/>
      <c r="EE232" s="37"/>
      <c r="EF232" s="37"/>
      <c r="EG232" s="34"/>
      <c r="EH232" s="37"/>
      <c r="EI232" s="37"/>
      <c r="EJ232" s="37"/>
      <c r="EK232" s="35" t="s">
        <v>4248</v>
      </c>
      <c r="EL232" s="37"/>
      <c r="EM232" s="37"/>
      <c r="EN232" s="37"/>
      <c r="EO232" s="37"/>
      <c r="EP232" s="40" t="s">
        <v>3559</v>
      </c>
    </row>
    <row r="233">
      <c r="A233" s="41">
        <v>133.0</v>
      </c>
      <c r="B233" s="42" t="s">
        <v>7802</v>
      </c>
      <c r="C233" s="43"/>
      <c r="D233" s="42" t="s">
        <v>1473</v>
      </c>
      <c r="E233" s="42" t="s">
        <v>7803</v>
      </c>
      <c r="F233" s="42" t="s">
        <v>7804</v>
      </c>
      <c r="G233" s="42" t="s">
        <v>7805</v>
      </c>
      <c r="H233" s="42" t="s">
        <v>3563</v>
      </c>
      <c r="I233" s="42" t="s">
        <v>3564</v>
      </c>
      <c r="J233" s="42" t="s">
        <v>3565</v>
      </c>
      <c r="K233" s="42" t="s">
        <v>7806</v>
      </c>
      <c r="L233" s="42" t="s">
        <v>7260</v>
      </c>
      <c r="M233" s="42" t="s">
        <v>7807</v>
      </c>
      <c r="N233" s="42" t="s">
        <v>5018</v>
      </c>
      <c r="O233" s="42" t="s">
        <v>7808</v>
      </c>
      <c r="P233" s="42"/>
      <c r="R233" s="42" t="s">
        <v>3571</v>
      </c>
      <c r="S233" s="42" t="s">
        <v>4964</v>
      </c>
      <c r="T233" s="42" t="s">
        <v>3573</v>
      </c>
      <c r="U233" s="44" t="s">
        <v>7809</v>
      </c>
      <c r="V233" s="44" t="s">
        <v>7810</v>
      </c>
      <c r="W233" s="41">
        <v>225.0</v>
      </c>
      <c r="X233" s="42" t="s">
        <v>7811</v>
      </c>
      <c r="Y233" s="43"/>
      <c r="Z233" s="43"/>
      <c r="AA233" s="41">
        <v>2011.0</v>
      </c>
      <c r="AB233" s="42" t="s">
        <v>7766</v>
      </c>
      <c r="AC233" s="43"/>
      <c r="AD233" s="43"/>
      <c r="AE233" s="41">
        <v>5.91</v>
      </c>
      <c r="AF233" s="45"/>
      <c r="AG233" s="45"/>
      <c r="AH233" s="45"/>
      <c r="AI233" s="45"/>
      <c r="AJ233" s="45"/>
      <c r="AK233" s="45"/>
      <c r="AL233" s="45"/>
      <c r="AM233" s="45"/>
      <c r="AN233" s="41" t="s">
        <v>5383</v>
      </c>
      <c r="AO233" s="42" t="s">
        <v>7812</v>
      </c>
      <c r="AP233" s="42" t="s">
        <v>7813</v>
      </c>
      <c r="AQ233" s="42" t="s">
        <v>4093</v>
      </c>
      <c r="AR233" s="42" t="s">
        <v>1476</v>
      </c>
      <c r="AS233" s="43" t="str">
        <f>+972 (0)8 621 3146</f>
        <v>#ERROR!</v>
      </c>
      <c r="AT233" s="42" t="s">
        <v>4368</v>
      </c>
      <c r="AU233" s="42" t="s">
        <v>7814</v>
      </c>
      <c r="AV233" s="43"/>
      <c r="AW233" s="42" t="s">
        <v>1037</v>
      </c>
      <c r="AX233" s="43"/>
      <c r="AY233" s="41">
        <v>7403635.0</v>
      </c>
      <c r="AZ233" s="42" t="s">
        <v>41</v>
      </c>
      <c r="BA233" s="45" t="str">
        <f>+972 (0)8 621 3146</f>
        <v>#ERROR!</v>
      </c>
      <c r="BB233" s="45" t="str">
        <f>+972 (0)8 621 3145</f>
        <v>#ERROR!</v>
      </c>
      <c r="BC233" s="42" t="s">
        <v>7815</v>
      </c>
      <c r="BD233" s="42" t="s">
        <v>3584</v>
      </c>
      <c r="BE233" s="42" t="s">
        <v>3584</v>
      </c>
      <c r="BF233" s="42" t="s">
        <v>7816</v>
      </c>
      <c r="BG233" s="43"/>
      <c r="BH233" s="45"/>
      <c r="BI233" s="42" t="s">
        <v>7766</v>
      </c>
      <c r="BJ233" s="42" t="s">
        <v>7817</v>
      </c>
      <c r="BK233" s="43"/>
      <c r="BL233" s="43"/>
      <c r="BM233" s="42" t="s">
        <v>7818</v>
      </c>
      <c r="BN233" s="43"/>
      <c r="BO233" s="42" t="s">
        <v>6280</v>
      </c>
      <c r="BP233" s="42" t="s">
        <v>7819</v>
      </c>
      <c r="BQ233" s="46" t="s">
        <v>7820</v>
      </c>
      <c r="BR233" s="41">
        <v>3.5</v>
      </c>
      <c r="BS233" s="42" t="s">
        <v>3593</v>
      </c>
      <c r="BT233" s="45"/>
      <c r="BU233" s="43"/>
      <c r="BV233" s="42" t="s">
        <v>3669</v>
      </c>
      <c r="BW233" s="42" t="s">
        <v>3595</v>
      </c>
      <c r="BX233" s="43"/>
      <c r="BY233" s="42" t="s">
        <v>3573</v>
      </c>
      <c r="BZ233" s="43"/>
      <c r="CA233" s="42" t="s">
        <v>3591</v>
      </c>
      <c r="CB233" s="46" t="s">
        <v>7821</v>
      </c>
      <c r="CC233" s="41">
        <v>915.0</v>
      </c>
      <c r="CD233" s="42" t="s">
        <v>3593</v>
      </c>
      <c r="CE233" s="41">
        <v>915.0</v>
      </c>
      <c r="CF233" s="42" t="s">
        <v>3697</v>
      </c>
      <c r="CG233" s="42" t="s">
        <v>4977</v>
      </c>
      <c r="CH233" s="43"/>
      <c r="CI233" s="43"/>
      <c r="CJ233" s="42" t="s">
        <v>3663</v>
      </c>
      <c r="CK233" s="45"/>
      <c r="CL233" s="45"/>
      <c r="CM233" s="43"/>
      <c r="CN233" s="42" t="s">
        <v>3591</v>
      </c>
      <c r="CO233" s="45"/>
      <c r="CP233" s="45"/>
      <c r="CQ233" s="45"/>
      <c r="CR233" s="45"/>
      <c r="CS233" s="45"/>
      <c r="CT233" s="45"/>
      <c r="CU233" s="45"/>
      <c r="CV233" s="45"/>
      <c r="CW233" s="45"/>
      <c r="CX233" s="45"/>
      <c r="CY233" s="45"/>
      <c r="CZ233" s="45"/>
      <c r="DA233" s="45"/>
      <c r="DB233" s="45"/>
      <c r="DC233" s="45"/>
      <c r="DD233" s="45"/>
      <c r="DE233" s="45"/>
      <c r="DF233" s="45"/>
      <c r="DG233" s="45"/>
      <c r="DH233" s="45"/>
      <c r="DI233" s="45"/>
      <c r="DJ233" s="45"/>
      <c r="DK233" s="45"/>
      <c r="DL233" s="45"/>
      <c r="DM233" s="45"/>
      <c r="DN233" s="45"/>
      <c r="DO233" s="41" t="s">
        <v>3600</v>
      </c>
      <c r="DP233" s="46" t="s">
        <v>7822</v>
      </c>
      <c r="DQ233" s="41">
        <v>50.0</v>
      </c>
      <c r="DR233" s="41">
        <v>8.0</v>
      </c>
      <c r="DS233" s="41">
        <v>22.0</v>
      </c>
      <c r="DT233" s="41">
        <v>4.0</v>
      </c>
      <c r="DU233" s="45"/>
      <c r="DV233" s="41">
        <v>24.0</v>
      </c>
      <c r="DW233" s="42" t="s">
        <v>7823</v>
      </c>
      <c r="DX233" s="45"/>
      <c r="DY233" s="43"/>
      <c r="DZ233" s="45"/>
      <c r="EA233" s="45"/>
      <c r="EB233" s="43"/>
      <c r="EC233" s="45"/>
      <c r="ED233" s="45"/>
      <c r="EE233" s="41">
        <v>915.0</v>
      </c>
      <c r="EF233" s="46" t="s">
        <v>7821</v>
      </c>
      <c r="EG233" s="42" t="s">
        <v>4977</v>
      </c>
      <c r="EH233" s="45"/>
      <c r="EI233" s="45"/>
      <c r="EJ233" s="45"/>
      <c r="EK233" s="43"/>
      <c r="EL233" s="45"/>
      <c r="EM233" s="45"/>
      <c r="EN233" s="41">
        <v>0.82</v>
      </c>
      <c r="EO233" s="41">
        <v>0.82</v>
      </c>
      <c r="EP233" s="48" t="s">
        <v>3559</v>
      </c>
    </row>
    <row r="234">
      <c r="A234" s="37"/>
      <c r="B234" s="35" t="s">
        <v>7824</v>
      </c>
      <c r="C234" s="35" t="s">
        <v>7825</v>
      </c>
      <c r="D234" s="34"/>
      <c r="E234" s="35" t="s">
        <v>7826</v>
      </c>
      <c r="F234" s="35" t="s">
        <v>7827</v>
      </c>
      <c r="G234" s="35" t="s">
        <v>7828</v>
      </c>
      <c r="H234" s="35" t="s">
        <v>3867</v>
      </c>
      <c r="I234" s="35" t="s">
        <v>3868</v>
      </c>
      <c r="J234" s="35" t="s">
        <v>3869</v>
      </c>
      <c r="K234" s="35" t="s">
        <v>4024</v>
      </c>
      <c r="L234" s="35" t="s">
        <v>4986</v>
      </c>
      <c r="M234" s="35" t="s">
        <v>7829</v>
      </c>
      <c r="N234" s="35" t="s">
        <v>4389</v>
      </c>
      <c r="O234" s="35" t="s">
        <v>7830</v>
      </c>
      <c r="P234" s="35"/>
      <c r="R234" s="35" t="s">
        <v>3571</v>
      </c>
      <c r="S234" s="35" t="s">
        <v>3572</v>
      </c>
      <c r="T234" s="35" t="s">
        <v>4989</v>
      </c>
      <c r="U234" s="36" t="s">
        <v>7831</v>
      </c>
      <c r="V234" s="36" t="s">
        <v>7832</v>
      </c>
      <c r="W234" s="32">
        <v>59.0</v>
      </c>
      <c r="X234" s="53">
        <v>84.24930555555555</v>
      </c>
      <c r="Y234" s="34"/>
      <c r="Z234" s="34"/>
      <c r="AA234" s="32">
        <v>1958.0</v>
      </c>
      <c r="AB234" s="34"/>
      <c r="AC234" s="34"/>
      <c r="AD234" s="34"/>
      <c r="AE234" s="37"/>
      <c r="AF234" s="37"/>
      <c r="AG234" s="37"/>
      <c r="AH234" s="37"/>
      <c r="AI234" s="37"/>
      <c r="AJ234" s="37"/>
      <c r="AK234" s="37"/>
      <c r="AL234" s="37"/>
      <c r="AM234" s="37"/>
      <c r="AN234" s="37"/>
      <c r="AO234" s="35" t="s">
        <v>7833</v>
      </c>
      <c r="AP234" s="35" t="s">
        <v>7834</v>
      </c>
      <c r="AQ234" s="35" t="s">
        <v>7835</v>
      </c>
      <c r="AR234" s="35" t="s">
        <v>7836</v>
      </c>
      <c r="AS234" s="34" t="str">
        <f>+972 (0)4 955 3232</f>
        <v>#ERROR!</v>
      </c>
      <c r="AT234" s="35" t="s">
        <v>7837</v>
      </c>
      <c r="AU234" s="35" t="s">
        <v>7838</v>
      </c>
      <c r="AV234" s="34"/>
      <c r="AW234" s="35" t="s">
        <v>1127</v>
      </c>
      <c r="AX234" s="34"/>
      <c r="AY234" s="32">
        <v>20156.0</v>
      </c>
      <c r="AZ234" s="35" t="s">
        <v>41</v>
      </c>
      <c r="BA234" s="37" t="str">
        <f>+972 (0)4 955 3232</f>
        <v>#ERROR!</v>
      </c>
      <c r="BB234" s="37"/>
      <c r="BC234" s="35" t="s">
        <v>7839</v>
      </c>
      <c r="BD234" s="35" t="s">
        <v>3584</v>
      </c>
      <c r="BE234" s="35" t="s">
        <v>3584</v>
      </c>
      <c r="BF234" s="35" t="s">
        <v>7840</v>
      </c>
      <c r="BG234" s="35" t="s">
        <v>5834</v>
      </c>
      <c r="BH234" s="32">
        <v>1.0</v>
      </c>
      <c r="BI234" s="34"/>
      <c r="BJ234" s="35" t="s">
        <v>7841</v>
      </c>
      <c r="BK234" s="34"/>
      <c r="BL234" s="35" t="s">
        <v>5835</v>
      </c>
      <c r="BM234" s="35" t="s">
        <v>7842</v>
      </c>
      <c r="BN234" s="34"/>
      <c r="BO234" s="34"/>
      <c r="BP234" s="34"/>
      <c r="BQ234" s="38" t="s">
        <v>7843</v>
      </c>
      <c r="BR234" s="32">
        <v>20.4</v>
      </c>
      <c r="BS234" s="35" t="s">
        <v>3593</v>
      </c>
      <c r="BT234" s="32">
        <v>21.14</v>
      </c>
      <c r="BU234" s="35" t="s">
        <v>3697</v>
      </c>
      <c r="BV234" s="35" t="s">
        <v>5005</v>
      </c>
      <c r="BW234" s="34"/>
      <c r="BX234" s="34"/>
      <c r="BY234" s="35" t="s">
        <v>4989</v>
      </c>
      <c r="BZ234" s="34"/>
      <c r="CA234" s="35" t="s">
        <v>3591</v>
      </c>
      <c r="CB234" s="38" t="s">
        <v>7844</v>
      </c>
      <c r="CC234" s="32">
        <v>159.0</v>
      </c>
      <c r="CD234" s="35" t="s">
        <v>3697</v>
      </c>
      <c r="CE234" s="32">
        <v>159.0</v>
      </c>
      <c r="CF234" s="35" t="s">
        <v>3697</v>
      </c>
      <c r="CG234" s="35" t="s">
        <v>5005</v>
      </c>
      <c r="CH234" s="35" t="s">
        <v>7845</v>
      </c>
      <c r="CI234" s="34"/>
      <c r="CJ234" s="35" t="s">
        <v>4989</v>
      </c>
      <c r="CK234" s="37"/>
      <c r="CL234" s="37"/>
      <c r="CM234" s="34"/>
      <c r="CN234" s="35" t="s">
        <v>3591</v>
      </c>
      <c r="CO234" s="37"/>
      <c r="CP234" s="37"/>
      <c r="CQ234" s="37"/>
      <c r="CR234" s="37"/>
      <c r="CS234" s="37"/>
      <c r="CT234" s="37"/>
      <c r="CU234" s="37"/>
      <c r="CV234" s="37"/>
      <c r="CW234" s="37"/>
      <c r="CX234" s="37"/>
      <c r="CY234" s="37"/>
      <c r="CZ234" s="37"/>
      <c r="DA234" s="37"/>
      <c r="DB234" s="37"/>
      <c r="DC234" s="37"/>
      <c r="DD234" s="37"/>
      <c r="DE234" s="37"/>
      <c r="DF234" s="37"/>
      <c r="DG234" s="37"/>
      <c r="DH234" s="37"/>
      <c r="DI234" s="37"/>
      <c r="DJ234" s="37"/>
      <c r="DK234" s="37"/>
      <c r="DL234" s="37"/>
      <c r="DM234" s="37"/>
      <c r="DN234" s="37"/>
      <c r="DO234" s="32" t="s">
        <v>3600</v>
      </c>
      <c r="DP234" s="38" t="s">
        <v>3804</v>
      </c>
      <c r="DQ234" s="37"/>
      <c r="DR234" s="37"/>
      <c r="DS234" s="37"/>
      <c r="DT234" s="37"/>
      <c r="DU234" s="37"/>
      <c r="DV234" s="37"/>
      <c r="DW234" s="34"/>
      <c r="DX234" s="37"/>
      <c r="DY234" s="34"/>
      <c r="DZ234" s="37"/>
      <c r="EA234" s="37"/>
      <c r="EB234" s="34"/>
      <c r="EC234" s="37"/>
      <c r="ED234" s="37"/>
      <c r="EE234" s="32">
        <v>159.0</v>
      </c>
      <c r="EF234" s="38" t="s">
        <v>7844</v>
      </c>
      <c r="EG234" s="35" t="s">
        <v>5005</v>
      </c>
      <c r="EH234" s="37"/>
      <c r="EI234" s="37"/>
      <c r="EJ234" s="37"/>
      <c r="EK234" s="34"/>
      <c r="EL234" s="37"/>
      <c r="EM234" s="37"/>
      <c r="EN234" s="37"/>
      <c r="EO234" s="37"/>
      <c r="EP234" s="40" t="s">
        <v>3559</v>
      </c>
    </row>
    <row r="235">
      <c r="A235" s="45"/>
      <c r="B235" s="42" t="s">
        <v>7846</v>
      </c>
      <c r="C235" s="43"/>
      <c r="D235" s="43"/>
      <c r="E235" s="42" t="s">
        <v>7847</v>
      </c>
      <c r="F235" s="43"/>
      <c r="G235" s="42" t="s">
        <v>7848</v>
      </c>
      <c r="H235" s="42" t="s">
        <v>4560</v>
      </c>
      <c r="I235" s="42" t="s">
        <v>4561</v>
      </c>
      <c r="J235" s="42" t="s">
        <v>66</v>
      </c>
      <c r="K235" s="42" t="s">
        <v>6997</v>
      </c>
      <c r="L235" s="42" t="s">
        <v>7849</v>
      </c>
      <c r="M235" s="42" t="s">
        <v>7850</v>
      </c>
      <c r="N235" s="42" t="s">
        <v>5145</v>
      </c>
      <c r="O235" s="42" t="s">
        <v>7851</v>
      </c>
      <c r="P235" s="42"/>
      <c r="R235" s="42" t="s">
        <v>3571</v>
      </c>
      <c r="S235" s="42" t="s">
        <v>3572</v>
      </c>
      <c r="T235" s="42" t="s">
        <v>5147</v>
      </c>
      <c r="U235" s="44" t="s">
        <v>7852</v>
      </c>
      <c r="V235" s="44" t="s">
        <v>7853</v>
      </c>
      <c r="W235" s="41">
        <v>2.0</v>
      </c>
      <c r="X235" s="42" t="s">
        <v>7854</v>
      </c>
      <c r="Y235" s="43"/>
      <c r="Z235" s="43"/>
      <c r="AA235" s="41">
        <v>2023.0</v>
      </c>
      <c r="AB235" s="43"/>
      <c r="AC235" s="43"/>
      <c r="AD235" s="43"/>
      <c r="AE235" s="45"/>
      <c r="AF235" s="45"/>
      <c r="AG235" s="45"/>
      <c r="AH235" s="45"/>
      <c r="AI235" s="45"/>
      <c r="AJ235" s="45"/>
      <c r="AK235" s="45"/>
      <c r="AL235" s="45"/>
      <c r="AM235" s="45"/>
      <c r="AN235" s="45"/>
      <c r="AO235" s="42" t="s">
        <v>7855</v>
      </c>
      <c r="AP235" s="42" t="s">
        <v>7856</v>
      </c>
      <c r="AQ235" s="42" t="s">
        <v>4312</v>
      </c>
      <c r="AR235" s="42" t="s">
        <v>7857</v>
      </c>
      <c r="AS235" s="43"/>
      <c r="AT235" s="42" t="s">
        <v>3581</v>
      </c>
      <c r="AU235" s="43"/>
      <c r="AV235" s="43"/>
      <c r="AW235" s="42" t="s">
        <v>75</v>
      </c>
      <c r="AX235" s="43"/>
      <c r="AY235" s="45"/>
      <c r="AZ235" s="42" t="s">
        <v>41</v>
      </c>
      <c r="BA235" s="45"/>
      <c r="BB235" s="45"/>
      <c r="BC235" s="43"/>
      <c r="BD235" s="42" t="s">
        <v>3584</v>
      </c>
      <c r="BE235" s="42" t="s">
        <v>3584</v>
      </c>
      <c r="BF235" s="42" t="s">
        <v>7858</v>
      </c>
      <c r="BG235" s="42" t="s">
        <v>7859</v>
      </c>
      <c r="BH235" s="41">
        <v>1.0</v>
      </c>
      <c r="BI235" s="43"/>
      <c r="BJ235" s="43"/>
      <c r="BK235" s="43"/>
      <c r="BL235" s="42" t="s">
        <v>7860</v>
      </c>
      <c r="BM235" s="43"/>
      <c r="BN235" s="43"/>
      <c r="BO235" s="43"/>
      <c r="BP235" s="43"/>
      <c r="BQ235" s="46" t="s">
        <v>7861</v>
      </c>
      <c r="BR235" s="45"/>
      <c r="BS235" s="43"/>
      <c r="BT235" s="45"/>
      <c r="BU235" s="43"/>
      <c r="BV235" s="42" t="s">
        <v>3589</v>
      </c>
      <c r="BW235" s="43"/>
      <c r="BX235" s="43"/>
      <c r="BY235" s="42" t="s">
        <v>3590</v>
      </c>
      <c r="BZ235" s="43"/>
      <c r="CA235" s="42" t="s">
        <v>3591</v>
      </c>
      <c r="CB235" s="46" t="s">
        <v>7861</v>
      </c>
      <c r="CC235" s="45"/>
      <c r="CD235" s="43"/>
      <c r="CE235" s="45"/>
      <c r="CF235" s="43"/>
      <c r="CG235" s="42" t="s">
        <v>3589</v>
      </c>
      <c r="CH235" s="43"/>
      <c r="CI235" s="43"/>
      <c r="CJ235" s="42" t="s">
        <v>3590</v>
      </c>
      <c r="CK235" s="45"/>
      <c r="CL235" s="45"/>
      <c r="CM235" s="43"/>
      <c r="CN235" s="42" t="s">
        <v>3591</v>
      </c>
      <c r="CO235" s="47">
        <v>0.0</v>
      </c>
      <c r="CP235" s="41">
        <v>14.0</v>
      </c>
      <c r="CQ235" s="47">
        <v>0.0</v>
      </c>
      <c r="CR235" s="47">
        <v>0.0</v>
      </c>
      <c r="CS235" s="47">
        <v>0.0</v>
      </c>
      <c r="CT235" s="41">
        <v>12.0</v>
      </c>
      <c r="CU235" s="45"/>
      <c r="CV235" s="45"/>
      <c r="CW235" s="47">
        <v>0.0</v>
      </c>
      <c r="CX235" s="41">
        <v>12.0</v>
      </c>
      <c r="CY235" s="41" t="s">
        <v>7862</v>
      </c>
      <c r="CZ235" s="41">
        <v>18.0</v>
      </c>
      <c r="DA235" s="41" t="s">
        <v>3598</v>
      </c>
      <c r="DB235" s="47">
        <v>0.0</v>
      </c>
      <c r="DC235" s="41" t="s">
        <v>5600</v>
      </c>
      <c r="DD235" s="41">
        <v>29.0</v>
      </c>
      <c r="DE235" s="45"/>
      <c r="DF235" s="45"/>
      <c r="DG235" s="41" t="s">
        <v>5600</v>
      </c>
      <c r="DH235" s="41">
        <v>26.0</v>
      </c>
      <c r="DI235" s="45"/>
      <c r="DJ235" s="45"/>
      <c r="DK235" s="45"/>
      <c r="DL235" s="41">
        <v>13.0</v>
      </c>
      <c r="DM235" s="41">
        <v>1.0</v>
      </c>
      <c r="DN235" s="47">
        <v>0.0833</v>
      </c>
      <c r="DO235" s="41" t="s">
        <v>3600</v>
      </c>
      <c r="DP235" s="46" t="s">
        <v>3890</v>
      </c>
      <c r="DQ235" s="45"/>
      <c r="DR235" s="45"/>
      <c r="DS235" s="45"/>
      <c r="DT235" s="45"/>
      <c r="DU235" s="45"/>
      <c r="DV235" s="45"/>
      <c r="DW235" s="43"/>
      <c r="DX235" s="45"/>
      <c r="DY235" s="43"/>
      <c r="DZ235" s="45"/>
      <c r="EA235" s="45"/>
      <c r="EB235" s="43"/>
      <c r="EC235" s="45"/>
      <c r="ED235" s="45"/>
      <c r="EE235" s="45"/>
      <c r="EF235" s="45"/>
      <c r="EG235" s="43"/>
      <c r="EH235" s="45"/>
      <c r="EI235" s="45"/>
      <c r="EJ235" s="45"/>
      <c r="EK235" s="43"/>
      <c r="EL235" s="45"/>
      <c r="EM235" s="45"/>
      <c r="EN235" s="45"/>
      <c r="EO235" s="45"/>
      <c r="EP235" s="48" t="s">
        <v>3559</v>
      </c>
    </row>
    <row r="236">
      <c r="A236" s="32">
        <v>4.0</v>
      </c>
      <c r="B236" s="35" t="s">
        <v>2699</v>
      </c>
      <c r="C236" s="34"/>
      <c r="D236" s="34"/>
      <c r="E236" s="35" t="s">
        <v>7863</v>
      </c>
      <c r="F236" s="34"/>
      <c r="G236" s="35" t="s">
        <v>7864</v>
      </c>
      <c r="H236" s="35" t="s">
        <v>4560</v>
      </c>
      <c r="I236" s="35" t="s">
        <v>4561</v>
      </c>
      <c r="J236" s="35" t="s">
        <v>5511</v>
      </c>
      <c r="K236" s="35" t="s">
        <v>7865</v>
      </c>
      <c r="L236" s="35" t="s">
        <v>7866</v>
      </c>
      <c r="M236" s="35" t="s">
        <v>7867</v>
      </c>
      <c r="N236" s="35" t="s">
        <v>5018</v>
      </c>
      <c r="O236" s="35" t="s">
        <v>7868</v>
      </c>
      <c r="P236" s="35"/>
      <c r="R236" s="35" t="s">
        <v>3571</v>
      </c>
      <c r="S236" s="35" t="s">
        <v>3572</v>
      </c>
      <c r="T236" s="35" t="s">
        <v>3573</v>
      </c>
      <c r="U236" s="36" t="s">
        <v>7869</v>
      </c>
      <c r="V236" s="36" t="s">
        <v>7870</v>
      </c>
      <c r="W236" s="32">
        <v>32.0</v>
      </c>
      <c r="X236" s="35" t="s">
        <v>7871</v>
      </c>
      <c r="Y236" s="34"/>
      <c r="Z236" s="34"/>
      <c r="AA236" s="32">
        <v>2011.0</v>
      </c>
      <c r="AB236" s="34"/>
      <c r="AC236" s="34"/>
      <c r="AD236" s="34"/>
      <c r="AE236" s="37"/>
      <c r="AF236" s="37"/>
      <c r="AG236" s="37"/>
      <c r="AH236" s="37"/>
      <c r="AI236" s="37"/>
      <c r="AJ236" s="37"/>
      <c r="AK236" s="37"/>
      <c r="AL236" s="37"/>
      <c r="AM236" s="37"/>
      <c r="AN236" s="37"/>
      <c r="AO236" s="35" t="s">
        <v>7872</v>
      </c>
      <c r="AP236" s="35" t="s">
        <v>7873</v>
      </c>
      <c r="AQ236" s="35" t="s">
        <v>3982</v>
      </c>
      <c r="AR236" s="35" t="s">
        <v>7874</v>
      </c>
      <c r="AS236" s="34" t="str">
        <f>+972 (0)73 391 3999</f>
        <v>#ERROR!</v>
      </c>
      <c r="AT236" s="35" t="s">
        <v>7875</v>
      </c>
      <c r="AU236" s="35" t="s">
        <v>7876</v>
      </c>
      <c r="AV236" s="34"/>
      <c r="AW236" s="35" t="s">
        <v>7877</v>
      </c>
      <c r="AX236" s="34"/>
      <c r="AY236" s="32">
        <v>6092000.0</v>
      </c>
      <c r="AZ236" s="35" t="s">
        <v>41</v>
      </c>
      <c r="BA236" s="37" t="str">
        <f>+972 (0)73 391 3999</f>
        <v>#ERROR!</v>
      </c>
      <c r="BB236" s="37"/>
      <c r="BC236" s="35" t="s">
        <v>2705</v>
      </c>
      <c r="BD236" s="35" t="s">
        <v>3584</v>
      </c>
      <c r="BE236" s="35" t="s">
        <v>3584</v>
      </c>
      <c r="BF236" s="35" t="s">
        <v>7878</v>
      </c>
      <c r="BG236" s="34"/>
      <c r="BH236" s="37"/>
      <c r="BI236" s="34"/>
      <c r="BJ236" s="34"/>
      <c r="BK236" s="34"/>
      <c r="BL236" s="34"/>
      <c r="BM236" s="34"/>
      <c r="BN236" s="34"/>
      <c r="BO236" s="34"/>
      <c r="BP236" s="34"/>
      <c r="BQ236" s="38" t="s">
        <v>7879</v>
      </c>
      <c r="BR236" s="32">
        <v>4.0</v>
      </c>
      <c r="BS236" s="35" t="s">
        <v>3593</v>
      </c>
      <c r="BT236" s="37"/>
      <c r="BU236" s="34"/>
      <c r="BV236" s="35" t="s">
        <v>3698</v>
      </c>
      <c r="BW236" s="35" t="s">
        <v>3698</v>
      </c>
      <c r="BX236" s="34"/>
      <c r="BY236" s="35" t="s">
        <v>3573</v>
      </c>
      <c r="BZ236" s="34"/>
      <c r="CA236" s="35" t="s">
        <v>3591</v>
      </c>
      <c r="CB236" s="38" t="s">
        <v>5676</v>
      </c>
      <c r="CC236" s="37"/>
      <c r="CD236" s="34"/>
      <c r="CE236" s="37"/>
      <c r="CF236" s="34"/>
      <c r="CG236" s="35" t="s">
        <v>3830</v>
      </c>
      <c r="CH236" s="34"/>
      <c r="CI236" s="34"/>
      <c r="CJ236" s="35" t="s">
        <v>3590</v>
      </c>
      <c r="CK236" s="37"/>
      <c r="CL236" s="37"/>
      <c r="CM236" s="34"/>
      <c r="CN236" s="35" t="s">
        <v>3591</v>
      </c>
      <c r="CO236" s="37"/>
      <c r="CP236" s="37"/>
      <c r="CQ236" s="37"/>
      <c r="CR236" s="37"/>
      <c r="CS236" s="37"/>
      <c r="CT236" s="37"/>
      <c r="CU236" s="37"/>
      <c r="CV236" s="37"/>
      <c r="CW236" s="37"/>
      <c r="CX236" s="37"/>
      <c r="CY236" s="37"/>
      <c r="CZ236" s="37"/>
      <c r="DA236" s="37"/>
      <c r="DB236" s="37"/>
      <c r="DC236" s="37"/>
      <c r="DD236" s="37"/>
      <c r="DE236" s="37"/>
      <c r="DF236" s="37"/>
      <c r="DG236" s="37"/>
      <c r="DH236" s="37"/>
      <c r="DI236" s="37"/>
      <c r="DJ236" s="37"/>
      <c r="DK236" s="37"/>
      <c r="DL236" s="37"/>
      <c r="DM236" s="37"/>
      <c r="DN236" s="37"/>
      <c r="DO236" s="32" t="s">
        <v>3600</v>
      </c>
      <c r="DP236" s="38" t="s">
        <v>7880</v>
      </c>
      <c r="DQ236" s="32">
        <v>31.0</v>
      </c>
      <c r="DR236" s="32">
        <v>6.0</v>
      </c>
      <c r="DS236" s="32">
        <v>21.0</v>
      </c>
      <c r="DT236" s="32">
        <v>6.0</v>
      </c>
      <c r="DU236" s="32">
        <v>1.0</v>
      </c>
      <c r="DV236" s="32">
        <v>4.0</v>
      </c>
      <c r="DW236" s="35" t="s">
        <v>7881</v>
      </c>
      <c r="DX236" s="37"/>
      <c r="DY236" s="34"/>
      <c r="DZ236" s="37"/>
      <c r="EA236" s="37"/>
      <c r="EB236" s="34"/>
      <c r="EC236" s="37"/>
      <c r="ED236" s="37"/>
      <c r="EE236" s="37"/>
      <c r="EF236" s="37"/>
      <c r="EG236" s="34"/>
      <c r="EH236" s="37"/>
      <c r="EI236" s="37"/>
      <c r="EJ236" s="37"/>
      <c r="EK236" s="34"/>
      <c r="EL236" s="37"/>
      <c r="EM236" s="37"/>
      <c r="EN236" s="37"/>
      <c r="EO236" s="37"/>
      <c r="EP236" s="40" t="s">
        <v>3559</v>
      </c>
    </row>
    <row r="237">
      <c r="A237" s="45"/>
      <c r="B237" s="42" t="s">
        <v>7882</v>
      </c>
      <c r="C237" s="43"/>
      <c r="D237" s="43"/>
      <c r="E237" s="42" t="s">
        <v>7883</v>
      </c>
      <c r="F237" s="43"/>
      <c r="G237" s="42" t="s">
        <v>7884</v>
      </c>
      <c r="H237" s="42" t="s">
        <v>4560</v>
      </c>
      <c r="I237" s="42" t="s">
        <v>4561</v>
      </c>
      <c r="J237" s="42" t="s">
        <v>66</v>
      </c>
      <c r="K237" s="42" t="s">
        <v>4562</v>
      </c>
      <c r="L237" s="42" t="s">
        <v>7885</v>
      </c>
      <c r="M237" s="42" t="s">
        <v>7886</v>
      </c>
      <c r="N237" s="42" t="s">
        <v>5018</v>
      </c>
      <c r="O237" s="42" t="s">
        <v>7887</v>
      </c>
      <c r="P237" s="42"/>
      <c r="R237" s="42" t="s">
        <v>5222</v>
      </c>
      <c r="S237" s="42" t="s">
        <v>5222</v>
      </c>
      <c r="T237" s="42" t="s">
        <v>3573</v>
      </c>
      <c r="U237" s="44" t="s">
        <v>7888</v>
      </c>
      <c r="V237" s="43"/>
      <c r="W237" s="41">
        <v>4.0</v>
      </c>
      <c r="X237" s="42" t="s">
        <v>7889</v>
      </c>
      <c r="Y237" s="43"/>
      <c r="Z237" s="43"/>
      <c r="AA237" s="41">
        <v>2012.0</v>
      </c>
      <c r="AB237" s="43"/>
      <c r="AC237" s="43"/>
      <c r="AD237" s="43"/>
      <c r="AE237" s="45"/>
      <c r="AF237" s="45"/>
      <c r="AG237" s="45"/>
      <c r="AH237" s="45"/>
      <c r="AI237" s="45"/>
      <c r="AJ237" s="45"/>
      <c r="AK237" s="45"/>
      <c r="AL237" s="45"/>
      <c r="AM237" s="45"/>
      <c r="AN237" s="45"/>
      <c r="AO237" s="43"/>
      <c r="AP237" s="43"/>
      <c r="AQ237" s="43"/>
      <c r="AR237" s="43"/>
      <c r="AS237" s="43"/>
      <c r="AT237" s="42" t="s">
        <v>7890</v>
      </c>
      <c r="AU237" s="42" t="s">
        <v>7891</v>
      </c>
      <c r="AV237" s="43"/>
      <c r="AW237" s="42" t="s">
        <v>7892</v>
      </c>
      <c r="AX237" s="43"/>
      <c r="AY237" s="41">
        <v>4809900.0</v>
      </c>
      <c r="AZ237" s="42" t="s">
        <v>41</v>
      </c>
      <c r="BA237" s="45"/>
      <c r="BB237" s="45"/>
      <c r="BC237" s="43"/>
      <c r="BD237" s="42" t="s">
        <v>3584</v>
      </c>
      <c r="BE237" s="42" t="s">
        <v>3584</v>
      </c>
      <c r="BF237" s="42" t="s">
        <v>7893</v>
      </c>
      <c r="BG237" s="43"/>
      <c r="BH237" s="45"/>
      <c r="BI237" s="43"/>
      <c r="BJ237" s="42" t="s">
        <v>7894</v>
      </c>
      <c r="BK237" s="43"/>
      <c r="BL237" s="43"/>
      <c r="BM237" s="42" t="s">
        <v>7895</v>
      </c>
      <c r="BN237" s="43"/>
      <c r="BO237" s="43"/>
      <c r="BP237" s="43"/>
      <c r="BQ237" s="45"/>
      <c r="BR237" s="45"/>
      <c r="BS237" s="43"/>
      <c r="BT237" s="45"/>
      <c r="BU237" s="43"/>
      <c r="BV237" s="42" t="s">
        <v>3698</v>
      </c>
      <c r="BW237" s="42" t="s">
        <v>3698</v>
      </c>
      <c r="BX237" s="43"/>
      <c r="BY237" s="42" t="s">
        <v>3573</v>
      </c>
      <c r="BZ237" s="43"/>
      <c r="CA237" s="42" t="s">
        <v>3591</v>
      </c>
      <c r="CB237" s="46" t="s">
        <v>4706</v>
      </c>
      <c r="CC237" s="45"/>
      <c r="CD237" s="43"/>
      <c r="CE237" s="45"/>
      <c r="CF237" s="43"/>
      <c r="CG237" s="42" t="s">
        <v>5222</v>
      </c>
      <c r="CH237" s="43"/>
      <c r="CI237" s="43"/>
      <c r="CJ237" s="42" t="s">
        <v>5222</v>
      </c>
      <c r="CK237" s="45"/>
      <c r="CL237" s="45"/>
      <c r="CM237" s="43"/>
      <c r="CN237" s="42" t="s">
        <v>3591</v>
      </c>
      <c r="CO237" s="45"/>
      <c r="CP237" s="45"/>
      <c r="CQ237" s="45"/>
      <c r="CR237" s="45"/>
      <c r="CS237" s="45"/>
      <c r="CT237" s="45"/>
      <c r="CU237" s="45"/>
      <c r="CV237" s="45"/>
      <c r="CW237" s="45"/>
      <c r="CX237" s="45"/>
      <c r="CY237" s="45"/>
      <c r="CZ237" s="45"/>
      <c r="DA237" s="45"/>
      <c r="DB237" s="45"/>
      <c r="DC237" s="45"/>
      <c r="DD237" s="45"/>
      <c r="DE237" s="45"/>
      <c r="DF237" s="45"/>
      <c r="DG237" s="45"/>
      <c r="DH237" s="45"/>
      <c r="DI237" s="45"/>
      <c r="DJ237" s="45"/>
      <c r="DK237" s="45"/>
      <c r="DL237" s="45"/>
      <c r="DM237" s="45"/>
      <c r="DN237" s="45"/>
      <c r="DO237" s="41" t="s">
        <v>3600</v>
      </c>
      <c r="DP237" s="46" t="s">
        <v>5177</v>
      </c>
      <c r="DQ237" s="45"/>
      <c r="DR237" s="45"/>
      <c r="DS237" s="45"/>
      <c r="DT237" s="45"/>
      <c r="DU237" s="45"/>
      <c r="DV237" s="45"/>
      <c r="DW237" s="43"/>
      <c r="DX237" s="45"/>
      <c r="DY237" s="43"/>
      <c r="DZ237" s="45"/>
      <c r="EA237" s="45"/>
      <c r="EB237" s="43"/>
      <c r="EC237" s="45"/>
      <c r="ED237" s="45"/>
      <c r="EE237" s="45"/>
      <c r="EF237" s="45"/>
      <c r="EG237" s="43"/>
      <c r="EH237" s="45"/>
      <c r="EI237" s="45"/>
      <c r="EJ237" s="45"/>
      <c r="EK237" s="43"/>
      <c r="EL237" s="45"/>
      <c r="EM237" s="45"/>
      <c r="EN237" s="45"/>
      <c r="EO237" s="45"/>
      <c r="EP237" s="48" t="s">
        <v>3559</v>
      </c>
    </row>
    <row r="238">
      <c r="A238" s="37"/>
      <c r="B238" s="35" t="s">
        <v>7896</v>
      </c>
      <c r="C238" s="34"/>
      <c r="D238" s="34"/>
      <c r="E238" s="34"/>
      <c r="F238" s="34"/>
      <c r="G238" s="35" t="s">
        <v>7897</v>
      </c>
      <c r="H238" s="35" t="s">
        <v>4560</v>
      </c>
      <c r="I238" s="35" t="s">
        <v>4561</v>
      </c>
      <c r="J238" s="35" t="s">
        <v>5057</v>
      </c>
      <c r="K238" s="35" t="s">
        <v>5058</v>
      </c>
      <c r="L238" s="34"/>
      <c r="M238" s="35" t="s">
        <v>7898</v>
      </c>
      <c r="N238" s="35" t="s">
        <v>4923</v>
      </c>
      <c r="O238" s="35" t="s">
        <v>7899</v>
      </c>
      <c r="P238" s="35"/>
      <c r="R238" s="34"/>
      <c r="S238" s="35" t="s">
        <v>4925</v>
      </c>
      <c r="T238" s="35" t="s">
        <v>4926</v>
      </c>
      <c r="U238" s="36" t="s">
        <v>7900</v>
      </c>
      <c r="V238" s="36" t="s">
        <v>7901</v>
      </c>
      <c r="W238" s="32">
        <v>3.0</v>
      </c>
      <c r="X238" s="35" t="s">
        <v>5789</v>
      </c>
      <c r="Y238" s="34"/>
      <c r="Z238" s="34"/>
      <c r="AA238" s="32">
        <v>2011.0</v>
      </c>
      <c r="AB238" s="34"/>
      <c r="AC238" s="34"/>
      <c r="AD238" s="34"/>
      <c r="AE238" s="37"/>
      <c r="AF238" s="37"/>
      <c r="AG238" s="37"/>
      <c r="AH238" s="37"/>
      <c r="AI238" s="37"/>
      <c r="AJ238" s="37"/>
      <c r="AK238" s="37"/>
      <c r="AL238" s="37"/>
      <c r="AM238" s="37"/>
      <c r="AN238" s="37"/>
      <c r="AO238" s="34"/>
      <c r="AP238" s="34"/>
      <c r="AQ238" s="34"/>
      <c r="AR238" s="34"/>
      <c r="AS238" s="34"/>
      <c r="AT238" s="35" t="s">
        <v>6703</v>
      </c>
      <c r="AU238" s="34"/>
      <c r="AV238" s="34"/>
      <c r="AW238" s="35" t="s">
        <v>6704</v>
      </c>
      <c r="AX238" s="34"/>
      <c r="AY238" s="32">
        <v>13100.0</v>
      </c>
      <c r="AZ238" s="35" t="s">
        <v>41</v>
      </c>
      <c r="BA238" s="37"/>
      <c r="BB238" s="37"/>
      <c r="BC238" s="34"/>
      <c r="BD238" s="35" t="s">
        <v>3584</v>
      </c>
      <c r="BE238" s="35" t="s">
        <v>3584</v>
      </c>
      <c r="BF238" s="34"/>
      <c r="BG238" s="34"/>
      <c r="BH238" s="37"/>
      <c r="BI238" s="34"/>
      <c r="BJ238" s="34"/>
      <c r="BK238" s="34"/>
      <c r="BL238" s="34"/>
      <c r="BM238" s="34"/>
      <c r="BN238" s="34"/>
      <c r="BO238" s="34"/>
      <c r="BP238" s="34"/>
      <c r="BQ238" s="37"/>
      <c r="BR238" s="37"/>
      <c r="BS238" s="34"/>
      <c r="BT238" s="37"/>
      <c r="BU238" s="34"/>
      <c r="BV238" s="34"/>
      <c r="BW238" s="34"/>
      <c r="BX238" s="34"/>
      <c r="BY238" s="34"/>
      <c r="BZ238" s="34"/>
      <c r="CA238" s="34"/>
      <c r="CB238" s="37"/>
      <c r="CC238" s="37"/>
      <c r="CD238" s="34"/>
      <c r="CE238" s="37"/>
      <c r="CF238" s="34"/>
      <c r="CG238" s="34"/>
      <c r="CH238" s="34"/>
      <c r="CI238" s="34"/>
      <c r="CJ238" s="34"/>
      <c r="CK238" s="37"/>
      <c r="CL238" s="37"/>
      <c r="CM238" s="34"/>
      <c r="CN238" s="34"/>
      <c r="CO238" s="39">
        <v>0.0</v>
      </c>
      <c r="CP238" s="32">
        <v>14.0</v>
      </c>
      <c r="CQ238" s="39">
        <v>0.0</v>
      </c>
      <c r="CR238" s="39">
        <v>0.0</v>
      </c>
      <c r="CS238" s="39">
        <v>0.0</v>
      </c>
      <c r="CT238" s="32">
        <v>12.0</v>
      </c>
      <c r="CU238" s="37"/>
      <c r="CV238" s="37"/>
      <c r="CW238" s="39">
        <v>0.0</v>
      </c>
      <c r="CX238" s="32">
        <v>12.0</v>
      </c>
      <c r="CY238" s="32" t="s">
        <v>7902</v>
      </c>
      <c r="CZ238" s="32">
        <v>51.0</v>
      </c>
      <c r="DA238" s="32" t="s">
        <v>3598</v>
      </c>
      <c r="DB238" s="39">
        <v>0.0</v>
      </c>
      <c r="DC238" s="32" t="s">
        <v>4875</v>
      </c>
      <c r="DD238" s="32">
        <v>66.0</v>
      </c>
      <c r="DE238" s="37"/>
      <c r="DF238" s="37"/>
      <c r="DG238" s="32" t="s">
        <v>4875</v>
      </c>
      <c r="DH238" s="32">
        <v>65.0</v>
      </c>
      <c r="DI238" s="32">
        <v>57.0</v>
      </c>
      <c r="DJ238" s="32">
        <v>-22.0</v>
      </c>
      <c r="DK238" s="39">
        <v>-0.2785</v>
      </c>
      <c r="DL238" s="32">
        <v>38.0</v>
      </c>
      <c r="DM238" s="32">
        <v>2.0</v>
      </c>
      <c r="DN238" s="39">
        <v>0.0556</v>
      </c>
      <c r="DO238" s="32" t="s">
        <v>5066</v>
      </c>
      <c r="DP238" s="38" t="s">
        <v>5960</v>
      </c>
      <c r="DQ238" s="37"/>
      <c r="DR238" s="37"/>
      <c r="DS238" s="37"/>
      <c r="DT238" s="37"/>
      <c r="DU238" s="37"/>
      <c r="DV238" s="37"/>
      <c r="DW238" s="34"/>
      <c r="DX238" s="37"/>
      <c r="DY238" s="34"/>
      <c r="DZ238" s="37"/>
      <c r="EA238" s="37"/>
      <c r="EB238" s="34"/>
      <c r="EC238" s="37"/>
      <c r="ED238" s="37"/>
      <c r="EE238" s="37"/>
      <c r="EF238" s="37"/>
      <c r="EG238" s="34"/>
      <c r="EH238" s="37"/>
      <c r="EI238" s="37"/>
      <c r="EJ238" s="37"/>
      <c r="EK238" s="34"/>
      <c r="EL238" s="37"/>
      <c r="EM238" s="37"/>
      <c r="EN238" s="37"/>
      <c r="EO238" s="37"/>
      <c r="EP238" s="40" t="s">
        <v>3559</v>
      </c>
    </row>
    <row r="239">
      <c r="A239" s="45"/>
      <c r="B239" s="42" t="s">
        <v>7903</v>
      </c>
      <c r="C239" s="43"/>
      <c r="D239" s="42" t="s">
        <v>7904</v>
      </c>
      <c r="E239" s="42" t="s">
        <v>7905</v>
      </c>
      <c r="F239" s="43"/>
      <c r="G239" s="42" t="s">
        <v>7906</v>
      </c>
      <c r="H239" s="42" t="s">
        <v>3867</v>
      </c>
      <c r="I239" s="42" t="s">
        <v>3868</v>
      </c>
      <c r="J239" s="42" t="s">
        <v>3869</v>
      </c>
      <c r="K239" s="42" t="s">
        <v>5621</v>
      </c>
      <c r="L239" s="42" t="s">
        <v>5736</v>
      </c>
      <c r="M239" s="42" t="s">
        <v>7907</v>
      </c>
      <c r="N239" s="42" t="s">
        <v>4962</v>
      </c>
      <c r="O239" s="42" t="s">
        <v>7908</v>
      </c>
      <c r="P239" s="42"/>
      <c r="R239" s="42" t="s">
        <v>3571</v>
      </c>
      <c r="S239" s="42" t="s">
        <v>5020</v>
      </c>
      <c r="T239" s="42" t="s">
        <v>3603</v>
      </c>
      <c r="U239" s="44" t="s">
        <v>7909</v>
      </c>
      <c r="V239" s="43"/>
      <c r="W239" s="45"/>
      <c r="X239" s="43"/>
      <c r="Y239" s="43"/>
      <c r="Z239" s="43"/>
      <c r="AA239" s="41">
        <v>2001.0</v>
      </c>
      <c r="AB239" s="43"/>
      <c r="AC239" s="43"/>
      <c r="AD239" s="43"/>
      <c r="AE239" s="45"/>
      <c r="AF239" s="45"/>
      <c r="AG239" s="45"/>
      <c r="AH239" s="45"/>
      <c r="AI239" s="45"/>
      <c r="AJ239" s="45"/>
      <c r="AK239" s="45"/>
      <c r="AL239" s="45"/>
      <c r="AM239" s="45"/>
      <c r="AN239" s="45"/>
      <c r="AO239" s="43"/>
      <c r="AP239" s="43"/>
      <c r="AQ239" s="43"/>
      <c r="AR239" s="43"/>
      <c r="AS239" s="43"/>
      <c r="AT239" s="42" t="s">
        <v>5210</v>
      </c>
      <c r="AU239" s="42" t="s">
        <v>7910</v>
      </c>
      <c r="AV239" s="42" t="s">
        <v>7911</v>
      </c>
      <c r="AW239" s="42" t="s">
        <v>98</v>
      </c>
      <c r="AX239" s="43"/>
      <c r="AY239" s="41">
        <v>16100.0</v>
      </c>
      <c r="AZ239" s="42" t="s">
        <v>41</v>
      </c>
      <c r="BA239" s="45"/>
      <c r="BB239" s="45"/>
      <c r="BC239" s="43"/>
      <c r="BD239" s="42" t="s">
        <v>3584</v>
      </c>
      <c r="BE239" s="42" t="s">
        <v>3584</v>
      </c>
      <c r="BF239" s="42" t="s">
        <v>7912</v>
      </c>
      <c r="BG239" s="43"/>
      <c r="BH239" s="45"/>
      <c r="BI239" s="42" t="s">
        <v>5704</v>
      </c>
      <c r="BJ239" s="43"/>
      <c r="BK239" s="43"/>
      <c r="BL239" s="43"/>
      <c r="BM239" s="43"/>
      <c r="BN239" s="43"/>
      <c r="BO239" s="43"/>
      <c r="BP239" s="43"/>
      <c r="BQ239" s="46" t="s">
        <v>7913</v>
      </c>
      <c r="BR239" s="41">
        <v>25.75</v>
      </c>
      <c r="BS239" s="42" t="s">
        <v>3593</v>
      </c>
      <c r="BT239" s="41">
        <v>51.5</v>
      </c>
      <c r="BU239" s="42" t="s">
        <v>3593</v>
      </c>
      <c r="BV239" s="42" t="s">
        <v>4977</v>
      </c>
      <c r="BW239" s="43"/>
      <c r="BX239" s="43"/>
      <c r="BY239" s="42" t="s">
        <v>3663</v>
      </c>
      <c r="BZ239" s="43"/>
      <c r="CA239" s="42" t="s">
        <v>3591</v>
      </c>
      <c r="CB239" s="46" t="s">
        <v>7913</v>
      </c>
      <c r="CC239" s="41">
        <v>25.75</v>
      </c>
      <c r="CD239" s="42" t="s">
        <v>3593</v>
      </c>
      <c r="CE239" s="41">
        <v>51.5</v>
      </c>
      <c r="CF239" s="42" t="s">
        <v>3593</v>
      </c>
      <c r="CG239" s="42" t="s">
        <v>4977</v>
      </c>
      <c r="CH239" s="43"/>
      <c r="CI239" s="43"/>
      <c r="CJ239" s="42" t="s">
        <v>3663</v>
      </c>
      <c r="CK239" s="45"/>
      <c r="CL239" s="45"/>
      <c r="CM239" s="43"/>
      <c r="CN239" s="42" t="s">
        <v>3591</v>
      </c>
      <c r="CO239" s="45"/>
      <c r="CP239" s="45"/>
      <c r="CQ239" s="45"/>
      <c r="CR239" s="45"/>
      <c r="CS239" s="45"/>
      <c r="CT239" s="45"/>
      <c r="CU239" s="45"/>
      <c r="CV239" s="45"/>
      <c r="CW239" s="45"/>
      <c r="CX239" s="45"/>
      <c r="CY239" s="45"/>
      <c r="CZ239" s="45"/>
      <c r="DA239" s="45"/>
      <c r="DB239" s="45"/>
      <c r="DC239" s="45"/>
      <c r="DD239" s="45"/>
      <c r="DE239" s="45"/>
      <c r="DF239" s="45"/>
      <c r="DG239" s="45"/>
      <c r="DH239" s="45"/>
      <c r="DI239" s="45"/>
      <c r="DJ239" s="45"/>
      <c r="DK239" s="45"/>
      <c r="DL239" s="45"/>
      <c r="DM239" s="45"/>
      <c r="DN239" s="45"/>
      <c r="DO239" s="41" t="s">
        <v>3600</v>
      </c>
      <c r="DP239" s="46" t="s">
        <v>7914</v>
      </c>
      <c r="DQ239" s="45"/>
      <c r="DR239" s="45"/>
      <c r="DS239" s="45"/>
      <c r="DT239" s="45"/>
      <c r="DU239" s="45"/>
      <c r="DV239" s="45"/>
      <c r="DW239" s="43"/>
      <c r="DX239" s="45"/>
      <c r="DY239" s="43"/>
      <c r="DZ239" s="45"/>
      <c r="EA239" s="45"/>
      <c r="EB239" s="43"/>
      <c r="EC239" s="45"/>
      <c r="ED239" s="45"/>
      <c r="EE239" s="41">
        <v>51.5</v>
      </c>
      <c r="EF239" s="46" t="s">
        <v>7913</v>
      </c>
      <c r="EG239" s="42" t="s">
        <v>4977</v>
      </c>
      <c r="EH239" s="45"/>
      <c r="EI239" s="45"/>
      <c r="EJ239" s="45"/>
      <c r="EK239" s="43"/>
      <c r="EL239" s="45"/>
      <c r="EM239" s="45"/>
      <c r="EN239" s="45"/>
      <c r="EO239" s="45"/>
      <c r="EP239" s="48" t="s">
        <v>3559</v>
      </c>
    </row>
    <row r="240">
      <c r="A240" s="32">
        <v>0.12</v>
      </c>
      <c r="B240" s="35" t="s">
        <v>7915</v>
      </c>
      <c r="C240" s="34"/>
      <c r="D240" s="34"/>
      <c r="E240" s="35" t="s">
        <v>7916</v>
      </c>
      <c r="F240" s="35" t="s">
        <v>7917</v>
      </c>
      <c r="G240" s="35" t="s">
        <v>7918</v>
      </c>
      <c r="H240" s="35" t="s">
        <v>3867</v>
      </c>
      <c r="I240" s="35" t="s">
        <v>3868</v>
      </c>
      <c r="J240" s="35" t="s">
        <v>5604</v>
      </c>
      <c r="K240" s="35" t="s">
        <v>7919</v>
      </c>
      <c r="L240" s="35" t="s">
        <v>6333</v>
      </c>
      <c r="M240" s="35" t="s">
        <v>7920</v>
      </c>
      <c r="N240" s="35" t="s">
        <v>5145</v>
      </c>
      <c r="O240" s="35" t="s">
        <v>7921</v>
      </c>
      <c r="P240" s="35"/>
      <c r="R240" s="35" t="s">
        <v>3571</v>
      </c>
      <c r="S240" s="35" t="s">
        <v>3572</v>
      </c>
      <c r="T240" s="35" t="s">
        <v>5147</v>
      </c>
      <c r="U240" s="36" t="s">
        <v>7922</v>
      </c>
      <c r="V240" s="36" t="s">
        <v>7923</v>
      </c>
      <c r="W240" s="32">
        <v>5.0</v>
      </c>
      <c r="X240" s="35" t="s">
        <v>7924</v>
      </c>
      <c r="Y240" s="34"/>
      <c r="Z240" s="34"/>
      <c r="AA240" s="32">
        <v>2015.0</v>
      </c>
      <c r="AB240" s="34"/>
      <c r="AC240" s="34"/>
      <c r="AD240" s="34"/>
      <c r="AE240" s="37"/>
      <c r="AF240" s="37"/>
      <c r="AG240" s="37"/>
      <c r="AH240" s="37"/>
      <c r="AI240" s="37"/>
      <c r="AJ240" s="37"/>
      <c r="AK240" s="37"/>
      <c r="AL240" s="37"/>
      <c r="AM240" s="37"/>
      <c r="AN240" s="37"/>
      <c r="AO240" s="35" t="s">
        <v>7925</v>
      </c>
      <c r="AP240" s="35" t="s">
        <v>7926</v>
      </c>
      <c r="AQ240" s="35" t="s">
        <v>4614</v>
      </c>
      <c r="AR240" s="35" t="s">
        <v>7927</v>
      </c>
      <c r="AS240" s="34"/>
      <c r="AT240" s="35" t="s">
        <v>4448</v>
      </c>
      <c r="AU240" s="35" t="s">
        <v>7928</v>
      </c>
      <c r="AV240" s="34"/>
      <c r="AW240" s="35" t="s">
        <v>485</v>
      </c>
      <c r="AX240" s="35" t="s">
        <v>3626</v>
      </c>
      <c r="AY240" s="37"/>
      <c r="AZ240" s="35" t="s">
        <v>41</v>
      </c>
      <c r="BA240" s="37"/>
      <c r="BB240" s="37"/>
      <c r="BC240" s="34"/>
      <c r="BD240" s="35" t="s">
        <v>3584</v>
      </c>
      <c r="BE240" s="35" t="s">
        <v>3584</v>
      </c>
      <c r="BF240" s="35" t="s">
        <v>7929</v>
      </c>
      <c r="BG240" s="35" t="s">
        <v>7930</v>
      </c>
      <c r="BH240" s="32">
        <v>4.0</v>
      </c>
      <c r="BI240" s="34"/>
      <c r="BJ240" s="34"/>
      <c r="BK240" s="34"/>
      <c r="BL240" s="35" t="s">
        <v>7931</v>
      </c>
      <c r="BM240" s="34"/>
      <c r="BN240" s="34"/>
      <c r="BO240" s="34"/>
      <c r="BP240" s="34"/>
      <c r="BQ240" s="38" t="s">
        <v>7932</v>
      </c>
      <c r="BR240" s="32">
        <v>0.09</v>
      </c>
      <c r="BS240" s="35" t="s">
        <v>3593</v>
      </c>
      <c r="BT240" s="37"/>
      <c r="BU240" s="34"/>
      <c r="BV240" s="35" t="s">
        <v>4102</v>
      </c>
      <c r="BW240" s="34"/>
      <c r="BX240" s="34"/>
      <c r="BY240" s="35" t="s">
        <v>3590</v>
      </c>
      <c r="BZ240" s="34"/>
      <c r="CA240" s="35" t="s">
        <v>3591</v>
      </c>
      <c r="CB240" s="37"/>
      <c r="CC240" s="37"/>
      <c r="CD240" s="34"/>
      <c r="CE240" s="37"/>
      <c r="CF240" s="34"/>
      <c r="CG240" s="35" t="s">
        <v>3589</v>
      </c>
      <c r="CH240" s="34"/>
      <c r="CI240" s="34"/>
      <c r="CJ240" s="35" t="s">
        <v>3590</v>
      </c>
      <c r="CK240" s="37"/>
      <c r="CL240" s="37"/>
      <c r="CM240" s="34"/>
      <c r="CN240" s="35" t="s">
        <v>3591</v>
      </c>
      <c r="CO240" s="39">
        <v>0.0</v>
      </c>
      <c r="CP240" s="32">
        <v>14.0</v>
      </c>
      <c r="CQ240" s="39">
        <v>0.0</v>
      </c>
      <c r="CR240" s="39">
        <v>0.0</v>
      </c>
      <c r="CS240" s="39">
        <v>0.0</v>
      </c>
      <c r="CT240" s="32">
        <v>12.0</v>
      </c>
      <c r="CU240" s="37"/>
      <c r="CV240" s="37"/>
      <c r="CW240" s="39">
        <v>0.0</v>
      </c>
      <c r="CX240" s="32">
        <v>12.0</v>
      </c>
      <c r="CY240" s="32" t="s">
        <v>5719</v>
      </c>
      <c r="CZ240" s="32">
        <v>51.0</v>
      </c>
      <c r="DA240" s="32" t="s">
        <v>3598</v>
      </c>
      <c r="DB240" s="39">
        <v>0.0</v>
      </c>
      <c r="DC240" s="32" t="s">
        <v>5719</v>
      </c>
      <c r="DD240" s="32">
        <v>54.0</v>
      </c>
      <c r="DE240" s="37"/>
      <c r="DF240" s="37"/>
      <c r="DG240" s="32" t="s">
        <v>5719</v>
      </c>
      <c r="DH240" s="32">
        <v>52.0</v>
      </c>
      <c r="DI240" s="37"/>
      <c r="DJ240" s="37"/>
      <c r="DK240" s="37"/>
      <c r="DL240" s="32">
        <v>24.0</v>
      </c>
      <c r="DM240" s="32">
        <v>0.0</v>
      </c>
      <c r="DN240" s="39">
        <v>0.0</v>
      </c>
      <c r="DO240" s="32" t="s">
        <v>3600</v>
      </c>
      <c r="DP240" s="38" t="s">
        <v>6968</v>
      </c>
      <c r="DQ240" s="32">
        <v>6.0</v>
      </c>
      <c r="DR240" s="32">
        <v>1.0</v>
      </c>
      <c r="DS240" s="32">
        <v>4.0</v>
      </c>
      <c r="DT240" s="37"/>
      <c r="DU240" s="37"/>
      <c r="DV240" s="32">
        <v>2.0</v>
      </c>
      <c r="DW240" s="35" t="s">
        <v>7933</v>
      </c>
      <c r="DX240" s="37"/>
      <c r="DY240" s="34"/>
      <c r="DZ240" s="37"/>
      <c r="EA240" s="37"/>
      <c r="EB240" s="34"/>
      <c r="EC240" s="37"/>
      <c r="ED240" s="37"/>
      <c r="EE240" s="32">
        <v>0.33</v>
      </c>
      <c r="EF240" s="38" t="s">
        <v>7934</v>
      </c>
      <c r="EG240" s="35" t="s">
        <v>3589</v>
      </c>
      <c r="EH240" s="37"/>
      <c r="EI240" s="37"/>
      <c r="EJ240" s="37"/>
      <c r="EK240" s="34"/>
      <c r="EL240" s="37"/>
      <c r="EM240" s="37"/>
      <c r="EN240" s="37"/>
      <c r="EO240" s="37"/>
      <c r="EP240" s="40" t="s">
        <v>3559</v>
      </c>
    </row>
    <row r="241">
      <c r="A241" s="41">
        <v>3.79</v>
      </c>
      <c r="B241" s="42" t="s">
        <v>7935</v>
      </c>
      <c r="C241" s="43"/>
      <c r="D241" s="43"/>
      <c r="E241" s="42" t="s">
        <v>7936</v>
      </c>
      <c r="F241" s="43"/>
      <c r="G241" s="42" t="s">
        <v>7937</v>
      </c>
      <c r="H241" s="42" t="s">
        <v>3563</v>
      </c>
      <c r="I241" s="42" t="s">
        <v>3564</v>
      </c>
      <c r="J241" s="42" t="s">
        <v>3565</v>
      </c>
      <c r="K241" s="42" t="s">
        <v>7938</v>
      </c>
      <c r="L241" s="42" t="s">
        <v>6846</v>
      </c>
      <c r="M241" s="42" t="s">
        <v>7939</v>
      </c>
      <c r="N241" s="42" t="s">
        <v>3569</v>
      </c>
      <c r="O241" s="42" t="s">
        <v>7940</v>
      </c>
      <c r="P241" s="42"/>
      <c r="R241" s="42" t="s">
        <v>3571</v>
      </c>
      <c r="S241" s="42" t="s">
        <v>3572</v>
      </c>
      <c r="T241" s="42" t="s">
        <v>3573</v>
      </c>
      <c r="U241" s="44" t="s">
        <v>7941</v>
      </c>
      <c r="V241" s="44" t="s">
        <v>7942</v>
      </c>
      <c r="W241" s="41">
        <v>6.0</v>
      </c>
      <c r="X241" s="42" t="s">
        <v>7943</v>
      </c>
      <c r="Y241" s="43"/>
      <c r="Z241" s="43"/>
      <c r="AA241" s="41">
        <v>2020.0</v>
      </c>
      <c r="AB241" s="43"/>
      <c r="AC241" s="43"/>
      <c r="AD241" s="43"/>
      <c r="AE241" s="45"/>
      <c r="AF241" s="45"/>
      <c r="AG241" s="45"/>
      <c r="AH241" s="45"/>
      <c r="AI241" s="45"/>
      <c r="AJ241" s="45"/>
      <c r="AK241" s="45"/>
      <c r="AL241" s="45"/>
      <c r="AM241" s="45"/>
      <c r="AN241" s="45"/>
      <c r="AO241" s="42" t="s">
        <v>7944</v>
      </c>
      <c r="AP241" s="42" t="s">
        <v>7945</v>
      </c>
      <c r="AQ241" s="42" t="s">
        <v>7946</v>
      </c>
      <c r="AR241" s="42" t="s">
        <v>7947</v>
      </c>
      <c r="AS241" s="43"/>
      <c r="AT241" s="42" t="s">
        <v>3581</v>
      </c>
      <c r="AU241" s="42" t="s">
        <v>7948</v>
      </c>
      <c r="AV241" s="42" t="s">
        <v>3797</v>
      </c>
      <c r="AW241" s="42" t="s">
        <v>75</v>
      </c>
      <c r="AX241" s="43"/>
      <c r="AY241" s="41">
        <v>6761310.0</v>
      </c>
      <c r="AZ241" s="42" t="s">
        <v>41</v>
      </c>
      <c r="BA241" s="45"/>
      <c r="BB241" s="45"/>
      <c r="BC241" s="42" t="s">
        <v>7949</v>
      </c>
      <c r="BD241" s="42" t="s">
        <v>3584</v>
      </c>
      <c r="BE241" s="42" t="s">
        <v>3584</v>
      </c>
      <c r="BF241" s="42" t="s">
        <v>7950</v>
      </c>
      <c r="BG241" s="42" t="s">
        <v>7951</v>
      </c>
      <c r="BH241" s="41">
        <v>8.0</v>
      </c>
      <c r="BI241" s="43"/>
      <c r="BJ241" s="43"/>
      <c r="BK241" s="43"/>
      <c r="BL241" s="42" t="s">
        <v>7952</v>
      </c>
      <c r="BM241" s="43"/>
      <c r="BN241" s="43"/>
      <c r="BO241" s="43"/>
      <c r="BP241" s="43"/>
      <c r="BQ241" s="46" t="s">
        <v>4803</v>
      </c>
      <c r="BR241" s="41">
        <v>3.79</v>
      </c>
      <c r="BS241" s="42" t="s">
        <v>3697</v>
      </c>
      <c r="BT241" s="41">
        <v>13.79</v>
      </c>
      <c r="BU241" s="42" t="s">
        <v>3593</v>
      </c>
      <c r="BV241" s="42" t="s">
        <v>3698</v>
      </c>
      <c r="BW241" s="42" t="s">
        <v>3698</v>
      </c>
      <c r="BX241" s="43"/>
      <c r="BY241" s="42" t="s">
        <v>3573</v>
      </c>
      <c r="BZ241" s="43"/>
      <c r="CA241" s="42" t="s">
        <v>3591</v>
      </c>
      <c r="CB241" s="46" t="s">
        <v>7953</v>
      </c>
      <c r="CC241" s="45"/>
      <c r="CD241" s="43"/>
      <c r="CE241" s="45"/>
      <c r="CF241" s="43"/>
      <c r="CG241" s="42" t="s">
        <v>3589</v>
      </c>
      <c r="CH241" s="43"/>
      <c r="CI241" s="43"/>
      <c r="CJ241" s="42" t="s">
        <v>3590</v>
      </c>
      <c r="CK241" s="45"/>
      <c r="CL241" s="45"/>
      <c r="CM241" s="43"/>
      <c r="CN241" s="42" t="s">
        <v>3591</v>
      </c>
      <c r="CO241" s="47">
        <v>-0.0089</v>
      </c>
      <c r="CP241" s="41">
        <v>6.0</v>
      </c>
      <c r="CQ241" s="47">
        <v>0.0</v>
      </c>
      <c r="CR241" s="47">
        <v>0.0</v>
      </c>
      <c r="CS241" s="47">
        <v>0.0</v>
      </c>
      <c r="CT241" s="41">
        <v>12.0</v>
      </c>
      <c r="CU241" s="45"/>
      <c r="CV241" s="45"/>
      <c r="CW241" s="47">
        <v>0.0</v>
      </c>
      <c r="CX241" s="41">
        <v>12.0</v>
      </c>
      <c r="CY241" s="41" t="s">
        <v>7954</v>
      </c>
      <c r="CZ241" s="41">
        <v>61.0</v>
      </c>
      <c r="DA241" s="41" t="s">
        <v>3598</v>
      </c>
      <c r="DB241" s="47">
        <v>0.0</v>
      </c>
      <c r="DC241" s="41" t="s">
        <v>7955</v>
      </c>
      <c r="DD241" s="41">
        <v>70.0</v>
      </c>
      <c r="DE241" s="45"/>
      <c r="DF241" s="45"/>
      <c r="DG241" s="41" t="s">
        <v>7955</v>
      </c>
      <c r="DH241" s="41">
        <v>69.0</v>
      </c>
      <c r="DI241" s="41">
        <v>0.0</v>
      </c>
      <c r="DJ241" s="41">
        <v>0.0</v>
      </c>
      <c r="DK241" s="47">
        <v>0.0</v>
      </c>
      <c r="DL241" s="41">
        <v>48.0</v>
      </c>
      <c r="DM241" s="41">
        <v>2.0</v>
      </c>
      <c r="DN241" s="47">
        <v>0.0435</v>
      </c>
      <c r="DO241" s="41" t="s">
        <v>3600</v>
      </c>
      <c r="DP241" s="46" t="s">
        <v>7956</v>
      </c>
      <c r="DQ241" s="45"/>
      <c r="DR241" s="45"/>
      <c r="DS241" s="45"/>
      <c r="DT241" s="45"/>
      <c r="DU241" s="45"/>
      <c r="DV241" s="45"/>
      <c r="DW241" s="43"/>
      <c r="DX241" s="45"/>
      <c r="DY241" s="43"/>
      <c r="DZ241" s="45"/>
      <c r="EA241" s="45"/>
      <c r="EB241" s="43"/>
      <c r="EC241" s="45"/>
      <c r="ED241" s="45"/>
      <c r="EE241" s="41">
        <v>13.79</v>
      </c>
      <c r="EF241" s="46" t="s">
        <v>4803</v>
      </c>
      <c r="EG241" s="42" t="s">
        <v>3698</v>
      </c>
      <c r="EH241" s="45"/>
      <c r="EI241" s="45"/>
      <c r="EJ241" s="45"/>
      <c r="EK241" s="43"/>
      <c r="EL241" s="45"/>
      <c r="EM241" s="45"/>
      <c r="EN241" s="45"/>
      <c r="EO241" s="45"/>
      <c r="EP241" s="48" t="s">
        <v>3559</v>
      </c>
    </row>
    <row r="242">
      <c r="A242" s="32">
        <v>3.0</v>
      </c>
      <c r="B242" s="35" t="s">
        <v>7957</v>
      </c>
      <c r="C242" s="34"/>
      <c r="D242" s="34"/>
      <c r="E242" s="35" t="s">
        <v>7958</v>
      </c>
      <c r="F242" s="34"/>
      <c r="G242" s="35" t="s">
        <v>7959</v>
      </c>
      <c r="H242" s="35" t="s">
        <v>3563</v>
      </c>
      <c r="I242" s="35" t="s">
        <v>3564</v>
      </c>
      <c r="J242" s="35" t="s">
        <v>3565</v>
      </c>
      <c r="K242" s="35" t="s">
        <v>5929</v>
      </c>
      <c r="L242" s="35" t="s">
        <v>7960</v>
      </c>
      <c r="M242" s="35" t="s">
        <v>7961</v>
      </c>
      <c r="N242" s="35" t="s">
        <v>5018</v>
      </c>
      <c r="O242" s="35" t="s">
        <v>7962</v>
      </c>
      <c r="P242" s="35"/>
      <c r="R242" s="35" t="s">
        <v>5222</v>
      </c>
      <c r="S242" s="35" t="s">
        <v>5222</v>
      </c>
      <c r="T242" s="35" t="s">
        <v>3573</v>
      </c>
      <c r="U242" s="36" t="s">
        <v>7963</v>
      </c>
      <c r="V242" s="34"/>
      <c r="W242" s="32">
        <v>9.0</v>
      </c>
      <c r="X242" s="35" t="s">
        <v>7964</v>
      </c>
      <c r="Y242" s="34"/>
      <c r="Z242" s="34"/>
      <c r="AA242" s="32">
        <v>2011.0</v>
      </c>
      <c r="AB242" s="34"/>
      <c r="AC242" s="34"/>
      <c r="AD242" s="34"/>
      <c r="AE242" s="37"/>
      <c r="AF242" s="37"/>
      <c r="AG242" s="37"/>
      <c r="AH242" s="37"/>
      <c r="AI242" s="37"/>
      <c r="AJ242" s="37"/>
      <c r="AK242" s="37"/>
      <c r="AL242" s="37"/>
      <c r="AM242" s="37"/>
      <c r="AN242" s="37"/>
      <c r="AO242" s="34"/>
      <c r="AP242" s="34"/>
      <c r="AQ242" s="34"/>
      <c r="AR242" s="34"/>
      <c r="AS242" s="34"/>
      <c r="AT242" s="35" t="s">
        <v>3581</v>
      </c>
      <c r="AU242" s="35" t="s">
        <v>7965</v>
      </c>
      <c r="AV242" s="34"/>
      <c r="AW242" s="35" t="s">
        <v>75</v>
      </c>
      <c r="AX242" s="34"/>
      <c r="AY242" s="37"/>
      <c r="AZ242" s="35" t="s">
        <v>41</v>
      </c>
      <c r="BA242" s="37"/>
      <c r="BB242" s="37"/>
      <c r="BC242" s="34"/>
      <c r="BD242" s="35" t="s">
        <v>3584</v>
      </c>
      <c r="BE242" s="35" t="s">
        <v>3584</v>
      </c>
      <c r="BF242" s="35" t="s">
        <v>7966</v>
      </c>
      <c r="BG242" s="34"/>
      <c r="BH242" s="37"/>
      <c r="BI242" s="34"/>
      <c r="BJ242" s="35" t="s">
        <v>7967</v>
      </c>
      <c r="BK242" s="34"/>
      <c r="BL242" s="34"/>
      <c r="BM242" s="35" t="s">
        <v>7968</v>
      </c>
      <c r="BN242" s="34"/>
      <c r="BO242" s="34"/>
      <c r="BP242" s="35" t="s">
        <v>7969</v>
      </c>
      <c r="BQ242" s="38" t="s">
        <v>7970</v>
      </c>
      <c r="BR242" s="32">
        <v>3.0</v>
      </c>
      <c r="BS242" s="35" t="s">
        <v>3593</v>
      </c>
      <c r="BT242" s="37"/>
      <c r="BU242" s="34"/>
      <c r="BV242" s="35" t="s">
        <v>3698</v>
      </c>
      <c r="BW242" s="35" t="s">
        <v>3698</v>
      </c>
      <c r="BX242" s="34"/>
      <c r="BY242" s="35" t="s">
        <v>3573</v>
      </c>
      <c r="BZ242" s="34"/>
      <c r="CA242" s="35" t="s">
        <v>3591</v>
      </c>
      <c r="CB242" s="38" t="s">
        <v>7971</v>
      </c>
      <c r="CC242" s="37"/>
      <c r="CD242" s="34"/>
      <c r="CE242" s="37"/>
      <c r="CF242" s="34"/>
      <c r="CG242" s="35" t="s">
        <v>5222</v>
      </c>
      <c r="CH242" s="34"/>
      <c r="CI242" s="34"/>
      <c r="CJ242" s="35" t="s">
        <v>5222</v>
      </c>
      <c r="CK242" s="38" t="s">
        <v>7972</v>
      </c>
      <c r="CL242" s="32">
        <v>0.11</v>
      </c>
      <c r="CM242" s="34"/>
      <c r="CN242" s="35" t="s">
        <v>3591</v>
      </c>
      <c r="CO242" s="37"/>
      <c r="CP242" s="37"/>
      <c r="CQ242" s="37"/>
      <c r="CR242" s="37"/>
      <c r="CS242" s="37"/>
      <c r="CT242" s="37"/>
      <c r="CU242" s="37"/>
      <c r="CV242" s="37"/>
      <c r="CW242" s="37"/>
      <c r="CX242" s="37"/>
      <c r="CY242" s="37"/>
      <c r="CZ242" s="37"/>
      <c r="DA242" s="37"/>
      <c r="DB242" s="37"/>
      <c r="DC242" s="37"/>
      <c r="DD242" s="37"/>
      <c r="DE242" s="37"/>
      <c r="DF242" s="37"/>
      <c r="DG242" s="37"/>
      <c r="DH242" s="37"/>
      <c r="DI242" s="37"/>
      <c r="DJ242" s="37"/>
      <c r="DK242" s="37"/>
      <c r="DL242" s="37"/>
      <c r="DM242" s="37"/>
      <c r="DN242" s="37"/>
      <c r="DO242" s="32" t="s">
        <v>3600</v>
      </c>
      <c r="DP242" s="38" t="s">
        <v>7973</v>
      </c>
      <c r="DQ242" s="32">
        <v>6.0</v>
      </c>
      <c r="DR242" s="32">
        <v>3.0</v>
      </c>
      <c r="DS242" s="37"/>
      <c r="DT242" s="37"/>
      <c r="DU242" s="37"/>
      <c r="DV242" s="32">
        <v>6.0</v>
      </c>
      <c r="DW242" s="34"/>
      <c r="DX242" s="37"/>
      <c r="DY242" s="34"/>
      <c r="DZ242" s="37"/>
      <c r="EA242" s="37"/>
      <c r="EB242" s="34"/>
      <c r="EC242" s="37"/>
      <c r="ED242" s="37"/>
      <c r="EE242" s="37"/>
      <c r="EF242" s="37"/>
      <c r="EG242" s="34"/>
      <c r="EH242" s="37"/>
      <c r="EI242" s="37"/>
      <c r="EJ242" s="37"/>
      <c r="EK242" s="34"/>
      <c r="EL242" s="37"/>
      <c r="EM242" s="37"/>
      <c r="EN242" s="37"/>
      <c r="EO242" s="37"/>
      <c r="EP242" s="40" t="s">
        <v>3559</v>
      </c>
    </row>
    <row r="243">
      <c r="A243" s="45"/>
      <c r="B243" s="42" t="s">
        <v>7974</v>
      </c>
      <c r="C243" s="43"/>
      <c r="D243" s="43"/>
      <c r="E243" s="43"/>
      <c r="F243" s="43"/>
      <c r="G243" s="42" t="s">
        <v>7975</v>
      </c>
      <c r="H243" s="42" t="s">
        <v>3867</v>
      </c>
      <c r="I243" s="42" t="s">
        <v>3868</v>
      </c>
      <c r="J243" s="42" t="s">
        <v>3869</v>
      </c>
      <c r="K243" s="42" t="s">
        <v>4024</v>
      </c>
      <c r="L243" s="42" t="s">
        <v>7976</v>
      </c>
      <c r="M243" s="42" t="s">
        <v>7977</v>
      </c>
      <c r="N243" s="42" t="s">
        <v>7978</v>
      </c>
      <c r="O243" s="42" t="s">
        <v>7979</v>
      </c>
      <c r="P243" s="42"/>
      <c r="R243" s="42" t="s">
        <v>3571</v>
      </c>
      <c r="S243" s="42" t="s">
        <v>3572</v>
      </c>
      <c r="T243" s="42" t="s">
        <v>3603</v>
      </c>
      <c r="U243" s="43"/>
      <c r="V243" s="43"/>
      <c r="W243" s="45"/>
      <c r="X243" s="43"/>
      <c r="Y243" s="43"/>
      <c r="Z243" s="43"/>
      <c r="AA243" s="45"/>
      <c r="AB243" s="43"/>
      <c r="AC243" s="43"/>
      <c r="AD243" s="43"/>
      <c r="AE243" s="45"/>
      <c r="AF243" s="45"/>
      <c r="AG243" s="45"/>
      <c r="AH243" s="45"/>
      <c r="AI243" s="45"/>
      <c r="AJ243" s="45"/>
      <c r="AK243" s="45"/>
      <c r="AL243" s="45"/>
      <c r="AM243" s="45"/>
      <c r="AN243" s="45"/>
      <c r="AO243" s="43"/>
      <c r="AP243" s="43"/>
      <c r="AQ243" s="43"/>
      <c r="AR243" s="43"/>
      <c r="AS243" s="43"/>
      <c r="AT243" s="42" t="s">
        <v>41</v>
      </c>
      <c r="AU243" s="43"/>
      <c r="AV243" s="43"/>
      <c r="AW243" s="43"/>
      <c r="AX243" s="43"/>
      <c r="AY243" s="45"/>
      <c r="AZ243" s="42" t="s">
        <v>41</v>
      </c>
      <c r="BA243" s="45"/>
      <c r="BB243" s="45"/>
      <c r="BC243" s="43"/>
      <c r="BD243" s="42" t="s">
        <v>3584</v>
      </c>
      <c r="BE243" s="42" t="s">
        <v>3584</v>
      </c>
      <c r="BF243" s="42" t="s">
        <v>7980</v>
      </c>
      <c r="BG243" s="42" t="s">
        <v>7981</v>
      </c>
      <c r="BH243" s="41">
        <v>3.0</v>
      </c>
      <c r="BI243" s="43"/>
      <c r="BJ243" s="43"/>
      <c r="BK243" s="43"/>
      <c r="BL243" s="42" t="s">
        <v>7982</v>
      </c>
      <c r="BM243" s="43"/>
      <c r="BN243" s="43"/>
      <c r="BO243" s="43"/>
      <c r="BP243" s="43"/>
      <c r="BQ243" s="46" t="s">
        <v>3857</v>
      </c>
      <c r="BR243" s="45"/>
      <c r="BS243" s="43"/>
      <c r="BT243" s="45"/>
      <c r="BU243" s="43"/>
      <c r="BV243" s="42" t="s">
        <v>6093</v>
      </c>
      <c r="BW243" s="43"/>
      <c r="BX243" s="43"/>
      <c r="BY243" s="42" t="s">
        <v>3663</v>
      </c>
      <c r="BZ243" s="43"/>
      <c r="CA243" s="42" t="s">
        <v>3591</v>
      </c>
      <c r="CB243" s="46" t="s">
        <v>3857</v>
      </c>
      <c r="CC243" s="45"/>
      <c r="CD243" s="43"/>
      <c r="CE243" s="45"/>
      <c r="CF243" s="43"/>
      <c r="CG243" s="42" t="s">
        <v>6093</v>
      </c>
      <c r="CH243" s="43"/>
      <c r="CI243" s="43"/>
      <c r="CJ243" s="42" t="s">
        <v>3663</v>
      </c>
      <c r="CK243" s="45"/>
      <c r="CL243" s="45"/>
      <c r="CM243" s="43"/>
      <c r="CN243" s="42" t="s">
        <v>3591</v>
      </c>
      <c r="CO243" s="45"/>
      <c r="CP243" s="45"/>
      <c r="CQ243" s="45"/>
      <c r="CR243" s="45"/>
      <c r="CS243" s="45"/>
      <c r="CT243" s="45"/>
      <c r="CU243" s="45"/>
      <c r="CV243" s="45"/>
      <c r="CW243" s="45"/>
      <c r="CX243" s="45"/>
      <c r="CY243" s="45"/>
      <c r="CZ243" s="45"/>
      <c r="DA243" s="45"/>
      <c r="DB243" s="45"/>
      <c r="DC243" s="45"/>
      <c r="DD243" s="45"/>
      <c r="DE243" s="45"/>
      <c r="DF243" s="45"/>
      <c r="DG243" s="45"/>
      <c r="DH243" s="45"/>
      <c r="DI243" s="45"/>
      <c r="DJ243" s="45"/>
      <c r="DK243" s="45"/>
      <c r="DL243" s="45"/>
      <c r="DM243" s="45"/>
      <c r="DN243" s="45"/>
      <c r="DO243" s="41" t="s">
        <v>3600</v>
      </c>
      <c r="DP243" s="46" t="s">
        <v>7983</v>
      </c>
      <c r="DQ243" s="45"/>
      <c r="DR243" s="45"/>
      <c r="DS243" s="45"/>
      <c r="DT243" s="45"/>
      <c r="DU243" s="45"/>
      <c r="DV243" s="45"/>
      <c r="DW243" s="43"/>
      <c r="DX243" s="45"/>
      <c r="DY243" s="43"/>
      <c r="DZ243" s="45"/>
      <c r="EA243" s="45"/>
      <c r="EB243" s="43"/>
      <c r="EC243" s="45"/>
      <c r="ED243" s="45"/>
      <c r="EE243" s="45"/>
      <c r="EF243" s="45"/>
      <c r="EG243" s="43"/>
      <c r="EH243" s="45"/>
      <c r="EI243" s="45"/>
      <c r="EJ243" s="45"/>
      <c r="EK243" s="43"/>
      <c r="EL243" s="45"/>
      <c r="EM243" s="45"/>
      <c r="EN243" s="45"/>
      <c r="EO243" s="45"/>
      <c r="EP243" s="48" t="s">
        <v>3559</v>
      </c>
    </row>
    <row r="244">
      <c r="A244" s="37"/>
      <c r="B244" s="35" t="s">
        <v>7984</v>
      </c>
      <c r="C244" s="34"/>
      <c r="D244" s="34"/>
      <c r="E244" s="35" t="s">
        <v>7985</v>
      </c>
      <c r="F244" s="34"/>
      <c r="G244" s="35" t="s">
        <v>7986</v>
      </c>
      <c r="H244" s="35" t="s">
        <v>4560</v>
      </c>
      <c r="I244" s="35" t="s">
        <v>4561</v>
      </c>
      <c r="J244" s="35" t="s">
        <v>5057</v>
      </c>
      <c r="K244" s="35" t="s">
        <v>5058</v>
      </c>
      <c r="L244" s="34"/>
      <c r="M244" s="35" t="s">
        <v>7987</v>
      </c>
      <c r="N244" s="35" t="s">
        <v>4923</v>
      </c>
      <c r="O244" s="35" t="s">
        <v>7988</v>
      </c>
      <c r="P244" s="35"/>
      <c r="R244" s="34"/>
      <c r="S244" s="35" t="s">
        <v>4925</v>
      </c>
      <c r="T244" s="35" t="s">
        <v>4926</v>
      </c>
      <c r="U244" s="36" t="s">
        <v>7989</v>
      </c>
      <c r="V244" s="36" t="s">
        <v>7990</v>
      </c>
      <c r="W244" s="32">
        <v>2.0</v>
      </c>
      <c r="X244" s="35" t="s">
        <v>6472</v>
      </c>
      <c r="Y244" s="34"/>
      <c r="Z244" s="34"/>
      <c r="AA244" s="32">
        <v>2001.0</v>
      </c>
      <c r="AB244" s="34"/>
      <c r="AC244" s="34"/>
      <c r="AD244" s="34"/>
      <c r="AE244" s="37"/>
      <c r="AF244" s="37"/>
      <c r="AG244" s="37"/>
      <c r="AH244" s="37"/>
      <c r="AI244" s="37"/>
      <c r="AJ244" s="37"/>
      <c r="AK244" s="37"/>
      <c r="AL244" s="37"/>
      <c r="AM244" s="37"/>
      <c r="AN244" s="37"/>
      <c r="AO244" s="34"/>
      <c r="AP244" s="34"/>
      <c r="AQ244" s="34"/>
      <c r="AR244" s="34"/>
      <c r="AS244" s="34"/>
      <c r="AT244" s="35" t="s">
        <v>7991</v>
      </c>
      <c r="AU244" s="34"/>
      <c r="AV244" s="34"/>
      <c r="AW244" s="35" t="s">
        <v>7992</v>
      </c>
      <c r="AX244" s="35" t="s">
        <v>7993</v>
      </c>
      <c r="AY244" s="32">
        <v>13100.0</v>
      </c>
      <c r="AZ244" s="35" t="s">
        <v>41</v>
      </c>
      <c r="BA244" s="37"/>
      <c r="BB244" s="37"/>
      <c r="BC244" s="34"/>
      <c r="BD244" s="35" t="s">
        <v>3584</v>
      </c>
      <c r="BE244" s="35" t="s">
        <v>3584</v>
      </c>
      <c r="BF244" s="34"/>
      <c r="BG244" s="34"/>
      <c r="BH244" s="37"/>
      <c r="BI244" s="34"/>
      <c r="BJ244" s="34"/>
      <c r="BK244" s="34"/>
      <c r="BL244" s="34"/>
      <c r="BM244" s="34"/>
      <c r="BN244" s="34"/>
      <c r="BO244" s="34"/>
      <c r="BP244" s="34"/>
      <c r="BQ244" s="37"/>
      <c r="BR244" s="37"/>
      <c r="BS244" s="34"/>
      <c r="BT244" s="37"/>
      <c r="BU244" s="34"/>
      <c r="BV244" s="34"/>
      <c r="BW244" s="34"/>
      <c r="BX244" s="34"/>
      <c r="BY244" s="34"/>
      <c r="BZ244" s="34"/>
      <c r="CA244" s="34"/>
      <c r="CB244" s="37"/>
      <c r="CC244" s="37"/>
      <c r="CD244" s="34"/>
      <c r="CE244" s="37"/>
      <c r="CF244" s="34"/>
      <c r="CG244" s="34"/>
      <c r="CH244" s="34"/>
      <c r="CI244" s="34"/>
      <c r="CJ244" s="34"/>
      <c r="CK244" s="37"/>
      <c r="CL244" s="37"/>
      <c r="CM244" s="34"/>
      <c r="CN244" s="34"/>
      <c r="CO244" s="39">
        <v>-0.0534</v>
      </c>
      <c r="CP244" s="32">
        <v>2.0</v>
      </c>
      <c r="CQ244" s="39">
        <v>0.0</v>
      </c>
      <c r="CR244" s="39">
        <v>0.0</v>
      </c>
      <c r="CS244" s="39">
        <v>-0.1069</v>
      </c>
      <c r="CT244" s="32">
        <v>1.0</v>
      </c>
      <c r="CU244" s="37"/>
      <c r="CV244" s="37"/>
      <c r="CW244" s="39">
        <v>-0.1069</v>
      </c>
      <c r="CX244" s="32">
        <v>1.0</v>
      </c>
      <c r="CY244" s="32" t="s">
        <v>7994</v>
      </c>
      <c r="CZ244" s="32">
        <v>90.0</v>
      </c>
      <c r="DA244" s="32" t="s">
        <v>3598</v>
      </c>
      <c r="DB244" s="39">
        <v>0.0</v>
      </c>
      <c r="DC244" s="32" t="s">
        <v>7995</v>
      </c>
      <c r="DD244" s="32">
        <v>96.0</v>
      </c>
      <c r="DE244" s="37"/>
      <c r="DF244" s="37"/>
      <c r="DG244" s="32" t="s">
        <v>7995</v>
      </c>
      <c r="DH244" s="32">
        <v>96.0</v>
      </c>
      <c r="DI244" s="32">
        <v>0.0</v>
      </c>
      <c r="DJ244" s="32">
        <v>0.0</v>
      </c>
      <c r="DK244" s="39">
        <v>0.0</v>
      </c>
      <c r="DL244" s="32">
        <v>427.0</v>
      </c>
      <c r="DM244" s="32">
        <v>-54.0</v>
      </c>
      <c r="DN244" s="39">
        <v>-0.1123</v>
      </c>
      <c r="DO244" s="32" t="s">
        <v>5066</v>
      </c>
      <c r="DP244" s="38" t="s">
        <v>5960</v>
      </c>
      <c r="DQ244" s="37"/>
      <c r="DR244" s="37"/>
      <c r="DS244" s="37"/>
      <c r="DT244" s="37"/>
      <c r="DU244" s="37"/>
      <c r="DV244" s="37"/>
      <c r="DW244" s="34"/>
      <c r="DX244" s="37"/>
      <c r="DY244" s="34"/>
      <c r="DZ244" s="37"/>
      <c r="EA244" s="37"/>
      <c r="EB244" s="34"/>
      <c r="EC244" s="37"/>
      <c r="ED244" s="37"/>
      <c r="EE244" s="37"/>
      <c r="EF244" s="37"/>
      <c r="EG244" s="34"/>
      <c r="EH244" s="37"/>
      <c r="EI244" s="37"/>
      <c r="EJ244" s="37"/>
      <c r="EK244" s="34"/>
      <c r="EL244" s="37"/>
      <c r="EM244" s="37"/>
      <c r="EN244" s="37"/>
      <c r="EO244" s="37"/>
      <c r="EP244" s="40" t="s">
        <v>3559</v>
      </c>
    </row>
    <row r="245">
      <c r="A245" s="41">
        <v>13.2</v>
      </c>
      <c r="B245" s="42" t="s">
        <v>7996</v>
      </c>
      <c r="C245" s="43"/>
      <c r="D245" s="42" t="s">
        <v>7997</v>
      </c>
      <c r="E245" s="42" t="s">
        <v>7998</v>
      </c>
      <c r="F245" s="43"/>
      <c r="G245" s="42" t="s">
        <v>7999</v>
      </c>
      <c r="H245" s="42" t="s">
        <v>3563</v>
      </c>
      <c r="I245" s="42" t="s">
        <v>3609</v>
      </c>
      <c r="J245" s="42" t="s">
        <v>3610</v>
      </c>
      <c r="K245" s="42" t="s">
        <v>8000</v>
      </c>
      <c r="L245" s="42" t="s">
        <v>8001</v>
      </c>
      <c r="M245" s="42" t="s">
        <v>8002</v>
      </c>
      <c r="N245" s="42" t="s">
        <v>5018</v>
      </c>
      <c r="O245" s="42" t="s">
        <v>8003</v>
      </c>
      <c r="P245" s="42"/>
      <c r="R245" s="42" t="s">
        <v>3571</v>
      </c>
      <c r="S245" s="42" t="s">
        <v>5236</v>
      </c>
      <c r="T245" s="42" t="s">
        <v>5413</v>
      </c>
      <c r="U245" s="44" t="s">
        <v>8004</v>
      </c>
      <c r="V245" s="44" t="s">
        <v>8005</v>
      </c>
      <c r="W245" s="41">
        <v>47.0</v>
      </c>
      <c r="X245" s="42" t="s">
        <v>8006</v>
      </c>
      <c r="Y245" s="42" t="s">
        <v>5241</v>
      </c>
      <c r="Z245" s="42" t="s">
        <v>8007</v>
      </c>
      <c r="AA245" s="41">
        <v>2016.0</v>
      </c>
      <c r="AB245" s="43"/>
      <c r="AC245" s="43"/>
      <c r="AD245" s="43"/>
      <c r="AE245" s="41">
        <v>1.05</v>
      </c>
      <c r="AF245" s="41">
        <v>0.53</v>
      </c>
      <c r="AG245" s="41">
        <v>-9.57</v>
      </c>
      <c r="AH245" s="45"/>
      <c r="AI245" s="41">
        <v>-10.52</v>
      </c>
      <c r="AJ245" s="41">
        <v>-10.57</v>
      </c>
      <c r="AK245" s="45"/>
      <c r="AL245" s="41">
        <v>3.87</v>
      </c>
      <c r="AM245" s="45"/>
      <c r="AN245" s="41" t="s">
        <v>8008</v>
      </c>
      <c r="AO245" s="42" t="s">
        <v>8009</v>
      </c>
      <c r="AP245" s="42" t="s">
        <v>8010</v>
      </c>
      <c r="AQ245" s="42" t="s">
        <v>8011</v>
      </c>
      <c r="AR245" s="42" t="s">
        <v>1034</v>
      </c>
      <c r="AS245" s="43" t="str">
        <f>+972 (0)8 379 2388</f>
        <v>#ERROR!</v>
      </c>
      <c r="AT245" s="42" t="s">
        <v>4368</v>
      </c>
      <c r="AU245" s="42" t="s">
        <v>8012</v>
      </c>
      <c r="AV245" s="42" t="s">
        <v>8013</v>
      </c>
      <c r="AW245" s="42" t="s">
        <v>1037</v>
      </c>
      <c r="AX245" s="43"/>
      <c r="AY245" s="41">
        <v>7414002.0</v>
      </c>
      <c r="AZ245" s="42" t="s">
        <v>41</v>
      </c>
      <c r="BA245" s="45" t="str">
        <f>+972 (0)8 379 2388</f>
        <v>#ERROR!</v>
      </c>
      <c r="BB245" s="45"/>
      <c r="BC245" s="42" t="s">
        <v>1038</v>
      </c>
      <c r="BD245" s="42" t="s">
        <v>3584</v>
      </c>
      <c r="BE245" s="42" t="s">
        <v>3584</v>
      </c>
      <c r="BF245" s="42" t="s">
        <v>8014</v>
      </c>
      <c r="BG245" s="42" t="s">
        <v>8015</v>
      </c>
      <c r="BH245" s="41">
        <v>1.0</v>
      </c>
      <c r="BI245" s="43"/>
      <c r="BJ245" s="42" t="s">
        <v>8016</v>
      </c>
      <c r="BK245" s="43"/>
      <c r="BL245" s="42" t="s">
        <v>8017</v>
      </c>
      <c r="BM245" s="42" t="s">
        <v>8018</v>
      </c>
      <c r="BN245" s="43"/>
      <c r="BO245" s="43"/>
      <c r="BP245" s="42" t="s">
        <v>8019</v>
      </c>
      <c r="BQ245" s="46" t="s">
        <v>8020</v>
      </c>
      <c r="BR245" s="41">
        <v>3.2</v>
      </c>
      <c r="BS245" s="42" t="s">
        <v>3593</v>
      </c>
      <c r="BT245" s="41">
        <v>8.75</v>
      </c>
      <c r="BU245" s="42" t="s">
        <v>3697</v>
      </c>
      <c r="BV245" s="42" t="s">
        <v>3698</v>
      </c>
      <c r="BW245" s="42" t="s">
        <v>3698</v>
      </c>
      <c r="BX245" s="43"/>
      <c r="BY245" s="42" t="s">
        <v>3803</v>
      </c>
      <c r="BZ245" s="43"/>
      <c r="CA245" s="42" t="s">
        <v>3591</v>
      </c>
      <c r="CB245" s="46" t="s">
        <v>8021</v>
      </c>
      <c r="CC245" s="45"/>
      <c r="CD245" s="43"/>
      <c r="CE245" s="45"/>
      <c r="CF245" s="43"/>
      <c r="CG245" s="42" t="s">
        <v>4775</v>
      </c>
      <c r="CH245" s="43"/>
      <c r="CI245" s="43"/>
      <c r="CJ245" s="42" t="s">
        <v>3663</v>
      </c>
      <c r="CK245" s="45"/>
      <c r="CL245" s="45"/>
      <c r="CM245" s="43"/>
      <c r="CN245" s="42" t="s">
        <v>3591</v>
      </c>
      <c r="CO245" s="47">
        <v>0.0</v>
      </c>
      <c r="CP245" s="41">
        <v>14.0</v>
      </c>
      <c r="CQ245" s="47">
        <v>0.0</v>
      </c>
      <c r="CR245" s="47">
        <v>0.0</v>
      </c>
      <c r="CS245" s="47">
        <v>0.0</v>
      </c>
      <c r="CT245" s="41">
        <v>12.0</v>
      </c>
      <c r="CU245" s="47">
        <v>0.0</v>
      </c>
      <c r="CV245" s="41">
        <v>10.0</v>
      </c>
      <c r="CW245" s="47">
        <v>0.0</v>
      </c>
      <c r="CX245" s="41">
        <v>12.0</v>
      </c>
      <c r="CY245" s="41" t="s">
        <v>8022</v>
      </c>
      <c r="CZ245" s="41">
        <v>68.0</v>
      </c>
      <c r="DA245" s="41" t="s">
        <v>3598</v>
      </c>
      <c r="DB245" s="47">
        <v>0.0</v>
      </c>
      <c r="DC245" s="41" t="s">
        <v>8022</v>
      </c>
      <c r="DD245" s="41">
        <v>70.0</v>
      </c>
      <c r="DE245" s="41" t="s">
        <v>8023</v>
      </c>
      <c r="DF245" s="41">
        <v>49.0</v>
      </c>
      <c r="DG245" s="41" t="s">
        <v>8024</v>
      </c>
      <c r="DH245" s="41">
        <v>74.0</v>
      </c>
      <c r="DI245" s="41">
        <v>85.0</v>
      </c>
      <c r="DJ245" s="41">
        <v>16.0</v>
      </c>
      <c r="DK245" s="47">
        <v>0.2319</v>
      </c>
      <c r="DL245" s="41">
        <v>80.0</v>
      </c>
      <c r="DM245" s="41">
        <v>2.0</v>
      </c>
      <c r="DN245" s="47">
        <v>0.0256</v>
      </c>
      <c r="DO245" s="41" t="s">
        <v>3600</v>
      </c>
      <c r="DP245" s="46" t="s">
        <v>8025</v>
      </c>
      <c r="DQ245" s="41">
        <v>25.0</v>
      </c>
      <c r="DR245" s="41">
        <v>10.0</v>
      </c>
      <c r="DS245" s="41">
        <v>14.0</v>
      </c>
      <c r="DT245" s="41">
        <v>2.0</v>
      </c>
      <c r="DU245" s="45"/>
      <c r="DV245" s="41">
        <v>9.0</v>
      </c>
      <c r="DW245" s="42" t="s">
        <v>8026</v>
      </c>
      <c r="DX245" s="45"/>
      <c r="DY245" s="43"/>
      <c r="DZ245" s="45"/>
      <c r="EA245" s="45"/>
      <c r="EB245" s="43"/>
      <c r="EC245" s="45"/>
      <c r="ED245" s="45"/>
      <c r="EE245" s="41">
        <v>21.07</v>
      </c>
      <c r="EF245" s="46" t="s">
        <v>8027</v>
      </c>
      <c r="EG245" s="42" t="s">
        <v>3698</v>
      </c>
      <c r="EH245" s="45"/>
      <c r="EI245" s="45"/>
      <c r="EJ245" s="45"/>
      <c r="EK245" s="42" t="s">
        <v>4108</v>
      </c>
      <c r="EL245" s="45"/>
      <c r="EM245" s="45"/>
      <c r="EN245" s="45"/>
      <c r="EO245" s="41">
        <v>2.06</v>
      </c>
      <c r="EP245" s="48" t="s">
        <v>3559</v>
      </c>
    </row>
    <row r="246">
      <c r="A246" s="37"/>
      <c r="B246" s="35" t="s">
        <v>8028</v>
      </c>
      <c r="C246" s="34"/>
      <c r="D246" s="34"/>
      <c r="E246" s="34"/>
      <c r="F246" s="34"/>
      <c r="G246" s="35" t="s">
        <v>8029</v>
      </c>
      <c r="H246" s="35" t="s">
        <v>30</v>
      </c>
      <c r="I246" s="35" t="s">
        <v>8030</v>
      </c>
      <c r="J246" s="35" t="s">
        <v>8031</v>
      </c>
      <c r="K246" s="35" t="s">
        <v>8032</v>
      </c>
      <c r="L246" s="35" t="s">
        <v>8033</v>
      </c>
      <c r="M246" s="35" t="s">
        <v>8034</v>
      </c>
      <c r="N246" s="35" t="s">
        <v>3569</v>
      </c>
      <c r="O246" s="35" t="s">
        <v>8035</v>
      </c>
      <c r="P246" s="35"/>
      <c r="R246" s="35" t="s">
        <v>6041</v>
      </c>
      <c r="S246" s="35" t="s">
        <v>3572</v>
      </c>
      <c r="T246" s="35" t="s">
        <v>3573</v>
      </c>
      <c r="U246" s="36" t="s">
        <v>8036</v>
      </c>
      <c r="V246" s="36" t="s">
        <v>8037</v>
      </c>
      <c r="W246" s="32">
        <v>8.0</v>
      </c>
      <c r="X246" s="35" t="s">
        <v>8038</v>
      </c>
      <c r="Y246" s="34"/>
      <c r="Z246" s="34"/>
      <c r="AA246" s="37"/>
      <c r="AB246" s="34"/>
      <c r="AC246" s="34"/>
      <c r="AD246" s="34"/>
      <c r="AE246" s="37"/>
      <c r="AF246" s="37"/>
      <c r="AG246" s="37"/>
      <c r="AH246" s="37"/>
      <c r="AI246" s="37"/>
      <c r="AJ246" s="37"/>
      <c r="AK246" s="37"/>
      <c r="AL246" s="37"/>
      <c r="AM246" s="37"/>
      <c r="AN246" s="37"/>
      <c r="AO246" s="35" t="s">
        <v>8039</v>
      </c>
      <c r="AP246" s="35" t="s">
        <v>8040</v>
      </c>
      <c r="AQ246" s="35" t="s">
        <v>8041</v>
      </c>
      <c r="AR246" s="35" t="s">
        <v>8042</v>
      </c>
      <c r="AS246" s="34"/>
      <c r="AT246" s="35" t="s">
        <v>3581</v>
      </c>
      <c r="AU246" s="35" t="s">
        <v>7746</v>
      </c>
      <c r="AV246" s="35" t="s">
        <v>8043</v>
      </c>
      <c r="AW246" s="35" t="s">
        <v>75</v>
      </c>
      <c r="AX246" s="34"/>
      <c r="AY246" s="37"/>
      <c r="AZ246" s="35" t="s">
        <v>41</v>
      </c>
      <c r="BA246" s="37"/>
      <c r="BB246" s="37"/>
      <c r="BC246" s="35" t="s">
        <v>8044</v>
      </c>
      <c r="BD246" s="35" t="s">
        <v>3584</v>
      </c>
      <c r="BE246" s="35" t="s">
        <v>3584</v>
      </c>
      <c r="BF246" s="35" t="s">
        <v>8045</v>
      </c>
      <c r="BG246" s="35" t="s">
        <v>8046</v>
      </c>
      <c r="BH246" s="32">
        <v>3.0</v>
      </c>
      <c r="BI246" s="34"/>
      <c r="BJ246" s="34"/>
      <c r="BK246" s="34"/>
      <c r="BL246" s="35" t="s">
        <v>8047</v>
      </c>
      <c r="BM246" s="34"/>
      <c r="BN246" s="34"/>
      <c r="BO246" s="34"/>
      <c r="BP246" s="34"/>
      <c r="BQ246" s="37"/>
      <c r="BR246" s="37"/>
      <c r="BS246" s="34"/>
      <c r="BT246" s="37"/>
      <c r="BU246" s="34"/>
      <c r="BV246" s="35" t="s">
        <v>3589</v>
      </c>
      <c r="BW246" s="34"/>
      <c r="BX246" s="34"/>
      <c r="BY246" s="35" t="s">
        <v>3590</v>
      </c>
      <c r="BZ246" s="34"/>
      <c r="CA246" s="35" t="s">
        <v>3591</v>
      </c>
      <c r="CB246" s="38" t="s">
        <v>8048</v>
      </c>
      <c r="CC246" s="37"/>
      <c r="CD246" s="34"/>
      <c r="CE246" s="37"/>
      <c r="CF246" s="34"/>
      <c r="CG246" s="35" t="s">
        <v>3698</v>
      </c>
      <c r="CH246" s="35" t="s">
        <v>3698</v>
      </c>
      <c r="CI246" s="34"/>
      <c r="CJ246" s="35" t="s">
        <v>3573</v>
      </c>
      <c r="CK246" s="37"/>
      <c r="CL246" s="37"/>
      <c r="CM246" s="34"/>
      <c r="CN246" s="35" t="s">
        <v>3591</v>
      </c>
      <c r="CO246" s="39">
        <v>0.0</v>
      </c>
      <c r="CP246" s="32">
        <v>14.0</v>
      </c>
      <c r="CQ246" s="39">
        <v>0.0</v>
      </c>
      <c r="CR246" s="39">
        <v>0.0</v>
      </c>
      <c r="CS246" s="39">
        <v>0.0</v>
      </c>
      <c r="CT246" s="32">
        <v>12.0</v>
      </c>
      <c r="CU246" s="37"/>
      <c r="CV246" s="37"/>
      <c r="CW246" s="39">
        <v>0.0</v>
      </c>
      <c r="CX246" s="32">
        <v>12.0</v>
      </c>
      <c r="CY246" s="32" t="s">
        <v>4663</v>
      </c>
      <c r="CZ246" s="32">
        <v>35.0</v>
      </c>
      <c r="DA246" s="32" t="s">
        <v>3598</v>
      </c>
      <c r="DB246" s="39">
        <v>0.0</v>
      </c>
      <c r="DC246" s="32" t="s">
        <v>4663</v>
      </c>
      <c r="DD246" s="32">
        <v>37.0</v>
      </c>
      <c r="DE246" s="37"/>
      <c r="DF246" s="37"/>
      <c r="DG246" s="32" t="s">
        <v>4663</v>
      </c>
      <c r="DH246" s="32">
        <v>34.0</v>
      </c>
      <c r="DI246" s="37"/>
      <c r="DJ246" s="37"/>
      <c r="DK246" s="37"/>
      <c r="DL246" s="32">
        <v>16.0</v>
      </c>
      <c r="DM246" s="32">
        <v>2.0</v>
      </c>
      <c r="DN246" s="39">
        <v>0.1429</v>
      </c>
      <c r="DO246" s="32" t="s">
        <v>3600</v>
      </c>
      <c r="DP246" s="38" t="s">
        <v>8049</v>
      </c>
      <c r="DQ246" s="37"/>
      <c r="DR246" s="37"/>
      <c r="DS246" s="37"/>
      <c r="DT246" s="37"/>
      <c r="DU246" s="37"/>
      <c r="DV246" s="37"/>
      <c r="DW246" s="34"/>
      <c r="DX246" s="37"/>
      <c r="DY246" s="34"/>
      <c r="DZ246" s="37"/>
      <c r="EA246" s="37"/>
      <c r="EB246" s="34"/>
      <c r="EC246" s="37"/>
      <c r="ED246" s="37"/>
      <c r="EE246" s="37"/>
      <c r="EF246" s="37"/>
      <c r="EG246" s="34"/>
      <c r="EH246" s="37"/>
      <c r="EI246" s="37"/>
      <c r="EJ246" s="37"/>
      <c r="EK246" s="35" t="s">
        <v>4248</v>
      </c>
      <c r="EL246" s="37"/>
      <c r="EM246" s="37"/>
      <c r="EN246" s="37"/>
      <c r="EO246" s="37"/>
      <c r="EP246" s="40" t="s">
        <v>3559</v>
      </c>
    </row>
    <row r="247">
      <c r="A247" s="45"/>
      <c r="B247" s="42" t="s">
        <v>8050</v>
      </c>
      <c r="C247" s="43"/>
      <c r="D247" s="43"/>
      <c r="E247" s="42" t="s">
        <v>8051</v>
      </c>
      <c r="F247" s="43"/>
      <c r="G247" s="42" t="s">
        <v>8052</v>
      </c>
      <c r="H247" s="42" t="s">
        <v>3867</v>
      </c>
      <c r="I247" s="42" t="s">
        <v>3868</v>
      </c>
      <c r="J247" s="42" t="s">
        <v>3869</v>
      </c>
      <c r="K247" s="42" t="s">
        <v>6649</v>
      </c>
      <c r="L247" s="43"/>
      <c r="M247" s="42" t="s">
        <v>8053</v>
      </c>
      <c r="N247" s="42" t="s">
        <v>4923</v>
      </c>
      <c r="O247" s="42" t="s">
        <v>8054</v>
      </c>
      <c r="P247" s="42"/>
      <c r="R247" s="42" t="s">
        <v>3571</v>
      </c>
      <c r="S247" s="42" t="s">
        <v>4925</v>
      </c>
      <c r="T247" s="42" t="s">
        <v>4926</v>
      </c>
      <c r="U247" s="43"/>
      <c r="V247" s="43"/>
      <c r="W247" s="45"/>
      <c r="X247" s="43"/>
      <c r="Y247" s="43"/>
      <c r="Z247" s="43"/>
      <c r="AA247" s="41">
        <v>1989.0</v>
      </c>
      <c r="AB247" s="43"/>
      <c r="AC247" s="43"/>
      <c r="AD247" s="43"/>
      <c r="AE247" s="45"/>
      <c r="AF247" s="45"/>
      <c r="AG247" s="45"/>
      <c r="AH247" s="45"/>
      <c r="AI247" s="45"/>
      <c r="AJ247" s="45"/>
      <c r="AK247" s="45"/>
      <c r="AL247" s="45"/>
      <c r="AM247" s="45"/>
      <c r="AN247" s="45"/>
      <c r="AO247" s="43"/>
      <c r="AP247" s="43"/>
      <c r="AQ247" s="43"/>
      <c r="AR247" s="43"/>
      <c r="AS247" s="43"/>
      <c r="AT247" s="42" t="s">
        <v>5629</v>
      </c>
      <c r="AU247" s="42" t="s">
        <v>8055</v>
      </c>
      <c r="AV247" s="43"/>
      <c r="AW247" s="42" t="s">
        <v>1407</v>
      </c>
      <c r="AX247" s="43"/>
      <c r="AY247" s="41">
        <v>6037598.0</v>
      </c>
      <c r="AZ247" s="42" t="s">
        <v>41</v>
      </c>
      <c r="BA247" s="45"/>
      <c r="BB247" s="45"/>
      <c r="BC247" s="43"/>
      <c r="BD247" s="42" t="s">
        <v>3584</v>
      </c>
      <c r="BE247" s="42" t="s">
        <v>3584</v>
      </c>
      <c r="BF247" s="43"/>
      <c r="BG247" s="43"/>
      <c r="BH247" s="45"/>
      <c r="BI247" s="43"/>
      <c r="BJ247" s="43"/>
      <c r="BK247" s="43"/>
      <c r="BL247" s="43"/>
      <c r="BM247" s="43"/>
      <c r="BN247" s="43"/>
      <c r="BO247" s="43"/>
      <c r="BP247" s="43"/>
      <c r="BQ247" s="45"/>
      <c r="BR247" s="45"/>
      <c r="BS247" s="43"/>
      <c r="BT247" s="45"/>
      <c r="BU247" s="43"/>
      <c r="BV247" s="43"/>
      <c r="BW247" s="43"/>
      <c r="BX247" s="43"/>
      <c r="BY247" s="43"/>
      <c r="BZ247" s="43"/>
      <c r="CA247" s="43"/>
      <c r="CB247" s="45"/>
      <c r="CC247" s="45"/>
      <c r="CD247" s="43"/>
      <c r="CE247" s="45"/>
      <c r="CF247" s="43"/>
      <c r="CG247" s="43"/>
      <c r="CH247" s="43"/>
      <c r="CI247" s="43"/>
      <c r="CJ247" s="43"/>
      <c r="CK247" s="45"/>
      <c r="CL247" s="45"/>
      <c r="CM247" s="43"/>
      <c r="CN247" s="43"/>
      <c r="CO247" s="45"/>
      <c r="CP247" s="45"/>
      <c r="CQ247" s="45"/>
      <c r="CR247" s="45"/>
      <c r="CS247" s="45"/>
      <c r="CT247" s="45"/>
      <c r="CU247" s="45"/>
      <c r="CV247" s="45"/>
      <c r="CW247" s="45"/>
      <c r="CX247" s="45"/>
      <c r="CY247" s="45"/>
      <c r="CZ247" s="45"/>
      <c r="DA247" s="45"/>
      <c r="DB247" s="45"/>
      <c r="DC247" s="45"/>
      <c r="DD247" s="45"/>
      <c r="DE247" s="45"/>
      <c r="DF247" s="45"/>
      <c r="DG247" s="45"/>
      <c r="DH247" s="45"/>
      <c r="DI247" s="45"/>
      <c r="DJ247" s="45"/>
      <c r="DK247" s="45"/>
      <c r="DL247" s="45"/>
      <c r="DM247" s="45"/>
      <c r="DN247" s="45"/>
      <c r="DO247" s="41" t="s">
        <v>3600</v>
      </c>
      <c r="DP247" s="46" t="s">
        <v>5177</v>
      </c>
      <c r="DQ247" s="45"/>
      <c r="DR247" s="45"/>
      <c r="DS247" s="45"/>
      <c r="DT247" s="45"/>
      <c r="DU247" s="45"/>
      <c r="DV247" s="45"/>
      <c r="DW247" s="43"/>
      <c r="DX247" s="45"/>
      <c r="DY247" s="43"/>
      <c r="DZ247" s="45"/>
      <c r="EA247" s="45"/>
      <c r="EB247" s="43"/>
      <c r="EC247" s="45"/>
      <c r="ED247" s="45"/>
      <c r="EE247" s="45"/>
      <c r="EF247" s="45"/>
      <c r="EG247" s="43"/>
      <c r="EH247" s="45"/>
      <c r="EI247" s="45"/>
      <c r="EJ247" s="45"/>
      <c r="EK247" s="43"/>
      <c r="EL247" s="45"/>
      <c r="EM247" s="45"/>
      <c r="EN247" s="45"/>
      <c r="EO247" s="45"/>
      <c r="EP247" s="48" t="s">
        <v>3559</v>
      </c>
    </row>
    <row r="248">
      <c r="A248" s="37"/>
      <c r="B248" s="35" t="s">
        <v>8056</v>
      </c>
      <c r="C248" s="34"/>
      <c r="D248" s="34"/>
      <c r="E248" s="34"/>
      <c r="F248" s="34"/>
      <c r="G248" s="35" t="s">
        <v>8057</v>
      </c>
      <c r="H248" s="35" t="s">
        <v>3563</v>
      </c>
      <c r="I248" s="35" t="s">
        <v>6667</v>
      </c>
      <c r="J248" s="35" t="s">
        <v>6668</v>
      </c>
      <c r="K248" s="35" t="s">
        <v>6669</v>
      </c>
      <c r="L248" s="34"/>
      <c r="M248" s="35" t="s">
        <v>8058</v>
      </c>
      <c r="N248" s="35" t="s">
        <v>4923</v>
      </c>
      <c r="O248" s="35" t="s">
        <v>8059</v>
      </c>
      <c r="P248" s="35"/>
      <c r="R248" s="34"/>
      <c r="S248" s="35" t="s">
        <v>4925</v>
      </c>
      <c r="T248" s="35" t="s">
        <v>4926</v>
      </c>
      <c r="U248" s="36" t="s">
        <v>8060</v>
      </c>
      <c r="V248" s="36" t="s">
        <v>8061</v>
      </c>
      <c r="W248" s="32">
        <v>51.0</v>
      </c>
      <c r="X248" s="35" t="s">
        <v>5442</v>
      </c>
      <c r="Y248" s="34"/>
      <c r="Z248" s="34"/>
      <c r="AA248" s="32">
        <v>2000.0</v>
      </c>
      <c r="AB248" s="34"/>
      <c r="AC248" s="34"/>
      <c r="AD248" s="34"/>
      <c r="AE248" s="37"/>
      <c r="AF248" s="37"/>
      <c r="AG248" s="37"/>
      <c r="AH248" s="37"/>
      <c r="AI248" s="37"/>
      <c r="AJ248" s="37"/>
      <c r="AK248" s="37"/>
      <c r="AL248" s="37"/>
      <c r="AM248" s="37"/>
      <c r="AN248" s="37"/>
      <c r="AO248" s="34"/>
      <c r="AP248" s="34"/>
      <c r="AQ248" s="34"/>
      <c r="AR248" s="34"/>
      <c r="AS248" s="34"/>
      <c r="AT248" s="35" t="s">
        <v>41</v>
      </c>
      <c r="AU248" s="34"/>
      <c r="AV248" s="34"/>
      <c r="AW248" s="34"/>
      <c r="AX248" s="34"/>
      <c r="AY248" s="37"/>
      <c r="AZ248" s="35" t="s">
        <v>41</v>
      </c>
      <c r="BA248" s="37"/>
      <c r="BB248" s="37"/>
      <c r="BC248" s="34"/>
      <c r="BD248" s="35" t="s">
        <v>3584</v>
      </c>
      <c r="BE248" s="35" t="s">
        <v>3584</v>
      </c>
      <c r="BF248" s="34"/>
      <c r="BG248" s="34"/>
      <c r="BH248" s="37"/>
      <c r="BI248" s="34"/>
      <c r="BJ248" s="34"/>
      <c r="BK248" s="34"/>
      <c r="BL248" s="34"/>
      <c r="BM248" s="34"/>
      <c r="BN248" s="34"/>
      <c r="BO248" s="34"/>
      <c r="BP248" s="34"/>
      <c r="BQ248" s="37"/>
      <c r="BR248" s="37"/>
      <c r="BS248" s="34"/>
      <c r="BT248" s="37"/>
      <c r="BU248" s="34"/>
      <c r="BV248" s="34"/>
      <c r="BW248" s="34"/>
      <c r="BX248" s="34"/>
      <c r="BY248" s="34"/>
      <c r="BZ248" s="34"/>
      <c r="CA248" s="34"/>
      <c r="CB248" s="37"/>
      <c r="CC248" s="37"/>
      <c r="CD248" s="34"/>
      <c r="CE248" s="37"/>
      <c r="CF248" s="34"/>
      <c r="CG248" s="34"/>
      <c r="CH248" s="34"/>
      <c r="CI248" s="34"/>
      <c r="CJ248" s="34"/>
      <c r="CK248" s="37"/>
      <c r="CL248" s="37"/>
      <c r="CM248" s="34"/>
      <c r="CN248" s="34"/>
      <c r="CO248" s="39">
        <v>-0.002</v>
      </c>
      <c r="CP248" s="32">
        <v>11.0</v>
      </c>
      <c r="CQ248" s="39">
        <v>0.0</v>
      </c>
      <c r="CR248" s="39">
        <v>0.0</v>
      </c>
      <c r="CS248" s="39">
        <v>-0.0039</v>
      </c>
      <c r="CT248" s="32">
        <v>8.0</v>
      </c>
      <c r="CU248" s="39">
        <v>0.0</v>
      </c>
      <c r="CV248" s="32">
        <v>10.0</v>
      </c>
      <c r="CW248" s="39">
        <v>-0.0079</v>
      </c>
      <c r="CX248" s="32">
        <v>6.0</v>
      </c>
      <c r="CY248" s="32" t="s">
        <v>7734</v>
      </c>
      <c r="CZ248" s="32">
        <v>85.0</v>
      </c>
      <c r="DA248" s="32" t="s">
        <v>3598</v>
      </c>
      <c r="DB248" s="39">
        <v>0.0</v>
      </c>
      <c r="DC248" s="32" t="s">
        <v>8062</v>
      </c>
      <c r="DD248" s="32">
        <v>86.0</v>
      </c>
      <c r="DE248" s="32" t="s">
        <v>8063</v>
      </c>
      <c r="DF248" s="32">
        <v>48.0</v>
      </c>
      <c r="DG248" s="32" t="s">
        <v>5137</v>
      </c>
      <c r="DH248" s="32">
        <v>94.0</v>
      </c>
      <c r="DI248" s="32">
        <v>37.0</v>
      </c>
      <c r="DJ248" s="32">
        <v>7.0</v>
      </c>
      <c r="DK248" s="39">
        <v>0.2333</v>
      </c>
      <c r="DL248" s="32">
        <v>322.0</v>
      </c>
      <c r="DM248" s="32">
        <v>-1.0</v>
      </c>
      <c r="DN248" s="39">
        <v>-0.0031</v>
      </c>
      <c r="DO248" s="32" t="s">
        <v>5066</v>
      </c>
      <c r="DP248" s="38" t="s">
        <v>8064</v>
      </c>
      <c r="DQ248" s="37"/>
      <c r="DR248" s="37"/>
      <c r="DS248" s="37"/>
      <c r="DT248" s="37"/>
      <c r="DU248" s="37"/>
      <c r="DV248" s="37"/>
      <c r="DW248" s="34"/>
      <c r="DX248" s="37"/>
      <c r="DY248" s="34"/>
      <c r="DZ248" s="37"/>
      <c r="EA248" s="37"/>
      <c r="EB248" s="34"/>
      <c r="EC248" s="37"/>
      <c r="ED248" s="37"/>
      <c r="EE248" s="37"/>
      <c r="EF248" s="37"/>
      <c r="EG248" s="34"/>
      <c r="EH248" s="37"/>
      <c r="EI248" s="37"/>
      <c r="EJ248" s="37"/>
      <c r="EK248" s="34"/>
      <c r="EL248" s="37"/>
      <c r="EM248" s="37"/>
      <c r="EN248" s="37"/>
      <c r="EO248" s="37"/>
      <c r="EP248" s="40" t="s">
        <v>3559</v>
      </c>
    </row>
    <row r="249">
      <c r="A249" s="41">
        <v>2.0</v>
      </c>
      <c r="B249" s="42" t="s">
        <v>8065</v>
      </c>
      <c r="C249" s="43"/>
      <c r="D249" s="43"/>
      <c r="E249" s="42" t="s">
        <v>8066</v>
      </c>
      <c r="F249" s="42" t="s">
        <v>8067</v>
      </c>
      <c r="G249" s="42" t="s">
        <v>8068</v>
      </c>
      <c r="H249" s="42" t="s">
        <v>4560</v>
      </c>
      <c r="I249" s="42" t="s">
        <v>5163</v>
      </c>
      <c r="J249" s="42" t="s">
        <v>5164</v>
      </c>
      <c r="K249" s="42" t="s">
        <v>8069</v>
      </c>
      <c r="L249" s="42" t="s">
        <v>8070</v>
      </c>
      <c r="M249" s="42" t="s">
        <v>8071</v>
      </c>
      <c r="N249" s="42" t="s">
        <v>5018</v>
      </c>
      <c r="O249" s="42" t="s">
        <v>8072</v>
      </c>
      <c r="P249" s="42"/>
      <c r="R249" s="42" t="s">
        <v>5222</v>
      </c>
      <c r="S249" s="42" t="s">
        <v>5222</v>
      </c>
      <c r="T249" s="42" t="s">
        <v>3573</v>
      </c>
      <c r="U249" s="44" t="s">
        <v>8073</v>
      </c>
      <c r="V249" s="43"/>
      <c r="W249" s="41">
        <v>8.0</v>
      </c>
      <c r="X249" s="42" t="s">
        <v>8074</v>
      </c>
      <c r="Y249" s="43"/>
      <c r="Z249" s="43"/>
      <c r="AA249" s="41">
        <v>2021.0</v>
      </c>
      <c r="AB249" s="43"/>
      <c r="AC249" s="43"/>
      <c r="AD249" s="43"/>
      <c r="AE249" s="45"/>
      <c r="AF249" s="45"/>
      <c r="AG249" s="45"/>
      <c r="AH249" s="45"/>
      <c r="AI249" s="45"/>
      <c r="AJ249" s="45"/>
      <c r="AK249" s="45"/>
      <c r="AL249" s="45"/>
      <c r="AM249" s="45"/>
      <c r="AN249" s="45"/>
      <c r="AO249" s="43"/>
      <c r="AP249" s="43"/>
      <c r="AQ249" s="43"/>
      <c r="AR249" s="43"/>
      <c r="AS249" s="43"/>
      <c r="AT249" s="42" t="s">
        <v>3581</v>
      </c>
      <c r="AU249" s="43"/>
      <c r="AV249" s="43"/>
      <c r="AW249" s="42" t="s">
        <v>75</v>
      </c>
      <c r="AX249" s="43"/>
      <c r="AY249" s="45"/>
      <c r="AZ249" s="42" t="s">
        <v>41</v>
      </c>
      <c r="BA249" s="45"/>
      <c r="BB249" s="45"/>
      <c r="BC249" s="43"/>
      <c r="BD249" s="42" t="s">
        <v>3584</v>
      </c>
      <c r="BE249" s="42" t="s">
        <v>3584</v>
      </c>
      <c r="BF249" s="42" t="s">
        <v>8075</v>
      </c>
      <c r="BG249" s="43"/>
      <c r="BH249" s="45"/>
      <c r="BI249" s="43"/>
      <c r="BJ249" s="42" t="s">
        <v>8076</v>
      </c>
      <c r="BK249" s="43"/>
      <c r="BL249" s="43"/>
      <c r="BM249" s="42" t="s">
        <v>8077</v>
      </c>
      <c r="BN249" s="43"/>
      <c r="BO249" s="43"/>
      <c r="BP249" s="43"/>
      <c r="BQ249" s="46" t="s">
        <v>8078</v>
      </c>
      <c r="BR249" s="41">
        <v>0.5</v>
      </c>
      <c r="BS249" s="42" t="s">
        <v>3593</v>
      </c>
      <c r="BT249" s="45"/>
      <c r="BU249" s="43"/>
      <c r="BV249" s="42" t="s">
        <v>3589</v>
      </c>
      <c r="BW249" s="43"/>
      <c r="BX249" s="43"/>
      <c r="BY249" s="42" t="s">
        <v>3590</v>
      </c>
      <c r="BZ249" s="43"/>
      <c r="CA249" s="42" t="s">
        <v>3591</v>
      </c>
      <c r="CB249" s="46" t="s">
        <v>4296</v>
      </c>
      <c r="CC249" s="45"/>
      <c r="CD249" s="43"/>
      <c r="CE249" s="45"/>
      <c r="CF249" s="43"/>
      <c r="CG249" s="42" t="s">
        <v>5222</v>
      </c>
      <c r="CH249" s="43"/>
      <c r="CI249" s="43"/>
      <c r="CJ249" s="42" t="s">
        <v>5222</v>
      </c>
      <c r="CK249" s="45"/>
      <c r="CL249" s="45"/>
      <c r="CM249" s="43"/>
      <c r="CN249" s="42" t="s">
        <v>3591</v>
      </c>
      <c r="CO249" s="45"/>
      <c r="CP249" s="45"/>
      <c r="CQ249" s="45"/>
      <c r="CR249" s="45"/>
      <c r="CS249" s="45"/>
      <c r="CT249" s="45"/>
      <c r="CU249" s="45"/>
      <c r="CV249" s="45"/>
      <c r="CW249" s="45"/>
      <c r="CX249" s="45"/>
      <c r="CY249" s="45"/>
      <c r="CZ249" s="45"/>
      <c r="DA249" s="45"/>
      <c r="DB249" s="45"/>
      <c r="DC249" s="45"/>
      <c r="DD249" s="45"/>
      <c r="DE249" s="45"/>
      <c r="DF249" s="45"/>
      <c r="DG249" s="45"/>
      <c r="DH249" s="45"/>
      <c r="DI249" s="45"/>
      <c r="DJ249" s="45"/>
      <c r="DK249" s="45"/>
      <c r="DL249" s="45"/>
      <c r="DM249" s="45"/>
      <c r="DN249" s="45"/>
      <c r="DO249" s="41" t="s">
        <v>3600</v>
      </c>
      <c r="DP249" s="46" t="s">
        <v>4296</v>
      </c>
      <c r="DQ249" s="45"/>
      <c r="DR249" s="45"/>
      <c r="DS249" s="45"/>
      <c r="DT249" s="45"/>
      <c r="DU249" s="45"/>
      <c r="DV249" s="45"/>
      <c r="DW249" s="43"/>
      <c r="DX249" s="45"/>
      <c r="DY249" s="43"/>
      <c r="DZ249" s="45"/>
      <c r="EA249" s="45"/>
      <c r="EB249" s="43"/>
      <c r="EC249" s="45"/>
      <c r="ED249" s="45"/>
      <c r="EE249" s="45"/>
      <c r="EF249" s="45"/>
      <c r="EG249" s="43"/>
      <c r="EH249" s="45"/>
      <c r="EI249" s="45"/>
      <c r="EJ249" s="45"/>
      <c r="EK249" s="43"/>
      <c r="EL249" s="45"/>
      <c r="EM249" s="45"/>
      <c r="EN249" s="45"/>
      <c r="EO249" s="45"/>
      <c r="EP249" s="48" t="s">
        <v>3559</v>
      </c>
    </row>
    <row r="250">
      <c r="A250" s="37"/>
      <c r="B250" s="35" t="s">
        <v>8079</v>
      </c>
      <c r="C250" s="34"/>
      <c r="D250" s="34"/>
      <c r="E250" s="35" t="s">
        <v>8080</v>
      </c>
      <c r="F250" s="34"/>
      <c r="G250" s="35" t="s">
        <v>8081</v>
      </c>
      <c r="H250" s="35" t="s">
        <v>3563</v>
      </c>
      <c r="I250" s="35" t="s">
        <v>3564</v>
      </c>
      <c r="J250" s="35" t="s">
        <v>3565</v>
      </c>
      <c r="K250" s="35" t="s">
        <v>8082</v>
      </c>
      <c r="L250" s="35" t="s">
        <v>5722</v>
      </c>
      <c r="M250" s="35" t="s">
        <v>8083</v>
      </c>
      <c r="N250" s="35" t="s">
        <v>4923</v>
      </c>
      <c r="O250" s="35" t="s">
        <v>8084</v>
      </c>
      <c r="P250" s="35"/>
      <c r="R250" s="35" t="s">
        <v>3571</v>
      </c>
      <c r="S250" s="35" t="s">
        <v>4925</v>
      </c>
      <c r="T250" s="35" t="s">
        <v>4926</v>
      </c>
      <c r="U250" s="36" t="s">
        <v>8085</v>
      </c>
      <c r="V250" s="36" t="s">
        <v>8086</v>
      </c>
      <c r="W250" s="32">
        <v>12.0</v>
      </c>
      <c r="X250" s="53">
        <v>84.25833333333334</v>
      </c>
      <c r="Y250" s="34"/>
      <c r="Z250" s="34"/>
      <c r="AA250" s="32">
        <v>2017.0</v>
      </c>
      <c r="AB250" s="34"/>
      <c r="AC250" s="34"/>
      <c r="AD250" s="34"/>
      <c r="AE250" s="37"/>
      <c r="AF250" s="37"/>
      <c r="AG250" s="37"/>
      <c r="AH250" s="37"/>
      <c r="AI250" s="37"/>
      <c r="AJ250" s="37"/>
      <c r="AK250" s="37"/>
      <c r="AL250" s="37"/>
      <c r="AM250" s="37"/>
      <c r="AN250" s="37"/>
      <c r="AO250" s="34"/>
      <c r="AP250" s="34"/>
      <c r="AQ250" s="34"/>
      <c r="AR250" s="34"/>
      <c r="AS250" s="34"/>
      <c r="AT250" s="35" t="s">
        <v>4211</v>
      </c>
      <c r="AU250" s="35" t="s">
        <v>8087</v>
      </c>
      <c r="AV250" s="34"/>
      <c r="AW250" s="35" t="s">
        <v>4213</v>
      </c>
      <c r="AX250" s="34"/>
      <c r="AY250" s="32">
        <v>49511.0</v>
      </c>
      <c r="AZ250" s="35" t="s">
        <v>41</v>
      </c>
      <c r="BA250" s="37" t="str">
        <f>+972 (0)54 817 2230</f>
        <v>#ERROR!</v>
      </c>
      <c r="BB250" s="37"/>
      <c r="BC250" s="35" t="s">
        <v>8088</v>
      </c>
      <c r="BD250" s="35" t="s">
        <v>3584</v>
      </c>
      <c r="BE250" s="35" t="s">
        <v>3584</v>
      </c>
      <c r="BF250" s="34"/>
      <c r="BG250" s="34"/>
      <c r="BH250" s="37"/>
      <c r="BI250" s="34"/>
      <c r="BJ250" s="34"/>
      <c r="BK250" s="34"/>
      <c r="BL250" s="34"/>
      <c r="BM250" s="34"/>
      <c r="BN250" s="34"/>
      <c r="BO250" s="34"/>
      <c r="BP250" s="34"/>
      <c r="BQ250" s="37"/>
      <c r="BR250" s="37"/>
      <c r="BS250" s="34"/>
      <c r="BT250" s="37"/>
      <c r="BU250" s="34"/>
      <c r="BV250" s="34"/>
      <c r="BW250" s="34"/>
      <c r="BX250" s="34"/>
      <c r="BY250" s="34"/>
      <c r="BZ250" s="34"/>
      <c r="CA250" s="34"/>
      <c r="CB250" s="37"/>
      <c r="CC250" s="37"/>
      <c r="CD250" s="34"/>
      <c r="CE250" s="37"/>
      <c r="CF250" s="34"/>
      <c r="CG250" s="34"/>
      <c r="CH250" s="34"/>
      <c r="CI250" s="34"/>
      <c r="CJ250" s="34"/>
      <c r="CK250" s="37"/>
      <c r="CL250" s="37"/>
      <c r="CM250" s="34"/>
      <c r="CN250" s="34"/>
      <c r="CO250" s="39">
        <v>0.0</v>
      </c>
      <c r="CP250" s="32">
        <v>14.0</v>
      </c>
      <c r="CQ250" s="39">
        <v>0.0</v>
      </c>
      <c r="CR250" s="39">
        <v>0.0</v>
      </c>
      <c r="CS250" s="39">
        <v>0.0</v>
      </c>
      <c r="CT250" s="32">
        <v>12.0</v>
      </c>
      <c r="CU250" s="37"/>
      <c r="CV250" s="37"/>
      <c r="CW250" s="39">
        <v>0.0</v>
      </c>
      <c r="CX250" s="32">
        <v>12.0</v>
      </c>
      <c r="CY250" s="32" t="s">
        <v>4622</v>
      </c>
      <c r="CZ250" s="32">
        <v>24.0</v>
      </c>
      <c r="DA250" s="32" t="s">
        <v>3598</v>
      </c>
      <c r="DB250" s="39">
        <v>0.0</v>
      </c>
      <c r="DC250" s="32" t="s">
        <v>4622</v>
      </c>
      <c r="DD250" s="32">
        <v>26.0</v>
      </c>
      <c r="DE250" s="37"/>
      <c r="DF250" s="37"/>
      <c r="DG250" s="32" t="s">
        <v>4622</v>
      </c>
      <c r="DH250" s="32">
        <v>23.0</v>
      </c>
      <c r="DI250" s="32">
        <v>0.0</v>
      </c>
      <c r="DJ250" s="32">
        <v>0.0</v>
      </c>
      <c r="DK250" s="39">
        <v>0.0</v>
      </c>
      <c r="DL250" s="32">
        <v>12.0</v>
      </c>
      <c r="DM250" s="32">
        <v>1.0</v>
      </c>
      <c r="DN250" s="39">
        <v>0.0909</v>
      </c>
      <c r="DO250" s="32" t="s">
        <v>3600</v>
      </c>
      <c r="DP250" s="38" t="s">
        <v>8089</v>
      </c>
      <c r="DQ250" s="32">
        <v>1.0</v>
      </c>
      <c r="DR250" s="32">
        <v>1.0</v>
      </c>
      <c r="DS250" s="37"/>
      <c r="DT250" s="37"/>
      <c r="DU250" s="37"/>
      <c r="DV250" s="32">
        <v>1.0</v>
      </c>
      <c r="DW250" s="34"/>
      <c r="DX250" s="37"/>
      <c r="DY250" s="34"/>
      <c r="DZ250" s="37"/>
      <c r="EA250" s="37"/>
      <c r="EB250" s="34"/>
      <c r="EC250" s="37"/>
      <c r="ED250" s="37"/>
      <c r="EE250" s="37"/>
      <c r="EF250" s="37"/>
      <c r="EG250" s="34"/>
      <c r="EH250" s="37"/>
      <c r="EI250" s="37"/>
      <c r="EJ250" s="37"/>
      <c r="EK250" s="34"/>
      <c r="EL250" s="37"/>
      <c r="EM250" s="37"/>
      <c r="EN250" s="37"/>
      <c r="EO250" s="37"/>
      <c r="EP250" s="40" t="s">
        <v>3559</v>
      </c>
    </row>
    <row r="251">
      <c r="A251" s="45"/>
      <c r="B251" s="42" t="s">
        <v>2560</v>
      </c>
      <c r="C251" s="43"/>
      <c r="D251" s="42" t="s">
        <v>8090</v>
      </c>
      <c r="E251" s="42" t="s">
        <v>8091</v>
      </c>
      <c r="F251" s="42" t="s">
        <v>8092</v>
      </c>
      <c r="G251" s="42" t="s">
        <v>8093</v>
      </c>
      <c r="H251" s="42" t="s">
        <v>3563</v>
      </c>
      <c r="I251" s="42" t="s">
        <v>3564</v>
      </c>
      <c r="J251" s="42" t="s">
        <v>3565</v>
      </c>
      <c r="K251" s="42" t="s">
        <v>8094</v>
      </c>
      <c r="L251" s="42" t="s">
        <v>8095</v>
      </c>
      <c r="M251" s="42" t="s">
        <v>8096</v>
      </c>
      <c r="N251" s="42" t="s">
        <v>5145</v>
      </c>
      <c r="O251" s="42" t="s">
        <v>8097</v>
      </c>
      <c r="P251" s="42"/>
      <c r="R251" s="42" t="s">
        <v>3571</v>
      </c>
      <c r="S251" s="42" t="s">
        <v>3572</v>
      </c>
      <c r="T251" s="42" t="s">
        <v>3573</v>
      </c>
      <c r="U251" s="44" t="s">
        <v>8098</v>
      </c>
      <c r="V251" s="44" t="s">
        <v>8099</v>
      </c>
      <c r="W251" s="41">
        <v>11.0</v>
      </c>
      <c r="X251" s="54">
        <v>84.21597222222222</v>
      </c>
      <c r="Y251" s="43"/>
      <c r="Z251" s="43"/>
      <c r="AA251" s="41">
        <v>2014.0</v>
      </c>
      <c r="AB251" s="43"/>
      <c r="AC251" s="43"/>
      <c r="AD251" s="43"/>
      <c r="AE251" s="45"/>
      <c r="AF251" s="45"/>
      <c r="AG251" s="45"/>
      <c r="AH251" s="45"/>
      <c r="AI251" s="45"/>
      <c r="AJ251" s="45"/>
      <c r="AK251" s="45"/>
      <c r="AL251" s="45"/>
      <c r="AM251" s="45"/>
      <c r="AN251" s="45"/>
      <c r="AO251" s="42" t="s">
        <v>8100</v>
      </c>
      <c r="AP251" s="42" t="s">
        <v>8101</v>
      </c>
      <c r="AQ251" s="42" t="s">
        <v>4397</v>
      </c>
      <c r="AR251" s="42" t="s">
        <v>8102</v>
      </c>
      <c r="AS251" s="43" t="str">
        <f>+972 (0)4 619 4602</f>
        <v>#ERROR!</v>
      </c>
      <c r="AT251" s="42" t="s">
        <v>5210</v>
      </c>
      <c r="AU251" s="42" t="s">
        <v>8103</v>
      </c>
      <c r="AV251" s="42" t="s">
        <v>8104</v>
      </c>
      <c r="AW251" s="42" t="s">
        <v>98</v>
      </c>
      <c r="AX251" s="42" t="s">
        <v>8105</v>
      </c>
      <c r="AY251" s="41">
        <v>1610102.0</v>
      </c>
      <c r="AZ251" s="42" t="s">
        <v>41</v>
      </c>
      <c r="BA251" s="45" t="str">
        <f>+972 (0)4 619 4602</f>
        <v>#ERROR!</v>
      </c>
      <c r="BB251" s="45" t="str">
        <f>+972 (0)4 619 4601</f>
        <v>#ERROR!</v>
      </c>
      <c r="BC251" s="42" t="s">
        <v>2565</v>
      </c>
      <c r="BD251" s="42" t="s">
        <v>3584</v>
      </c>
      <c r="BE251" s="42" t="s">
        <v>3584</v>
      </c>
      <c r="BF251" s="42" t="s">
        <v>8106</v>
      </c>
      <c r="BG251" s="42" t="s">
        <v>8107</v>
      </c>
      <c r="BH251" s="41">
        <v>5.0</v>
      </c>
      <c r="BI251" s="43"/>
      <c r="BJ251" s="42" t="s">
        <v>8108</v>
      </c>
      <c r="BK251" s="43"/>
      <c r="BL251" s="42" t="s">
        <v>8109</v>
      </c>
      <c r="BM251" s="42" t="s">
        <v>8110</v>
      </c>
      <c r="BN251" s="43"/>
      <c r="BO251" s="43"/>
      <c r="BP251" s="43"/>
      <c r="BQ251" s="45"/>
      <c r="BR251" s="45"/>
      <c r="BS251" s="43"/>
      <c r="BT251" s="45"/>
      <c r="BU251" s="43"/>
      <c r="BV251" s="42" t="s">
        <v>5320</v>
      </c>
      <c r="BW251" s="43"/>
      <c r="BX251" s="43"/>
      <c r="BY251" s="42" t="s">
        <v>3803</v>
      </c>
      <c r="BZ251" s="43"/>
      <c r="CA251" s="42" t="s">
        <v>3591</v>
      </c>
      <c r="CB251" s="45"/>
      <c r="CC251" s="45"/>
      <c r="CD251" s="43"/>
      <c r="CE251" s="45"/>
      <c r="CF251" s="43"/>
      <c r="CG251" s="42" t="s">
        <v>3830</v>
      </c>
      <c r="CH251" s="43"/>
      <c r="CI251" s="43"/>
      <c r="CJ251" s="42" t="s">
        <v>3803</v>
      </c>
      <c r="CK251" s="45"/>
      <c r="CL251" s="45"/>
      <c r="CM251" s="43"/>
      <c r="CN251" s="42" t="s">
        <v>3591</v>
      </c>
      <c r="CO251" s="47">
        <v>0.0</v>
      </c>
      <c r="CP251" s="41">
        <v>14.0</v>
      </c>
      <c r="CQ251" s="47">
        <v>0.0</v>
      </c>
      <c r="CR251" s="47">
        <v>0.0</v>
      </c>
      <c r="CS251" s="47">
        <v>0.0</v>
      </c>
      <c r="CT251" s="41">
        <v>12.0</v>
      </c>
      <c r="CU251" s="45"/>
      <c r="CV251" s="45"/>
      <c r="CW251" s="47">
        <v>0.0</v>
      </c>
      <c r="CX251" s="41">
        <v>12.0</v>
      </c>
      <c r="CY251" s="41" t="s">
        <v>8111</v>
      </c>
      <c r="CZ251" s="41">
        <v>68.0</v>
      </c>
      <c r="DA251" s="41" t="s">
        <v>3598</v>
      </c>
      <c r="DB251" s="47">
        <v>0.0</v>
      </c>
      <c r="DC251" s="41" t="s">
        <v>8111</v>
      </c>
      <c r="DD251" s="41">
        <v>69.0</v>
      </c>
      <c r="DE251" s="45"/>
      <c r="DF251" s="45"/>
      <c r="DG251" s="41" t="s">
        <v>8111</v>
      </c>
      <c r="DH251" s="41">
        <v>69.0</v>
      </c>
      <c r="DI251" s="45"/>
      <c r="DJ251" s="45"/>
      <c r="DK251" s="45"/>
      <c r="DL251" s="41">
        <v>47.0</v>
      </c>
      <c r="DM251" s="41">
        <v>1.0</v>
      </c>
      <c r="DN251" s="47">
        <v>0.0217</v>
      </c>
      <c r="DO251" s="41" t="s">
        <v>3600</v>
      </c>
      <c r="DP251" s="46" t="s">
        <v>7914</v>
      </c>
      <c r="DQ251" s="41">
        <v>21.0</v>
      </c>
      <c r="DR251" s="41">
        <v>6.0</v>
      </c>
      <c r="DS251" s="41">
        <v>17.0</v>
      </c>
      <c r="DT251" s="41">
        <v>2.0</v>
      </c>
      <c r="DU251" s="45"/>
      <c r="DV251" s="41">
        <v>2.0</v>
      </c>
      <c r="DW251" s="42" t="s">
        <v>8112</v>
      </c>
      <c r="DX251" s="45"/>
      <c r="DY251" s="43"/>
      <c r="DZ251" s="45"/>
      <c r="EA251" s="45"/>
      <c r="EB251" s="43"/>
      <c r="EC251" s="45"/>
      <c r="ED251" s="45"/>
      <c r="EE251" s="45"/>
      <c r="EF251" s="45"/>
      <c r="EG251" s="43"/>
      <c r="EH251" s="45"/>
      <c r="EI251" s="45"/>
      <c r="EJ251" s="45"/>
      <c r="EK251" s="43"/>
      <c r="EL251" s="45"/>
      <c r="EM251" s="45"/>
      <c r="EN251" s="45"/>
      <c r="EO251" s="45"/>
      <c r="EP251" s="48" t="s">
        <v>3559</v>
      </c>
    </row>
    <row r="252">
      <c r="A252" s="37"/>
      <c r="B252" s="35" t="s">
        <v>8113</v>
      </c>
      <c r="C252" s="34"/>
      <c r="D252" s="34"/>
      <c r="E252" s="35" t="s">
        <v>8114</v>
      </c>
      <c r="F252" s="34"/>
      <c r="G252" s="35" t="s">
        <v>8115</v>
      </c>
      <c r="H252" s="35" t="s">
        <v>3867</v>
      </c>
      <c r="I252" s="35" t="s">
        <v>4199</v>
      </c>
      <c r="J252" s="35" t="s">
        <v>4414</v>
      </c>
      <c r="K252" s="35" t="s">
        <v>4415</v>
      </c>
      <c r="L252" s="35" t="s">
        <v>5965</v>
      </c>
      <c r="M252" s="35" t="s">
        <v>8116</v>
      </c>
      <c r="N252" s="35" t="s">
        <v>4923</v>
      </c>
      <c r="O252" s="35" t="s">
        <v>8117</v>
      </c>
      <c r="P252" s="35"/>
      <c r="R252" s="35" t="s">
        <v>5222</v>
      </c>
      <c r="S252" s="35" t="s">
        <v>5222</v>
      </c>
      <c r="T252" s="35" t="s">
        <v>4926</v>
      </c>
      <c r="U252" s="36" t="s">
        <v>8118</v>
      </c>
      <c r="V252" s="34"/>
      <c r="W252" s="37"/>
      <c r="X252" s="34"/>
      <c r="Y252" s="34"/>
      <c r="Z252" s="34"/>
      <c r="AA252" s="32">
        <v>2017.0</v>
      </c>
      <c r="AB252" s="34"/>
      <c r="AC252" s="34"/>
      <c r="AD252" s="34"/>
      <c r="AE252" s="37"/>
      <c r="AF252" s="37"/>
      <c r="AG252" s="37"/>
      <c r="AH252" s="37"/>
      <c r="AI252" s="37"/>
      <c r="AJ252" s="37"/>
      <c r="AK252" s="37"/>
      <c r="AL252" s="37"/>
      <c r="AM252" s="37"/>
      <c r="AN252" s="37"/>
      <c r="AO252" s="34"/>
      <c r="AP252" s="34"/>
      <c r="AQ252" s="34"/>
      <c r="AR252" s="34"/>
      <c r="AS252" s="34"/>
      <c r="AT252" s="35" t="s">
        <v>3581</v>
      </c>
      <c r="AU252" s="35" t="s">
        <v>8119</v>
      </c>
      <c r="AV252" s="34"/>
      <c r="AW252" s="35" t="s">
        <v>75</v>
      </c>
      <c r="AX252" s="34"/>
      <c r="AY252" s="32">
        <v>61000.0</v>
      </c>
      <c r="AZ252" s="35" t="s">
        <v>41</v>
      </c>
      <c r="BA252" s="37"/>
      <c r="BB252" s="37"/>
      <c r="BC252" s="34"/>
      <c r="BD252" s="35" t="s">
        <v>3584</v>
      </c>
      <c r="BE252" s="35" t="s">
        <v>3584</v>
      </c>
      <c r="BF252" s="35" t="s">
        <v>5332</v>
      </c>
      <c r="BG252" s="34"/>
      <c r="BH252" s="37"/>
      <c r="BI252" s="34"/>
      <c r="BJ252" s="34"/>
      <c r="BK252" s="34"/>
      <c r="BL252" s="34"/>
      <c r="BM252" s="34"/>
      <c r="BN252" s="34"/>
      <c r="BO252" s="34"/>
      <c r="BP252" s="34"/>
      <c r="BQ252" s="37"/>
      <c r="BR252" s="37"/>
      <c r="BS252" s="34"/>
      <c r="BT252" s="37"/>
      <c r="BU252" s="34"/>
      <c r="BV252" s="34"/>
      <c r="BW252" s="34"/>
      <c r="BX252" s="34"/>
      <c r="BY252" s="34"/>
      <c r="BZ252" s="34"/>
      <c r="CA252" s="34"/>
      <c r="CB252" s="37"/>
      <c r="CC252" s="37"/>
      <c r="CD252" s="34"/>
      <c r="CE252" s="37"/>
      <c r="CF252" s="34"/>
      <c r="CG252" s="34"/>
      <c r="CH252" s="34"/>
      <c r="CI252" s="34"/>
      <c r="CJ252" s="34"/>
      <c r="CK252" s="37"/>
      <c r="CL252" s="37"/>
      <c r="CM252" s="34"/>
      <c r="CN252" s="34"/>
      <c r="CO252" s="37"/>
      <c r="CP252" s="37"/>
      <c r="CQ252" s="37"/>
      <c r="CR252" s="37"/>
      <c r="CS252" s="37"/>
      <c r="CT252" s="37"/>
      <c r="CU252" s="37"/>
      <c r="CV252" s="37"/>
      <c r="CW252" s="37"/>
      <c r="CX252" s="37"/>
      <c r="CY252" s="37"/>
      <c r="CZ252" s="37"/>
      <c r="DA252" s="37"/>
      <c r="DB252" s="37"/>
      <c r="DC252" s="37"/>
      <c r="DD252" s="37"/>
      <c r="DE252" s="37"/>
      <c r="DF252" s="37"/>
      <c r="DG252" s="37"/>
      <c r="DH252" s="37"/>
      <c r="DI252" s="37"/>
      <c r="DJ252" s="37"/>
      <c r="DK252" s="37"/>
      <c r="DL252" s="37"/>
      <c r="DM252" s="37"/>
      <c r="DN252" s="37"/>
      <c r="DO252" s="32" t="s">
        <v>3600</v>
      </c>
      <c r="DP252" s="38" t="s">
        <v>5801</v>
      </c>
      <c r="DQ252" s="37"/>
      <c r="DR252" s="37"/>
      <c r="DS252" s="37"/>
      <c r="DT252" s="37"/>
      <c r="DU252" s="37"/>
      <c r="DV252" s="37"/>
      <c r="DW252" s="34"/>
      <c r="DX252" s="37"/>
      <c r="DY252" s="34"/>
      <c r="DZ252" s="37"/>
      <c r="EA252" s="37"/>
      <c r="EB252" s="34"/>
      <c r="EC252" s="37"/>
      <c r="ED252" s="37"/>
      <c r="EE252" s="37"/>
      <c r="EF252" s="37"/>
      <c r="EG252" s="34"/>
      <c r="EH252" s="37"/>
      <c r="EI252" s="37"/>
      <c r="EJ252" s="37"/>
      <c r="EK252" s="35" t="s">
        <v>4807</v>
      </c>
      <c r="EL252" s="37"/>
      <c r="EM252" s="37"/>
      <c r="EN252" s="37"/>
      <c r="EO252" s="37"/>
      <c r="EP252" s="40" t="s">
        <v>3559</v>
      </c>
    </row>
    <row r="253">
      <c r="A253" s="41">
        <v>6.34</v>
      </c>
      <c r="B253" s="42" t="s">
        <v>8120</v>
      </c>
      <c r="C253" s="43"/>
      <c r="D253" s="42" t="s">
        <v>8121</v>
      </c>
      <c r="E253" s="42" t="s">
        <v>8122</v>
      </c>
      <c r="F253" s="42" t="s">
        <v>8123</v>
      </c>
      <c r="G253" s="42" t="s">
        <v>8124</v>
      </c>
      <c r="H253" s="42" t="s">
        <v>3563</v>
      </c>
      <c r="I253" s="42" t="s">
        <v>4648</v>
      </c>
      <c r="J253" s="42" t="s">
        <v>8125</v>
      </c>
      <c r="K253" s="42" t="s">
        <v>8126</v>
      </c>
      <c r="L253" s="42" t="s">
        <v>8127</v>
      </c>
      <c r="M253" s="42" t="s">
        <v>8128</v>
      </c>
      <c r="N253" s="42" t="s">
        <v>5018</v>
      </c>
      <c r="O253" s="42" t="s">
        <v>8129</v>
      </c>
      <c r="P253" s="42"/>
      <c r="R253" s="42" t="s">
        <v>5222</v>
      </c>
      <c r="S253" s="42" t="s">
        <v>5222</v>
      </c>
      <c r="T253" s="42" t="s">
        <v>3573</v>
      </c>
      <c r="U253" s="44" t="s">
        <v>8130</v>
      </c>
      <c r="V253" s="43"/>
      <c r="W253" s="41">
        <v>19.0</v>
      </c>
      <c r="X253" s="42" t="s">
        <v>8131</v>
      </c>
      <c r="Y253" s="43"/>
      <c r="Z253" s="43"/>
      <c r="AA253" s="41">
        <v>2006.0</v>
      </c>
      <c r="AB253" s="43"/>
      <c r="AC253" s="43"/>
      <c r="AD253" s="43"/>
      <c r="AE253" s="45"/>
      <c r="AF253" s="45"/>
      <c r="AG253" s="45"/>
      <c r="AH253" s="45"/>
      <c r="AI253" s="45"/>
      <c r="AJ253" s="45"/>
      <c r="AK253" s="45"/>
      <c r="AL253" s="45"/>
      <c r="AM253" s="45"/>
      <c r="AN253" s="45"/>
      <c r="AO253" s="43"/>
      <c r="AP253" s="43"/>
      <c r="AQ253" s="43"/>
      <c r="AR253" s="43"/>
      <c r="AS253" s="43"/>
      <c r="AT253" s="42" t="s">
        <v>8132</v>
      </c>
      <c r="AU253" s="42" t="s">
        <v>8133</v>
      </c>
      <c r="AV253" s="43"/>
      <c r="AW253" s="42" t="s">
        <v>387</v>
      </c>
      <c r="AX253" s="43"/>
      <c r="AY253" s="41">
        <v>7019900.0</v>
      </c>
      <c r="AZ253" s="42" t="s">
        <v>41</v>
      </c>
      <c r="BA253" s="45" t="str">
        <f>+972 (0)3 673 7010</f>
        <v>#ERROR!</v>
      </c>
      <c r="BB253" s="45" t="str">
        <f>+972 (0)3 673 7011</f>
        <v>#ERROR!</v>
      </c>
      <c r="BC253" s="42" t="s">
        <v>8134</v>
      </c>
      <c r="BD253" s="42" t="s">
        <v>3584</v>
      </c>
      <c r="BE253" s="42" t="s">
        <v>3584</v>
      </c>
      <c r="BF253" s="42" t="s">
        <v>8135</v>
      </c>
      <c r="BG253" s="43"/>
      <c r="BH253" s="45"/>
      <c r="BI253" s="43"/>
      <c r="BJ253" s="42" t="s">
        <v>8136</v>
      </c>
      <c r="BK253" s="43"/>
      <c r="BL253" s="43"/>
      <c r="BM253" s="42" t="s">
        <v>8137</v>
      </c>
      <c r="BN253" s="43"/>
      <c r="BO253" s="43"/>
      <c r="BP253" s="43"/>
      <c r="BQ253" s="46" t="s">
        <v>8138</v>
      </c>
      <c r="BR253" s="41">
        <v>0.9</v>
      </c>
      <c r="BS253" s="42" t="s">
        <v>3593</v>
      </c>
      <c r="BT253" s="45"/>
      <c r="BU253" s="43"/>
      <c r="BV253" s="42" t="s">
        <v>3669</v>
      </c>
      <c r="BW253" s="43"/>
      <c r="BX253" s="43"/>
      <c r="BY253" s="42" t="s">
        <v>3573</v>
      </c>
      <c r="BZ253" s="43"/>
      <c r="CA253" s="42" t="s">
        <v>3591</v>
      </c>
      <c r="CB253" s="46" t="s">
        <v>8139</v>
      </c>
      <c r="CC253" s="45"/>
      <c r="CD253" s="43"/>
      <c r="CE253" s="45"/>
      <c r="CF253" s="43"/>
      <c r="CG253" s="42" t="s">
        <v>5222</v>
      </c>
      <c r="CH253" s="43"/>
      <c r="CI253" s="43"/>
      <c r="CJ253" s="42" t="s">
        <v>5222</v>
      </c>
      <c r="CK253" s="45"/>
      <c r="CL253" s="45"/>
      <c r="CM253" s="43"/>
      <c r="CN253" s="42" t="s">
        <v>3591</v>
      </c>
      <c r="CO253" s="45"/>
      <c r="CP253" s="45"/>
      <c r="CQ253" s="45"/>
      <c r="CR253" s="45"/>
      <c r="CS253" s="45"/>
      <c r="CT253" s="45"/>
      <c r="CU253" s="45"/>
      <c r="CV253" s="45"/>
      <c r="CW253" s="45"/>
      <c r="CX253" s="45"/>
      <c r="CY253" s="45"/>
      <c r="CZ253" s="45"/>
      <c r="DA253" s="45"/>
      <c r="DB253" s="45"/>
      <c r="DC253" s="45"/>
      <c r="DD253" s="45"/>
      <c r="DE253" s="45"/>
      <c r="DF253" s="45"/>
      <c r="DG253" s="45"/>
      <c r="DH253" s="45"/>
      <c r="DI253" s="45"/>
      <c r="DJ253" s="45"/>
      <c r="DK253" s="45"/>
      <c r="DL253" s="45"/>
      <c r="DM253" s="45"/>
      <c r="DN253" s="45"/>
      <c r="DO253" s="41" t="s">
        <v>3600</v>
      </c>
      <c r="DP253" s="46" t="s">
        <v>8140</v>
      </c>
      <c r="DQ253" s="41">
        <v>33.0</v>
      </c>
      <c r="DR253" s="41">
        <v>7.0</v>
      </c>
      <c r="DS253" s="41">
        <v>19.0</v>
      </c>
      <c r="DT253" s="41">
        <v>2.0</v>
      </c>
      <c r="DU253" s="45"/>
      <c r="DV253" s="41">
        <v>12.0</v>
      </c>
      <c r="DW253" s="42" t="s">
        <v>8141</v>
      </c>
      <c r="DX253" s="45"/>
      <c r="DY253" s="43"/>
      <c r="DZ253" s="45"/>
      <c r="EA253" s="45"/>
      <c r="EB253" s="43"/>
      <c r="EC253" s="45"/>
      <c r="ED253" s="45"/>
      <c r="EE253" s="45"/>
      <c r="EF253" s="45"/>
      <c r="EG253" s="43"/>
      <c r="EH253" s="45"/>
      <c r="EI253" s="45"/>
      <c r="EJ253" s="45"/>
      <c r="EK253" s="43"/>
      <c r="EL253" s="45"/>
      <c r="EM253" s="45"/>
      <c r="EN253" s="45"/>
      <c r="EO253" s="45"/>
      <c r="EP253" s="48" t="s">
        <v>3559</v>
      </c>
    </row>
    <row r="254">
      <c r="A254" s="32">
        <v>25.41</v>
      </c>
      <c r="B254" s="35" t="s">
        <v>8142</v>
      </c>
      <c r="C254" s="35" t="s">
        <v>8143</v>
      </c>
      <c r="D254" s="35" t="s">
        <v>8144</v>
      </c>
      <c r="E254" s="35" t="s">
        <v>8145</v>
      </c>
      <c r="F254" s="35" t="s">
        <v>8146</v>
      </c>
      <c r="G254" s="35" t="s">
        <v>8147</v>
      </c>
      <c r="H254" s="35" t="s">
        <v>3563</v>
      </c>
      <c r="I254" s="35" t="s">
        <v>3564</v>
      </c>
      <c r="J254" s="35" t="s">
        <v>3565</v>
      </c>
      <c r="K254" s="35" t="s">
        <v>5929</v>
      </c>
      <c r="L254" s="34"/>
      <c r="M254" s="35" t="s">
        <v>8148</v>
      </c>
      <c r="N254" s="35" t="s">
        <v>4962</v>
      </c>
      <c r="O254" s="35" t="s">
        <v>8149</v>
      </c>
      <c r="P254" s="35"/>
      <c r="R254" s="35" t="s">
        <v>3571</v>
      </c>
      <c r="S254" s="35" t="s">
        <v>5020</v>
      </c>
      <c r="T254" s="35" t="s">
        <v>8150</v>
      </c>
      <c r="U254" s="36" t="s">
        <v>8151</v>
      </c>
      <c r="V254" s="34"/>
      <c r="W254" s="37"/>
      <c r="X254" s="34"/>
      <c r="Y254" s="34"/>
      <c r="Z254" s="34"/>
      <c r="AA254" s="32">
        <v>1983.0</v>
      </c>
      <c r="AB254" s="34"/>
      <c r="AC254" s="34"/>
      <c r="AD254" s="34"/>
      <c r="AE254" s="32">
        <v>34.6</v>
      </c>
      <c r="AF254" s="37"/>
      <c r="AG254" s="32">
        <v>4.7</v>
      </c>
      <c r="AH254" s="37"/>
      <c r="AI254" s="37"/>
      <c r="AJ254" s="37"/>
      <c r="AK254" s="37"/>
      <c r="AL254" s="37"/>
      <c r="AM254" s="37"/>
      <c r="AN254" s="32" t="s">
        <v>8152</v>
      </c>
      <c r="AO254" s="34"/>
      <c r="AP254" s="34"/>
      <c r="AQ254" s="34"/>
      <c r="AR254" s="34"/>
      <c r="AS254" s="34"/>
      <c r="AT254" s="35" t="s">
        <v>8153</v>
      </c>
      <c r="AU254" s="35" t="s">
        <v>8154</v>
      </c>
      <c r="AV254" s="35" t="s">
        <v>8155</v>
      </c>
      <c r="AW254" s="35" t="s">
        <v>2922</v>
      </c>
      <c r="AX254" s="34"/>
      <c r="AY254" s="32">
        <v>60972.0</v>
      </c>
      <c r="AZ254" s="35" t="s">
        <v>41</v>
      </c>
      <c r="BA254" s="37"/>
      <c r="BB254" s="37"/>
      <c r="BC254" s="34"/>
      <c r="BD254" s="35" t="s">
        <v>3584</v>
      </c>
      <c r="BE254" s="35" t="s">
        <v>3584</v>
      </c>
      <c r="BF254" s="35" t="s">
        <v>8156</v>
      </c>
      <c r="BG254" s="34"/>
      <c r="BH254" s="37"/>
      <c r="BI254" s="35" t="s">
        <v>8157</v>
      </c>
      <c r="BJ254" s="35" t="s">
        <v>8158</v>
      </c>
      <c r="BK254" s="34"/>
      <c r="BL254" s="34"/>
      <c r="BM254" s="35" t="s">
        <v>8159</v>
      </c>
      <c r="BN254" s="34"/>
      <c r="BO254" s="34"/>
      <c r="BP254" s="35" t="s">
        <v>8160</v>
      </c>
      <c r="BQ254" s="38" t="s">
        <v>8161</v>
      </c>
      <c r="BR254" s="32">
        <v>25.41</v>
      </c>
      <c r="BS254" s="35" t="s">
        <v>3593</v>
      </c>
      <c r="BT254" s="32">
        <v>139.14</v>
      </c>
      <c r="BU254" s="35" t="s">
        <v>3593</v>
      </c>
      <c r="BV254" s="35" t="s">
        <v>4532</v>
      </c>
      <c r="BW254" s="35" t="s">
        <v>5257</v>
      </c>
      <c r="BX254" s="34"/>
      <c r="BY254" s="35" t="s">
        <v>5764</v>
      </c>
      <c r="BZ254" s="34"/>
      <c r="CA254" s="35" t="s">
        <v>3591</v>
      </c>
      <c r="CB254" s="38" t="s">
        <v>8162</v>
      </c>
      <c r="CC254" s="32">
        <v>160.0</v>
      </c>
      <c r="CD254" s="35" t="s">
        <v>3593</v>
      </c>
      <c r="CE254" s="32">
        <v>235.29</v>
      </c>
      <c r="CF254" s="35" t="s">
        <v>3697</v>
      </c>
      <c r="CG254" s="35" t="s">
        <v>4977</v>
      </c>
      <c r="CH254" s="34"/>
      <c r="CI254" s="34"/>
      <c r="CJ254" s="35" t="s">
        <v>3663</v>
      </c>
      <c r="CK254" s="37"/>
      <c r="CL254" s="37"/>
      <c r="CM254" s="34"/>
      <c r="CN254" s="35" t="s">
        <v>3591</v>
      </c>
      <c r="CO254" s="37"/>
      <c r="CP254" s="37"/>
      <c r="CQ254" s="37"/>
      <c r="CR254" s="37"/>
      <c r="CS254" s="37"/>
      <c r="CT254" s="37"/>
      <c r="CU254" s="37"/>
      <c r="CV254" s="37"/>
      <c r="CW254" s="37"/>
      <c r="CX254" s="37"/>
      <c r="CY254" s="37"/>
      <c r="CZ254" s="37"/>
      <c r="DA254" s="37"/>
      <c r="DB254" s="37"/>
      <c r="DC254" s="37"/>
      <c r="DD254" s="37"/>
      <c r="DE254" s="37"/>
      <c r="DF254" s="37"/>
      <c r="DG254" s="37"/>
      <c r="DH254" s="37"/>
      <c r="DI254" s="37"/>
      <c r="DJ254" s="37"/>
      <c r="DK254" s="37"/>
      <c r="DL254" s="37"/>
      <c r="DM254" s="37"/>
      <c r="DN254" s="37"/>
      <c r="DO254" s="32" t="s">
        <v>3600</v>
      </c>
      <c r="DP254" s="38" t="s">
        <v>8163</v>
      </c>
      <c r="DQ254" s="32">
        <v>24.0</v>
      </c>
      <c r="DR254" s="32">
        <v>7.0</v>
      </c>
      <c r="DS254" s="32">
        <v>8.0</v>
      </c>
      <c r="DT254" s="37"/>
      <c r="DU254" s="37"/>
      <c r="DV254" s="32">
        <v>16.0</v>
      </c>
      <c r="DW254" s="35" t="s">
        <v>8164</v>
      </c>
      <c r="DX254" s="37"/>
      <c r="DY254" s="34"/>
      <c r="DZ254" s="37"/>
      <c r="EA254" s="37"/>
      <c r="EB254" s="34"/>
      <c r="EC254" s="37"/>
      <c r="ED254" s="37"/>
      <c r="EE254" s="32">
        <v>235.29</v>
      </c>
      <c r="EF254" s="38" t="s">
        <v>8162</v>
      </c>
      <c r="EG254" s="35" t="s">
        <v>4977</v>
      </c>
      <c r="EH254" s="37"/>
      <c r="EI254" s="37"/>
      <c r="EJ254" s="37"/>
      <c r="EK254" s="34"/>
      <c r="EL254" s="37"/>
      <c r="EM254" s="37"/>
      <c r="EN254" s="37"/>
      <c r="EO254" s="37"/>
      <c r="EP254" s="40" t="s">
        <v>3559</v>
      </c>
    </row>
    <row r="255">
      <c r="A255" s="45"/>
      <c r="B255" s="42" t="s">
        <v>8165</v>
      </c>
      <c r="C255" s="43"/>
      <c r="D255" s="43"/>
      <c r="E255" s="42" t="s">
        <v>8166</v>
      </c>
      <c r="F255" s="43"/>
      <c r="G255" s="42" t="s">
        <v>8167</v>
      </c>
      <c r="H255" s="42" t="s">
        <v>3867</v>
      </c>
      <c r="I255" s="42" t="s">
        <v>4199</v>
      </c>
      <c r="J255" s="42" t="s">
        <v>4200</v>
      </c>
      <c r="K255" s="42" t="s">
        <v>8168</v>
      </c>
      <c r="L255" s="42" t="s">
        <v>7441</v>
      </c>
      <c r="M255" s="42" t="s">
        <v>8169</v>
      </c>
      <c r="N255" s="42" t="s">
        <v>4923</v>
      </c>
      <c r="O255" s="42" t="s">
        <v>8170</v>
      </c>
      <c r="P255" s="42"/>
      <c r="R255" s="42" t="s">
        <v>3571</v>
      </c>
      <c r="S255" s="42" t="s">
        <v>5236</v>
      </c>
      <c r="T255" s="42" t="s">
        <v>5568</v>
      </c>
      <c r="U255" s="44" t="s">
        <v>8171</v>
      </c>
      <c r="V255" s="43"/>
      <c r="W255" s="41">
        <v>463.0</v>
      </c>
      <c r="X255" s="54">
        <v>84.32152777777777</v>
      </c>
      <c r="Y255" s="42" t="s">
        <v>5417</v>
      </c>
      <c r="Z255" s="42" t="s">
        <v>8172</v>
      </c>
      <c r="AA255" s="41">
        <v>2000.0</v>
      </c>
      <c r="AB255" s="43"/>
      <c r="AC255" s="43"/>
      <c r="AD255" s="43"/>
      <c r="AE255" s="45"/>
      <c r="AF255" s="45"/>
      <c r="AG255" s="45"/>
      <c r="AH255" s="45"/>
      <c r="AI255" s="45"/>
      <c r="AJ255" s="45"/>
      <c r="AK255" s="41">
        <v>18.62</v>
      </c>
      <c r="AL255" s="45"/>
      <c r="AM255" s="45"/>
      <c r="AN255" s="45"/>
      <c r="AO255" s="42" t="s">
        <v>8173</v>
      </c>
      <c r="AP255" s="42" t="s">
        <v>8174</v>
      </c>
      <c r="AQ255" s="42" t="s">
        <v>4093</v>
      </c>
      <c r="AR255" s="42" t="s">
        <v>8175</v>
      </c>
      <c r="AS255" s="43" t="str">
        <f>+972 (0)73 267 8935</f>
        <v>#ERROR!</v>
      </c>
      <c r="AT255" s="42" t="s">
        <v>3718</v>
      </c>
      <c r="AU255" s="42" t="s">
        <v>8176</v>
      </c>
      <c r="AV255" s="42" t="s">
        <v>8177</v>
      </c>
      <c r="AW255" s="42" t="s">
        <v>552</v>
      </c>
      <c r="AX255" s="43"/>
      <c r="AY255" s="41">
        <v>51114.0</v>
      </c>
      <c r="AZ255" s="42" t="s">
        <v>41</v>
      </c>
      <c r="BA255" s="45" t="str">
        <f>+972 (0)73 267 8935</f>
        <v>#ERROR!</v>
      </c>
      <c r="BB255" s="45" t="str">
        <f>+972 (0)73 267 8939</f>
        <v>#ERROR!</v>
      </c>
      <c r="BC255" s="43"/>
      <c r="BD255" s="42" t="s">
        <v>3584</v>
      </c>
      <c r="BE255" s="42" t="s">
        <v>3584</v>
      </c>
      <c r="BF255" s="42" t="s">
        <v>8178</v>
      </c>
      <c r="BG255" s="43"/>
      <c r="BH255" s="45"/>
      <c r="BI255" s="43"/>
      <c r="BJ255" s="43"/>
      <c r="BK255" s="43"/>
      <c r="BL255" s="43"/>
      <c r="BM255" s="43"/>
      <c r="BN255" s="43"/>
      <c r="BO255" s="43"/>
      <c r="BP255" s="43"/>
      <c r="BQ255" s="45"/>
      <c r="BR255" s="45"/>
      <c r="BS255" s="43"/>
      <c r="BT255" s="45"/>
      <c r="BU255" s="43"/>
      <c r="BV255" s="42" t="s">
        <v>4532</v>
      </c>
      <c r="BW255" s="43"/>
      <c r="BX255" s="43"/>
      <c r="BY255" s="42" t="s">
        <v>5764</v>
      </c>
      <c r="BZ255" s="43"/>
      <c r="CA255" s="42" t="s">
        <v>3591</v>
      </c>
      <c r="CB255" s="45"/>
      <c r="CC255" s="45"/>
      <c r="CD255" s="43"/>
      <c r="CE255" s="45"/>
      <c r="CF255" s="43"/>
      <c r="CG255" s="42" t="s">
        <v>4532</v>
      </c>
      <c r="CH255" s="43"/>
      <c r="CI255" s="43"/>
      <c r="CJ255" s="42" t="s">
        <v>5764</v>
      </c>
      <c r="CK255" s="45"/>
      <c r="CL255" s="45"/>
      <c r="CM255" s="43"/>
      <c r="CN255" s="42" t="s">
        <v>3591</v>
      </c>
      <c r="CO255" s="47">
        <v>0.0</v>
      </c>
      <c r="CP255" s="41">
        <v>14.0</v>
      </c>
      <c r="CQ255" s="47">
        <v>0.0</v>
      </c>
      <c r="CR255" s="47">
        <v>0.0</v>
      </c>
      <c r="CS255" s="47">
        <v>0.0</v>
      </c>
      <c r="CT255" s="41">
        <v>12.0</v>
      </c>
      <c r="CU255" s="45"/>
      <c r="CV255" s="45"/>
      <c r="CW255" s="47">
        <v>0.0</v>
      </c>
      <c r="CX255" s="41">
        <v>12.0</v>
      </c>
      <c r="CY255" s="41" t="s">
        <v>6632</v>
      </c>
      <c r="CZ255" s="41">
        <v>44.0</v>
      </c>
      <c r="DA255" s="41" t="s">
        <v>3598</v>
      </c>
      <c r="DB255" s="47">
        <v>0.0</v>
      </c>
      <c r="DC255" s="41" t="s">
        <v>6632</v>
      </c>
      <c r="DD255" s="41">
        <v>47.0</v>
      </c>
      <c r="DE255" s="45"/>
      <c r="DF255" s="45"/>
      <c r="DG255" s="41" t="s">
        <v>6632</v>
      </c>
      <c r="DH255" s="41">
        <v>44.0</v>
      </c>
      <c r="DI255" s="45"/>
      <c r="DJ255" s="45"/>
      <c r="DK255" s="45"/>
      <c r="DL255" s="41">
        <v>20.0</v>
      </c>
      <c r="DM255" s="41">
        <v>1.0</v>
      </c>
      <c r="DN255" s="47">
        <v>0.0526</v>
      </c>
      <c r="DO255" s="41" t="s">
        <v>3600</v>
      </c>
      <c r="DP255" s="46" t="s">
        <v>8179</v>
      </c>
      <c r="DQ255" s="45"/>
      <c r="DR255" s="45"/>
      <c r="DS255" s="45"/>
      <c r="DT255" s="45"/>
      <c r="DU255" s="45"/>
      <c r="DV255" s="45"/>
      <c r="DW255" s="43"/>
      <c r="DX255" s="45"/>
      <c r="DY255" s="43"/>
      <c r="DZ255" s="45"/>
      <c r="EA255" s="45"/>
      <c r="EB255" s="43"/>
      <c r="EC255" s="45"/>
      <c r="ED255" s="45"/>
      <c r="EE255" s="45"/>
      <c r="EF255" s="45"/>
      <c r="EG255" s="43"/>
      <c r="EH255" s="45"/>
      <c r="EI255" s="45"/>
      <c r="EJ255" s="45"/>
      <c r="EK255" s="43"/>
      <c r="EL255" s="45"/>
      <c r="EM255" s="45"/>
      <c r="EN255" s="45"/>
      <c r="EO255" s="45"/>
      <c r="EP255" s="48" t="s">
        <v>3559</v>
      </c>
    </row>
    <row r="256">
      <c r="A256" s="32">
        <v>67.4</v>
      </c>
      <c r="B256" s="35" t="s">
        <v>8180</v>
      </c>
      <c r="C256" s="35" t="s">
        <v>8181</v>
      </c>
      <c r="D256" s="34"/>
      <c r="E256" s="35" t="s">
        <v>8182</v>
      </c>
      <c r="F256" s="35" t="s">
        <v>8183</v>
      </c>
      <c r="G256" s="35" t="s">
        <v>8184</v>
      </c>
      <c r="H256" s="35" t="s">
        <v>3563</v>
      </c>
      <c r="I256" s="35" t="s">
        <v>3609</v>
      </c>
      <c r="J256" s="35" t="s">
        <v>3610</v>
      </c>
      <c r="K256" s="35" t="s">
        <v>8185</v>
      </c>
      <c r="L256" s="35" t="s">
        <v>6762</v>
      </c>
      <c r="M256" s="35" t="s">
        <v>8186</v>
      </c>
      <c r="N256" s="35" t="s">
        <v>5018</v>
      </c>
      <c r="O256" s="35" t="s">
        <v>8187</v>
      </c>
      <c r="P256" s="35"/>
      <c r="R256" s="35" t="s">
        <v>5222</v>
      </c>
      <c r="S256" s="35" t="s">
        <v>5222</v>
      </c>
      <c r="T256" s="35" t="s">
        <v>3573</v>
      </c>
      <c r="U256" s="36" t="s">
        <v>8188</v>
      </c>
      <c r="V256" s="34"/>
      <c r="W256" s="32">
        <v>45.0</v>
      </c>
      <c r="X256" s="35" t="s">
        <v>8189</v>
      </c>
      <c r="Y256" s="34"/>
      <c r="Z256" s="34"/>
      <c r="AA256" s="32">
        <v>2009.0</v>
      </c>
      <c r="AB256" s="34"/>
      <c r="AC256" s="34"/>
      <c r="AD256" s="34"/>
      <c r="AE256" s="37"/>
      <c r="AF256" s="37"/>
      <c r="AG256" s="37"/>
      <c r="AH256" s="37"/>
      <c r="AI256" s="37"/>
      <c r="AJ256" s="37"/>
      <c r="AK256" s="37"/>
      <c r="AL256" s="37"/>
      <c r="AM256" s="37"/>
      <c r="AN256" s="37"/>
      <c r="AO256" s="34"/>
      <c r="AP256" s="34"/>
      <c r="AQ256" s="34"/>
      <c r="AR256" s="34"/>
      <c r="AS256" s="34"/>
      <c r="AT256" s="35" t="s">
        <v>8190</v>
      </c>
      <c r="AU256" s="35" t="s">
        <v>8191</v>
      </c>
      <c r="AV256" s="34"/>
      <c r="AW256" s="35" t="s">
        <v>8192</v>
      </c>
      <c r="AX256" s="34"/>
      <c r="AY256" s="32">
        <v>5540084.0</v>
      </c>
      <c r="AZ256" s="35" t="s">
        <v>41</v>
      </c>
      <c r="BA256" s="37"/>
      <c r="BB256" s="37"/>
      <c r="BC256" s="35" t="s">
        <v>8193</v>
      </c>
      <c r="BD256" s="35" t="s">
        <v>3584</v>
      </c>
      <c r="BE256" s="35" t="s">
        <v>3584</v>
      </c>
      <c r="BF256" s="35" t="s">
        <v>8194</v>
      </c>
      <c r="BG256" s="34"/>
      <c r="BH256" s="37"/>
      <c r="BI256" s="34"/>
      <c r="BJ256" s="35" t="s">
        <v>8195</v>
      </c>
      <c r="BK256" s="34"/>
      <c r="BL256" s="34"/>
      <c r="BM256" s="35" t="s">
        <v>8196</v>
      </c>
      <c r="BN256" s="34"/>
      <c r="BO256" s="34"/>
      <c r="BP256" s="35" t="s">
        <v>3725</v>
      </c>
      <c r="BQ256" s="37"/>
      <c r="BR256" s="32">
        <v>0.3</v>
      </c>
      <c r="BS256" s="35" t="s">
        <v>3593</v>
      </c>
      <c r="BT256" s="37"/>
      <c r="BU256" s="34"/>
      <c r="BV256" s="35" t="s">
        <v>3802</v>
      </c>
      <c r="BW256" s="35" t="s">
        <v>3802</v>
      </c>
      <c r="BX256" s="34"/>
      <c r="BY256" s="35" t="s">
        <v>3803</v>
      </c>
      <c r="BZ256" s="34"/>
      <c r="CA256" s="35" t="s">
        <v>3591</v>
      </c>
      <c r="CB256" s="38" t="s">
        <v>8197</v>
      </c>
      <c r="CC256" s="37"/>
      <c r="CD256" s="34"/>
      <c r="CE256" s="37"/>
      <c r="CF256" s="34"/>
      <c r="CG256" s="35" t="s">
        <v>5222</v>
      </c>
      <c r="CH256" s="34"/>
      <c r="CI256" s="34"/>
      <c r="CJ256" s="35" t="s">
        <v>5222</v>
      </c>
      <c r="CK256" s="37"/>
      <c r="CL256" s="37"/>
      <c r="CM256" s="34"/>
      <c r="CN256" s="35" t="s">
        <v>3591</v>
      </c>
      <c r="CO256" s="37"/>
      <c r="CP256" s="37"/>
      <c r="CQ256" s="37"/>
      <c r="CR256" s="37"/>
      <c r="CS256" s="37"/>
      <c r="CT256" s="37"/>
      <c r="CU256" s="37"/>
      <c r="CV256" s="37"/>
      <c r="CW256" s="37"/>
      <c r="CX256" s="37"/>
      <c r="CY256" s="37"/>
      <c r="CZ256" s="37"/>
      <c r="DA256" s="37"/>
      <c r="DB256" s="37"/>
      <c r="DC256" s="37"/>
      <c r="DD256" s="37"/>
      <c r="DE256" s="37"/>
      <c r="DF256" s="37"/>
      <c r="DG256" s="37"/>
      <c r="DH256" s="37"/>
      <c r="DI256" s="37"/>
      <c r="DJ256" s="37"/>
      <c r="DK256" s="37"/>
      <c r="DL256" s="37"/>
      <c r="DM256" s="37"/>
      <c r="DN256" s="37"/>
      <c r="DO256" s="32" t="s">
        <v>3600</v>
      </c>
      <c r="DP256" s="38" t="s">
        <v>8198</v>
      </c>
      <c r="DQ256" s="32">
        <v>20.0</v>
      </c>
      <c r="DR256" s="32">
        <v>11.0</v>
      </c>
      <c r="DS256" s="32">
        <v>4.0</v>
      </c>
      <c r="DT256" s="37"/>
      <c r="DU256" s="37"/>
      <c r="DV256" s="32">
        <v>16.0</v>
      </c>
      <c r="DW256" s="35" t="s">
        <v>8199</v>
      </c>
      <c r="DX256" s="37"/>
      <c r="DY256" s="34"/>
      <c r="DZ256" s="37"/>
      <c r="EA256" s="37"/>
      <c r="EB256" s="34"/>
      <c r="EC256" s="37"/>
      <c r="ED256" s="37"/>
      <c r="EE256" s="32">
        <v>153.1</v>
      </c>
      <c r="EF256" s="38" t="s">
        <v>8200</v>
      </c>
      <c r="EG256" s="35" t="s">
        <v>3594</v>
      </c>
      <c r="EH256" s="37"/>
      <c r="EI256" s="37"/>
      <c r="EJ256" s="37"/>
      <c r="EK256" s="35" t="s">
        <v>4108</v>
      </c>
      <c r="EL256" s="37"/>
      <c r="EM256" s="37"/>
      <c r="EN256" s="32">
        <v>2.36</v>
      </c>
      <c r="EO256" s="32">
        <v>2.36</v>
      </c>
      <c r="EP256" s="40" t="s">
        <v>3559</v>
      </c>
    </row>
    <row r="257">
      <c r="A257" s="45"/>
      <c r="B257" s="42" t="s">
        <v>8201</v>
      </c>
      <c r="C257" s="43"/>
      <c r="D257" s="43"/>
      <c r="E257" s="43"/>
      <c r="F257" s="43"/>
      <c r="G257" s="42" t="s">
        <v>8202</v>
      </c>
      <c r="H257" s="42" t="s">
        <v>3563</v>
      </c>
      <c r="I257" s="42" t="s">
        <v>3564</v>
      </c>
      <c r="J257" s="42" t="s">
        <v>3565</v>
      </c>
      <c r="K257" s="42" t="s">
        <v>8203</v>
      </c>
      <c r="L257" s="42" t="s">
        <v>5722</v>
      </c>
      <c r="M257" s="42" t="s">
        <v>8204</v>
      </c>
      <c r="N257" s="42" t="s">
        <v>4923</v>
      </c>
      <c r="O257" s="42" t="s">
        <v>8205</v>
      </c>
      <c r="P257" s="42"/>
      <c r="R257" s="42" t="s">
        <v>3571</v>
      </c>
      <c r="S257" s="42" t="s">
        <v>4925</v>
      </c>
      <c r="T257" s="42" t="s">
        <v>4926</v>
      </c>
      <c r="U257" s="44" t="s">
        <v>8206</v>
      </c>
      <c r="V257" s="44" t="s">
        <v>8207</v>
      </c>
      <c r="W257" s="41">
        <v>4.0</v>
      </c>
      <c r="X257" s="42" t="s">
        <v>8208</v>
      </c>
      <c r="Y257" s="43"/>
      <c r="Z257" s="43"/>
      <c r="AA257" s="41">
        <v>2021.0</v>
      </c>
      <c r="AB257" s="43"/>
      <c r="AC257" s="43"/>
      <c r="AD257" s="43"/>
      <c r="AE257" s="45"/>
      <c r="AF257" s="45"/>
      <c r="AG257" s="45"/>
      <c r="AH257" s="45"/>
      <c r="AI257" s="45"/>
      <c r="AJ257" s="45"/>
      <c r="AK257" s="45"/>
      <c r="AL257" s="45"/>
      <c r="AM257" s="45"/>
      <c r="AN257" s="45"/>
      <c r="AO257" s="42" t="s">
        <v>8209</v>
      </c>
      <c r="AP257" s="42" t="s">
        <v>8210</v>
      </c>
      <c r="AQ257" s="42" t="s">
        <v>4093</v>
      </c>
      <c r="AR257" s="42" t="s">
        <v>8211</v>
      </c>
      <c r="AS257" s="43"/>
      <c r="AT257" s="42" t="s">
        <v>3718</v>
      </c>
      <c r="AU257" s="43"/>
      <c r="AV257" s="43"/>
      <c r="AW257" s="42" t="s">
        <v>552</v>
      </c>
      <c r="AX257" s="43"/>
      <c r="AY257" s="41">
        <v>4647018.0</v>
      </c>
      <c r="AZ257" s="42" t="s">
        <v>41</v>
      </c>
      <c r="BA257" s="45"/>
      <c r="BB257" s="45"/>
      <c r="BC257" s="42" t="s">
        <v>8212</v>
      </c>
      <c r="BD257" s="42" t="s">
        <v>3584</v>
      </c>
      <c r="BE257" s="42" t="s">
        <v>3584</v>
      </c>
      <c r="BF257" s="43"/>
      <c r="BG257" s="43"/>
      <c r="BH257" s="45"/>
      <c r="BI257" s="43"/>
      <c r="BJ257" s="43"/>
      <c r="BK257" s="43"/>
      <c r="BL257" s="43"/>
      <c r="BM257" s="43"/>
      <c r="BN257" s="43"/>
      <c r="BO257" s="43"/>
      <c r="BP257" s="43"/>
      <c r="BQ257" s="45"/>
      <c r="BR257" s="45"/>
      <c r="BS257" s="43"/>
      <c r="BT257" s="45"/>
      <c r="BU257" s="43"/>
      <c r="BV257" s="43"/>
      <c r="BW257" s="43"/>
      <c r="BX257" s="43"/>
      <c r="BY257" s="43"/>
      <c r="BZ257" s="43"/>
      <c r="CA257" s="43"/>
      <c r="CB257" s="45"/>
      <c r="CC257" s="45"/>
      <c r="CD257" s="43"/>
      <c r="CE257" s="45"/>
      <c r="CF257" s="43"/>
      <c r="CG257" s="43"/>
      <c r="CH257" s="43"/>
      <c r="CI257" s="43"/>
      <c r="CJ257" s="43"/>
      <c r="CK257" s="45"/>
      <c r="CL257" s="45"/>
      <c r="CM257" s="43"/>
      <c r="CN257" s="43"/>
      <c r="CO257" s="47">
        <v>0.0</v>
      </c>
      <c r="CP257" s="41">
        <v>14.0</v>
      </c>
      <c r="CQ257" s="47">
        <v>0.0</v>
      </c>
      <c r="CR257" s="47">
        <v>0.0</v>
      </c>
      <c r="CS257" s="47">
        <v>0.0</v>
      </c>
      <c r="CT257" s="41">
        <v>12.0</v>
      </c>
      <c r="CU257" s="47">
        <v>0.0</v>
      </c>
      <c r="CV257" s="41">
        <v>10.0</v>
      </c>
      <c r="CW257" s="47">
        <v>0.0</v>
      </c>
      <c r="CX257" s="41">
        <v>12.0</v>
      </c>
      <c r="CY257" s="41" t="s">
        <v>4726</v>
      </c>
      <c r="CZ257" s="41">
        <v>20.0</v>
      </c>
      <c r="DA257" s="41" t="s">
        <v>3598</v>
      </c>
      <c r="DB257" s="47">
        <v>0.0</v>
      </c>
      <c r="DC257" s="41" t="s">
        <v>4726</v>
      </c>
      <c r="DD257" s="41">
        <v>22.0</v>
      </c>
      <c r="DE257" s="41" t="s">
        <v>6515</v>
      </c>
      <c r="DF257" s="41">
        <v>20.0</v>
      </c>
      <c r="DG257" s="41" t="s">
        <v>6632</v>
      </c>
      <c r="DH257" s="41">
        <v>44.0</v>
      </c>
      <c r="DI257" s="41">
        <v>0.0</v>
      </c>
      <c r="DJ257" s="41">
        <v>0.0</v>
      </c>
      <c r="DK257" s="47">
        <v>0.0</v>
      </c>
      <c r="DL257" s="41">
        <v>20.0</v>
      </c>
      <c r="DM257" s="41">
        <v>2.0</v>
      </c>
      <c r="DN257" s="47">
        <v>0.1111</v>
      </c>
      <c r="DO257" s="41" t="s">
        <v>3600</v>
      </c>
      <c r="DP257" s="46" t="s">
        <v>8213</v>
      </c>
      <c r="DQ257" s="45"/>
      <c r="DR257" s="45"/>
      <c r="DS257" s="45"/>
      <c r="DT257" s="45"/>
      <c r="DU257" s="45"/>
      <c r="DV257" s="45"/>
      <c r="DW257" s="43"/>
      <c r="DX257" s="45"/>
      <c r="DY257" s="43"/>
      <c r="DZ257" s="45"/>
      <c r="EA257" s="45"/>
      <c r="EB257" s="43"/>
      <c r="EC257" s="45"/>
      <c r="ED257" s="45"/>
      <c r="EE257" s="45"/>
      <c r="EF257" s="45"/>
      <c r="EG257" s="43"/>
      <c r="EH257" s="45"/>
      <c r="EI257" s="45"/>
      <c r="EJ257" s="45"/>
      <c r="EK257" s="43"/>
      <c r="EL257" s="45"/>
      <c r="EM257" s="45"/>
      <c r="EN257" s="45"/>
      <c r="EO257" s="45"/>
      <c r="EP257" s="48" t="s">
        <v>3559</v>
      </c>
    </row>
    <row r="258">
      <c r="A258" s="32">
        <v>240.77</v>
      </c>
      <c r="B258" s="35" t="s">
        <v>8214</v>
      </c>
      <c r="C258" s="34"/>
      <c r="D258" s="35" t="s">
        <v>8215</v>
      </c>
      <c r="E258" s="35" t="s">
        <v>8216</v>
      </c>
      <c r="F258" s="35" t="s">
        <v>8217</v>
      </c>
      <c r="G258" s="35" t="s">
        <v>8218</v>
      </c>
      <c r="H258" s="35" t="s">
        <v>3867</v>
      </c>
      <c r="I258" s="35" t="s">
        <v>3897</v>
      </c>
      <c r="J258" s="35" t="s">
        <v>4689</v>
      </c>
      <c r="K258" s="35" t="s">
        <v>7339</v>
      </c>
      <c r="L258" s="35" t="s">
        <v>8219</v>
      </c>
      <c r="M258" s="35" t="s">
        <v>8220</v>
      </c>
      <c r="N258" s="35" t="s">
        <v>5018</v>
      </c>
      <c r="O258" s="35" t="s">
        <v>8221</v>
      </c>
      <c r="P258" s="35"/>
      <c r="R258" s="35" t="s">
        <v>5412</v>
      </c>
      <c r="S258" s="35" t="s">
        <v>5020</v>
      </c>
      <c r="T258" s="35" t="s">
        <v>5413</v>
      </c>
      <c r="U258" s="36" t="s">
        <v>8222</v>
      </c>
      <c r="V258" s="34"/>
      <c r="W258" s="32">
        <v>135.0</v>
      </c>
      <c r="X258" s="35" t="s">
        <v>8223</v>
      </c>
      <c r="Y258" s="34"/>
      <c r="Z258" s="34"/>
      <c r="AA258" s="32">
        <v>2015.0</v>
      </c>
      <c r="AB258" s="34"/>
      <c r="AC258" s="34"/>
      <c r="AD258" s="34"/>
      <c r="AE258" s="32">
        <v>7.51</v>
      </c>
      <c r="AF258" s="32">
        <v>3.84</v>
      </c>
      <c r="AG258" s="32">
        <v>-74.78</v>
      </c>
      <c r="AH258" s="32">
        <v>-80.44</v>
      </c>
      <c r="AI258" s="32">
        <v>-73.39</v>
      </c>
      <c r="AJ258" s="32">
        <v>-74.56</v>
      </c>
      <c r="AK258" s="32">
        <v>52.37</v>
      </c>
      <c r="AL258" s="32">
        <v>-75.11</v>
      </c>
      <c r="AM258" s="39">
        <v>0.7966</v>
      </c>
      <c r="AN258" s="32" t="s">
        <v>7527</v>
      </c>
      <c r="AO258" s="35" t="s">
        <v>8224</v>
      </c>
      <c r="AP258" s="35" t="s">
        <v>8225</v>
      </c>
      <c r="AQ258" s="35" t="s">
        <v>7673</v>
      </c>
      <c r="AR258" s="34"/>
      <c r="AS258" s="34"/>
      <c r="AT258" s="35" t="s">
        <v>3718</v>
      </c>
      <c r="AU258" s="35" t="s">
        <v>8226</v>
      </c>
      <c r="AV258" s="35" t="s">
        <v>8227</v>
      </c>
      <c r="AW258" s="35" t="s">
        <v>552</v>
      </c>
      <c r="AX258" s="34"/>
      <c r="AY258" s="37"/>
      <c r="AZ258" s="35" t="s">
        <v>41</v>
      </c>
      <c r="BA258" s="37"/>
      <c r="BB258" s="37"/>
      <c r="BC258" s="34"/>
      <c r="BD258" s="35" t="s">
        <v>3584</v>
      </c>
      <c r="BE258" s="35" t="s">
        <v>3584</v>
      </c>
      <c r="BF258" s="35" t="s">
        <v>8228</v>
      </c>
      <c r="BG258" s="34"/>
      <c r="BH258" s="37"/>
      <c r="BI258" s="33" t="s">
        <v>8229</v>
      </c>
      <c r="BJ258" s="35" t="s">
        <v>8230</v>
      </c>
      <c r="BK258" s="34"/>
      <c r="BL258" s="34"/>
      <c r="BM258" s="35" t="s">
        <v>8231</v>
      </c>
      <c r="BN258" s="34"/>
      <c r="BO258" s="34"/>
      <c r="BP258" s="35" t="s">
        <v>8232</v>
      </c>
      <c r="BQ258" s="38" t="s">
        <v>8233</v>
      </c>
      <c r="BR258" s="32">
        <v>0.1</v>
      </c>
      <c r="BS258" s="35" t="s">
        <v>3593</v>
      </c>
      <c r="BT258" s="37"/>
      <c r="BU258" s="34"/>
      <c r="BV258" s="35" t="s">
        <v>3698</v>
      </c>
      <c r="BW258" s="35" t="s">
        <v>7593</v>
      </c>
      <c r="BX258" s="34"/>
      <c r="BY258" s="35" t="s">
        <v>3573</v>
      </c>
      <c r="BZ258" s="34"/>
      <c r="CA258" s="35" t="s">
        <v>3591</v>
      </c>
      <c r="CB258" s="38" t="s">
        <v>8234</v>
      </c>
      <c r="CC258" s="37"/>
      <c r="CD258" s="34"/>
      <c r="CE258" s="37"/>
      <c r="CF258" s="34"/>
      <c r="CG258" s="35" t="s">
        <v>4977</v>
      </c>
      <c r="CH258" s="34"/>
      <c r="CI258" s="34"/>
      <c r="CJ258" s="35" t="s">
        <v>3663</v>
      </c>
      <c r="CK258" s="37"/>
      <c r="CL258" s="37"/>
      <c r="CM258" s="34"/>
      <c r="CN258" s="35" t="s">
        <v>3591</v>
      </c>
      <c r="CO258" s="37"/>
      <c r="CP258" s="37"/>
      <c r="CQ258" s="37"/>
      <c r="CR258" s="37"/>
      <c r="CS258" s="37"/>
      <c r="CT258" s="37"/>
      <c r="CU258" s="37"/>
      <c r="CV258" s="37"/>
      <c r="CW258" s="37"/>
      <c r="CX258" s="37"/>
      <c r="CY258" s="37"/>
      <c r="CZ258" s="37"/>
      <c r="DA258" s="37"/>
      <c r="DB258" s="37"/>
      <c r="DC258" s="37"/>
      <c r="DD258" s="37"/>
      <c r="DE258" s="37"/>
      <c r="DF258" s="37"/>
      <c r="DG258" s="37"/>
      <c r="DH258" s="37"/>
      <c r="DI258" s="37"/>
      <c r="DJ258" s="37"/>
      <c r="DK258" s="37"/>
      <c r="DL258" s="37"/>
      <c r="DM258" s="37"/>
      <c r="DN258" s="37"/>
      <c r="DO258" s="32" t="s">
        <v>3600</v>
      </c>
      <c r="DP258" s="38" t="s">
        <v>4042</v>
      </c>
      <c r="DQ258" s="32">
        <v>37.0</v>
      </c>
      <c r="DR258" s="32">
        <v>21.0</v>
      </c>
      <c r="DS258" s="32">
        <v>18.0</v>
      </c>
      <c r="DT258" s="32">
        <v>1.0</v>
      </c>
      <c r="DU258" s="37"/>
      <c r="DV258" s="32">
        <v>18.0</v>
      </c>
      <c r="DW258" s="35" t="s">
        <v>8235</v>
      </c>
      <c r="DX258" s="37"/>
      <c r="DY258" s="34"/>
      <c r="DZ258" s="37"/>
      <c r="EA258" s="37"/>
      <c r="EB258" s="34"/>
      <c r="EC258" s="37"/>
      <c r="ED258" s="37"/>
      <c r="EE258" s="50">
        <v>1322.0</v>
      </c>
      <c r="EF258" s="38" t="s">
        <v>8236</v>
      </c>
      <c r="EG258" s="35" t="s">
        <v>4775</v>
      </c>
      <c r="EH258" s="37"/>
      <c r="EI258" s="37"/>
      <c r="EJ258" s="37"/>
      <c r="EK258" s="34"/>
      <c r="EL258" s="37"/>
      <c r="EM258" s="37"/>
      <c r="EN258" s="37"/>
      <c r="EO258" s="32">
        <v>4.13</v>
      </c>
      <c r="EP258" s="40" t="s">
        <v>3559</v>
      </c>
    </row>
    <row r="259">
      <c r="A259" s="45"/>
      <c r="B259" s="42" t="s">
        <v>8237</v>
      </c>
      <c r="C259" s="43"/>
      <c r="D259" s="43"/>
      <c r="E259" s="43"/>
      <c r="F259" s="43"/>
      <c r="G259" s="42" t="s">
        <v>8238</v>
      </c>
      <c r="H259" s="42" t="s">
        <v>3867</v>
      </c>
      <c r="I259" s="42" t="s">
        <v>3868</v>
      </c>
      <c r="J259" s="42" t="s">
        <v>3869</v>
      </c>
      <c r="K259" s="42" t="s">
        <v>8239</v>
      </c>
      <c r="L259" s="43"/>
      <c r="M259" s="42" t="s">
        <v>8240</v>
      </c>
      <c r="N259" s="42" t="s">
        <v>4962</v>
      </c>
      <c r="O259" s="42" t="s">
        <v>8241</v>
      </c>
      <c r="P259" s="42"/>
      <c r="R259" s="42" t="s">
        <v>3571</v>
      </c>
      <c r="S259" s="42" t="s">
        <v>5020</v>
      </c>
      <c r="T259" s="42" t="s">
        <v>3603</v>
      </c>
      <c r="U259" s="44" t="s">
        <v>8242</v>
      </c>
      <c r="V259" s="43"/>
      <c r="W259" s="45"/>
      <c r="X259" s="43"/>
      <c r="Y259" s="43"/>
      <c r="Z259" s="43"/>
      <c r="AA259" s="41">
        <v>1990.0</v>
      </c>
      <c r="AB259" s="43"/>
      <c r="AC259" s="43"/>
      <c r="AD259" s="43"/>
      <c r="AE259" s="45"/>
      <c r="AF259" s="45"/>
      <c r="AG259" s="45"/>
      <c r="AH259" s="45"/>
      <c r="AI259" s="45"/>
      <c r="AJ259" s="45"/>
      <c r="AK259" s="45"/>
      <c r="AL259" s="45"/>
      <c r="AM259" s="45"/>
      <c r="AN259" s="45"/>
      <c r="AO259" s="43"/>
      <c r="AP259" s="43"/>
      <c r="AQ259" s="43"/>
      <c r="AR259" s="43"/>
      <c r="AS259" s="43"/>
      <c r="AT259" s="42" t="s">
        <v>3581</v>
      </c>
      <c r="AU259" s="42" t="s">
        <v>8243</v>
      </c>
      <c r="AV259" s="43"/>
      <c r="AW259" s="42" t="s">
        <v>75</v>
      </c>
      <c r="AX259" s="43"/>
      <c r="AY259" s="45"/>
      <c r="AZ259" s="42" t="s">
        <v>41</v>
      </c>
      <c r="BA259" s="45"/>
      <c r="BB259" s="45"/>
      <c r="BC259" s="43"/>
      <c r="BD259" s="42" t="s">
        <v>3584</v>
      </c>
      <c r="BE259" s="42" t="s">
        <v>3584</v>
      </c>
      <c r="BF259" s="42" t="s">
        <v>8244</v>
      </c>
      <c r="BG259" s="43"/>
      <c r="BH259" s="45"/>
      <c r="BI259" s="42" t="s">
        <v>8245</v>
      </c>
      <c r="BJ259" s="43"/>
      <c r="BK259" s="43"/>
      <c r="BL259" s="43"/>
      <c r="BM259" s="43"/>
      <c r="BN259" s="43"/>
      <c r="BO259" s="43"/>
      <c r="BP259" s="43"/>
      <c r="BQ259" s="46" t="s">
        <v>4294</v>
      </c>
      <c r="BR259" s="41">
        <v>6.37</v>
      </c>
      <c r="BS259" s="42" t="s">
        <v>3593</v>
      </c>
      <c r="BT259" s="41">
        <v>7.97</v>
      </c>
      <c r="BU259" s="42" t="s">
        <v>3697</v>
      </c>
      <c r="BV259" s="42" t="s">
        <v>4977</v>
      </c>
      <c r="BW259" s="43"/>
      <c r="BX259" s="43"/>
      <c r="BY259" s="42" t="s">
        <v>3663</v>
      </c>
      <c r="BZ259" s="43"/>
      <c r="CA259" s="42" t="s">
        <v>3591</v>
      </c>
      <c r="CB259" s="46" t="s">
        <v>4294</v>
      </c>
      <c r="CC259" s="41">
        <v>6.37</v>
      </c>
      <c r="CD259" s="42" t="s">
        <v>3593</v>
      </c>
      <c r="CE259" s="41">
        <v>7.97</v>
      </c>
      <c r="CF259" s="42" t="s">
        <v>3697</v>
      </c>
      <c r="CG259" s="42" t="s">
        <v>4977</v>
      </c>
      <c r="CH259" s="43"/>
      <c r="CI259" s="43"/>
      <c r="CJ259" s="42" t="s">
        <v>3663</v>
      </c>
      <c r="CK259" s="45"/>
      <c r="CL259" s="45"/>
      <c r="CM259" s="43"/>
      <c r="CN259" s="42" t="s">
        <v>3591</v>
      </c>
      <c r="CO259" s="45"/>
      <c r="CP259" s="45"/>
      <c r="CQ259" s="45"/>
      <c r="CR259" s="45"/>
      <c r="CS259" s="45"/>
      <c r="CT259" s="45"/>
      <c r="CU259" s="45"/>
      <c r="CV259" s="45"/>
      <c r="CW259" s="45"/>
      <c r="CX259" s="45"/>
      <c r="CY259" s="45"/>
      <c r="CZ259" s="45"/>
      <c r="DA259" s="45"/>
      <c r="DB259" s="45"/>
      <c r="DC259" s="45"/>
      <c r="DD259" s="45"/>
      <c r="DE259" s="45"/>
      <c r="DF259" s="45"/>
      <c r="DG259" s="45"/>
      <c r="DH259" s="45"/>
      <c r="DI259" s="45"/>
      <c r="DJ259" s="45"/>
      <c r="DK259" s="45"/>
      <c r="DL259" s="45"/>
      <c r="DM259" s="45"/>
      <c r="DN259" s="45"/>
      <c r="DO259" s="41" t="s">
        <v>3600</v>
      </c>
      <c r="DP259" s="46" t="s">
        <v>5350</v>
      </c>
      <c r="DQ259" s="45"/>
      <c r="DR259" s="45"/>
      <c r="DS259" s="45"/>
      <c r="DT259" s="45"/>
      <c r="DU259" s="45"/>
      <c r="DV259" s="45"/>
      <c r="DW259" s="43"/>
      <c r="DX259" s="45"/>
      <c r="DY259" s="43"/>
      <c r="DZ259" s="45"/>
      <c r="EA259" s="45"/>
      <c r="EB259" s="43"/>
      <c r="EC259" s="45"/>
      <c r="ED259" s="45"/>
      <c r="EE259" s="41">
        <v>7.97</v>
      </c>
      <c r="EF259" s="46" t="s">
        <v>4294</v>
      </c>
      <c r="EG259" s="42" t="s">
        <v>4977</v>
      </c>
      <c r="EH259" s="45"/>
      <c r="EI259" s="45"/>
      <c r="EJ259" s="45"/>
      <c r="EK259" s="43"/>
      <c r="EL259" s="45"/>
      <c r="EM259" s="45"/>
      <c r="EN259" s="45"/>
      <c r="EO259" s="45"/>
      <c r="EP259" s="48" t="s">
        <v>3559</v>
      </c>
    </row>
    <row r="260">
      <c r="A260" s="37"/>
      <c r="B260" s="35" t="s">
        <v>8246</v>
      </c>
      <c r="C260" s="34"/>
      <c r="D260" s="34"/>
      <c r="E260" s="35" t="s">
        <v>8247</v>
      </c>
      <c r="F260" s="34"/>
      <c r="G260" s="35" t="s">
        <v>8248</v>
      </c>
      <c r="H260" s="35" t="s">
        <v>4560</v>
      </c>
      <c r="I260" s="35" t="s">
        <v>4561</v>
      </c>
      <c r="J260" s="35" t="s">
        <v>66</v>
      </c>
      <c r="K260" s="35" t="s">
        <v>8249</v>
      </c>
      <c r="L260" s="35" t="s">
        <v>8250</v>
      </c>
      <c r="M260" s="35" t="s">
        <v>8251</v>
      </c>
      <c r="N260" s="35" t="s">
        <v>4962</v>
      </c>
      <c r="O260" s="35" t="s">
        <v>8252</v>
      </c>
      <c r="P260" s="35"/>
      <c r="R260" s="35" t="s">
        <v>5222</v>
      </c>
      <c r="S260" s="35" t="s">
        <v>5222</v>
      </c>
      <c r="T260" s="35" t="s">
        <v>3603</v>
      </c>
      <c r="U260" s="34"/>
      <c r="V260" s="34"/>
      <c r="W260" s="37"/>
      <c r="X260" s="34"/>
      <c r="Y260" s="34"/>
      <c r="Z260" s="34"/>
      <c r="AA260" s="32">
        <v>2018.0</v>
      </c>
      <c r="AB260" s="34"/>
      <c r="AC260" s="34"/>
      <c r="AD260" s="34"/>
      <c r="AE260" s="37"/>
      <c r="AF260" s="37"/>
      <c r="AG260" s="37"/>
      <c r="AH260" s="37"/>
      <c r="AI260" s="37"/>
      <c r="AJ260" s="37"/>
      <c r="AK260" s="37"/>
      <c r="AL260" s="37"/>
      <c r="AM260" s="37"/>
      <c r="AN260" s="37"/>
      <c r="AO260" s="34"/>
      <c r="AP260" s="34"/>
      <c r="AQ260" s="34"/>
      <c r="AR260" s="34"/>
      <c r="AS260" s="34"/>
      <c r="AT260" s="35" t="s">
        <v>41</v>
      </c>
      <c r="AU260" s="34"/>
      <c r="AV260" s="34"/>
      <c r="AW260" s="34"/>
      <c r="AX260" s="34"/>
      <c r="AY260" s="37"/>
      <c r="AZ260" s="35" t="s">
        <v>41</v>
      </c>
      <c r="BA260" s="37"/>
      <c r="BB260" s="37"/>
      <c r="BC260" s="34"/>
      <c r="BD260" s="35" t="s">
        <v>3584</v>
      </c>
      <c r="BE260" s="35" t="s">
        <v>3584</v>
      </c>
      <c r="BF260" s="35" t="s">
        <v>8253</v>
      </c>
      <c r="BG260" s="34"/>
      <c r="BH260" s="37"/>
      <c r="BI260" s="34"/>
      <c r="BJ260" s="35" t="s">
        <v>4955</v>
      </c>
      <c r="BK260" s="34"/>
      <c r="BL260" s="34"/>
      <c r="BM260" s="35" t="s">
        <v>8254</v>
      </c>
      <c r="BN260" s="34"/>
      <c r="BO260" s="34"/>
      <c r="BP260" s="34"/>
      <c r="BQ260" s="38" t="s">
        <v>3857</v>
      </c>
      <c r="BR260" s="37"/>
      <c r="BS260" s="34"/>
      <c r="BT260" s="37"/>
      <c r="BU260" s="34"/>
      <c r="BV260" s="35" t="s">
        <v>3663</v>
      </c>
      <c r="BW260" s="35" t="s">
        <v>3663</v>
      </c>
      <c r="BX260" s="34"/>
      <c r="BY260" s="35" t="s">
        <v>3663</v>
      </c>
      <c r="BZ260" s="34"/>
      <c r="CA260" s="35" t="s">
        <v>3591</v>
      </c>
      <c r="CB260" s="38" t="s">
        <v>4662</v>
      </c>
      <c r="CC260" s="37"/>
      <c r="CD260" s="34"/>
      <c r="CE260" s="37"/>
      <c r="CF260" s="34"/>
      <c r="CG260" s="35" t="s">
        <v>5222</v>
      </c>
      <c r="CH260" s="34"/>
      <c r="CI260" s="34"/>
      <c r="CJ260" s="35" t="s">
        <v>5222</v>
      </c>
      <c r="CK260" s="37"/>
      <c r="CL260" s="37"/>
      <c r="CM260" s="34"/>
      <c r="CN260" s="35" t="s">
        <v>3591</v>
      </c>
      <c r="CO260" s="37"/>
      <c r="CP260" s="37"/>
      <c r="CQ260" s="37"/>
      <c r="CR260" s="37"/>
      <c r="CS260" s="37"/>
      <c r="CT260" s="37"/>
      <c r="CU260" s="37"/>
      <c r="CV260" s="37"/>
      <c r="CW260" s="37"/>
      <c r="CX260" s="37"/>
      <c r="CY260" s="37"/>
      <c r="CZ260" s="37"/>
      <c r="DA260" s="37"/>
      <c r="DB260" s="37"/>
      <c r="DC260" s="37"/>
      <c r="DD260" s="37"/>
      <c r="DE260" s="37"/>
      <c r="DF260" s="37"/>
      <c r="DG260" s="37"/>
      <c r="DH260" s="37"/>
      <c r="DI260" s="37"/>
      <c r="DJ260" s="37"/>
      <c r="DK260" s="37"/>
      <c r="DL260" s="37"/>
      <c r="DM260" s="37"/>
      <c r="DN260" s="37"/>
      <c r="DO260" s="32" t="s">
        <v>3600</v>
      </c>
      <c r="DP260" s="38" t="s">
        <v>8255</v>
      </c>
      <c r="DQ260" s="37"/>
      <c r="DR260" s="37"/>
      <c r="DS260" s="37"/>
      <c r="DT260" s="37"/>
      <c r="DU260" s="37"/>
      <c r="DV260" s="37"/>
      <c r="DW260" s="34"/>
      <c r="DX260" s="37"/>
      <c r="DY260" s="34"/>
      <c r="DZ260" s="37"/>
      <c r="EA260" s="37"/>
      <c r="EB260" s="34"/>
      <c r="EC260" s="37"/>
      <c r="ED260" s="37"/>
      <c r="EE260" s="37"/>
      <c r="EF260" s="37"/>
      <c r="EG260" s="34"/>
      <c r="EH260" s="37"/>
      <c r="EI260" s="37"/>
      <c r="EJ260" s="37"/>
      <c r="EK260" s="34"/>
      <c r="EL260" s="37"/>
      <c r="EM260" s="37"/>
      <c r="EN260" s="37"/>
      <c r="EO260" s="37"/>
      <c r="EP260" s="40" t="s">
        <v>3559</v>
      </c>
    </row>
    <row r="261">
      <c r="A261" s="45"/>
      <c r="B261" s="42" t="s">
        <v>8256</v>
      </c>
      <c r="C261" s="43"/>
      <c r="D261" s="43"/>
      <c r="E261" s="43"/>
      <c r="F261" s="43"/>
      <c r="G261" s="42" t="s">
        <v>8257</v>
      </c>
      <c r="H261" s="42" t="s">
        <v>4560</v>
      </c>
      <c r="I261" s="42" t="s">
        <v>4561</v>
      </c>
      <c r="J261" s="42" t="s">
        <v>66</v>
      </c>
      <c r="K261" s="42" t="s">
        <v>4562</v>
      </c>
      <c r="L261" s="43"/>
      <c r="M261" s="43"/>
      <c r="N261" s="42" t="s">
        <v>4923</v>
      </c>
      <c r="O261" s="42" t="s">
        <v>8258</v>
      </c>
      <c r="P261" s="42"/>
      <c r="R261" s="43"/>
      <c r="S261" s="42" t="s">
        <v>4925</v>
      </c>
      <c r="T261" s="42" t="s">
        <v>4926</v>
      </c>
      <c r="U261" s="44" t="s">
        <v>8259</v>
      </c>
      <c r="V261" s="44" t="s">
        <v>8260</v>
      </c>
      <c r="W261" s="41">
        <v>2.0</v>
      </c>
      <c r="X261" s="42" t="s">
        <v>6401</v>
      </c>
      <c r="Y261" s="43"/>
      <c r="Z261" s="43"/>
      <c r="AA261" s="41">
        <v>2020.0</v>
      </c>
      <c r="AB261" s="43"/>
      <c r="AC261" s="43"/>
      <c r="AD261" s="43"/>
      <c r="AE261" s="45"/>
      <c r="AF261" s="45"/>
      <c r="AG261" s="45"/>
      <c r="AH261" s="45"/>
      <c r="AI261" s="45"/>
      <c r="AJ261" s="45"/>
      <c r="AK261" s="45"/>
      <c r="AL261" s="45"/>
      <c r="AM261" s="45"/>
      <c r="AN261" s="45"/>
      <c r="AO261" s="43"/>
      <c r="AP261" s="43"/>
      <c r="AQ261" s="43"/>
      <c r="AR261" s="43"/>
      <c r="AS261" s="43"/>
      <c r="AT261" s="42" t="s">
        <v>41</v>
      </c>
      <c r="AU261" s="43"/>
      <c r="AV261" s="43"/>
      <c r="AW261" s="43"/>
      <c r="AX261" s="43"/>
      <c r="AY261" s="45"/>
      <c r="AZ261" s="42" t="s">
        <v>41</v>
      </c>
      <c r="BA261" s="45"/>
      <c r="BB261" s="45"/>
      <c r="BC261" s="42" t="s">
        <v>2641</v>
      </c>
      <c r="BD261" s="42" t="s">
        <v>3584</v>
      </c>
      <c r="BE261" s="42" t="s">
        <v>3584</v>
      </c>
      <c r="BF261" s="43"/>
      <c r="BG261" s="43"/>
      <c r="BH261" s="45"/>
      <c r="BI261" s="43"/>
      <c r="BJ261" s="43"/>
      <c r="BK261" s="43"/>
      <c r="BL261" s="43"/>
      <c r="BM261" s="43"/>
      <c r="BN261" s="43"/>
      <c r="BO261" s="43"/>
      <c r="BP261" s="43"/>
      <c r="BQ261" s="45"/>
      <c r="BR261" s="45"/>
      <c r="BS261" s="43"/>
      <c r="BT261" s="45"/>
      <c r="BU261" s="43"/>
      <c r="BV261" s="43"/>
      <c r="BW261" s="43"/>
      <c r="BX261" s="43"/>
      <c r="BY261" s="43"/>
      <c r="BZ261" s="43"/>
      <c r="CA261" s="43"/>
      <c r="CB261" s="45"/>
      <c r="CC261" s="45"/>
      <c r="CD261" s="43"/>
      <c r="CE261" s="45"/>
      <c r="CF261" s="43"/>
      <c r="CG261" s="43"/>
      <c r="CH261" s="43"/>
      <c r="CI261" s="43"/>
      <c r="CJ261" s="43"/>
      <c r="CK261" s="45"/>
      <c r="CL261" s="45"/>
      <c r="CM261" s="43"/>
      <c r="CN261" s="43"/>
      <c r="CO261" s="47">
        <v>0.0</v>
      </c>
      <c r="CP261" s="41">
        <v>14.0</v>
      </c>
      <c r="CQ261" s="47">
        <v>0.0</v>
      </c>
      <c r="CR261" s="47">
        <v>0.0</v>
      </c>
      <c r="CS261" s="47">
        <v>0.0</v>
      </c>
      <c r="CT261" s="41">
        <v>12.0</v>
      </c>
      <c r="CU261" s="45"/>
      <c r="CV261" s="45"/>
      <c r="CW261" s="47">
        <v>0.0</v>
      </c>
      <c r="CX261" s="41">
        <v>12.0</v>
      </c>
      <c r="CY261" s="41" t="s">
        <v>8261</v>
      </c>
      <c r="CZ261" s="41">
        <v>29.0</v>
      </c>
      <c r="DA261" s="41" t="s">
        <v>3598</v>
      </c>
      <c r="DB261" s="47">
        <v>0.0</v>
      </c>
      <c r="DC261" s="41" t="s">
        <v>4246</v>
      </c>
      <c r="DD261" s="41">
        <v>49.0</v>
      </c>
      <c r="DE261" s="45"/>
      <c r="DF261" s="45"/>
      <c r="DG261" s="41" t="s">
        <v>4246</v>
      </c>
      <c r="DH261" s="41">
        <v>46.0</v>
      </c>
      <c r="DI261" s="45"/>
      <c r="DJ261" s="45"/>
      <c r="DK261" s="45"/>
      <c r="DL261" s="41">
        <v>21.0</v>
      </c>
      <c r="DM261" s="41">
        <v>1.0</v>
      </c>
      <c r="DN261" s="47">
        <v>0.05</v>
      </c>
      <c r="DO261" s="41" t="s">
        <v>5066</v>
      </c>
      <c r="DP261" s="46" t="s">
        <v>5447</v>
      </c>
      <c r="DQ261" s="45"/>
      <c r="DR261" s="45"/>
      <c r="DS261" s="45"/>
      <c r="DT261" s="45"/>
      <c r="DU261" s="45"/>
      <c r="DV261" s="45"/>
      <c r="DW261" s="43"/>
      <c r="DX261" s="45"/>
      <c r="DY261" s="43"/>
      <c r="DZ261" s="45"/>
      <c r="EA261" s="45"/>
      <c r="EB261" s="43"/>
      <c r="EC261" s="45"/>
      <c r="ED261" s="45"/>
      <c r="EE261" s="45"/>
      <c r="EF261" s="45"/>
      <c r="EG261" s="43"/>
      <c r="EH261" s="45"/>
      <c r="EI261" s="45"/>
      <c r="EJ261" s="45"/>
      <c r="EK261" s="43"/>
      <c r="EL261" s="45"/>
      <c r="EM261" s="45"/>
      <c r="EN261" s="45"/>
      <c r="EO261" s="45"/>
      <c r="EP261" s="48" t="s">
        <v>3559</v>
      </c>
    </row>
    <row r="262">
      <c r="A262" s="32">
        <v>6.5</v>
      </c>
      <c r="B262" s="35" t="s">
        <v>8262</v>
      </c>
      <c r="C262" s="34"/>
      <c r="D262" s="34"/>
      <c r="E262" s="35" t="s">
        <v>8263</v>
      </c>
      <c r="F262" s="35" t="s">
        <v>8264</v>
      </c>
      <c r="G262" s="35" t="s">
        <v>8265</v>
      </c>
      <c r="H262" s="35" t="s">
        <v>3867</v>
      </c>
      <c r="I262" s="35" t="s">
        <v>3868</v>
      </c>
      <c r="J262" s="35" t="s">
        <v>3869</v>
      </c>
      <c r="K262" s="35" t="s">
        <v>4439</v>
      </c>
      <c r="L262" s="35" t="s">
        <v>8266</v>
      </c>
      <c r="M262" s="35" t="s">
        <v>8267</v>
      </c>
      <c r="N262" s="35" t="s">
        <v>5018</v>
      </c>
      <c r="O262" s="35" t="s">
        <v>8268</v>
      </c>
      <c r="P262" s="35"/>
      <c r="R262" s="35" t="s">
        <v>5222</v>
      </c>
      <c r="S262" s="35" t="s">
        <v>5222</v>
      </c>
      <c r="T262" s="35" t="s">
        <v>3573</v>
      </c>
      <c r="U262" s="36" t="s">
        <v>8269</v>
      </c>
      <c r="V262" s="34"/>
      <c r="W262" s="32">
        <v>5.0</v>
      </c>
      <c r="X262" s="35" t="s">
        <v>8270</v>
      </c>
      <c r="Y262" s="34"/>
      <c r="Z262" s="34"/>
      <c r="AA262" s="32">
        <v>2019.0</v>
      </c>
      <c r="AB262" s="34"/>
      <c r="AC262" s="34"/>
      <c r="AD262" s="34"/>
      <c r="AE262" s="37"/>
      <c r="AF262" s="37"/>
      <c r="AG262" s="37"/>
      <c r="AH262" s="37"/>
      <c r="AI262" s="37"/>
      <c r="AJ262" s="37"/>
      <c r="AK262" s="37"/>
      <c r="AL262" s="37"/>
      <c r="AM262" s="37"/>
      <c r="AN262" s="37"/>
      <c r="AO262" s="34"/>
      <c r="AP262" s="34"/>
      <c r="AQ262" s="34"/>
      <c r="AR262" s="34"/>
      <c r="AS262" s="34"/>
      <c r="AT262" s="35" t="s">
        <v>3581</v>
      </c>
      <c r="AU262" s="35" t="s">
        <v>8271</v>
      </c>
      <c r="AV262" s="35" t="s">
        <v>8272</v>
      </c>
      <c r="AW262" s="35" t="s">
        <v>75</v>
      </c>
      <c r="AX262" s="34"/>
      <c r="AY262" s="32">
        <v>6701203.0</v>
      </c>
      <c r="AZ262" s="35" t="s">
        <v>41</v>
      </c>
      <c r="BA262" s="37"/>
      <c r="BB262" s="37"/>
      <c r="BC262" s="35" t="s">
        <v>2844</v>
      </c>
      <c r="BD262" s="35" t="s">
        <v>3584</v>
      </c>
      <c r="BE262" s="35" t="s">
        <v>3584</v>
      </c>
      <c r="BF262" s="35" t="s">
        <v>8273</v>
      </c>
      <c r="BG262" s="34"/>
      <c r="BH262" s="37"/>
      <c r="BI262" s="34"/>
      <c r="BJ262" s="35" t="s">
        <v>8274</v>
      </c>
      <c r="BK262" s="34"/>
      <c r="BL262" s="34"/>
      <c r="BM262" s="35" t="s">
        <v>8275</v>
      </c>
      <c r="BN262" s="34"/>
      <c r="BO262" s="34"/>
      <c r="BP262" s="35" t="s">
        <v>6990</v>
      </c>
      <c r="BQ262" s="38" t="s">
        <v>8276</v>
      </c>
      <c r="BR262" s="32">
        <v>3.0</v>
      </c>
      <c r="BS262" s="35" t="s">
        <v>3593</v>
      </c>
      <c r="BT262" s="37"/>
      <c r="BU262" s="34"/>
      <c r="BV262" s="35" t="s">
        <v>3669</v>
      </c>
      <c r="BW262" s="34"/>
      <c r="BX262" s="34"/>
      <c r="BY262" s="35" t="s">
        <v>3573</v>
      </c>
      <c r="BZ262" s="34"/>
      <c r="CA262" s="35" t="s">
        <v>3591</v>
      </c>
      <c r="CB262" s="38" t="s">
        <v>4040</v>
      </c>
      <c r="CC262" s="37"/>
      <c r="CD262" s="34"/>
      <c r="CE262" s="37"/>
      <c r="CF262" s="34"/>
      <c r="CG262" s="35" t="s">
        <v>5222</v>
      </c>
      <c r="CH262" s="34"/>
      <c r="CI262" s="34"/>
      <c r="CJ262" s="35" t="s">
        <v>5222</v>
      </c>
      <c r="CK262" s="37"/>
      <c r="CL262" s="37"/>
      <c r="CM262" s="34"/>
      <c r="CN262" s="35" t="s">
        <v>3591</v>
      </c>
      <c r="CO262" s="37"/>
      <c r="CP262" s="37"/>
      <c r="CQ262" s="37"/>
      <c r="CR262" s="37"/>
      <c r="CS262" s="37"/>
      <c r="CT262" s="37"/>
      <c r="CU262" s="37"/>
      <c r="CV262" s="37"/>
      <c r="CW262" s="37"/>
      <c r="CX262" s="37"/>
      <c r="CY262" s="37"/>
      <c r="CZ262" s="37"/>
      <c r="DA262" s="37"/>
      <c r="DB262" s="37"/>
      <c r="DC262" s="37"/>
      <c r="DD262" s="37"/>
      <c r="DE262" s="37"/>
      <c r="DF262" s="37"/>
      <c r="DG262" s="37"/>
      <c r="DH262" s="37"/>
      <c r="DI262" s="37"/>
      <c r="DJ262" s="37"/>
      <c r="DK262" s="37"/>
      <c r="DL262" s="37"/>
      <c r="DM262" s="37"/>
      <c r="DN262" s="37"/>
      <c r="DO262" s="32" t="s">
        <v>3600</v>
      </c>
      <c r="DP262" s="38" t="s">
        <v>8277</v>
      </c>
      <c r="DQ262" s="37"/>
      <c r="DR262" s="37"/>
      <c r="DS262" s="37"/>
      <c r="DT262" s="37"/>
      <c r="DU262" s="37"/>
      <c r="DV262" s="37"/>
      <c r="DW262" s="34"/>
      <c r="DX262" s="37"/>
      <c r="DY262" s="34"/>
      <c r="DZ262" s="37"/>
      <c r="EA262" s="37"/>
      <c r="EB262" s="34"/>
      <c r="EC262" s="37"/>
      <c r="ED262" s="37"/>
      <c r="EE262" s="37"/>
      <c r="EF262" s="37"/>
      <c r="EG262" s="34"/>
      <c r="EH262" s="37"/>
      <c r="EI262" s="37"/>
      <c r="EJ262" s="37"/>
      <c r="EK262" s="34"/>
      <c r="EL262" s="37"/>
      <c r="EM262" s="37"/>
      <c r="EN262" s="37"/>
      <c r="EO262" s="37"/>
      <c r="EP262" s="40" t="s">
        <v>3559</v>
      </c>
    </row>
    <row r="263">
      <c r="A263" s="41">
        <v>10.0</v>
      </c>
      <c r="B263" s="42" t="s">
        <v>8278</v>
      </c>
      <c r="C263" s="43"/>
      <c r="D263" s="43"/>
      <c r="E263" s="42" t="s">
        <v>8279</v>
      </c>
      <c r="F263" s="43"/>
      <c r="G263" s="42" t="s">
        <v>8280</v>
      </c>
      <c r="H263" s="42" t="s">
        <v>4560</v>
      </c>
      <c r="I263" s="42" t="s">
        <v>6034</v>
      </c>
      <c r="J263" s="42" t="s">
        <v>6035</v>
      </c>
      <c r="K263" s="42" t="s">
        <v>8281</v>
      </c>
      <c r="L263" s="42" t="s">
        <v>8282</v>
      </c>
      <c r="M263" s="42" t="s">
        <v>8283</v>
      </c>
      <c r="N263" s="42" t="s">
        <v>3569</v>
      </c>
      <c r="O263" s="42" t="s">
        <v>8284</v>
      </c>
      <c r="P263" s="42"/>
      <c r="R263" s="42" t="s">
        <v>3571</v>
      </c>
      <c r="S263" s="42" t="s">
        <v>3572</v>
      </c>
      <c r="T263" s="42" t="s">
        <v>3573</v>
      </c>
      <c r="U263" s="44" t="s">
        <v>8285</v>
      </c>
      <c r="V263" s="44" t="s">
        <v>8286</v>
      </c>
      <c r="W263" s="41">
        <v>9.0</v>
      </c>
      <c r="X263" s="42" t="s">
        <v>8287</v>
      </c>
      <c r="Y263" s="43"/>
      <c r="Z263" s="43"/>
      <c r="AA263" s="41">
        <v>2014.0</v>
      </c>
      <c r="AB263" s="43"/>
      <c r="AC263" s="43"/>
      <c r="AD263" s="43"/>
      <c r="AE263" s="45"/>
      <c r="AF263" s="45"/>
      <c r="AG263" s="45"/>
      <c r="AH263" s="45"/>
      <c r="AI263" s="45"/>
      <c r="AJ263" s="45"/>
      <c r="AK263" s="45"/>
      <c r="AL263" s="45"/>
      <c r="AM263" s="45"/>
      <c r="AN263" s="45"/>
      <c r="AO263" s="42" t="s">
        <v>8288</v>
      </c>
      <c r="AP263" s="42" t="s">
        <v>8289</v>
      </c>
      <c r="AQ263" s="42" t="s">
        <v>8290</v>
      </c>
      <c r="AR263" s="42" t="s">
        <v>8291</v>
      </c>
      <c r="AS263" s="43" t="str">
        <f>+972 (0)3 657 3899</f>
        <v>#ERROR!</v>
      </c>
      <c r="AT263" s="42" t="s">
        <v>3581</v>
      </c>
      <c r="AU263" s="42" t="s">
        <v>8292</v>
      </c>
      <c r="AV263" s="43"/>
      <c r="AW263" s="42" t="s">
        <v>75</v>
      </c>
      <c r="AX263" s="43"/>
      <c r="AY263" s="41">
        <v>3614617.0</v>
      </c>
      <c r="AZ263" s="42" t="s">
        <v>41</v>
      </c>
      <c r="BA263" s="45" t="str">
        <f>+972 (0)3 657 3899</f>
        <v>#ERROR!</v>
      </c>
      <c r="BB263" s="45"/>
      <c r="BC263" s="42" t="s">
        <v>8293</v>
      </c>
      <c r="BD263" s="42" t="s">
        <v>3584</v>
      </c>
      <c r="BE263" s="42" t="s">
        <v>3584</v>
      </c>
      <c r="BF263" s="42" t="s">
        <v>8294</v>
      </c>
      <c r="BG263" s="42" t="s">
        <v>8295</v>
      </c>
      <c r="BH263" s="41">
        <v>2.0</v>
      </c>
      <c r="BI263" s="43"/>
      <c r="BJ263" s="43"/>
      <c r="BK263" s="43"/>
      <c r="BL263" s="42" t="s">
        <v>8296</v>
      </c>
      <c r="BM263" s="43"/>
      <c r="BN263" s="43"/>
      <c r="BO263" s="43"/>
      <c r="BP263" s="43"/>
      <c r="BQ263" s="46" t="s">
        <v>4479</v>
      </c>
      <c r="BR263" s="41">
        <v>10.0</v>
      </c>
      <c r="BS263" s="42" t="s">
        <v>3593</v>
      </c>
      <c r="BT263" s="41">
        <v>25.0</v>
      </c>
      <c r="BU263" s="42" t="s">
        <v>3593</v>
      </c>
      <c r="BV263" s="42" t="s">
        <v>3594</v>
      </c>
      <c r="BW263" s="42" t="s">
        <v>3595</v>
      </c>
      <c r="BX263" s="43"/>
      <c r="BY263" s="42" t="s">
        <v>3573</v>
      </c>
      <c r="BZ263" s="43"/>
      <c r="CA263" s="42" t="s">
        <v>3591</v>
      </c>
      <c r="CB263" s="46" t="s">
        <v>4479</v>
      </c>
      <c r="CC263" s="41">
        <v>10.0</v>
      </c>
      <c r="CD263" s="42" t="s">
        <v>3593</v>
      </c>
      <c r="CE263" s="41">
        <v>25.0</v>
      </c>
      <c r="CF263" s="42" t="s">
        <v>3593</v>
      </c>
      <c r="CG263" s="42" t="s">
        <v>3594</v>
      </c>
      <c r="CH263" s="42" t="s">
        <v>3595</v>
      </c>
      <c r="CI263" s="43"/>
      <c r="CJ263" s="42" t="s">
        <v>3573</v>
      </c>
      <c r="CK263" s="45"/>
      <c r="CL263" s="45"/>
      <c r="CM263" s="43"/>
      <c r="CN263" s="42" t="s">
        <v>3591</v>
      </c>
      <c r="CO263" s="47">
        <v>0.0</v>
      </c>
      <c r="CP263" s="41">
        <v>14.0</v>
      </c>
      <c r="CQ263" s="47">
        <v>0.0</v>
      </c>
      <c r="CR263" s="47">
        <v>0.0</v>
      </c>
      <c r="CS263" s="47">
        <v>0.0</v>
      </c>
      <c r="CT263" s="41">
        <v>12.0</v>
      </c>
      <c r="CU263" s="45"/>
      <c r="CV263" s="45"/>
      <c r="CW263" s="47">
        <v>0.0</v>
      </c>
      <c r="CX263" s="41">
        <v>12.0</v>
      </c>
      <c r="CY263" s="41" t="s">
        <v>8297</v>
      </c>
      <c r="CZ263" s="41">
        <v>58.0</v>
      </c>
      <c r="DA263" s="41" t="s">
        <v>3598</v>
      </c>
      <c r="DB263" s="47">
        <v>0.0</v>
      </c>
      <c r="DC263" s="41" t="s">
        <v>8297</v>
      </c>
      <c r="DD263" s="41">
        <v>60.0</v>
      </c>
      <c r="DE263" s="45"/>
      <c r="DF263" s="45"/>
      <c r="DG263" s="41" t="s">
        <v>8297</v>
      </c>
      <c r="DH263" s="41">
        <v>58.0</v>
      </c>
      <c r="DI263" s="45"/>
      <c r="DJ263" s="45"/>
      <c r="DK263" s="45"/>
      <c r="DL263" s="41">
        <v>29.0</v>
      </c>
      <c r="DM263" s="41">
        <v>1.0</v>
      </c>
      <c r="DN263" s="47">
        <v>0.0357</v>
      </c>
      <c r="DO263" s="41" t="s">
        <v>3600</v>
      </c>
      <c r="DP263" s="46" t="s">
        <v>8298</v>
      </c>
      <c r="DQ263" s="41">
        <v>8.0</v>
      </c>
      <c r="DR263" s="41">
        <v>3.0</v>
      </c>
      <c r="DS263" s="45"/>
      <c r="DT263" s="45"/>
      <c r="DU263" s="45"/>
      <c r="DV263" s="41">
        <v>8.0</v>
      </c>
      <c r="DW263" s="43"/>
      <c r="DX263" s="45"/>
      <c r="DY263" s="43"/>
      <c r="DZ263" s="45"/>
      <c r="EA263" s="45"/>
      <c r="EB263" s="43"/>
      <c r="EC263" s="45"/>
      <c r="ED263" s="45"/>
      <c r="EE263" s="41">
        <v>25.0</v>
      </c>
      <c r="EF263" s="46" t="s">
        <v>4479</v>
      </c>
      <c r="EG263" s="42" t="s">
        <v>3594</v>
      </c>
      <c r="EH263" s="45"/>
      <c r="EI263" s="45"/>
      <c r="EJ263" s="45"/>
      <c r="EK263" s="43"/>
      <c r="EL263" s="45"/>
      <c r="EM263" s="45"/>
      <c r="EN263" s="45"/>
      <c r="EO263" s="45"/>
      <c r="EP263" s="48" t="s">
        <v>3559</v>
      </c>
    </row>
    <row r="264">
      <c r="A264" s="37"/>
      <c r="B264" s="35" t="s">
        <v>8299</v>
      </c>
      <c r="C264" s="34"/>
      <c r="D264" s="34"/>
      <c r="E264" s="34"/>
      <c r="F264" s="35" t="s">
        <v>8300</v>
      </c>
      <c r="G264" s="35" t="s">
        <v>8301</v>
      </c>
      <c r="H264" s="35" t="s">
        <v>3867</v>
      </c>
      <c r="I264" s="35" t="s">
        <v>3868</v>
      </c>
      <c r="J264" s="35" t="s">
        <v>3869</v>
      </c>
      <c r="K264" s="35" t="s">
        <v>5438</v>
      </c>
      <c r="L264" s="34"/>
      <c r="M264" s="35" t="s">
        <v>8302</v>
      </c>
      <c r="N264" s="35" t="s">
        <v>4923</v>
      </c>
      <c r="O264" s="35" t="s">
        <v>8303</v>
      </c>
      <c r="P264" s="35"/>
      <c r="R264" s="34"/>
      <c r="S264" s="35" t="s">
        <v>4925</v>
      </c>
      <c r="T264" s="35" t="s">
        <v>4926</v>
      </c>
      <c r="U264" s="36" t="s">
        <v>8304</v>
      </c>
      <c r="V264" s="36" t="s">
        <v>8305</v>
      </c>
      <c r="W264" s="32">
        <v>11.0</v>
      </c>
      <c r="X264" s="53">
        <v>84.38263888888889</v>
      </c>
      <c r="Y264" s="34"/>
      <c r="Z264" s="34"/>
      <c r="AA264" s="32">
        <v>2000.0</v>
      </c>
      <c r="AB264" s="34"/>
      <c r="AC264" s="34"/>
      <c r="AD264" s="34"/>
      <c r="AE264" s="37"/>
      <c r="AF264" s="37"/>
      <c r="AG264" s="37"/>
      <c r="AH264" s="37"/>
      <c r="AI264" s="37"/>
      <c r="AJ264" s="37"/>
      <c r="AK264" s="37"/>
      <c r="AL264" s="37"/>
      <c r="AM264" s="37"/>
      <c r="AN264" s="37"/>
      <c r="AO264" s="34"/>
      <c r="AP264" s="34"/>
      <c r="AQ264" s="34"/>
      <c r="AR264" s="34"/>
      <c r="AS264" s="34"/>
      <c r="AT264" s="35" t="s">
        <v>8306</v>
      </c>
      <c r="AU264" s="35" t="s">
        <v>8307</v>
      </c>
      <c r="AV264" s="34"/>
      <c r="AW264" s="35" t="s">
        <v>8308</v>
      </c>
      <c r="AX264" s="34"/>
      <c r="AY264" s="37"/>
      <c r="AZ264" s="35" t="s">
        <v>41</v>
      </c>
      <c r="BA264" s="37"/>
      <c r="BB264" s="37"/>
      <c r="BC264" s="35" t="s">
        <v>8309</v>
      </c>
      <c r="BD264" s="35" t="s">
        <v>3584</v>
      </c>
      <c r="BE264" s="35" t="s">
        <v>3584</v>
      </c>
      <c r="BF264" s="34"/>
      <c r="BG264" s="34"/>
      <c r="BH264" s="37"/>
      <c r="BI264" s="34"/>
      <c r="BJ264" s="34"/>
      <c r="BK264" s="34"/>
      <c r="BL264" s="34"/>
      <c r="BM264" s="34"/>
      <c r="BN264" s="34"/>
      <c r="BO264" s="34"/>
      <c r="BP264" s="34"/>
      <c r="BQ264" s="37"/>
      <c r="BR264" s="37"/>
      <c r="BS264" s="34"/>
      <c r="BT264" s="37"/>
      <c r="BU264" s="34"/>
      <c r="BV264" s="34"/>
      <c r="BW264" s="34"/>
      <c r="BX264" s="34"/>
      <c r="BY264" s="34"/>
      <c r="BZ264" s="34"/>
      <c r="CA264" s="34"/>
      <c r="CB264" s="37"/>
      <c r="CC264" s="37"/>
      <c r="CD264" s="34"/>
      <c r="CE264" s="37"/>
      <c r="CF264" s="34"/>
      <c r="CG264" s="34"/>
      <c r="CH264" s="34"/>
      <c r="CI264" s="34"/>
      <c r="CJ264" s="34"/>
      <c r="CK264" s="37"/>
      <c r="CL264" s="37"/>
      <c r="CM264" s="34"/>
      <c r="CN264" s="34"/>
      <c r="CO264" s="39">
        <v>0.0021</v>
      </c>
      <c r="CP264" s="32">
        <v>88.0</v>
      </c>
      <c r="CQ264" s="39">
        <v>0.0</v>
      </c>
      <c r="CR264" s="39">
        <v>0.0</v>
      </c>
      <c r="CS264" s="39">
        <v>0.0042</v>
      </c>
      <c r="CT264" s="32">
        <v>93.0</v>
      </c>
      <c r="CU264" s="37"/>
      <c r="CV264" s="37"/>
      <c r="CW264" s="39">
        <v>0.0042</v>
      </c>
      <c r="CX264" s="32">
        <v>93.0</v>
      </c>
      <c r="CY264" s="32" t="s">
        <v>8310</v>
      </c>
      <c r="CZ264" s="32">
        <v>74.0</v>
      </c>
      <c r="DA264" s="32" t="s">
        <v>3598</v>
      </c>
      <c r="DB264" s="39">
        <v>0.0</v>
      </c>
      <c r="DC264" s="32" t="s">
        <v>8311</v>
      </c>
      <c r="DD264" s="32">
        <v>80.0</v>
      </c>
      <c r="DE264" s="37"/>
      <c r="DF264" s="37"/>
      <c r="DG264" s="32" t="s">
        <v>8311</v>
      </c>
      <c r="DH264" s="32">
        <v>77.0</v>
      </c>
      <c r="DI264" s="37"/>
      <c r="DJ264" s="37"/>
      <c r="DK264" s="37"/>
      <c r="DL264" s="32">
        <v>121.0</v>
      </c>
      <c r="DM264" s="32">
        <v>0.0</v>
      </c>
      <c r="DN264" s="39">
        <v>0.0</v>
      </c>
      <c r="DO264" s="32" t="s">
        <v>5066</v>
      </c>
      <c r="DP264" s="38" t="s">
        <v>7396</v>
      </c>
      <c r="DQ264" s="37"/>
      <c r="DR264" s="37"/>
      <c r="DS264" s="37"/>
      <c r="DT264" s="37"/>
      <c r="DU264" s="37"/>
      <c r="DV264" s="37"/>
      <c r="DW264" s="34"/>
      <c r="DX264" s="37"/>
      <c r="DY264" s="34"/>
      <c r="DZ264" s="37"/>
      <c r="EA264" s="37"/>
      <c r="EB264" s="34"/>
      <c r="EC264" s="37"/>
      <c r="ED264" s="37"/>
      <c r="EE264" s="37"/>
      <c r="EF264" s="37"/>
      <c r="EG264" s="34"/>
      <c r="EH264" s="37"/>
      <c r="EI264" s="37"/>
      <c r="EJ264" s="37"/>
      <c r="EK264" s="34"/>
      <c r="EL264" s="37"/>
      <c r="EM264" s="37"/>
      <c r="EN264" s="37"/>
      <c r="EO264" s="37"/>
      <c r="EP264" s="40" t="s">
        <v>3559</v>
      </c>
    </row>
    <row r="265">
      <c r="A265" s="45"/>
      <c r="B265" s="42" t="s">
        <v>8312</v>
      </c>
      <c r="C265" s="43"/>
      <c r="D265" s="43"/>
      <c r="E265" s="43"/>
      <c r="F265" s="43"/>
      <c r="G265" s="42" t="s">
        <v>8313</v>
      </c>
      <c r="H265" s="42" t="s">
        <v>3867</v>
      </c>
      <c r="I265" s="42" t="s">
        <v>3897</v>
      </c>
      <c r="J265" s="42" t="s">
        <v>3898</v>
      </c>
      <c r="K265" s="42" t="s">
        <v>5845</v>
      </c>
      <c r="L265" s="43"/>
      <c r="M265" s="42" t="s">
        <v>8314</v>
      </c>
      <c r="N265" s="42" t="s">
        <v>4923</v>
      </c>
      <c r="O265" s="42" t="s">
        <v>8315</v>
      </c>
      <c r="P265" s="42"/>
      <c r="R265" s="43"/>
      <c r="S265" s="42" t="s">
        <v>4925</v>
      </c>
      <c r="T265" s="42" t="s">
        <v>4926</v>
      </c>
      <c r="U265" s="44" t="s">
        <v>8316</v>
      </c>
      <c r="V265" s="44" t="s">
        <v>8317</v>
      </c>
      <c r="W265" s="41">
        <v>3.0</v>
      </c>
      <c r="X265" s="42" t="s">
        <v>5715</v>
      </c>
      <c r="Y265" s="43"/>
      <c r="Z265" s="43"/>
      <c r="AA265" s="45"/>
      <c r="AB265" s="43"/>
      <c r="AC265" s="43"/>
      <c r="AD265" s="43"/>
      <c r="AE265" s="45"/>
      <c r="AF265" s="45"/>
      <c r="AG265" s="45"/>
      <c r="AH265" s="45"/>
      <c r="AI265" s="45"/>
      <c r="AJ265" s="45"/>
      <c r="AK265" s="45"/>
      <c r="AL265" s="45"/>
      <c r="AM265" s="45"/>
      <c r="AN265" s="45"/>
      <c r="AO265" s="43"/>
      <c r="AP265" s="43"/>
      <c r="AQ265" s="43"/>
      <c r="AR265" s="43"/>
      <c r="AS265" s="43"/>
      <c r="AT265" s="42" t="s">
        <v>8318</v>
      </c>
      <c r="AU265" s="42" t="s">
        <v>8319</v>
      </c>
      <c r="AV265" s="43"/>
      <c r="AW265" s="42" t="s">
        <v>8320</v>
      </c>
      <c r="AX265" s="42" t="s">
        <v>41</v>
      </c>
      <c r="AY265" s="41">
        <v>6964138.0</v>
      </c>
      <c r="AZ265" s="42" t="s">
        <v>41</v>
      </c>
      <c r="BA265" s="45"/>
      <c r="BB265" s="45"/>
      <c r="BC265" s="43"/>
      <c r="BD265" s="42" t="s">
        <v>3584</v>
      </c>
      <c r="BE265" s="42" t="s">
        <v>3584</v>
      </c>
      <c r="BF265" s="43"/>
      <c r="BG265" s="43"/>
      <c r="BH265" s="45"/>
      <c r="BI265" s="43"/>
      <c r="BJ265" s="43"/>
      <c r="BK265" s="43"/>
      <c r="BL265" s="43"/>
      <c r="BM265" s="43"/>
      <c r="BN265" s="43"/>
      <c r="BO265" s="43"/>
      <c r="BP265" s="43"/>
      <c r="BQ265" s="45"/>
      <c r="BR265" s="45"/>
      <c r="BS265" s="43"/>
      <c r="BT265" s="45"/>
      <c r="BU265" s="43"/>
      <c r="BV265" s="43"/>
      <c r="BW265" s="43"/>
      <c r="BX265" s="43"/>
      <c r="BY265" s="43"/>
      <c r="BZ265" s="43"/>
      <c r="CA265" s="43"/>
      <c r="CB265" s="45"/>
      <c r="CC265" s="45"/>
      <c r="CD265" s="43"/>
      <c r="CE265" s="45"/>
      <c r="CF265" s="43"/>
      <c r="CG265" s="43"/>
      <c r="CH265" s="43"/>
      <c r="CI265" s="43"/>
      <c r="CJ265" s="43"/>
      <c r="CK265" s="45"/>
      <c r="CL265" s="45"/>
      <c r="CM265" s="43"/>
      <c r="CN265" s="43"/>
      <c r="CO265" s="47">
        <v>0.0313</v>
      </c>
      <c r="CP265" s="41">
        <v>100.0</v>
      </c>
      <c r="CQ265" s="47">
        <v>0.0</v>
      </c>
      <c r="CR265" s="47">
        <v>0.0</v>
      </c>
      <c r="CS265" s="47">
        <v>0.0</v>
      </c>
      <c r="CT265" s="41">
        <v>12.0</v>
      </c>
      <c r="CU265" s="45"/>
      <c r="CV265" s="45"/>
      <c r="CW265" s="47">
        <v>0.0</v>
      </c>
      <c r="CX265" s="41">
        <v>12.0</v>
      </c>
      <c r="CY265" s="41" t="s">
        <v>5051</v>
      </c>
      <c r="CZ265" s="41">
        <v>7.0</v>
      </c>
      <c r="DA265" s="41" t="s">
        <v>3598</v>
      </c>
      <c r="DB265" s="47">
        <v>0.0</v>
      </c>
      <c r="DC265" s="41" t="s">
        <v>5856</v>
      </c>
      <c r="DD265" s="41">
        <v>3.0</v>
      </c>
      <c r="DE265" s="45"/>
      <c r="DF265" s="45"/>
      <c r="DG265" s="41" t="s">
        <v>5856</v>
      </c>
      <c r="DH265" s="41">
        <v>3.0</v>
      </c>
      <c r="DI265" s="45"/>
      <c r="DJ265" s="45"/>
      <c r="DK265" s="45"/>
      <c r="DL265" s="41">
        <v>3.0</v>
      </c>
      <c r="DM265" s="41">
        <v>0.0</v>
      </c>
      <c r="DN265" s="47">
        <v>0.0</v>
      </c>
      <c r="DO265" s="41" t="s">
        <v>5066</v>
      </c>
      <c r="DP265" s="46" t="s">
        <v>7396</v>
      </c>
      <c r="DQ265" s="45"/>
      <c r="DR265" s="45"/>
      <c r="DS265" s="45"/>
      <c r="DT265" s="45"/>
      <c r="DU265" s="45"/>
      <c r="DV265" s="45"/>
      <c r="DW265" s="43"/>
      <c r="DX265" s="45"/>
      <c r="DY265" s="43"/>
      <c r="DZ265" s="45"/>
      <c r="EA265" s="45"/>
      <c r="EB265" s="43"/>
      <c r="EC265" s="45"/>
      <c r="ED265" s="45"/>
      <c r="EE265" s="45"/>
      <c r="EF265" s="45"/>
      <c r="EG265" s="43"/>
      <c r="EH265" s="45"/>
      <c r="EI265" s="45"/>
      <c r="EJ265" s="45"/>
      <c r="EK265" s="43"/>
      <c r="EL265" s="45"/>
      <c r="EM265" s="45"/>
      <c r="EN265" s="45"/>
      <c r="EO265" s="45"/>
      <c r="EP265" s="48" t="s">
        <v>3559</v>
      </c>
    </row>
    <row r="266">
      <c r="A266" s="32">
        <v>0.83</v>
      </c>
      <c r="B266" s="35" t="s">
        <v>8321</v>
      </c>
      <c r="C266" s="35" t="s">
        <v>8322</v>
      </c>
      <c r="D266" s="34"/>
      <c r="E266" s="35" t="s">
        <v>8323</v>
      </c>
      <c r="F266" s="35" t="s">
        <v>8324</v>
      </c>
      <c r="G266" s="35" t="s">
        <v>8325</v>
      </c>
      <c r="H266" s="35" t="s">
        <v>3867</v>
      </c>
      <c r="I266" s="35" t="s">
        <v>4199</v>
      </c>
      <c r="J266" s="35" t="s">
        <v>4414</v>
      </c>
      <c r="K266" s="35" t="s">
        <v>8326</v>
      </c>
      <c r="L266" s="35" t="s">
        <v>8327</v>
      </c>
      <c r="M266" s="35" t="s">
        <v>8328</v>
      </c>
      <c r="N266" s="35" t="s">
        <v>6039</v>
      </c>
      <c r="O266" s="35" t="s">
        <v>8329</v>
      </c>
      <c r="P266" s="35"/>
      <c r="R266" s="35" t="s">
        <v>8330</v>
      </c>
      <c r="S266" s="35" t="s">
        <v>3572</v>
      </c>
      <c r="T266" s="35" t="s">
        <v>5147</v>
      </c>
      <c r="U266" s="36" t="s">
        <v>8331</v>
      </c>
      <c r="V266" s="36" t="s">
        <v>8332</v>
      </c>
      <c r="W266" s="32">
        <v>9.0</v>
      </c>
      <c r="X266" s="35" t="s">
        <v>8333</v>
      </c>
      <c r="Y266" s="34"/>
      <c r="Z266" s="34"/>
      <c r="AA266" s="32">
        <v>2018.0</v>
      </c>
      <c r="AB266" s="34"/>
      <c r="AC266" s="34"/>
      <c r="AD266" s="34"/>
      <c r="AE266" s="37"/>
      <c r="AF266" s="37"/>
      <c r="AG266" s="37"/>
      <c r="AH266" s="37"/>
      <c r="AI266" s="37"/>
      <c r="AJ266" s="37"/>
      <c r="AK266" s="37"/>
      <c r="AL266" s="37"/>
      <c r="AM266" s="37"/>
      <c r="AN266" s="37"/>
      <c r="AO266" s="35" t="s">
        <v>8334</v>
      </c>
      <c r="AP266" s="35" t="s">
        <v>8335</v>
      </c>
      <c r="AQ266" s="35" t="s">
        <v>8290</v>
      </c>
      <c r="AR266" s="35" t="s">
        <v>8336</v>
      </c>
      <c r="AS266" s="34" t="str">
        <f>+972 (0)9 977 7888</f>
        <v>#ERROR!</v>
      </c>
      <c r="AT266" s="35" t="s">
        <v>5689</v>
      </c>
      <c r="AU266" s="35" t="s">
        <v>8337</v>
      </c>
      <c r="AV266" s="35" t="s">
        <v>5386</v>
      </c>
      <c r="AW266" s="35" t="s">
        <v>298</v>
      </c>
      <c r="AX266" s="34"/>
      <c r="AY266" s="32">
        <v>4250363.0</v>
      </c>
      <c r="AZ266" s="35" t="s">
        <v>41</v>
      </c>
      <c r="BA266" s="37" t="str">
        <f>+972 (0)9 977 7888</f>
        <v>#ERROR!</v>
      </c>
      <c r="BB266" s="37"/>
      <c r="BC266" s="35" t="s">
        <v>8338</v>
      </c>
      <c r="BD266" s="35" t="s">
        <v>3584</v>
      </c>
      <c r="BE266" s="35" t="s">
        <v>3584</v>
      </c>
      <c r="BF266" s="35" t="s">
        <v>8339</v>
      </c>
      <c r="BG266" s="34"/>
      <c r="BH266" s="37"/>
      <c r="BI266" s="34"/>
      <c r="BJ266" s="34"/>
      <c r="BK266" s="34"/>
      <c r="BL266" s="34"/>
      <c r="BM266" s="34"/>
      <c r="BN266" s="34"/>
      <c r="BO266" s="35" t="s">
        <v>3695</v>
      </c>
      <c r="BP266" s="35" t="s">
        <v>6860</v>
      </c>
      <c r="BQ266" s="38" t="s">
        <v>8340</v>
      </c>
      <c r="BR266" s="32">
        <v>0.83</v>
      </c>
      <c r="BS266" s="35" t="s">
        <v>3593</v>
      </c>
      <c r="BT266" s="37"/>
      <c r="BU266" s="34"/>
      <c r="BV266" s="35" t="s">
        <v>5462</v>
      </c>
      <c r="BW266" s="34"/>
      <c r="BX266" s="34"/>
      <c r="BY266" s="35" t="s">
        <v>3803</v>
      </c>
      <c r="BZ266" s="34"/>
      <c r="CA266" s="35" t="s">
        <v>3591</v>
      </c>
      <c r="CB266" s="38" t="s">
        <v>8340</v>
      </c>
      <c r="CC266" s="32">
        <v>0.83</v>
      </c>
      <c r="CD266" s="35" t="s">
        <v>3593</v>
      </c>
      <c r="CE266" s="37"/>
      <c r="CF266" s="34"/>
      <c r="CG266" s="35" t="s">
        <v>5462</v>
      </c>
      <c r="CH266" s="34"/>
      <c r="CI266" s="34"/>
      <c r="CJ266" s="35" t="s">
        <v>3803</v>
      </c>
      <c r="CK266" s="37"/>
      <c r="CL266" s="37"/>
      <c r="CM266" s="34"/>
      <c r="CN266" s="35" t="s">
        <v>3591</v>
      </c>
      <c r="CO266" s="39">
        <v>0.0</v>
      </c>
      <c r="CP266" s="32">
        <v>14.0</v>
      </c>
      <c r="CQ266" s="39">
        <v>0.0</v>
      </c>
      <c r="CR266" s="39">
        <v>0.0</v>
      </c>
      <c r="CS266" s="39">
        <v>0.0</v>
      </c>
      <c r="CT266" s="32">
        <v>12.0</v>
      </c>
      <c r="CU266" s="39">
        <v>0.0</v>
      </c>
      <c r="CV266" s="32">
        <v>10.0</v>
      </c>
      <c r="CW266" s="39">
        <v>0.0</v>
      </c>
      <c r="CX266" s="32">
        <v>12.0</v>
      </c>
      <c r="CY266" s="32" t="s">
        <v>8341</v>
      </c>
      <c r="CZ266" s="32">
        <v>6.0</v>
      </c>
      <c r="DA266" s="32" t="s">
        <v>3598</v>
      </c>
      <c r="DB266" s="39">
        <v>0.0</v>
      </c>
      <c r="DC266" s="32" t="s">
        <v>8341</v>
      </c>
      <c r="DD266" s="32">
        <v>7.0</v>
      </c>
      <c r="DE266" s="32" t="s">
        <v>6515</v>
      </c>
      <c r="DF266" s="32">
        <v>20.0</v>
      </c>
      <c r="DG266" s="32" t="s">
        <v>5616</v>
      </c>
      <c r="DH266" s="32">
        <v>17.0</v>
      </c>
      <c r="DI266" s="32">
        <v>0.0</v>
      </c>
      <c r="DJ266" s="32">
        <v>0.0</v>
      </c>
      <c r="DK266" s="39">
        <v>0.0</v>
      </c>
      <c r="DL266" s="32">
        <v>10.0</v>
      </c>
      <c r="DM266" s="32">
        <v>1.0</v>
      </c>
      <c r="DN266" s="39">
        <v>0.1111</v>
      </c>
      <c r="DO266" s="32" t="s">
        <v>3600</v>
      </c>
      <c r="DP266" s="38" t="s">
        <v>5333</v>
      </c>
      <c r="DQ266" s="37"/>
      <c r="DR266" s="37"/>
      <c r="DS266" s="37"/>
      <c r="DT266" s="37"/>
      <c r="DU266" s="37"/>
      <c r="DV266" s="37"/>
      <c r="DW266" s="34"/>
      <c r="DX266" s="37"/>
      <c r="DY266" s="34"/>
      <c r="DZ266" s="37"/>
      <c r="EA266" s="37"/>
      <c r="EB266" s="34"/>
      <c r="EC266" s="37"/>
      <c r="ED266" s="37"/>
      <c r="EE266" s="37"/>
      <c r="EF266" s="37"/>
      <c r="EG266" s="34"/>
      <c r="EH266" s="37"/>
      <c r="EI266" s="37"/>
      <c r="EJ266" s="37"/>
      <c r="EK266" s="35" t="s">
        <v>4807</v>
      </c>
      <c r="EL266" s="37"/>
      <c r="EM266" s="37"/>
      <c r="EN266" s="37"/>
      <c r="EO266" s="37"/>
      <c r="EP266" s="40" t="s">
        <v>3559</v>
      </c>
    </row>
    <row r="267">
      <c r="A267" s="41">
        <v>133.91</v>
      </c>
      <c r="B267" s="42" t="s">
        <v>8342</v>
      </c>
      <c r="C267" s="43"/>
      <c r="D267" s="43"/>
      <c r="E267" s="42" t="s">
        <v>8343</v>
      </c>
      <c r="F267" s="42" t="s">
        <v>8344</v>
      </c>
      <c r="G267" s="42" t="s">
        <v>8345</v>
      </c>
      <c r="H267" s="42" t="s">
        <v>3867</v>
      </c>
      <c r="I267" s="42" t="s">
        <v>4199</v>
      </c>
      <c r="J267" s="42" t="s">
        <v>4200</v>
      </c>
      <c r="K267" s="42" t="s">
        <v>4201</v>
      </c>
      <c r="L267" s="42" t="s">
        <v>8346</v>
      </c>
      <c r="M267" s="42" t="s">
        <v>8347</v>
      </c>
      <c r="N267" s="42" t="s">
        <v>5018</v>
      </c>
      <c r="O267" s="42" t="s">
        <v>8348</v>
      </c>
      <c r="P267" s="42"/>
      <c r="R267" s="42" t="s">
        <v>5412</v>
      </c>
      <c r="S267" s="42" t="s">
        <v>5236</v>
      </c>
      <c r="T267" s="42" t="s">
        <v>5413</v>
      </c>
      <c r="U267" s="44" t="s">
        <v>8349</v>
      </c>
      <c r="V267" s="44" t="s">
        <v>8350</v>
      </c>
      <c r="W267" s="41">
        <v>65.0</v>
      </c>
      <c r="X267" s="42" t="s">
        <v>8351</v>
      </c>
      <c r="Y267" s="42" t="s">
        <v>5417</v>
      </c>
      <c r="Z267" s="42" t="s">
        <v>8352</v>
      </c>
      <c r="AA267" s="41">
        <v>2008.0</v>
      </c>
      <c r="AB267" s="43"/>
      <c r="AC267" s="43"/>
      <c r="AD267" s="43"/>
      <c r="AE267" s="41">
        <v>1.1</v>
      </c>
      <c r="AF267" s="41">
        <v>-1.32</v>
      </c>
      <c r="AG267" s="41">
        <v>-11.68</v>
      </c>
      <c r="AH267" s="41">
        <v>14.48</v>
      </c>
      <c r="AI267" s="41">
        <v>-8.71</v>
      </c>
      <c r="AJ267" s="41">
        <v>-10.95</v>
      </c>
      <c r="AK267" s="41">
        <v>64.62</v>
      </c>
      <c r="AL267" s="41">
        <v>-3.63</v>
      </c>
      <c r="AM267" s="47">
        <v>0.6044</v>
      </c>
      <c r="AN267" s="41" t="s">
        <v>5419</v>
      </c>
      <c r="AO267" s="42" t="s">
        <v>8353</v>
      </c>
      <c r="AP267" s="42" t="s">
        <v>8354</v>
      </c>
      <c r="AQ267" s="42" t="s">
        <v>4093</v>
      </c>
      <c r="AR267" s="43"/>
      <c r="AS267" s="43"/>
      <c r="AT267" s="42" t="s">
        <v>6317</v>
      </c>
      <c r="AU267" s="42" t="s">
        <v>8355</v>
      </c>
      <c r="AV267" s="43"/>
      <c r="AW267" s="42" t="s">
        <v>246</v>
      </c>
      <c r="AX267" s="43"/>
      <c r="AY267" s="41">
        <v>71291.0</v>
      </c>
      <c r="AZ267" s="42" t="s">
        <v>41</v>
      </c>
      <c r="BA267" s="45"/>
      <c r="BB267" s="45"/>
      <c r="BC267" s="43"/>
      <c r="BD267" s="42" t="s">
        <v>3584</v>
      </c>
      <c r="BE267" s="42" t="s">
        <v>3584</v>
      </c>
      <c r="BF267" s="42" t="s">
        <v>8356</v>
      </c>
      <c r="BG267" s="42" t="s">
        <v>8357</v>
      </c>
      <c r="BH267" s="41">
        <v>2.0</v>
      </c>
      <c r="BI267" s="43"/>
      <c r="BJ267" s="42" t="s">
        <v>8358</v>
      </c>
      <c r="BK267" s="43"/>
      <c r="BL267" s="42" t="s">
        <v>8359</v>
      </c>
      <c r="BM267" s="42" t="s">
        <v>8360</v>
      </c>
      <c r="BN267" s="43"/>
      <c r="BO267" s="43"/>
      <c r="BP267" s="42" t="s">
        <v>8361</v>
      </c>
      <c r="BQ267" s="46" t="s">
        <v>8362</v>
      </c>
      <c r="BR267" s="41">
        <v>50.0</v>
      </c>
      <c r="BS267" s="42" t="s">
        <v>3593</v>
      </c>
      <c r="BT267" s="41">
        <v>280.0</v>
      </c>
      <c r="BU267" s="42" t="s">
        <v>3593</v>
      </c>
      <c r="BV267" s="42" t="s">
        <v>3594</v>
      </c>
      <c r="BW267" s="42" t="s">
        <v>3595</v>
      </c>
      <c r="BX267" s="43"/>
      <c r="BY267" s="42" t="s">
        <v>3573</v>
      </c>
      <c r="BZ267" s="43"/>
      <c r="CA267" s="42" t="s">
        <v>3591</v>
      </c>
      <c r="CB267" s="46" t="s">
        <v>8363</v>
      </c>
      <c r="CC267" s="41">
        <v>60.92</v>
      </c>
      <c r="CD267" s="42" t="s">
        <v>3697</v>
      </c>
      <c r="CE267" s="41">
        <v>299.84</v>
      </c>
      <c r="CF267" s="42" t="s">
        <v>3697</v>
      </c>
      <c r="CG267" s="42" t="s">
        <v>4532</v>
      </c>
      <c r="CH267" s="43"/>
      <c r="CI267" s="43"/>
      <c r="CJ267" s="42" t="s">
        <v>5764</v>
      </c>
      <c r="CK267" s="45"/>
      <c r="CL267" s="45"/>
      <c r="CM267" s="43"/>
      <c r="CN267" s="42" t="s">
        <v>3591</v>
      </c>
      <c r="CO267" s="47">
        <v>0.0028</v>
      </c>
      <c r="CP267" s="41">
        <v>90.0</v>
      </c>
      <c r="CQ267" s="47">
        <v>0.0</v>
      </c>
      <c r="CR267" s="47">
        <v>0.0</v>
      </c>
      <c r="CS267" s="47">
        <v>0.0028</v>
      </c>
      <c r="CT267" s="41">
        <v>91.0</v>
      </c>
      <c r="CU267" s="45"/>
      <c r="CV267" s="45"/>
      <c r="CW267" s="47">
        <v>0.0028</v>
      </c>
      <c r="CX267" s="41">
        <v>91.0</v>
      </c>
      <c r="CY267" s="41" t="s">
        <v>8364</v>
      </c>
      <c r="CZ267" s="41">
        <v>94.0</v>
      </c>
      <c r="DA267" s="41" t="s">
        <v>3598</v>
      </c>
      <c r="DB267" s="47">
        <v>0.0</v>
      </c>
      <c r="DC267" s="41" t="s">
        <v>8364</v>
      </c>
      <c r="DD267" s="41">
        <v>94.0</v>
      </c>
      <c r="DE267" s="45"/>
      <c r="DF267" s="45"/>
      <c r="DG267" s="41" t="s">
        <v>8364</v>
      </c>
      <c r="DH267" s="41">
        <v>93.0</v>
      </c>
      <c r="DI267" s="45"/>
      <c r="DJ267" s="45"/>
      <c r="DK267" s="45"/>
      <c r="DL267" s="41">
        <v>312.0</v>
      </c>
      <c r="DM267" s="41">
        <v>1.0</v>
      </c>
      <c r="DN267" s="47">
        <v>0.0032</v>
      </c>
      <c r="DO267" s="41" t="s">
        <v>3600</v>
      </c>
      <c r="DP267" s="46" t="s">
        <v>8365</v>
      </c>
      <c r="DQ267" s="41">
        <v>238.0</v>
      </c>
      <c r="DR267" s="41">
        <v>35.0</v>
      </c>
      <c r="DS267" s="41">
        <v>156.0</v>
      </c>
      <c r="DT267" s="41">
        <v>28.0</v>
      </c>
      <c r="DU267" s="41">
        <v>1.0</v>
      </c>
      <c r="DV267" s="41">
        <v>54.0</v>
      </c>
      <c r="DW267" s="42" t="s">
        <v>8366</v>
      </c>
      <c r="DX267" s="45"/>
      <c r="DY267" s="43"/>
      <c r="DZ267" s="45"/>
      <c r="EA267" s="45"/>
      <c r="EB267" s="43"/>
      <c r="EC267" s="45"/>
      <c r="ED267" s="45"/>
      <c r="EE267" s="41">
        <v>299.84</v>
      </c>
      <c r="EF267" s="46" t="s">
        <v>8363</v>
      </c>
      <c r="EG267" s="42" t="s">
        <v>4532</v>
      </c>
      <c r="EH267" s="45"/>
      <c r="EI267" s="45"/>
      <c r="EJ267" s="45"/>
      <c r="EK267" s="43"/>
      <c r="EL267" s="45"/>
      <c r="EM267" s="45"/>
      <c r="EN267" s="45"/>
      <c r="EO267" s="45"/>
      <c r="EP267" s="48" t="s">
        <v>3559</v>
      </c>
    </row>
    <row r="268">
      <c r="A268" s="37"/>
      <c r="B268" s="35" t="s">
        <v>8367</v>
      </c>
      <c r="C268" s="34"/>
      <c r="D268" s="34"/>
      <c r="E268" s="34"/>
      <c r="F268" s="34"/>
      <c r="G268" s="35" t="s">
        <v>8368</v>
      </c>
      <c r="H268" s="35" t="s">
        <v>4560</v>
      </c>
      <c r="I268" s="35" t="s">
        <v>4561</v>
      </c>
      <c r="J268" s="35" t="s">
        <v>66</v>
      </c>
      <c r="K268" s="35" t="s">
        <v>4562</v>
      </c>
      <c r="L268" s="34"/>
      <c r="M268" s="35" t="s">
        <v>8369</v>
      </c>
      <c r="N268" s="35" t="s">
        <v>4962</v>
      </c>
      <c r="O268" s="35" t="s">
        <v>8370</v>
      </c>
      <c r="P268" s="35"/>
      <c r="R268" s="35" t="s">
        <v>3571</v>
      </c>
      <c r="S268" s="35" t="s">
        <v>3572</v>
      </c>
      <c r="T268" s="35" t="s">
        <v>3603</v>
      </c>
      <c r="U268" s="36" t="s">
        <v>8371</v>
      </c>
      <c r="V268" s="36" t="s">
        <v>8372</v>
      </c>
      <c r="W268" s="32">
        <v>6.0</v>
      </c>
      <c r="X268" s="35" t="s">
        <v>8373</v>
      </c>
      <c r="Y268" s="34"/>
      <c r="Z268" s="34"/>
      <c r="AA268" s="32">
        <v>2022.0</v>
      </c>
      <c r="AB268" s="34"/>
      <c r="AC268" s="34"/>
      <c r="AD268" s="34"/>
      <c r="AE268" s="37"/>
      <c r="AF268" s="37"/>
      <c r="AG268" s="37"/>
      <c r="AH268" s="37"/>
      <c r="AI268" s="37"/>
      <c r="AJ268" s="37"/>
      <c r="AK268" s="37"/>
      <c r="AL268" s="37"/>
      <c r="AM268" s="37"/>
      <c r="AN268" s="37"/>
      <c r="AO268" s="35" t="s">
        <v>8374</v>
      </c>
      <c r="AP268" s="35" t="s">
        <v>8375</v>
      </c>
      <c r="AQ268" s="35" t="s">
        <v>8376</v>
      </c>
      <c r="AR268" s="35" t="s">
        <v>8377</v>
      </c>
      <c r="AS268" s="34"/>
      <c r="AT268" s="35" t="s">
        <v>3581</v>
      </c>
      <c r="AU268" s="34"/>
      <c r="AV268" s="34"/>
      <c r="AW268" s="35" t="s">
        <v>75</v>
      </c>
      <c r="AX268" s="34"/>
      <c r="AY268" s="37"/>
      <c r="AZ268" s="35" t="s">
        <v>41</v>
      </c>
      <c r="BA268" s="37"/>
      <c r="BB268" s="37"/>
      <c r="BC268" s="34"/>
      <c r="BD268" s="35" t="s">
        <v>3584</v>
      </c>
      <c r="BE268" s="35" t="s">
        <v>3584</v>
      </c>
      <c r="BF268" s="35" t="s">
        <v>8378</v>
      </c>
      <c r="BG268" s="35" t="s">
        <v>3345</v>
      </c>
      <c r="BH268" s="32">
        <v>1.0</v>
      </c>
      <c r="BI268" s="34"/>
      <c r="BJ268" s="34"/>
      <c r="BK268" s="34"/>
      <c r="BL268" s="35" t="s">
        <v>8379</v>
      </c>
      <c r="BM268" s="34"/>
      <c r="BN268" s="34"/>
      <c r="BO268" s="34"/>
      <c r="BP268" s="34"/>
      <c r="BQ268" s="38" t="s">
        <v>8380</v>
      </c>
      <c r="BR268" s="32">
        <v>0.5</v>
      </c>
      <c r="BS268" s="35" t="s">
        <v>3593</v>
      </c>
      <c r="BT268" s="37"/>
      <c r="BU268" s="34"/>
      <c r="BV268" s="35" t="s">
        <v>3663</v>
      </c>
      <c r="BW268" s="35" t="s">
        <v>3663</v>
      </c>
      <c r="BX268" s="34"/>
      <c r="BY268" s="35" t="s">
        <v>3663</v>
      </c>
      <c r="BZ268" s="34"/>
      <c r="CA268" s="35" t="s">
        <v>3591</v>
      </c>
      <c r="CB268" s="38" t="s">
        <v>8380</v>
      </c>
      <c r="CC268" s="32">
        <v>0.5</v>
      </c>
      <c r="CD268" s="35" t="s">
        <v>3593</v>
      </c>
      <c r="CE268" s="37"/>
      <c r="CF268" s="34"/>
      <c r="CG268" s="35" t="s">
        <v>3663</v>
      </c>
      <c r="CH268" s="35" t="s">
        <v>3663</v>
      </c>
      <c r="CI268" s="34"/>
      <c r="CJ268" s="35" t="s">
        <v>3663</v>
      </c>
      <c r="CK268" s="37"/>
      <c r="CL268" s="37"/>
      <c r="CM268" s="34"/>
      <c r="CN268" s="35" t="s">
        <v>3591</v>
      </c>
      <c r="CO268" s="39">
        <v>0.0121</v>
      </c>
      <c r="CP268" s="32">
        <v>97.0</v>
      </c>
      <c r="CQ268" s="39">
        <v>0.0</v>
      </c>
      <c r="CR268" s="39">
        <v>0.0</v>
      </c>
      <c r="CS268" s="39">
        <v>0.0121</v>
      </c>
      <c r="CT268" s="32">
        <v>98.0</v>
      </c>
      <c r="CU268" s="39">
        <v>0.0242</v>
      </c>
      <c r="CV268" s="32">
        <v>96.0</v>
      </c>
      <c r="CW268" s="39">
        <v>0.0</v>
      </c>
      <c r="CX268" s="32">
        <v>12.0</v>
      </c>
      <c r="CY268" s="32" t="s">
        <v>8381</v>
      </c>
      <c r="CZ268" s="32">
        <v>93.0</v>
      </c>
      <c r="DA268" s="32" t="s">
        <v>3598</v>
      </c>
      <c r="DB268" s="39">
        <v>0.0</v>
      </c>
      <c r="DC268" s="32" t="s">
        <v>8381</v>
      </c>
      <c r="DD268" s="32">
        <v>93.0</v>
      </c>
      <c r="DE268" s="32" t="s">
        <v>8382</v>
      </c>
      <c r="DF268" s="32">
        <v>91.0</v>
      </c>
      <c r="DG268" s="32" t="s">
        <v>5160</v>
      </c>
      <c r="DH268" s="32">
        <v>31.0</v>
      </c>
      <c r="DI268" s="49">
        <v>2753.0</v>
      </c>
      <c r="DJ268" s="32">
        <v>135.0</v>
      </c>
      <c r="DK268" s="39">
        <v>0.0516</v>
      </c>
      <c r="DL268" s="32">
        <v>15.0</v>
      </c>
      <c r="DM268" s="32">
        <v>1.0</v>
      </c>
      <c r="DN268" s="39">
        <v>0.0714</v>
      </c>
      <c r="DO268" s="32" t="s">
        <v>3600</v>
      </c>
      <c r="DP268" s="38" t="s">
        <v>8383</v>
      </c>
      <c r="DQ268" s="37"/>
      <c r="DR268" s="37"/>
      <c r="DS268" s="37"/>
      <c r="DT268" s="37"/>
      <c r="DU268" s="37"/>
      <c r="DV268" s="37"/>
      <c r="DW268" s="34"/>
      <c r="DX268" s="37"/>
      <c r="DY268" s="34"/>
      <c r="DZ268" s="37"/>
      <c r="EA268" s="37"/>
      <c r="EB268" s="34"/>
      <c r="EC268" s="37"/>
      <c r="ED268" s="37"/>
      <c r="EE268" s="37"/>
      <c r="EF268" s="37"/>
      <c r="EG268" s="34"/>
      <c r="EH268" s="37"/>
      <c r="EI268" s="37"/>
      <c r="EJ268" s="37"/>
      <c r="EK268" s="34"/>
      <c r="EL268" s="37"/>
      <c r="EM268" s="37"/>
      <c r="EN268" s="37"/>
      <c r="EO268" s="37"/>
      <c r="EP268" s="40" t="s">
        <v>3559</v>
      </c>
    </row>
    <row r="269">
      <c r="A269" s="41">
        <v>25.11</v>
      </c>
      <c r="B269" s="42" t="s">
        <v>8384</v>
      </c>
      <c r="C269" s="42" t="s">
        <v>8385</v>
      </c>
      <c r="D269" s="43"/>
      <c r="E269" s="42" t="s">
        <v>8386</v>
      </c>
      <c r="F269" s="42" t="s">
        <v>8387</v>
      </c>
      <c r="G269" s="42" t="s">
        <v>8388</v>
      </c>
      <c r="H269" s="42" t="s">
        <v>3563</v>
      </c>
      <c r="I269" s="42" t="s">
        <v>3564</v>
      </c>
      <c r="J269" s="42" t="s">
        <v>3642</v>
      </c>
      <c r="K269" s="42" t="s">
        <v>4135</v>
      </c>
      <c r="L269" s="42" t="s">
        <v>8389</v>
      </c>
      <c r="M269" s="42" t="s">
        <v>8390</v>
      </c>
      <c r="N269" s="42" t="s">
        <v>5018</v>
      </c>
      <c r="O269" s="42" t="s">
        <v>8391</v>
      </c>
      <c r="P269" s="42"/>
      <c r="R269" s="42" t="s">
        <v>3571</v>
      </c>
      <c r="S269" s="42" t="s">
        <v>4964</v>
      </c>
      <c r="T269" s="42" t="s">
        <v>3573</v>
      </c>
      <c r="U269" s="44" t="s">
        <v>8392</v>
      </c>
      <c r="V269" s="44" t="s">
        <v>8393</v>
      </c>
      <c r="W269" s="41">
        <v>200.0</v>
      </c>
      <c r="X269" s="42" t="s">
        <v>8394</v>
      </c>
      <c r="Y269" s="43"/>
      <c r="Z269" s="43"/>
      <c r="AA269" s="41">
        <v>2014.0</v>
      </c>
      <c r="AB269" s="42" t="s">
        <v>8395</v>
      </c>
      <c r="AC269" s="43"/>
      <c r="AD269" s="43"/>
      <c r="AE269" s="45"/>
      <c r="AF269" s="45"/>
      <c r="AG269" s="45"/>
      <c r="AH269" s="45"/>
      <c r="AI269" s="45"/>
      <c r="AJ269" s="45"/>
      <c r="AK269" s="45"/>
      <c r="AL269" s="45"/>
      <c r="AM269" s="45"/>
      <c r="AN269" s="45"/>
      <c r="AO269" s="42" t="s">
        <v>8396</v>
      </c>
      <c r="AP269" s="42" t="s">
        <v>8397</v>
      </c>
      <c r="AQ269" s="42" t="s">
        <v>4093</v>
      </c>
      <c r="AR269" s="42" t="s">
        <v>8398</v>
      </c>
      <c r="AS269" s="43" t="str">
        <f>+972 (0)77 899 5100</f>
        <v>#ERROR!</v>
      </c>
      <c r="AT269" s="42" t="s">
        <v>3851</v>
      </c>
      <c r="AU269" s="42" t="s">
        <v>8399</v>
      </c>
      <c r="AV269" s="43"/>
      <c r="AW269" s="42" t="s">
        <v>616</v>
      </c>
      <c r="AX269" s="43"/>
      <c r="AY269" s="41">
        <v>5252171.0</v>
      </c>
      <c r="AZ269" s="42" t="s">
        <v>41</v>
      </c>
      <c r="BA269" s="45" t="str">
        <f>+972 (0)77 899 5100</f>
        <v>#ERROR!</v>
      </c>
      <c r="BB269" s="45"/>
      <c r="BC269" s="42" t="s">
        <v>8400</v>
      </c>
      <c r="BD269" s="42" t="s">
        <v>3584</v>
      </c>
      <c r="BE269" s="42" t="s">
        <v>3584</v>
      </c>
      <c r="BF269" s="42" t="s">
        <v>8401</v>
      </c>
      <c r="BG269" s="43"/>
      <c r="BH269" s="45"/>
      <c r="BI269" s="42" t="s">
        <v>8395</v>
      </c>
      <c r="BJ269" s="42" t="s">
        <v>8402</v>
      </c>
      <c r="BK269" s="43"/>
      <c r="BL269" s="43"/>
      <c r="BM269" s="42" t="s">
        <v>8403</v>
      </c>
      <c r="BN269" s="43"/>
      <c r="BO269" s="43"/>
      <c r="BP269" s="43"/>
      <c r="BQ269" s="45"/>
      <c r="BR269" s="45"/>
      <c r="BS269" s="43"/>
      <c r="BT269" s="45"/>
      <c r="BU269" s="43"/>
      <c r="BV269" s="42" t="s">
        <v>3669</v>
      </c>
      <c r="BW269" s="43"/>
      <c r="BX269" s="43"/>
      <c r="BY269" s="42" t="s">
        <v>3573</v>
      </c>
      <c r="BZ269" s="43"/>
      <c r="CA269" s="42" t="s">
        <v>3591</v>
      </c>
      <c r="CB269" s="46" t="s">
        <v>8404</v>
      </c>
      <c r="CC269" s="41">
        <v>420.0</v>
      </c>
      <c r="CD269" s="42" t="s">
        <v>3593</v>
      </c>
      <c r="CE269" s="41">
        <v>420.0</v>
      </c>
      <c r="CF269" s="42" t="s">
        <v>3697</v>
      </c>
      <c r="CG269" s="42" t="s">
        <v>4977</v>
      </c>
      <c r="CH269" s="43"/>
      <c r="CI269" s="43"/>
      <c r="CJ269" s="42" t="s">
        <v>3663</v>
      </c>
      <c r="CK269" s="45"/>
      <c r="CL269" s="45"/>
      <c r="CM269" s="43"/>
      <c r="CN269" s="42" t="s">
        <v>3591</v>
      </c>
      <c r="CO269" s="45"/>
      <c r="CP269" s="45"/>
      <c r="CQ269" s="45"/>
      <c r="CR269" s="45"/>
      <c r="CS269" s="45"/>
      <c r="CT269" s="45"/>
      <c r="CU269" s="45"/>
      <c r="CV269" s="45"/>
      <c r="CW269" s="45"/>
      <c r="CX269" s="45"/>
      <c r="CY269" s="45"/>
      <c r="CZ269" s="45"/>
      <c r="DA269" s="45"/>
      <c r="DB269" s="45"/>
      <c r="DC269" s="45"/>
      <c r="DD269" s="45"/>
      <c r="DE269" s="45"/>
      <c r="DF269" s="45"/>
      <c r="DG269" s="45"/>
      <c r="DH269" s="45"/>
      <c r="DI269" s="45"/>
      <c r="DJ269" s="45"/>
      <c r="DK269" s="45"/>
      <c r="DL269" s="45"/>
      <c r="DM269" s="45"/>
      <c r="DN269" s="45"/>
      <c r="DO269" s="41" t="s">
        <v>3600</v>
      </c>
      <c r="DP269" s="46" t="s">
        <v>8405</v>
      </c>
      <c r="DQ269" s="41">
        <v>120.0</v>
      </c>
      <c r="DR269" s="41">
        <v>32.0</v>
      </c>
      <c r="DS269" s="41">
        <v>90.0</v>
      </c>
      <c r="DT269" s="41">
        <v>12.0</v>
      </c>
      <c r="DU269" s="45"/>
      <c r="DV269" s="41">
        <v>18.0</v>
      </c>
      <c r="DW269" s="42" t="s">
        <v>8406</v>
      </c>
      <c r="DX269" s="45"/>
      <c r="DY269" s="43"/>
      <c r="DZ269" s="45"/>
      <c r="EA269" s="45"/>
      <c r="EB269" s="43"/>
      <c r="EC269" s="45"/>
      <c r="ED269" s="45"/>
      <c r="EE269" s="41">
        <v>420.0</v>
      </c>
      <c r="EF269" s="46" t="s">
        <v>8404</v>
      </c>
      <c r="EG269" s="42" t="s">
        <v>4977</v>
      </c>
      <c r="EH269" s="45"/>
      <c r="EI269" s="45"/>
      <c r="EJ269" s="45"/>
      <c r="EK269" s="43"/>
      <c r="EL269" s="45"/>
      <c r="EM269" s="45"/>
      <c r="EN269" s="45"/>
      <c r="EO269" s="45"/>
      <c r="EP269" s="48" t="s">
        <v>3559</v>
      </c>
    </row>
    <row r="270">
      <c r="A270" s="37"/>
      <c r="B270" s="35" t="s">
        <v>8407</v>
      </c>
      <c r="C270" s="34"/>
      <c r="D270" s="34"/>
      <c r="E270" s="35" t="s">
        <v>8408</v>
      </c>
      <c r="F270" s="34"/>
      <c r="G270" s="35" t="s">
        <v>8409</v>
      </c>
      <c r="H270" s="35" t="s">
        <v>4560</v>
      </c>
      <c r="I270" s="35" t="s">
        <v>4561</v>
      </c>
      <c r="J270" s="35" t="s">
        <v>66</v>
      </c>
      <c r="K270" s="35" t="s">
        <v>4562</v>
      </c>
      <c r="L270" s="34"/>
      <c r="M270" s="34"/>
      <c r="N270" s="35" t="s">
        <v>4923</v>
      </c>
      <c r="O270" s="35" t="s">
        <v>8410</v>
      </c>
      <c r="P270" s="35"/>
      <c r="R270" s="34"/>
      <c r="S270" s="35" t="s">
        <v>4925</v>
      </c>
      <c r="T270" s="35" t="s">
        <v>4926</v>
      </c>
      <c r="U270" s="36" t="s">
        <v>8411</v>
      </c>
      <c r="V270" s="36" t="s">
        <v>8412</v>
      </c>
      <c r="W270" s="32">
        <v>4.0</v>
      </c>
      <c r="X270" s="35" t="s">
        <v>8413</v>
      </c>
      <c r="Y270" s="34"/>
      <c r="Z270" s="34"/>
      <c r="AA270" s="32">
        <v>2020.0</v>
      </c>
      <c r="AB270" s="34"/>
      <c r="AC270" s="34"/>
      <c r="AD270" s="34"/>
      <c r="AE270" s="37"/>
      <c r="AF270" s="37"/>
      <c r="AG270" s="37"/>
      <c r="AH270" s="37"/>
      <c r="AI270" s="37"/>
      <c r="AJ270" s="37"/>
      <c r="AK270" s="37"/>
      <c r="AL270" s="37"/>
      <c r="AM270" s="37"/>
      <c r="AN270" s="37"/>
      <c r="AO270" s="35" t="s">
        <v>8414</v>
      </c>
      <c r="AP270" s="35" t="s">
        <v>8415</v>
      </c>
      <c r="AQ270" s="35" t="s">
        <v>3579</v>
      </c>
      <c r="AR270" s="35" t="s">
        <v>2402</v>
      </c>
      <c r="AS270" s="34"/>
      <c r="AT270" s="35" t="s">
        <v>8416</v>
      </c>
      <c r="AU270" s="34"/>
      <c r="AV270" s="34"/>
      <c r="AW270" s="35" t="s">
        <v>8417</v>
      </c>
      <c r="AX270" s="34"/>
      <c r="AY270" s="32">
        <v>1066.0</v>
      </c>
      <c r="AZ270" s="35" t="s">
        <v>41</v>
      </c>
      <c r="BA270" s="37"/>
      <c r="BB270" s="37"/>
      <c r="BC270" s="34"/>
      <c r="BD270" s="35" t="s">
        <v>3584</v>
      </c>
      <c r="BE270" s="35" t="s">
        <v>3584</v>
      </c>
      <c r="BF270" s="34"/>
      <c r="BG270" s="34"/>
      <c r="BH270" s="37"/>
      <c r="BI270" s="34"/>
      <c r="BJ270" s="34"/>
      <c r="BK270" s="34"/>
      <c r="BL270" s="34"/>
      <c r="BM270" s="34"/>
      <c r="BN270" s="34"/>
      <c r="BO270" s="34"/>
      <c r="BP270" s="34"/>
      <c r="BQ270" s="37"/>
      <c r="BR270" s="37"/>
      <c r="BS270" s="34"/>
      <c r="BT270" s="37"/>
      <c r="BU270" s="34"/>
      <c r="BV270" s="34"/>
      <c r="BW270" s="34"/>
      <c r="BX270" s="34"/>
      <c r="BY270" s="34"/>
      <c r="BZ270" s="34"/>
      <c r="CA270" s="34"/>
      <c r="CB270" s="37"/>
      <c r="CC270" s="37"/>
      <c r="CD270" s="34"/>
      <c r="CE270" s="37"/>
      <c r="CF270" s="34"/>
      <c r="CG270" s="34"/>
      <c r="CH270" s="34"/>
      <c r="CI270" s="34"/>
      <c r="CJ270" s="34"/>
      <c r="CK270" s="37"/>
      <c r="CL270" s="37"/>
      <c r="CM270" s="34"/>
      <c r="CN270" s="34"/>
      <c r="CO270" s="39">
        <v>0.0</v>
      </c>
      <c r="CP270" s="32">
        <v>14.0</v>
      </c>
      <c r="CQ270" s="39">
        <v>0.0</v>
      </c>
      <c r="CR270" s="39">
        <v>0.0</v>
      </c>
      <c r="CS270" s="39">
        <v>0.0</v>
      </c>
      <c r="CT270" s="32">
        <v>12.0</v>
      </c>
      <c r="CU270" s="39">
        <v>0.0</v>
      </c>
      <c r="CV270" s="32">
        <v>10.0</v>
      </c>
      <c r="CW270" s="39">
        <v>0.0</v>
      </c>
      <c r="CX270" s="32">
        <v>12.0</v>
      </c>
      <c r="CY270" s="32" t="s">
        <v>8418</v>
      </c>
      <c r="CZ270" s="32">
        <v>53.0</v>
      </c>
      <c r="DA270" s="32" t="s">
        <v>3598</v>
      </c>
      <c r="DB270" s="39">
        <v>0.0</v>
      </c>
      <c r="DC270" s="32" t="s">
        <v>8419</v>
      </c>
      <c r="DD270" s="32">
        <v>65.0</v>
      </c>
      <c r="DE270" s="32" t="s">
        <v>8420</v>
      </c>
      <c r="DF270" s="32">
        <v>67.0</v>
      </c>
      <c r="DG270" s="32" t="s">
        <v>3859</v>
      </c>
      <c r="DH270" s="32">
        <v>61.0</v>
      </c>
      <c r="DI270" s="32">
        <v>210.0</v>
      </c>
      <c r="DJ270" s="32">
        <v>32.0</v>
      </c>
      <c r="DK270" s="39">
        <v>0.1798</v>
      </c>
      <c r="DL270" s="32">
        <v>32.0</v>
      </c>
      <c r="DM270" s="32">
        <v>0.0</v>
      </c>
      <c r="DN270" s="39">
        <v>0.0</v>
      </c>
      <c r="DO270" s="32" t="s">
        <v>5066</v>
      </c>
      <c r="DP270" s="38" t="s">
        <v>7357</v>
      </c>
      <c r="DQ270" s="37"/>
      <c r="DR270" s="37"/>
      <c r="DS270" s="37"/>
      <c r="DT270" s="37"/>
      <c r="DU270" s="37"/>
      <c r="DV270" s="37"/>
      <c r="DW270" s="34"/>
      <c r="DX270" s="37"/>
      <c r="DY270" s="34"/>
      <c r="DZ270" s="37"/>
      <c r="EA270" s="37"/>
      <c r="EB270" s="34"/>
      <c r="EC270" s="37"/>
      <c r="ED270" s="37"/>
      <c r="EE270" s="37"/>
      <c r="EF270" s="37"/>
      <c r="EG270" s="34"/>
      <c r="EH270" s="37"/>
      <c r="EI270" s="37"/>
      <c r="EJ270" s="37"/>
      <c r="EK270" s="34"/>
      <c r="EL270" s="37"/>
      <c r="EM270" s="37"/>
      <c r="EN270" s="37"/>
      <c r="EO270" s="37"/>
      <c r="EP270" s="40" t="s">
        <v>3559</v>
      </c>
    </row>
    <row r="271">
      <c r="A271" s="41">
        <v>13.52</v>
      </c>
      <c r="B271" s="42" t="s">
        <v>8421</v>
      </c>
      <c r="C271" s="42" t="s">
        <v>8422</v>
      </c>
      <c r="D271" s="42" t="s">
        <v>8423</v>
      </c>
      <c r="E271" s="42" t="s">
        <v>8424</v>
      </c>
      <c r="F271" s="42" t="s">
        <v>8425</v>
      </c>
      <c r="G271" s="42" t="s">
        <v>8426</v>
      </c>
      <c r="H271" s="42" t="s">
        <v>3563</v>
      </c>
      <c r="I271" s="42" t="s">
        <v>3564</v>
      </c>
      <c r="J271" s="42" t="s">
        <v>3565</v>
      </c>
      <c r="K271" s="42" t="s">
        <v>4303</v>
      </c>
      <c r="L271" s="42" t="s">
        <v>8427</v>
      </c>
      <c r="M271" s="42" t="s">
        <v>8428</v>
      </c>
      <c r="N271" s="42" t="s">
        <v>4962</v>
      </c>
      <c r="O271" s="42" t="s">
        <v>8429</v>
      </c>
      <c r="P271" s="42"/>
      <c r="R271" s="42" t="s">
        <v>5750</v>
      </c>
      <c r="S271" s="42" t="s">
        <v>5020</v>
      </c>
      <c r="T271" s="42" t="s">
        <v>8150</v>
      </c>
      <c r="U271" s="44" t="s">
        <v>8430</v>
      </c>
      <c r="V271" s="43"/>
      <c r="W271" s="41">
        <v>724.0</v>
      </c>
      <c r="X271" s="42" t="s">
        <v>8431</v>
      </c>
      <c r="Y271" s="43"/>
      <c r="Z271" s="43"/>
      <c r="AA271" s="41">
        <v>1991.0</v>
      </c>
      <c r="AB271" s="43"/>
      <c r="AC271" s="43"/>
      <c r="AD271" s="43"/>
      <c r="AE271" s="41">
        <v>76.86</v>
      </c>
      <c r="AF271" s="41">
        <v>38.81</v>
      </c>
      <c r="AG271" s="41">
        <v>4.91</v>
      </c>
      <c r="AH271" s="41">
        <v>118.73</v>
      </c>
      <c r="AI271" s="41">
        <v>9.66</v>
      </c>
      <c r="AJ271" s="41">
        <v>6.69</v>
      </c>
      <c r="AK271" s="41">
        <v>125.04</v>
      </c>
      <c r="AL271" s="41">
        <v>0.6</v>
      </c>
      <c r="AM271" s="47">
        <v>-0.0357</v>
      </c>
      <c r="AN271" s="41" t="s">
        <v>8432</v>
      </c>
      <c r="AO271" s="43"/>
      <c r="AP271" s="43"/>
      <c r="AQ271" s="43"/>
      <c r="AR271" s="43"/>
      <c r="AS271" s="43"/>
      <c r="AT271" s="42" t="s">
        <v>5952</v>
      </c>
      <c r="AU271" s="42" t="s">
        <v>8433</v>
      </c>
      <c r="AV271" s="43"/>
      <c r="AW271" s="42" t="s">
        <v>1928</v>
      </c>
      <c r="AX271" s="43"/>
      <c r="AY271" s="41">
        <v>48091.0</v>
      </c>
      <c r="AZ271" s="42" t="s">
        <v>41</v>
      </c>
      <c r="BA271" s="45"/>
      <c r="BB271" s="45"/>
      <c r="BC271" s="43"/>
      <c r="BD271" s="42" t="s">
        <v>3584</v>
      </c>
      <c r="BE271" s="42" t="s">
        <v>3584</v>
      </c>
      <c r="BF271" s="42" t="s">
        <v>8434</v>
      </c>
      <c r="BG271" s="43"/>
      <c r="BH271" s="45"/>
      <c r="BI271" s="42" t="s">
        <v>8435</v>
      </c>
      <c r="BJ271" s="42" t="s">
        <v>8436</v>
      </c>
      <c r="BK271" s="43"/>
      <c r="BL271" s="43"/>
      <c r="BM271" s="42" t="s">
        <v>8437</v>
      </c>
      <c r="BN271" s="43"/>
      <c r="BO271" s="42" t="s">
        <v>8438</v>
      </c>
      <c r="BP271" s="42" t="s">
        <v>8439</v>
      </c>
      <c r="BQ271" s="46" t="s">
        <v>8440</v>
      </c>
      <c r="BR271" s="45"/>
      <c r="BS271" s="43"/>
      <c r="BT271" s="45"/>
      <c r="BU271" s="43"/>
      <c r="BV271" s="42" t="s">
        <v>4532</v>
      </c>
      <c r="BW271" s="43"/>
      <c r="BX271" s="43"/>
      <c r="BY271" s="42" t="s">
        <v>5764</v>
      </c>
      <c r="BZ271" s="43"/>
      <c r="CA271" s="42" t="s">
        <v>3591</v>
      </c>
      <c r="CB271" s="46" t="s">
        <v>8441</v>
      </c>
      <c r="CC271" s="41">
        <v>130.2</v>
      </c>
      <c r="CD271" s="42" t="s">
        <v>3593</v>
      </c>
      <c r="CE271" s="41">
        <v>130.2</v>
      </c>
      <c r="CF271" s="42" t="s">
        <v>3697</v>
      </c>
      <c r="CG271" s="42" t="s">
        <v>4977</v>
      </c>
      <c r="CH271" s="43"/>
      <c r="CI271" s="43"/>
      <c r="CJ271" s="42" t="s">
        <v>3663</v>
      </c>
      <c r="CK271" s="46" t="s">
        <v>8442</v>
      </c>
      <c r="CL271" s="41">
        <v>5.07</v>
      </c>
      <c r="CM271" s="43"/>
      <c r="CN271" s="42" t="s">
        <v>3591</v>
      </c>
      <c r="CO271" s="45"/>
      <c r="CP271" s="45"/>
      <c r="CQ271" s="45"/>
      <c r="CR271" s="45"/>
      <c r="CS271" s="45"/>
      <c r="CT271" s="45"/>
      <c r="CU271" s="45"/>
      <c r="CV271" s="45"/>
      <c r="CW271" s="45"/>
      <c r="CX271" s="45"/>
      <c r="CY271" s="45"/>
      <c r="CZ271" s="45"/>
      <c r="DA271" s="45"/>
      <c r="DB271" s="45"/>
      <c r="DC271" s="45"/>
      <c r="DD271" s="45"/>
      <c r="DE271" s="45"/>
      <c r="DF271" s="45"/>
      <c r="DG271" s="45"/>
      <c r="DH271" s="45"/>
      <c r="DI271" s="45"/>
      <c r="DJ271" s="45"/>
      <c r="DK271" s="45"/>
      <c r="DL271" s="45"/>
      <c r="DM271" s="45"/>
      <c r="DN271" s="45"/>
      <c r="DO271" s="41" t="s">
        <v>3600</v>
      </c>
      <c r="DP271" s="46" t="s">
        <v>8443</v>
      </c>
      <c r="DQ271" s="45"/>
      <c r="DR271" s="45"/>
      <c r="DS271" s="45"/>
      <c r="DT271" s="45"/>
      <c r="DU271" s="45"/>
      <c r="DV271" s="45"/>
      <c r="DW271" s="43"/>
      <c r="DX271" s="45"/>
      <c r="DY271" s="43"/>
      <c r="DZ271" s="45"/>
      <c r="EA271" s="45"/>
      <c r="EB271" s="43"/>
      <c r="EC271" s="45"/>
      <c r="ED271" s="45"/>
      <c r="EE271" s="41">
        <v>130.2</v>
      </c>
      <c r="EF271" s="46" t="s">
        <v>8441</v>
      </c>
      <c r="EG271" s="42" t="s">
        <v>4977</v>
      </c>
      <c r="EH271" s="45"/>
      <c r="EI271" s="45"/>
      <c r="EJ271" s="45"/>
      <c r="EK271" s="43"/>
      <c r="EL271" s="45"/>
      <c r="EM271" s="45"/>
      <c r="EN271" s="45"/>
      <c r="EO271" s="45"/>
      <c r="EP271" s="48" t="s">
        <v>3559</v>
      </c>
    </row>
    <row r="272">
      <c r="A272" s="37"/>
      <c r="B272" s="35" t="s">
        <v>8444</v>
      </c>
      <c r="C272" s="34"/>
      <c r="D272" s="34"/>
      <c r="E272" s="34"/>
      <c r="F272" s="34"/>
      <c r="G272" s="35" t="s">
        <v>8445</v>
      </c>
      <c r="H272" s="35" t="s">
        <v>4560</v>
      </c>
      <c r="I272" s="35" t="s">
        <v>4561</v>
      </c>
      <c r="J272" s="35" t="s">
        <v>5511</v>
      </c>
      <c r="K272" s="35" t="s">
        <v>8446</v>
      </c>
      <c r="L272" s="35" t="s">
        <v>8447</v>
      </c>
      <c r="M272" s="35" t="s">
        <v>8448</v>
      </c>
      <c r="N272" s="35" t="s">
        <v>5481</v>
      </c>
      <c r="O272" s="35" t="s">
        <v>8449</v>
      </c>
      <c r="P272" s="35"/>
      <c r="R272" s="35" t="s">
        <v>5222</v>
      </c>
      <c r="S272" s="35" t="s">
        <v>5222</v>
      </c>
      <c r="T272" s="35" t="s">
        <v>3573</v>
      </c>
      <c r="U272" s="36" t="s">
        <v>8450</v>
      </c>
      <c r="V272" s="36" t="s">
        <v>8451</v>
      </c>
      <c r="W272" s="37"/>
      <c r="X272" s="34"/>
      <c r="Y272" s="34"/>
      <c r="Z272" s="34"/>
      <c r="AA272" s="32">
        <v>2015.0</v>
      </c>
      <c r="AB272" s="34"/>
      <c r="AC272" s="34"/>
      <c r="AD272" s="34"/>
      <c r="AE272" s="37"/>
      <c r="AF272" s="37"/>
      <c r="AG272" s="37"/>
      <c r="AH272" s="37"/>
      <c r="AI272" s="37"/>
      <c r="AJ272" s="37"/>
      <c r="AK272" s="37"/>
      <c r="AL272" s="37"/>
      <c r="AM272" s="37"/>
      <c r="AN272" s="37"/>
      <c r="AO272" s="34"/>
      <c r="AP272" s="34"/>
      <c r="AQ272" s="34"/>
      <c r="AR272" s="34"/>
      <c r="AS272" s="34"/>
      <c r="AT272" s="35" t="s">
        <v>3581</v>
      </c>
      <c r="AU272" s="35" t="s">
        <v>8452</v>
      </c>
      <c r="AV272" s="34"/>
      <c r="AW272" s="35" t="s">
        <v>75</v>
      </c>
      <c r="AX272" s="34"/>
      <c r="AY272" s="37"/>
      <c r="AZ272" s="35" t="s">
        <v>41</v>
      </c>
      <c r="BA272" s="37"/>
      <c r="BB272" s="37"/>
      <c r="BC272" s="34"/>
      <c r="BD272" s="35" t="s">
        <v>3584</v>
      </c>
      <c r="BE272" s="35" t="s">
        <v>3584</v>
      </c>
      <c r="BF272" s="35" t="s">
        <v>8453</v>
      </c>
      <c r="BG272" s="34"/>
      <c r="BH272" s="37"/>
      <c r="BI272" s="34"/>
      <c r="BJ272" s="35" t="s">
        <v>8454</v>
      </c>
      <c r="BK272" s="34"/>
      <c r="BL272" s="34"/>
      <c r="BM272" s="35" t="s">
        <v>8455</v>
      </c>
      <c r="BN272" s="34"/>
      <c r="BO272" s="34"/>
      <c r="BP272" s="34"/>
      <c r="BQ272" s="37"/>
      <c r="BR272" s="37"/>
      <c r="BS272" s="34"/>
      <c r="BT272" s="37"/>
      <c r="BU272" s="34"/>
      <c r="BV272" s="35" t="s">
        <v>3589</v>
      </c>
      <c r="BW272" s="34"/>
      <c r="BX272" s="34"/>
      <c r="BY272" s="35" t="s">
        <v>3590</v>
      </c>
      <c r="BZ272" s="34"/>
      <c r="CA272" s="35" t="s">
        <v>3591</v>
      </c>
      <c r="CB272" s="38" t="s">
        <v>5677</v>
      </c>
      <c r="CC272" s="37"/>
      <c r="CD272" s="34"/>
      <c r="CE272" s="37"/>
      <c r="CF272" s="34"/>
      <c r="CG272" s="35" t="s">
        <v>5222</v>
      </c>
      <c r="CH272" s="34"/>
      <c r="CI272" s="34"/>
      <c r="CJ272" s="35" t="s">
        <v>5222</v>
      </c>
      <c r="CK272" s="37"/>
      <c r="CL272" s="37"/>
      <c r="CM272" s="34"/>
      <c r="CN272" s="35" t="s">
        <v>3591</v>
      </c>
      <c r="CO272" s="37"/>
      <c r="CP272" s="37"/>
      <c r="CQ272" s="37"/>
      <c r="CR272" s="37"/>
      <c r="CS272" s="37"/>
      <c r="CT272" s="37"/>
      <c r="CU272" s="37"/>
      <c r="CV272" s="37"/>
      <c r="CW272" s="37"/>
      <c r="CX272" s="37"/>
      <c r="CY272" s="37"/>
      <c r="CZ272" s="37"/>
      <c r="DA272" s="37"/>
      <c r="DB272" s="37"/>
      <c r="DC272" s="37"/>
      <c r="DD272" s="37"/>
      <c r="DE272" s="37"/>
      <c r="DF272" s="37"/>
      <c r="DG272" s="37"/>
      <c r="DH272" s="37"/>
      <c r="DI272" s="37"/>
      <c r="DJ272" s="37"/>
      <c r="DK272" s="37"/>
      <c r="DL272" s="37"/>
      <c r="DM272" s="37"/>
      <c r="DN272" s="37"/>
      <c r="DO272" s="32" t="s">
        <v>3600</v>
      </c>
      <c r="DP272" s="38" t="s">
        <v>5177</v>
      </c>
      <c r="DQ272" s="37"/>
      <c r="DR272" s="37"/>
      <c r="DS272" s="37"/>
      <c r="DT272" s="37"/>
      <c r="DU272" s="37"/>
      <c r="DV272" s="37"/>
      <c r="DW272" s="34"/>
      <c r="DX272" s="37"/>
      <c r="DY272" s="34"/>
      <c r="DZ272" s="37"/>
      <c r="EA272" s="37"/>
      <c r="EB272" s="34"/>
      <c r="EC272" s="37"/>
      <c r="ED272" s="37"/>
      <c r="EE272" s="37"/>
      <c r="EF272" s="37"/>
      <c r="EG272" s="34"/>
      <c r="EH272" s="37"/>
      <c r="EI272" s="37"/>
      <c r="EJ272" s="37"/>
      <c r="EK272" s="34"/>
      <c r="EL272" s="37"/>
      <c r="EM272" s="37"/>
      <c r="EN272" s="37"/>
      <c r="EO272" s="37"/>
      <c r="EP272" s="40" t="s">
        <v>3559</v>
      </c>
    </row>
    <row r="273">
      <c r="A273" s="45"/>
      <c r="B273" s="42" t="s">
        <v>8456</v>
      </c>
      <c r="C273" s="43"/>
      <c r="D273" s="43"/>
      <c r="E273" s="42" t="s">
        <v>8457</v>
      </c>
      <c r="F273" s="43"/>
      <c r="G273" s="42" t="s">
        <v>8458</v>
      </c>
      <c r="H273" s="42" t="s">
        <v>30</v>
      </c>
      <c r="I273" s="42" t="s">
        <v>8030</v>
      </c>
      <c r="J273" s="42" t="s">
        <v>8031</v>
      </c>
      <c r="K273" s="42" t="s">
        <v>8459</v>
      </c>
      <c r="L273" s="42" t="s">
        <v>8460</v>
      </c>
      <c r="M273" s="42" t="s">
        <v>8461</v>
      </c>
      <c r="N273" s="42" t="s">
        <v>5481</v>
      </c>
      <c r="O273" s="42" t="s">
        <v>8462</v>
      </c>
      <c r="P273" s="42"/>
      <c r="R273" s="42" t="s">
        <v>5222</v>
      </c>
      <c r="S273" s="42" t="s">
        <v>5222</v>
      </c>
      <c r="T273" s="42" t="s">
        <v>5147</v>
      </c>
      <c r="U273" s="44" t="s">
        <v>8463</v>
      </c>
      <c r="V273" s="43"/>
      <c r="W273" s="41">
        <v>5.0</v>
      </c>
      <c r="X273" s="42" t="s">
        <v>8464</v>
      </c>
      <c r="Y273" s="43"/>
      <c r="Z273" s="43"/>
      <c r="AA273" s="41">
        <v>2019.0</v>
      </c>
      <c r="AB273" s="43"/>
      <c r="AC273" s="43"/>
      <c r="AD273" s="43"/>
      <c r="AE273" s="45"/>
      <c r="AF273" s="45"/>
      <c r="AG273" s="45"/>
      <c r="AH273" s="45"/>
      <c r="AI273" s="45"/>
      <c r="AJ273" s="45"/>
      <c r="AK273" s="45"/>
      <c r="AL273" s="45"/>
      <c r="AM273" s="45"/>
      <c r="AN273" s="45"/>
      <c r="AO273" s="43"/>
      <c r="AP273" s="43"/>
      <c r="AQ273" s="43"/>
      <c r="AR273" s="43"/>
      <c r="AS273" s="43"/>
      <c r="AT273" s="42" t="s">
        <v>3581</v>
      </c>
      <c r="AU273" s="42" t="s">
        <v>8465</v>
      </c>
      <c r="AV273" s="43"/>
      <c r="AW273" s="42" t="s">
        <v>75</v>
      </c>
      <c r="AX273" s="43"/>
      <c r="AY273" s="45"/>
      <c r="AZ273" s="42" t="s">
        <v>41</v>
      </c>
      <c r="BA273" s="45"/>
      <c r="BB273" s="45"/>
      <c r="BC273" s="43"/>
      <c r="BD273" s="42" t="s">
        <v>3584</v>
      </c>
      <c r="BE273" s="42" t="s">
        <v>3584</v>
      </c>
      <c r="BF273" s="42" t="s">
        <v>8466</v>
      </c>
      <c r="BG273" s="43"/>
      <c r="BH273" s="45"/>
      <c r="BI273" s="43"/>
      <c r="BJ273" s="42" t="s">
        <v>8467</v>
      </c>
      <c r="BK273" s="43"/>
      <c r="BL273" s="43"/>
      <c r="BM273" s="42" t="s">
        <v>8468</v>
      </c>
      <c r="BN273" s="43"/>
      <c r="BO273" s="43"/>
      <c r="BP273" s="43"/>
      <c r="BQ273" s="45"/>
      <c r="BR273" s="45"/>
      <c r="BS273" s="43"/>
      <c r="BT273" s="45"/>
      <c r="BU273" s="43"/>
      <c r="BV273" s="42" t="s">
        <v>3589</v>
      </c>
      <c r="BW273" s="43"/>
      <c r="BX273" s="43"/>
      <c r="BY273" s="42" t="s">
        <v>3590</v>
      </c>
      <c r="BZ273" s="43"/>
      <c r="CA273" s="42" t="s">
        <v>3591</v>
      </c>
      <c r="CB273" s="46" t="s">
        <v>8469</v>
      </c>
      <c r="CC273" s="45"/>
      <c r="CD273" s="43"/>
      <c r="CE273" s="45"/>
      <c r="CF273" s="43"/>
      <c r="CG273" s="42" t="s">
        <v>5222</v>
      </c>
      <c r="CH273" s="43"/>
      <c r="CI273" s="43"/>
      <c r="CJ273" s="42" t="s">
        <v>5222</v>
      </c>
      <c r="CK273" s="45"/>
      <c r="CL273" s="45"/>
      <c r="CM273" s="43"/>
      <c r="CN273" s="42" t="s">
        <v>3591</v>
      </c>
      <c r="CO273" s="45"/>
      <c r="CP273" s="45"/>
      <c r="CQ273" s="45"/>
      <c r="CR273" s="45"/>
      <c r="CS273" s="45"/>
      <c r="CT273" s="45"/>
      <c r="CU273" s="45"/>
      <c r="CV273" s="45"/>
      <c r="CW273" s="45"/>
      <c r="CX273" s="45"/>
      <c r="CY273" s="45"/>
      <c r="CZ273" s="45"/>
      <c r="DA273" s="45"/>
      <c r="DB273" s="45"/>
      <c r="DC273" s="45"/>
      <c r="DD273" s="45"/>
      <c r="DE273" s="45"/>
      <c r="DF273" s="45"/>
      <c r="DG273" s="45"/>
      <c r="DH273" s="45"/>
      <c r="DI273" s="45"/>
      <c r="DJ273" s="45"/>
      <c r="DK273" s="45"/>
      <c r="DL273" s="45"/>
      <c r="DM273" s="45"/>
      <c r="DN273" s="45"/>
      <c r="DO273" s="41" t="s">
        <v>3600</v>
      </c>
      <c r="DP273" s="46" t="s">
        <v>8470</v>
      </c>
      <c r="DQ273" s="45"/>
      <c r="DR273" s="45"/>
      <c r="DS273" s="45"/>
      <c r="DT273" s="45"/>
      <c r="DU273" s="45"/>
      <c r="DV273" s="45"/>
      <c r="DW273" s="43"/>
      <c r="DX273" s="45"/>
      <c r="DY273" s="43"/>
      <c r="DZ273" s="45"/>
      <c r="EA273" s="45"/>
      <c r="EB273" s="43"/>
      <c r="EC273" s="45"/>
      <c r="ED273" s="45"/>
      <c r="EE273" s="45"/>
      <c r="EF273" s="45"/>
      <c r="EG273" s="43"/>
      <c r="EH273" s="45"/>
      <c r="EI273" s="45"/>
      <c r="EJ273" s="45"/>
      <c r="EK273" s="43"/>
      <c r="EL273" s="45"/>
      <c r="EM273" s="45"/>
      <c r="EN273" s="45"/>
      <c r="EO273" s="45"/>
      <c r="EP273" s="48" t="s">
        <v>3559</v>
      </c>
    </row>
    <row r="274">
      <c r="A274" s="32">
        <v>3.5</v>
      </c>
      <c r="B274" s="35" t="s">
        <v>8471</v>
      </c>
      <c r="C274" s="34"/>
      <c r="D274" s="34"/>
      <c r="E274" s="35" t="s">
        <v>8472</v>
      </c>
      <c r="F274" s="34"/>
      <c r="G274" s="35" t="s">
        <v>8473</v>
      </c>
      <c r="H274" s="35" t="s">
        <v>4560</v>
      </c>
      <c r="I274" s="35" t="s">
        <v>4561</v>
      </c>
      <c r="J274" s="35" t="s">
        <v>66</v>
      </c>
      <c r="K274" s="35" t="s">
        <v>8474</v>
      </c>
      <c r="L274" s="35" t="s">
        <v>5219</v>
      </c>
      <c r="M274" s="35" t="s">
        <v>8475</v>
      </c>
      <c r="N274" s="35" t="s">
        <v>3569</v>
      </c>
      <c r="O274" s="35" t="s">
        <v>8476</v>
      </c>
      <c r="P274" s="35"/>
      <c r="R274" s="35" t="s">
        <v>3571</v>
      </c>
      <c r="S274" s="35" t="s">
        <v>3572</v>
      </c>
      <c r="T274" s="35" t="s">
        <v>3573</v>
      </c>
      <c r="U274" s="36" t="s">
        <v>8477</v>
      </c>
      <c r="V274" s="36" t="s">
        <v>8478</v>
      </c>
      <c r="W274" s="32">
        <v>24.0</v>
      </c>
      <c r="X274" s="35" t="s">
        <v>8479</v>
      </c>
      <c r="Y274" s="34"/>
      <c r="Z274" s="34"/>
      <c r="AA274" s="32">
        <v>2020.0</v>
      </c>
      <c r="AB274" s="34"/>
      <c r="AC274" s="34"/>
      <c r="AD274" s="34"/>
      <c r="AE274" s="37"/>
      <c r="AF274" s="37"/>
      <c r="AG274" s="37"/>
      <c r="AH274" s="37"/>
      <c r="AI274" s="37"/>
      <c r="AJ274" s="37"/>
      <c r="AK274" s="37"/>
      <c r="AL274" s="37"/>
      <c r="AM274" s="37"/>
      <c r="AN274" s="37"/>
      <c r="AO274" s="35" t="s">
        <v>8480</v>
      </c>
      <c r="AP274" s="35" t="s">
        <v>8481</v>
      </c>
      <c r="AQ274" s="35" t="s">
        <v>3579</v>
      </c>
      <c r="AR274" s="35" t="s">
        <v>8482</v>
      </c>
      <c r="AS274" s="34" t="str">
        <f>+972 (0)50 949 4955</f>
        <v>#ERROR!</v>
      </c>
      <c r="AT274" s="35" t="s">
        <v>3581</v>
      </c>
      <c r="AU274" s="35" t="s">
        <v>8483</v>
      </c>
      <c r="AV274" s="34"/>
      <c r="AW274" s="35" t="s">
        <v>75</v>
      </c>
      <c r="AX274" s="34"/>
      <c r="AY274" s="32">
        <v>6578202.0</v>
      </c>
      <c r="AZ274" s="35" t="s">
        <v>41</v>
      </c>
      <c r="BA274" s="37" t="str">
        <f>+972 (0)50 949 4955</f>
        <v>#ERROR!</v>
      </c>
      <c r="BB274" s="37"/>
      <c r="BC274" s="35" t="s">
        <v>8484</v>
      </c>
      <c r="BD274" s="35" t="s">
        <v>3584</v>
      </c>
      <c r="BE274" s="35" t="s">
        <v>3584</v>
      </c>
      <c r="BF274" s="35" t="s">
        <v>8485</v>
      </c>
      <c r="BG274" s="35" t="s">
        <v>8486</v>
      </c>
      <c r="BH274" s="32">
        <v>2.0</v>
      </c>
      <c r="BI274" s="34"/>
      <c r="BJ274" s="34"/>
      <c r="BK274" s="34"/>
      <c r="BL274" s="35" t="s">
        <v>8487</v>
      </c>
      <c r="BM274" s="34"/>
      <c r="BN274" s="34"/>
      <c r="BO274" s="34"/>
      <c r="BP274" s="34"/>
      <c r="BQ274" s="38" t="s">
        <v>3991</v>
      </c>
      <c r="BR274" s="32">
        <v>3.5</v>
      </c>
      <c r="BS274" s="35" t="s">
        <v>3593</v>
      </c>
      <c r="BT274" s="37"/>
      <c r="BU274" s="34"/>
      <c r="BV274" s="35" t="s">
        <v>3698</v>
      </c>
      <c r="BW274" s="35" t="s">
        <v>3698</v>
      </c>
      <c r="BX274" s="34"/>
      <c r="BY274" s="35" t="s">
        <v>3573</v>
      </c>
      <c r="BZ274" s="34"/>
      <c r="CA274" s="35" t="s">
        <v>3591</v>
      </c>
      <c r="CB274" s="38" t="s">
        <v>8488</v>
      </c>
      <c r="CC274" s="32">
        <v>1.5</v>
      </c>
      <c r="CD274" s="35" t="s">
        <v>3593</v>
      </c>
      <c r="CE274" s="37"/>
      <c r="CF274" s="34"/>
      <c r="CG274" s="35" t="s">
        <v>3669</v>
      </c>
      <c r="CH274" s="34"/>
      <c r="CI274" s="34"/>
      <c r="CJ274" s="35" t="s">
        <v>3573</v>
      </c>
      <c r="CK274" s="37"/>
      <c r="CL274" s="37"/>
      <c r="CM274" s="34"/>
      <c r="CN274" s="35" t="s">
        <v>3966</v>
      </c>
      <c r="CO274" s="39">
        <v>0.0</v>
      </c>
      <c r="CP274" s="32">
        <v>14.0</v>
      </c>
      <c r="CQ274" s="39">
        <v>0.0</v>
      </c>
      <c r="CR274" s="39">
        <v>0.0</v>
      </c>
      <c r="CS274" s="39">
        <v>0.0</v>
      </c>
      <c r="CT274" s="32">
        <v>12.0</v>
      </c>
      <c r="CU274" s="39">
        <v>0.0</v>
      </c>
      <c r="CV274" s="32">
        <v>10.0</v>
      </c>
      <c r="CW274" s="39">
        <v>0.0</v>
      </c>
      <c r="CX274" s="32">
        <v>12.0</v>
      </c>
      <c r="CY274" s="32" t="s">
        <v>4663</v>
      </c>
      <c r="CZ274" s="32">
        <v>35.0</v>
      </c>
      <c r="DA274" s="32" t="s">
        <v>3598</v>
      </c>
      <c r="DB274" s="39">
        <v>0.0</v>
      </c>
      <c r="DC274" s="32" t="s">
        <v>4663</v>
      </c>
      <c r="DD274" s="32">
        <v>37.0</v>
      </c>
      <c r="DE274" s="32" t="s">
        <v>8489</v>
      </c>
      <c r="DF274" s="32">
        <v>49.0</v>
      </c>
      <c r="DG274" s="32" t="s">
        <v>4246</v>
      </c>
      <c r="DH274" s="32">
        <v>46.0</v>
      </c>
      <c r="DI274" s="32">
        <v>58.0</v>
      </c>
      <c r="DJ274" s="32">
        <v>-6.0</v>
      </c>
      <c r="DK274" s="39">
        <v>-0.0938</v>
      </c>
      <c r="DL274" s="32">
        <v>21.0</v>
      </c>
      <c r="DM274" s="32">
        <v>1.0</v>
      </c>
      <c r="DN274" s="39">
        <v>0.05</v>
      </c>
      <c r="DO274" s="32" t="s">
        <v>3600</v>
      </c>
      <c r="DP274" s="38" t="s">
        <v>8490</v>
      </c>
      <c r="DQ274" s="37"/>
      <c r="DR274" s="37"/>
      <c r="DS274" s="37"/>
      <c r="DT274" s="37"/>
      <c r="DU274" s="37"/>
      <c r="DV274" s="37"/>
      <c r="DW274" s="34"/>
      <c r="DX274" s="37"/>
      <c r="DY274" s="34"/>
      <c r="DZ274" s="37"/>
      <c r="EA274" s="37"/>
      <c r="EB274" s="34"/>
      <c r="EC274" s="37"/>
      <c r="ED274" s="37"/>
      <c r="EE274" s="37"/>
      <c r="EF274" s="37"/>
      <c r="EG274" s="34"/>
      <c r="EH274" s="37"/>
      <c r="EI274" s="37"/>
      <c r="EJ274" s="37"/>
      <c r="EK274" s="34"/>
      <c r="EL274" s="37"/>
      <c r="EM274" s="37"/>
      <c r="EN274" s="37"/>
      <c r="EO274" s="37"/>
      <c r="EP274" s="40" t="s">
        <v>3559</v>
      </c>
    </row>
    <row r="275">
      <c r="A275" s="41">
        <v>3.0</v>
      </c>
      <c r="B275" s="42" t="s">
        <v>8491</v>
      </c>
      <c r="C275" s="43"/>
      <c r="D275" s="43"/>
      <c r="E275" s="42" t="s">
        <v>8492</v>
      </c>
      <c r="F275" s="43"/>
      <c r="G275" s="42" t="s">
        <v>8493</v>
      </c>
      <c r="H275" s="42" t="s">
        <v>3563</v>
      </c>
      <c r="I275" s="42" t="s">
        <v>3609</v>
      </c>
      <c r="J275" s="42" t="s">
        <v>3610</v>
      </c>
      <c r="K275" s="42" t="s">
        <v>8494</v>
      </c>
      <c r="L275" s="42" t="s">
        <v>8495</v>
      </c>
      <c r="M275" s="42" t="s">
        <v>8496</v>
      </c>
      <c r="N275" s="42" t="s">
        <v>4962</v>
      </c>
      <c r="O275" s="42" t="s">
        <v>8497</v>
      </c>
      <c r="P275" s="42"/>
      <c r="R275" s="42" t="s">
        <v>3571</v>
      </c>
      <c r="S275" s="42" t="s">
        <v>3572</v>
      </c>
      <c r="T275" s="42" t="s">
        <v>3603</v>
      </c>
      <c r="U275" s="44" t="s">
        <v>8498</v>
      </c>
      <c r="V275" s="44" t="s">
        <v>8499</v>
      </c>
      <c r="W275" s="41">
        <v>15.0</v>
      </c>
      <c r="X275" s="42" t="s">
        <v>8500</v>
      </c>
      <c r="Y275" s="43"/>
      <c r="Z275" s="43"/>
      <c r="AA275" s="41">
        <v>2017.0</v>
      </c>
      <c r="AB275" s="43"/>
      <c r="AC275" s="43"/>
      <c r="AD275" s="43"/>
      <c r="AE275" s="45"/>
      <c r="AF275" s="45"/>
      <c r="AG275" s="45"/>
      <c r="AH275" s="45"/>
      <c r="AI275" s="45"/>
      <c r="AJ275" s="45"/>
      <c r="AK275" s="45"/>
      <c r="AL275" s="45"/>
      <c r="AM275" s="45"/>
      <c r="AN275" s="45"/>
      <c r="AO275" s="42" t="s">
        <v>8501</v>
      </c>
      <c r="AP275" s="42" t="s">
        <v>8502</v>
      </c>
      <c r="AQ275" s="42" t="s">
        <v>3579</v>
      </c>
      <c r="AR275" s="42" t="s">
        <v>656</v>
      </c>
      <c r="AS275" s="43"/>
      <c r="AT275" s="42" t="s">
        <v>5689</v>
      </c>
      <c r="AU275" s="42" t="s">
        <v>8503</v>
      </c>
      <c r="AV275" s="43"/>
      <c r="AW275" s="42" t="s">
        <v>298</v>
      </c>
      <c r="AX275" s="43"/>
      <c r="AY275" s="41">
        <v>5801427.0</v>
      </c>
      <c r="AZ275" s="42" t="s">
        <v>41</v>
      </c>
      <c r="BA275" s="45"/>
      <c r="BB275" s="45"/>
      <c r="BC275" s="42" t="s">
        <v>659</v>
      </c>
      <c r="BD275" s="42" t="s">
        <v>3584</v>
      </c>
      <c r="BE275" s="42" t="s">
        <v>3584</v>
      </c>
      <c r="BF275" s="42" t="s">
        <v>8504</v>
      </c>
      <c r="BG275" s="42" t="s">
        <v>8505</v>
      </c>
      <c r="BH275" s="41">
        <v>1.0</v>
      </c>
      <c r="BI275" s="43"/>
      <c r="BJ275" s="43"/>
      <c r="BK275" s="43"/>
      <c r="BL275" s="42" t="s">
        <v>8506</v>
      </c>
      <c r="BM275" s="43"/>
      <c r="BN275" s="43"/>
      <c r="BO275" s="43"/>
      <c r="BP275" s="43"/>
      <c r="BQ275" s="46" t="s">
        <v>8507</v>
      </c>
      <c r="BR275" s="41">
        <v>3.0</v>
      </c>
      <c r="BS275" s="42" t="s">
        <v>3593</v>
      </c>
      <c r="BT275" s="41">
        <v>25.0</v>
      </c>
      <c r="BU275" s="42" t="s">
        <v>3697</v>
      </c>
      <c r="BV275" s="42" t="s">
        <v>3663</v>
      </c>
      <c r="BW275" s="42" t="s">
        <v>3663</v>
      </c>
      <c r="BX275" s="43"/>
      <c r="BY275" s="42" t="s">
        <v>3663</v>
      </c>
      <c r="BZ275" s="43"/>
      <c r="CA275" s="42" t="s">
        <v>3591</v>
      </c>
      <c r="CB275" s="46" t="s">
        <v>8507</v>
      </c>
      <c r="CC275" s="41">
        <v>3.0</v>
      </c>
      <c r="CD275" s="42" t="s">
        <v>3593</v>
      </c>
      <c r="CE275" s="41">
        <v>25.0</v>
      </c>
      <c r="CF275" s="42" t="s">
        <v>3697</v>
      </c>
      <c r="CG275" s="42" t="s">
        <v>3663</v>
      </c>
      <c r="CH275" s="42" t="s">
        <v>3663</v>
      </c>
      <c r="CI275" s="43"/>
      <c r="CJ275" s="42" t="s">
        <v>3663</v>
      </c>
      <c r="CK275" s="45"/>
      <c r="CL275" s="45"/>
      <c r="CM275" s="43"/>
      <c r="CN275" s="42" t="s">
        <v>3591</v>
      </c>
      <c r="CO275" s="47">
        <v>0.0</v>
      </c>
      <c r="CP275" s="41">
        <v>14.0</v>
      </c>
      <c r="CQ275" s="47">
        <v>0.0</v>
      </c>
      <c r="CR275" s="47">
        <v>0.0</v>
      </c>
      <c r="CS275" s="47">
        <v>0.0</v>
      </c>
      <c r="CT275" s="41">
        <v>12.0</v>
      </c>
      <c r="CU275" s="47">
        <v>0.0</v>
      </c>
      <c r="CV275" s="41">
        <v>10.0</v>
      </c>
      <c r="CW275" s="47">
        <v>0.0</v>
      </c>
      <c r="CX275" s="41">
        <v>12.0</v>
      </c>
      <c r="CY275" s="41" t="s">
        <v>8508</v>
      </c>
      <c r="CZ275" s="41">
        <v>15.0</v>
      </c>
      <c r="DA275" s="41" t="s">
        <v>3598</v>
      </c>
      <c r="DB275" s="47">
        <v>0.0</v>
      </c>
      <c r="DC275" s="41" t="s">
        <v>8508</v>
      </c>
      <c r="DD275" s="41">
        <v>17.0</v>
      </c>
      <c r="DE275" s="41" t="s">
        <v>6515</v>
      </c>
      <c r="DF275" s="41">
        <v>20.0</v>
      </c>
      <c r="DG275" s="41" t="s">
        <v>6013</v>
      </c>
      <c r="DH275" s="41">
        <v>37.0</v>
      </c>
      <c r="DI275" s="41">
        <v>0.0</v>
      </c>
      <c r="DJ275" s="41">
        <v>0.0</v>
      </c>
      <c r="DK275" s="47">
        <v>0.0</v>
      </c>
      <c r="DL275" s="41">
        <v>17.0</v>
      </c>
      <c r="DM275" s="41">
        <v>1.0</v>
      </c>
      <c r="DN275" s="47">
        <v>0.0625</v>
      </c>
      <c r="DO275" s="41" t="s">
        <v>3600</v>
      </c>
      <c r="DP275" s="46" t="s">
        <v>3887</v>
      </c>
      <c r="DQ275" s="41">
        <v>10.0</v>
      </c>
      <c r="DR275" s="41">
        <v>3.0</v>
      </c>
      <c r="DS275" s="41">
        <v>1.0</v>
      </c>
      <c r="DT275" s="45"/>
      <c r="DU275" s="45"/>
      <c r="DV275" s="41">
        <v>9.0</v>
      </c>
      <c r="DW275" s="42" t="s">
        <v>6993</v>
      </c>
      <c r="DX275" s="45"/>
      <c r="DY275" s="43"/>
      <c r="DZ275" s="45"/>
      <c r="EA275" s="45"/>
      <c r="EB275" s="43"/>
      <c r="EC275" s="45"/>
      <c r="ED275" s="45"/>
      <c r="EE275" s="41">
        <v>25.0</v>
      </c>
      <c r="EF275" s="46" t="s">
        <v>8507</v>
      </c>
      <c r="EG275" s="42" t="s">
        <v>3663</v>
      </c>
      <c r="EH275" s="45"/>
      <c r="EI275" s="45"/>
      <c r="EJ275" s="45"/>
      <c r="EK275" s="43"/>
      <c r="EL275" s="45"/>
      <c r="EM275" s="45"/>
      <c r="EN275" s="45"/>
      <c r="EO275" s="45"/>
      <c r="EP275" s="48" t="s">
        <v>3559</v>
      </c>
    </row>
    <row r="276">
      <c r="A276" s="32">
        <v>56.5</v>
      </c>
      <c r="B276" s="35" t="s">
        <v>8509</v>
      </c>
      <c r="C276" s="34"/>
      <c r="D276" s="34"/>
      <c r="E276" s="35" t="s">
        <v>8510</v>
      </c>
      <c r="F276" s="35" t="s">
        <v>8511</v>
      </c>
      <c r="G276" s="35" t="s">
        <v>8512</v>
      </c>
      <c r="H276" s="35" t="s">
        <v>3563</v>
      </c>
      <c r="I276" s="35" t="s">
        <v>3609</v>
      </c>
      <c r="J276" s="35" t="s">
        <v>3610</v>
      </c>
      <c r="K276" s="35" t="s">
        <v>8513</v>
      </c>
      <c r="L276" s="35" t="s">
        <v>5451</v>
      </c>
      <c r="M276" s="35" t="s">
        <v>8514</v>
      </c>
      <c r="N276" s="35" t="s">
        <v>5018</v>
      </c>
      <c r="O276" s="35" t="s">
        <v>8515</v>
      </c>
      <c r="P276" s="35"/>
      <c r="R276" s="35" t="s">
        <v>5412</v>
      </c>
      <c r="S276" s="35" t="s">
        <v>5236</v>
      </c>
      <c r="T276" s="35" t="s">
        <v>5867</v>
      </c>
      <c r="U276" s="36" t="s">
        <v>8516</v>
      </c>
      <c r="V276" s="36" t="s">
        <v>8517</v>
      </c>
      <c r="W276" s="32">
        <v>47.0</v>
      </c>
      <c r="X276" s="35" t="s">
        <v>8518</v>
      </c>
      <c r="Y276" s="35" t="s">
        <v>5241</v>
      </c>
      <c r="Z276" s="35" t="s">
        <v>8519</v>
      </c>
      <c r="AA276" s="32">
        <v>2016.0</v>
      </c>
      <c r="AB276" s="34"/>
      <c r="AC276" s="35" t="s">
        <v>5243</v>
      </c>
      <c r="AD276" s="35" t="s">
        <v>8520</v>
      </c>
      <c r="AE276" s="32">
        <v>0.78</v>
      </c>
      <c r="AF276" s="32">
        <v>0.11</v>
      </c>
      <c r="AG276" s="32">
        <v>-12.06</v>
      </c>
      <c r="AH276" s="32">
        <v>0.45</v>
      </c>
      <c r="AI276" s="32">
        <v>-12.13</v>
      </c>
      <c r="AJ276" s="32">
        <v>-12.25</v>
      </c>
      <c r="AK276" s="32">
        <v>14.96</v>
      </c>
      <c r="AL276" s="32">
        <v>-22.03</v>
      </c>
      <c r="AM276" s="39">
        <v>-0.1406</v>
      </c>
      <c r="AN276" s="32" t="s">
        <v>5419</v>
      </c>
      <c r="AO276" s="35" t="s">
        <v>8521</v>
      </c>
      <c r="AP276" s="35" t="s">
        <v>8522</v>
      </c>
      <c r="AQ276" s="35" t="s">
        <v>7151</v>
      </c>
      <c r="AR276" s="35" t="s">
        <v>8523</v>
      </c>
      <c r="AS276" s="34" t="str">
        <f>+972 (0)9 957 7706</f>
        <v>#ERROR!</v>
      </c>
      <c r="AT276" s="35" t="s">
        <v>5716</v>
      </c>
      <c r="AU276" s="35" t="s">
        <v>8524</v>
      </c>
      <c r="AV276" s="34"/>
      <c r="AW276" s="35" t="s">
        <v>828</v>
      </c>
      <c r="AX276" s="34"/>
      <c r="AY276" s="32">
        <v>4366517.0</v>
      </c>
      <c r="AZ276" s="35" t="s">
        <v>41</v>
      </c>
      <c r="BA276" s="37" t="str">
        <f>+972 (0)9 957 7706</f>
        <v>#ERROR!</v>
      </c>
      <c r="BB276" s="37"/>
      <c r="BC276" s="35" t="s">
        <v>2967</v>
      </c>
      <c r="BD276" s="35" t="s">
        <v>3584</v>
      </c>
      <c r="BE276" s="35" t="s">
        <v>3584</v>
      </c>
      <c r="BF276" s="35" t="s">
        <v>8525</v>
      </c>
      <c r="BG276" s="35" t="s">
        <v>8526</v>
      </c>
      <c r="BH276" s="32">
        <v>2.0</v>
      </c>
      <c r="BI276" s="34"/>
      <c r="BJ276" s="35" t="s">
        <v>8527</v>
      </c>
      <c r="BK276" s="34"/>
      <c r="BL276" s="35" t="s">
        <v>8528</v>
      </c>
      <c r="BM276" s="35" t="s">
        <v>8529</v>
      </c>
      <c r="BN276" s="34"/>
      <c r="BO276" s="34"/>
      <c r="BP276" s="35" t="s">
        <v>8530</v>
      </c>
      <c r="BQ276" s="38" t="s">
        <v>8531</v>
      </c>
      <c r="BR276" s="32">
        <v>2.0</v>
      </c>
      <c r="BS276" s="35" t="s">
        <v>3593</v>
      </c>
      <c r="BT276" s="32">
        <v>14.82</v>
      </c>
      <c r="BU276" s="35" t="s">
        <v>3697</v>
      </c>
      <c r="BV276" s="35" t="s">
        <v>3698</v>
      </c>
      <c r="BW276" s="35" t="s">
        <v>3698</v>
      </c>
      <c r="BX276" s="34"/>
      <c r="BY276" s="35" t="s">
        <v>3573</v>
      </c>
      <c r="BZ276" s="34"/>
      <c r="CA276" s="35" t="s">
        <v>3591</v>
      </c>
      <c r="CB276" s="38" t="s">
        <v>3858</v>
      </c>
      <c r="CC276" s="32">
        <v>3.5</v>
      </c>
      <c r="CD276" s="35" t="s">
        <v>3593</v>
      </c>
      <c r="CE276" s="37"/>
      <c r="CF276" s="34"/>
      <c r="CG276" s="35" t="s">
        <v>5257</v>
      </c>
      <c r="CH276" s="34"/>
      <c r="CI276" s="34"/>
      <c r="CJ276" s="35" t="s">
        <v>3663</v>
      </c>
      <c r="CK276" s="37"/>
      <c r="CL276" s="37"/>
      <c r="CM276" s="34"/>
      <c r="CN276" s="35" t="s">
        <v>3591</v>
      </c>
      <c r="CO276" s="37"/>
      <c r="CP276" s="37"/>
      <c r="CQ276" s="37"/>
      <c r="CR276" s="37"/>
      <c r="CS276" s="37"/>
      <c r="CT276" s="37"/>
      <c r="CU276" s="37"/>
      <c r="CV276" s="37"/>
      <c r="CW276" s="37"/>
      <c r="CX276" s="37"/>
      <c r="CY276" s="37"/>
      <c r="CZ276" s="37"/>
      <c r="DA276" s="37"/>
      <c r="DB276" s="37"/>
      <c r="DC276" s="37"/>
      <c r="DD276" s="37"/>
      <c r="DE276" s="37"/>
      <c r="DF276" s="37"/>
      <c r="DG276" s="37"/>
      <c r="DH276" s="37"/>
      <c r="DI276" s="37"/>
      <c r="DJ276" s="37"/>
      <c r="DK276" s="37"/>
      <c r="DL276" s="37"/>
      <c r="DM276" s="37"/>
      <c r="DN276" s="37"/>
      <c r="DO276" s="32" t="s">
        <v>3600</v>
      </c>
      <c r="DP276" s="38" t="s">
        <v>3667</v>
      </c>
      <c r="DQ276" s="32">
        <v>83.0</v>
      </c>
      <c r="DR276" s="32">
        <v>11.0</v>
      </c>
      <c r="DS276" s="32">
        <v>56.0</v>
      </c>
      <c r="DT276" s="32">
        <v>10.0</v>
      </c>
      <c r="DU276" s="37"/>
      <c r="DV276" s="32">
        <v>17.0</v>
      </c>
      <c r="DW276" s="35" t="s">
        <v>8532</v>
      </c>
      <c r="DX276" s="37"/>
      <c r="DY276" s="34"/>
      <c r="DZ276" s="37"/>
      <c r="EA276" s="37"/>
      <c r="EB276" s="34"/>
      <c r="EC276" s="37"/>
      <c r="ED276" s="37"/>
      <c r="EE276" s="32">
        <v>65.65</v>
      </c>
      <c r="EF276" s="38" t="s">
        <v>8533</v>
      </c>
      <c r="EG276" s="35" t="s">
        <v>4532</v>
      </c>
      <c r="EH276" s="37"/>
      <c r="EI276" s="37"/>
      <c r="EJ276" s="37"/>
      <c r="EK276" s="34"/>
      <c r="EL276" s="37"/>
      <c r="EM276" s="37"/>
      <c r="EN276" s="37"/>
      <c r="EO276" s="37"/>
      <c r="EP276" s="40" t="s">
        <v>3559</v>
      </c>
    </row>
    <row r="277">
      <c r="A277" s="45"/>
      <c r="B277" s="42" t="s">
        <v>8534</v>
      </c>
      <c r="C277" s="43"/>
      <c r="D277" s="43"/>
      <c r="E277" s="42" t="s">
        <v>8535</v>
      </c>
      <c r="F277" s="43"/>
      <c r="G277" s="42" t="s">
        <v>8536</v>
      </c>
      <c r="H277" s="42" t="s">
        <v>3867</v>
      </c>
      <c r="I277" s="42" t="s">
        <v>4199</v>
      </c>
      <c r="J277" s="42" t="s">
        <v>8537</v>
      </c>
      <c r="K277" s="42" t="s">
        <v>8538</v>
      </c>
      <c r="L277" s="42" t="s">
        <v>8539</v>
      </c>
      <c r="M277" s="42" t="s">
        <v>8540</v>
      </c>
      <c r="N277" s="42" t="s">
        <v>4923</v>
      </c>
      <c r="O277" s="42" t="s">
        <v>8541</v>
      </c>
      <c r="P277" s="42"/>
      <c r="R277" s="42" t="s">
        <v>3571</v>
      </c>
      <c r="S277" s="42" t="s">
        <v>4925</v>
      </c>
      <c r="T277" s="42" t="s">
        <v>4926</v>
      </c>
      <c r="U277" s="44" t="s">
        <v>8542</v>
      </c>
      <c r="V277" s="44" t="s">
        <v>8543</v>
      </c>
      <c r="W277" s="41">
        <v>6.0</v>
      </c>
      <c r="X277" s="42" t="s">
        <v>8544</v>
      </c>
      <c r="Y277" s="43"/>
      <c r="Z277" s="43"/>
      <c r="AA277" s="41">
        <v>2016.0</v>
      </c>
      <c r="AB277" s="43"/>
      <c r="AC277" s="43"/>
      <c r="AD277" s="43"/>
      <c r="AE277" s="45"/>
      <c r="AF277" s="45"/>
      <c r="AG277" s="45"/>
      <c r="AH277" s="45"/>
      <c r="AI277" s="45"/>
      <c r="AJ277" s="45"/>
      <c r="AK277" s="45"/>
      <c r="AL277" s="45"/>
      <c r="AM277" s="45"/>
      <c r="AN277" s="45"/>
      <c r="AO277" s="42" t="s">
        <v>8545</v>
      </c>
      <c r="AP277" s="42" t="s">
        <v>8546</v>
      </c>
      <c r="AQ277" s="42" t="s">
        <v>4397</v>
      </c>
      <c r="AR277" s="42" t="s">
        <v>8547</v>
      </c>
      <c r="AS277" s="43" t="str">
        <f>+972 (0)51 562 5135</f>
        <v>#ERROR!</v>
      </c>
      <c r="AT277" s="42" t="s">
        <v>3581</v>
      </c>
      <c r="AU277" s="42" t="s">
        <v>5079</v>
      </c>
      <c r="AV277" s="43"/>
      <c r="AW277" s="42" t="s">
        <v>75</v>
      </c>
      <c r="AX277" s="43"/>
      <c r="AY277" s="45"/>
      <c r="AZ277" s="42" t="s">
        <v>41</v>
      </c>
      <c r="BA277" s="45" t="str">
        <f>+972 (0)51 562 5135</f>
        <v>#ERROR!</v>
      </c>
      <c r="BB277" s="45"/>
      <c r="BC277" s="42" t="s">
        <v>8548</v>
      </c>
      <c r="BD277" s="42" t="s">
        <v>3584</v>
      </c>
      <c r="BE277" s="42" t="s">
        <v>3584</v>
      </c>
      <c r="BF277" s="43"/>
      <c r="BG277" s="43"/>
      <c r="BH277" s="45"/>
      <c r="BI277" s="43"/>
      <c r="BJ277" s="43"/>
      <c r="BK277" s="43"/>
      <c r="BL277" s="43"/>
      <c r="BM277" s="43"/>
      <c r="BN277" s="43"/>
      <c r="BO277" s="43"/>
      <c r="BP277" s="43"/>
      <c r="BQ277" s="45"/>
      <c r="BR277" s="45"/>
      <c r="BS277" s="43"/>
      <c r="BT277" s="45"/>
      <c r="BU277" s="43"/>
      <c r="BV277" s="43"/>
      <c r="BW277" s="43"/>
      <c r="BX277" s="43"/>
      <c r="BY277" s="43"/>
      <c r="BZ277" s="43"/>
      <c r="CA277" s="43"/>
      <c r="CB277" s="45"/>
      <c r="CC277" s="45"/>
      <c r="CD277" s="43"/>
      <c r="CE277" s="45"/>
      <c r="CF277" s="43"/>
      <c r="CG277" s="43"/>
      <c r="CH277" s="43"/>
      <c r="CI277" s="43"/>
      <c r="CJ277" s="43"/>
      <c r="CK277" s="45"/>
      <c r="CL277" s="45"/>
      <c r="CM277" s="43"/>
      <c r="CN277" s="43"/>
      <c r="CO277" s="47">
        <v>0.0</v>
      </c>
      <c r="CP277" s="41">
        <v>14.0</v>
      </c>
      <c r="CQ277" s="47">
        <v>0.0</v>
      </c>
      <c r="CR277" s="47">
        <v>0.0</v>
      </c>
      <c r="CS277" s="47">
        <v>0.0</v>
      </c>
      <c r="CT277" s="41">
        <v>12.0</v>
      </c>
      <c r="CU277" s="45"/>
      <c r="CV277" s="45"/>
      <c r="CW277" s="47">
        <v>0.0</v>
      </c>
      <c r="CX277" s="41">
        <v>12.0</v>
      </c>
      <c r="CY277" s="41" t="s">
        <v>5160</v>
      </c>
      <c r="CZ277" s="41">
        <v>32.0</v>
      </c>
      <c r="DA277" s="41" t="s">
        <v>3598</v>
      </c>
      <c r="DB277" s="47">
        <v>0.0</v>
      </c>
      <c r="DC277" s="41" t="s">
        <v>5160</v>
      </c>
      <c r="DD277" s="41">
        <v>34.0</v>
      </c>
      <c r="DE277" s="45"/>
      <c r="DF277" s="45"/>
      <c r="DG277" s="41" t="s">
        <v>5160</v>
      </c>
      <c r="DH277" s="41">
        <v>31.0</v>
      </c>
      <c r="DI277" s="45"/>
      <c r="DJ277" s="45"/>
      <c r="DK277" s="45"/>
      <c r="DL277" s="41">
        <v>15.0</v>
      </c>
      <c r="DM277" s="41">
        <v>1.0</v>
      </c>
      <c r="DN277" s="47">
        <v>0.0714</v>
      </c>
      <c r="DO277" s="41" t="s">
        <v>3600</v>
      </c>
      <c r="DP277" s="46" t="s">
        <v>8549</v>
      </c>
      <c r="DQ277" s="45"/>
      <c r="DR277" s="45"/>
      <c r="DS277" s="45"/>
      <c r="DT277" s="45"/>
      <c r="DU277" s="45"/>
      <c r="DV277" s="45"/>
      <c r="DW277" s="43"/>
      <c r="DX277" s="45"/>
      <c r="DY277" s="43"/>
      <c r="DZ277" s="45"/>
      <c r="EA277" s="45"/>
      <c r="EB277" s="43"/>
      <c r="EC277" s="45"/>
      <c r="ED277" s="45"/>
      <c r="EE277" s="45"/>
      <c r="EF277" s="45"/>
      <c r="EG277" s="43"/>
      <c r="EH277" s="45"/>
      <c r="EI277" s="45"/>
      <c r="EJ277" s="45"/>
      <c r="EK277" s="43"/>
      <c r="EL277" s="45"/>
      <c r="EM277" s="45"/>
      <c r="EN277" s="45"/>
      <c r="EO277" s="45"/>
      <c r="EP277" s="48" t="s">
        <v>3559</v>
      </c>
    </row>
    <row r="278">
      <c r="A278" s="32">
        <v>5.0</v>
      </c>
      <c r="B278" s="35" t="s">
        <v>8550</v>
      </c>
      <c r="C278" s="34"/>
      <c r="D278" s="34"/>
      <c r="E278" s="35" t="s">
        <v>8551</v>
      </c>
      <c r="F278" s="34"/>
      <c r="G278" s="35" t="s">
        <v>8552</v>
      </c>
      <c r="H278" s="35" t="s">
        <v>3867</v>
      </c>
      <c r="I278" s="35" t="s">
        <v>4199</v>
      </c>
      <c r="J278" s="35" t="s">
        <v>4984</v>
      </c>
      <c r="K278" s="35" t="s">
        <v>4985</v>
      </c>
      <c r="L278" s="35" t="s">
        <v>7441</v>
      </c>
      <c r="M278" s="35" t="s">
        <v>8553</v>
      </c>
      <c r="N278" s="35" t="s">
        <v>5075</v>
      </c>
      <c r="O278" s="35" t="s">
        <v>8554</v>
      </c>
      <c r="P278" s="35"/>
      <c r="R278" s="35" t="s">
        <v>5750</v>
      </c>
      <c r="S278" s="35" t="s">
        <v>5236</v>
      </c>
      <c r="T278" s="35" t="s">
        <v>8555</v>
      </c>
      <c r="U278" s="36" t="s">
        <v>8556</v>
      </c>
      <c r="V278" s="34"/>
      <c r="W278" s="32">
        <v>825.0</v>
      </c>
      <c r="X278" s="35" t="s">
        <v>8557</v>
      </c>
      <c r="Y278" s="35" t="s">
        <v>5417</v>
      </c>
      <c r="Z278" s="35" t="s">
        <v>8558</v>
      </c>
      <c r="AA278" s="32">
        <v>2000.0</v>
      </c>
      <c r="AB278" s="34"/>
      <c r="AC278" s="34"/>
      <c r="AD278" s="34"/>
      <c r="AE278" s="32">
        <v>227.19</v>
      </c>
      <c r="AF278" s="32">
        <v>48.61</v>
      </c>
      <c r="AG278" s="32">
        <v>6.21</v>
      </c>
      <c r="AH278" s="32">
        <v>101.11</v>
      </c>
      <c r="AI278" s="32">
        <v>31.97</v>
      </c>
      <c r="AJ278" s="32">
        <v>9.26</v>
      </c>
      <c r="AK278" s="32">
        <v>56.28</v>
      </c>
      <c r="AL278" s="32">
        <v>52.84</v>
      </c>
      <c r="AM278" s="39">
        <v>-0.0831</v>
      </c>
      <c r="AN278" s="32" t="s">
        <v>5245</v>
      </c>
      <c r="AO278" s="35" t="s">
        <v>8559</v>
      </c>
      <c r="AP278" s="35" t="s">
        <v>8560</v>
      </c>
      <c r="AQ278" s="35" t="s">
        <v>4093</v>
      </c>
      <c r="AR278" s="34"/>
      <c r="AS278" s="35" t="s">
        <v>8561</v>
      </c>
      <c r="AT278" s="35" t="s">
        <v>8562</v>
      </c>
      <c r="AU278" s="35" t="s">
        <v>8563</v>
      </c>
      <c r="AV278" s="34"/>
      <c r="AW278" s="35" t="s">
        <v>1397</v>
      </c>
      <c r="AX278" s="34"/>
      <c r="AY278" s="32">
        <v>8488999.0</v>
      </c>
      <c r="AZ278" s="35" t="s">
        <v>41</v>
      </c>
      <c r="BA278" s="37" t="str">
        <f>+972 (0)8 952 1000</f>
        <v>#ERROR!</v>
      </c>
      <c r="BB278" s="37" t="str">
        <f>+972 (0)8 952 1019</f>
        <v>#ERROR!</v>
      </c>
      <c r="BC278" s="35" t="s">
        <v>8564</v>
      </c>
      <c r="BD278" s="35" t="s">
        <v>3584</v>
      </c>
      <c r="BE278" s="35" t="s">
        <v>3584</v>
      </c>
      <c r="BF278" s="35" t="s">
        <v>8565</v>
      </c>
      <c r="BG278" s="34"/>
      <c r="BH278" s="37"/>
      <c r="BI278" s="34"/>
      <c r="BJ278" s="35" t="s">
        <v>8566</v>
      </c>
      <c r="BK278" s="34"/>
      <c r="BL278" s="34"/>
      <c r="BM278" s="35" t="s">
        <v>8567</v>
      </c>
      <c r="BN278" s="34"/>
      <c r="BO278" s="34"/>
      <c r="BP278" s="34"/>
      <c r="BQ278" s="38" t="s">
        <v>8568</v>
      </c>
      <c r="BR278" s="32">
        <v>5.0</v>
      </c>
      <c r="BS278" s="35" t="s">
        <v>3593</v>
      </c>
      <c r="BT278" s="32">
        <v>22.73</v>
      </c>
      <c r="BU278" s="35" t="s">
        <v>3697</v>
      </c>
      <c r="BV278" s="35" t="s">
        <v>5635</v>
      </c>
      <c r="BW278" s="34"/>
      <c r="BX278" s="34"/>
      <c r="BY278" s="35" t="s">
        <v>4989</v>
      </c>
      <c r="BZ278" s="34"/>
      <c r="CA278" s="35" t="s">
        <v>3591</v>
      </c>
      <c r="CB278" s="38" t="s">
        <v>8233</v>
      </c>
      <c r="CC278" s="37"/>
      <c r="CD278" s="34"/>
      <c r="CE278" s="37"/>
      <c r="CF278" s="34"/>
      <c r="CG278" s="35" t="s">
        <v>3830</v>
      </c>
      <c r="CH278" s="34"/>
      <c r="CI278" s="34"/>
      <c r="CJ278" s="35" t="s">
        <v>3590</v>
      </c>
      <c r="CK278" s="37"/>
      <c r="CL278" s="37"/>
      <c r="CM278" s="34"/>
      <c r="CN278" s="35" t="s">
        <v>3591</v>
      </c>
      <c r="CO278" s="39">
        <v>0.0</v>
      </c>
      <c r="CP278" s="32">
        <v>14.0</v>
      </c>
      <c r="CQ278" s="39">
        <v>0.0</v>
      </c>
      <c r="CR278" s="39">
        <v>0.0</v>
      </c>
      <c r="CS278" s="39">
        <v>0.0</v>
      </c>
      <c r="CT278" s="32">
        <v>12.0</v>
      </c>
      <c r="CU278" s="37"/>
      <c r="CV278" s="37"/>
      <c r="CW278" s="39">
        <v>0.0</v>
      </c>
      <c r="CX278" s="32">
        <v>12.0</v>
      </c>
      <c r="CY278" s="32" t="s">
        <v>8569</v>
      </c>
      <c r="CZ278" s="32">
        <v>70.0</v>
      </c>
      <c r="DA278" s="32" t="s">
        <v>3598</v>
      </c>
      <c r="DB278" s="39">
        <v>0.0</v>
      </c>
      <c r="DC278" s="32" t="s">
        <v>8569</v>
      </c>
      <c r="DD278" s="32">
        <v>72.0</v>
      </c>
      <c r="DE278" s="37"/>
      <c r="DF278" s="37"/>
      <c r="DG278" s="32" t="s">
        <v>8569</v>
      </c>
      <c r="DH278" s="32">
        <v>71.0</v>
      </c>
      <c r="DI278" s="37"/>
      <c r="DJ278" s="37"/>
      <c r="DK278" s="37"/>
      <c r="DL278" s="32">
        <v>58.0</v>
      </c>
      <c r="DM278" s="32">
        <v>2.0</v>
      </c>
      <c r="DN278" s="39">
        <v>0.0357</v>
      </c>
      <c r="DO278" s="32" t="s">
        <v>3600</v>
      </c>
      <c r="DP278" s="38" t="s">
        <v>4664</v>
      </c>
      <c r="DQ278" s="32">
        <v>1.0</v>
      </c>
      <c r="DR278" s="32">
        <v>1.0</v>
      </c>
      <c r="DS278" s="37"/>
      <c r="DT278" s="37"/>
      <c r="DU278" s="37"/>
      <c r="DV278" s="32">
        <v>1.0</v>
      </c>
      <c r="DW278" s="34"/>
      <c r="DX278" s="37"/>
      <c r="DY278" s="34"/>
      <c r="DZ278" s="37"/>
      <c r="EA278" s="37"/>
      <c r="EB278" s="34"/>
      <c r="EC278" s="37"/>
      <c r="ED278" s="37"/>
      <c r="EE278" s="32">
        <v>22.73</v>
      </c>
      <c r="EF278" s="38" t="s">
        <v>8568</v>
      </c>
      <c r="EG278" s="35" t="s">
        <v>5635</v>
      </c>
      <c r="EH278" s="37"/>
      <c r="EI278" s="37"/>
      <c r="EJ278" s="37"/>
      <c r="EK278" s="34"/>
      <c r="EL278" s="37"/>
      <c r="EM278" s="37"/>
      <c r="EN278" s="37"/>
      <c r="EO278" s="37"/>
      <c r="EP278" s="40" t="s">
        <v>3559</v>
      </c>
    </row>
    <row r="279">
      <c r="A279" s="45"/>
      <c r="B279" s="42" t="s">
        <v>8570</v>
      </c>
      <c r="C279" s="43"/>
      <c r="D279" s="43"/>
      <c r="E279" s="43"/>
      <c r="F279" s="43"/>
      <c r="G279" s="42" t="s">
        <v>8571</v>
      </c>
      <c r="H279" s="42" t="s">
        <v>4560</v>
      </c>
      <c r="I279" s="42" t="s">
        <v>6034</v>
      </c>
      <c r="J279" s="42" t="s">
        <v>6035</v>
      </c>
      <c r="K279" s="42" t="s">
        <v>8572</v>
      </c>
      <c r="L279" s="42" t="s">
        <v>8573</v>
      </c>
      <c r="M279" s="42" t="s">
        <v>8574</v>
      </c>
      <c r="N279" s="42" t="s">
        <v>3569</v>
      </c>
      <c r="O279" s="42" t="s">
        <v>8575</v>
      </c>
      <c r="P279" s="42"/>
      <c r="R279" s="42" t="s">
        <v>3571</v>
      </c>
      <c r="S279" s="42" t="s">
        <v>3572</v>
      </c>
      <c r="T279" s="42" t="s">
        <v>3573</v>
      </c>
      <c r="U279" s="44" t="s">
        <v>8576</v>
      </c>
      <c r="V279" s="44" t="s">
        <v>8577</v>
      </c>
      <c r="W279" s="41">
        <v>2.0</v>
      </c>
      <c r="X279" s="42" t="s">
        <v>5455</v>
      </c>
      <c r="Y279" s="43"/>
      <c r="Z279" s="43"/>
      <c r="AA279" s="41">
        <v>2019.0</v>
      </c>
      <c r="AB279" s="43"/>
      <c r="AC279" s="43"/>
      <c r="AD279" s="43"/>
      <c r="AE279" s="45"/>
      <c r="AF279" s="45"/>
      <c r="AG279" s="45"/>
      <c r="AH279" s="45"/>
      <c r="AI279" s="45"/>
      <c r="AJ279" s="45"/>
      <c r="AK279" s="45"/>
      <c r="AL279" s="45"/>
      <c r="AM279" s="45"/>
      <c r="AN279" s="45"/>
      <c r="AO279" s="42" t="s">
        <v>8578</v>
      </c>
      <c r="AP279" s="42" t="s">
        <v>8579</v>
      </c>
      <c r="AQ279" s="42" t="s">
        <v>3579</v>
      </c>
      <c r="AR279" s="43"/>
      <c r="AS279" s="43"/>
      <c r="AT279" s="42" t="s">
        <v>8580</v>
      </c>
      <c r="AU279" s="42" t="s">
        <v>8581</v>
      </c>
      <c r="AV279" s="43"/>
      <c r="AW279" s="42" t="s">
        <v>8582</v>
      </c>
      <c r="AX279" s="43"/>
      <c r="AY279" s="45"/>
      <c r="AZ279" s="42" t="s">
        <v>41</v>
      </c>
      <c r="BA279" s="45"/>
      <c r="BB279" s="45"/>
      <c r="BC279" s="42" t="s">
        <v>8583</v>
      </c>
      <c r="BD279" s="42" t="s">
        <v>3584</v>
      </c>
      <c r="BE279" s="42" t="s">
        <v>3584</v>
      </c>
      <c r="BF279" s="42" t="s">
        <v>8584</v>
      </c>
      <c r="BG279" s="42" t="s">
        <v>8585</v>
      </c>
      <c r="BH279" s="41">
        <v>2.0</v>
      </c>
      <c r="BI279" s="43"/>
      <c r="BJ279" s="43"/>
      <c r="BK279" s="43"/>
      <c r="BL279" s="42" t="s">
        <v>8586</v>
      </c>
      <c r="BM279" s="43"/>
      <c r="BN279" s="43"/>
      <c r="BO279" s="43"/>
      <c r="BP279" s="43"/>
      <c r="BQ279" s="46" t="s">
        <v>8587</v>
      </c>
      <c r="BR279" s="45"/>
      <c r="BS279" s="43"/>
      <c r="BT279" s="45"/>
      <c r="BU279" s="43"/>
      <c r="BV279" s="42" t="s">
        <v>3698</v>
      </c>
      <c r="BW279" s="42" t="s">
        <v>3698</v>
      </c>
      <c r="BX279" s="43"/>
      <c r="BY279" s="42" t="s">
        <v>3573</v>
      </c>
      <c r="BZ279" s="43"/>
      <c r="CA279" s="42" t="s">
        <v>3591</v>
      </c>
      <c r="CB279" s="46" t="s">
        <v>8587</v>
      </c>
      <c r="CC279" s="45"/>
      <c r="CD279" s="43"/>
      <c r="CE279" s="45"/>
      <c r="CF279" s="43"/>
      <c r="CG279" s="42" t="s">
        <v>3698</v>
      </c>
      <c r="CH279" s="42" t="s">
        <v>3698</v>
      </c>
      <c r="CI279" s="43"/>
      <c r="CJ279" s="42" t="s">
        <v>3573</v>
      </c>
      <c r="CK279" s="45"/>
      <c r="CL279" s="45"/>
      <c r="CM279" s="43"/>
      <c r="CN279" s="42" t="s">
        <v>3591</v>
      </c>
      <c r="CO279" s="45"/>
      <c r="CP279" s="45"/>
      <c r="CQ279" s="45"/>
      <c r="CR279" s="45"/>
      <c r="CS279" s="45"/>
      <c r="CT279" s="45"/>
      <c r="CU279" s="45"/>
      <c r="CV279" s="45"/>
      <c r="CW279" s="45"/>
      <c r="CX279" s="45"/>
      <c r="CY279" s="45"/>
      <c r="CZ279" s="45"/>
      <c r="DA279" s="45"/>
      <c r="DB279" s="45"/>
      <c r="DC279" s="45"/>
      <c r="DD279" s="45"/>
      <c r="DE279" s="45"/>
      <c r="DF279" s="45"/>
      <c r="DG279" s="45"/>
      <c r="DH279" s="45"/>
      <c r="DI279" s="45"/>
      <c r="DJ279" s="45"/>
      <c r="DK279" s="45"/>
      <c r="DL279" s="45"/>
      <c r="DM279" s="45"/>
      <c r="DN279" s="45"/>
      <c r="DO279" s="41" t="s">
        <v>3600</v>
      </c>
      <c r="DP279" s="46" t="s">
        <v>4020</v>
      </c>
      <c r="DQ279" s="45"/>
      <c r="DR279" s="45"/>
      <c r="DS279" s="45"/>
      <c r="DT279" s="45"/>
      <c r="DU279" s="45"/>
      <c r="DV279" s="45"/>
      <c r="DW279" s="43"/>
      <c r="DX279" s="45"/>
      <c r="DY279" s="43"/>
      <c r="DZ279" s="45"/>
      <c r="EA279" s="45"/>
      <c r="EB279" s="43"/>
      <c r="EC279" s="45"/>
      <c r="ED279" s="45"/>
      <c r="EE279" s="45"/>
      <c r="EF279" s="45"/>
      <c r="EG279" s="43"/>
      <c r="EH279" s="45"/>
      <c r="EI279" s="45"/>
      <c r="EJ279" s="45"/>
      <c r="EK279" s="43"/>
      <c r="EL279" s="45"/>
      <c r="EM279" s="45"/>
      <c r="EN279" s="45"/>
      <c r="EO279" s="45"/>
      <c r="EP279" s="48" t="s">
        <v>3559</v>
      </c>
    </row>
    <row r="280">
      <c r="A280" s="32">
        <v>702.4</v>
      </c>
      <c r="B280" s="35" t="s">
        <v>8588</v>
      </c>
      <c r="C280" s="35" t="s">
        <v>8589</v>
      </c>
      <c r="D280" s="34"/>
      <c r="E280" s="35" t="s">
        <v>8590</v>
      </c>
      <c r="F280" s="35" t="s">
        <v>8591</v>
      </c>
      <c r="G280" s="35" t="s">
        <v>8592</v>
      </c>
      <c r="H280" s="35" t="s">
        <v>3867</v>
      </c>
      <c r="I280" s="35" t="s">
        <v>3868</v>
      </c>
      <c r="J280" s="35" t="s">
        <v>3869</v>
      </c>
      <c r="K280" s="35" t="s">
        <v>4024</v>
      </c>
      <c r="L280" s="35" t="s">
        <v>8593</v>
      </c>
      <c r="M280" s="35" t="s">
        <v>8594</v>
      </c>
      <c r="N280" s="35" t="s">
        <v>5018</v>
      </c>
      <c r="O280" s="35" t="s">
        <v>8595</v>
      </c>
      <c r="P280" s="35"/>
      <c r="R280" s="35" t="s">
        <v>5412</v>
      </c>
      <c r="S280" s="35" t="s">
        <v>5236</v>
      </c>
      <c r="T280" s="35" t="s">
        <v>6680</v>
      </c>
      <c r="U280" s="36" t="s">
        <v>8596</v>
      </c>
      <c r="V280" s="36" t="s">
        <v>8597</v>
      </c>
      <c r="W280" s="32">
        <v>211.0</v>
      </c>
      <c r="X280" s="35" t="s">
        <v>8598</v>
      </c>
      <c r="Y280" s="35" t="s">
        <v>5241</v>
      </c>
      <c r="Z280" s="35" t="s">
        <v>8599</v>
      </c>
      <c r="AA280" s="32">
        <v>2011.0</v>
      </c>
      <c r="AB280" s="34"/>
      <c r="AC280" s="34"/>
      <c r="AD280" s="35" t="s">
        <v>8600</v>
      </c>
      <c r="AE280" s="32">
        <v>0.21</v>
      </c>
      <c r="AF280" s="32">
        <v>-16.52</v>
      </c>
      <c r="AG280" s="32">
        <v>-100.1</v>
      </c>
      <c r="AH280" s="32">
        <v>-4.81</v>
      </c>
      <c r="AI280" s="32">
        <v>-99.02</v>
      </c>
      <c r="AJ280" s="32">
        <v>-102.59</v>
      </c>
      <c r="AK280" s="32">
        <v>17.74</v>
      </c>
      <c r="AL280" s="32">
        <v>-16.65</v>
      </c>
      <c r="AM280" s="39">
        <v>-0.7491</v>
      </c>
      <c r="AN280" s="32" t="s">
        <v>5419</v>
      </c>
      <c r="AO280" s="35" t="s">
        <v>8601</v>
      </c>
      <c r="AP280" s="35" t="s">
        <v>8602</v>
      </c>
      <c r="AQ280" s="35" t="s">
        <v>8603</v>
      </c>
      <c r="AR280" s="35" t="s">
        <v>1160</v>
      </c>
      <c r="AS280" s="34"/>
      <c r="AT280" s="35" t="s">
        <v>3581</v>
      </c>
      <c r="AU280" s="35" t="s">
        <v>8604</v>
      </c>
      <c r="AV280" s="34"/>
      <c r="AW280" s="35" t="s">
        <v>75</v>
      </c>
      <c r="AX280" s="34"/>
      <c r="AY280" s="32">
        <v>4690500.0</v>
      </c>
      <c r="AZ280" s="35" t="s">
        <v>41</v>
      </c>
      <c r="BA280" s="37"/>
      <c r="BB280" s="37"/>
      <c r="BC280" s="35" t="s">
        <v>1163</v>
      </c>
      <c r="BD280" s="35" t="s">
        <v>3584</v>
      </c>
      <c r="BE280" s="35" t="s">
        <v>3584</v>
      </c>
      <c r="BF280" s="35" t="s">
        <v>8605</v>
      </c>
      <c r="BG280" s="35" t="s">
        <v>8606</v>
      </c>
      <c r="BH280" s="32">
        <v>1.0</v>
      </c>
      <c r="BI280" s="34"/>
      <c r="BJ280" s="35" t="s">
        <v>8607</v>
      </c>
      <c r="BK280" s="34"/>
      <c r="BL280" s="35" t="s">
        <v>8608</v>
      </c>
      <c r="BM280" s="35" t="s">
        <v>8609</v>
      </c>
      <c r="BN280" s="34"/>
      <c r="BO280" s="34"/>
      <c r="BP280" s="35" t="s">
        <v>8610</v>
      </c>
      <c r="BQ280" s="38" t="s">
        <v>8611</v>
      </c>
      <c r="BR280" s="37"/>
      <c r="BS280" s="34"/>
      <c r="BT280" s="37"/>
      <c r="BU280" s="34"/>
      <c r="BV280" s="35" t="s">
        <v>3589</v>
      </c>
      <c r="BW280" s="34"/>
      <c r="BX280" s="34"/>
      <c r="BY280" s="35" t="s">
        <v>3590</v>
      </c>
      <c r="BZ280" s="34"/>
      <c r="CA280" s="35" t="s">
        <v>3591</v>
      </c>
      <c r="CB280" s="38" t="s">
        <v>3887</v>
      </c>
      <c r="CC280" s="32">
        <v>27.1</v>
      </c>
      <c r="CD280" s="35" t="s">
        <v>3697</v>
      </c>
      <c r="CE280" s="37"/>
      <c r="CF280" s="34"/>
      <c r="CG280" s="35" t="s">
        <v>5257</v>
      </c>
      <c r="CH280" s="34"/>
      <c r="CI280" s="34"/>
      <c r="CJ280" s="35" t="s">
        <v>4989</v>
      </c>
      <c r="CK280" s="38" t="s">
        <v>8612</v>
      </c>
      <c r="CL280" s="32">
        <v>11.89</v>
      </c>
      <c r="CM280" s="34"/>
      <c r="CN280" s="35" t="s">
        <v>3591</v>
      </c>
      <c r="CO280" s="39">
        <v>0.0047</v>
      </c>
      <c r="CP280" s="32">
        <v>92.0</v>
      </c>
      <c r="CQ280" s="39">
        <v>8.0E-4</v>
      </c>
      <c r="CR280" s="39">
        <v>0.1977</v>
      </c>
      <c r="CS280" s="39">
        <v>0.0047</v>
      </c>
      <c r="CT280" s="32">
        <v>94.0</v>
      </c>
      <c r="CU280" s="37"/>
      <c r="CV280" s="37"/>
      <c r="CW280" s="39">
        <v>0.0047</v>
      </c>
      <c r="CX280" s="32">
        <v>93.0</v>
      </c>
      <c r="CY280" s="32" t="s">
        <v>8613</v>
      </c>
      <c r="CZ280" s="32">
        <v>97.0</v>
      </c>
      <c r="DA280" s="32" t="s">
        <v>4157</v>
      </c>
      <c r="DB280" s="39">
        <v>0.0015</v>
      </c>
      <c r="DC280" s="32" t="s">
        <v>8613</v>
      </c>
      <c r="DD280" s="32">
        <v>97.0</v>
      </c>
      <c r="DE280" s="37"/>
      <c r="DF280" s="37"/>
      <c r="DG280" s="32" t="s">
        <v>8613</v>
      </c>
      <c r="DH280" s="32">
        <v>98.0</v>
      </c>
      <c r="DI280" s="49">
        <v>1208.0</v>
      </c>
      <c r="DJ280" s="32">
        <v>-127.0</v>
      </c>
      <c r="DK280" s="39">
        <v>-0.0951</v>
      </c>
      <c r="DL280" s="32">
        <v>659.0</v>
      </c>
      <c r="DM280" s="32">
        <v>3.0</v>
      </c>
      <c r="DN280" s="39">
        <v>0.0046</v>
      </c>
      <c r="DO280" s="32" t="s">
        <v>3600</v>
      </c>
      <c r="DP280" s="38" t="s">
        <v>4774</v>
      </c>
      <c r="DQ280" s="32">
        <v>323.0</v>
      </c>
      <c r="DR280" s="32">
        <v>70.0</v>
      </c>
      <c r="DS280" s="32">
        <v>169.0</v>
      </c>
      <c r="DT280" s="32">
        <v>82.0</v>
      </c>
      <c r="DU280" s="32">
        <v>10.0</v>
      </c>
      <c r="DV280" s="32">
        <v>72.0</v>
      </c>
      <c r="DW280" s="35" t="s">
        <v>8614</v>
      </c>
      <c r="DX280" s="37"/>
      <c r="DY280" s="34"/>
      <c r="DZ280" s="37"/>
      <c r="EA280" s="37"/>
      <c r="EB280" s="34"/>
      <c r="EC280" s="37"/>
      <c r="ED280" s="37"/>
      <c r="EE280" s="32">
        <v>136.36</v>
      </c>
      <c r="EF280" s="38" t="s">
        <v>8615</v>
      </c>
      <c r="EG280" s="35" t="s">
        <v>5257</v>
      </c>
      <c r="EH280" s="37"/>
      <c r="EI280" s="37"/>
      <c r="EJ280" s="37"/>
      <c r="EK280" s="34"/>
      <c r="EL280" s="37"/>
      <c r="EM280" s="37"/>
      <c r="EN280" s="37"/>
      <c r="EO280" s="32">
        <v>2.37</v>
      </c>
      <c r="EP280" s="40" t="s">
        <v>3559</v>
      </c>
    </row>
    <row r="281">
      <c r="A281" s="45"/>
      <c r="B281" s="42" t="s">
        <v>8616</v>
      </c>
      <c r="C281" s="42" t="s">
        <v>8617</v>
      </c>
      <c r="D281" s="43"/>
      <c r="E281" s="42" t="s">
        <v>8618</v>
      </c>
      <c r="F281" s="42" t="s">
        <v>8619</v>
      </c>
      <c r="G281" s="42" t="s">
        <v>8620</v>
      </c>
      <c r="H281" s="42" t="s">
        <v>3867</v>
      </c>
      <c r="I281" s="42" t="s">
        <v>7065</v>
      </c>
      <c r="J281" s="42" t="s">
        <v>7065</v>
      </c>
      <c r="K281" s="42" t="s">
        <v>8621</v>
      </c>
      <c r="L281" s="42" t="s">
        <v>8622</v>
      </c>
      <c r="M281" s="42" t="s">
        <v>8623</v>
      </c>
      <c r="N281" s="42" t="s">
        <v>5145</v>
      </c>
      <c r="O281" s="42" t="s">
        <v>8624</v>
      </c>
      <c r="P281" s="42"/>
      <c r="R281" s="42" t="s">
        <v>3571</v>
      </c>
      <c r="S281" s="42" t="s">
        <v>3572</v>
      </c>
      <c r="T281" s="42" t="s">
        <v>8625</v>
      </c>
      <c r="U281" s="44" t="s">
        <v>8626</v>
      </c>
      <c r="V281" s="44" t="s">
        <v>8627</v>
      </c>
      <c r="W281" s="41">
        <v>25.0</v>
      </c>
      <c r="X281" s="42" t="s">
        <v>8628</v>
      </c>
      <c r="Y281" s="43"/>
      <c r="Z281" s="43"/>
      <c r="AA281" s="41">
        <v>2017.0</v>
      </c>
      <c r="AB281" s="43"/>
      <c r="AC281" s="43"/>
      <c r="AD281" s="42" t="s">
        <v>8629</v>
      </c>
      <c r="AE281" s="45"/>
      <c r="AF281" s="45"/>
      <c r="AG281" s="45"/>
      <c r="AH281" s="45"/>
      <c r="AI281" s="45"/>
      <c r="AJ281" s="45"/>
      <c r="AK281" s="45"/>
      <c r="AL281" s="45"/>
      <c r="AM281" s="45"/>
      <c r="AN281" s="45"/>
      <c r="AO281" s="42" t="s">
        <v>8630</v>
      </c>
      <c r="AP281" s="42" t="s">
        <v>8631</v>
      </c>
      <c r="AQ281" s="42" t="s">
        <v>8632</v>
      </c>
      <c r="AR281" s="42" t="s">
        <v>8633</v>
      </c>
      <c r="AS281" s="43" t="str">
        <f>+972 (0)54 754 3322</f>
        <v>#ERROR!</v>
      </c>
      <c r="AT281" s="42" t="s">
        <v>3581</v>
      </c>
      <c r="AU281" s="43"/>
      <c r="AV281" s="43"/>
      <c r="AW281" s="42" t="s">
        <v>75</v>
      </c>
      <c r="AX281" s="43"/>
      <c r="AY281" s="45"/>
      <c r="AZ281" s="42" t="s">
        <v>41</v>
      </c>
      <c r="BA281" s="45"/>
      <c r="BB281" s="45"/>
      <c r="BC281" s="42" t="s">
        <v>8634</v>
      </c>
      <c r="BD281" s="42" t="s">
        <v>3584</v>
      </c>
      <c r="BE281" s="42" t="s">
        <v>3584</v>
      </c>
      <c r="BF281" s="42" t="s">
        <v>8635</v>
      </c>
      <c r="BG281" s="42" t="s">
        <v>8636</v>
      </c>
      <c r="BH281" s="41">
        <v>1.0</v>
      </c>
      <c r="BI281" s="43"/>
      <c r="BJ281" s="43"/>
      <c r="BK281" s="43"/>
      <c r="BL281" s="42" t="s">
        <v>8637</v>
      </c>
      <c r="BM281" s="43"/>
      <c r="BN281" s="43"/>
      <c r="BO281" s="43"/>
      <c r="BP281" s="43"/>
      <c r="BQ281" s="45"/>
      <c r="BR281" s="45"/>
      <c r="BS281" s="43"/>
      <c r="BT281" s="45"/>
      <c r="BU281" s="43"/>
      <c r="BV281" s="42" t="s">
        <v>3589</v>
      </c>
      <c r="BW281" s="43"/>
      <c r="BX281" s="43"/>
      <c r="BY281" s="42" t="s">
        <v>3590</v>
      </c>
      <c r="BZ281" s="43"/>
      <c r="CA281" s="42" t="s">
        <v>3591</v>
      </c>
      <c r="CB281" s="45"/>
      <c r="CC281" s="45"/>
      <c r="CD281" s="43"/>
      <c r="CE281" s="45"/>
      <c r="CF281" s="43"/>
      <c r="CG281" s="42" t="s">
        <v>3669</v>
      </c>
      <c r="CH281" s="43"/>
      <c r="CI281" s="43"/>
      <c r="CJ281" s="42" t="s">
        <v>3573</v>
      </c>
      <c r="CK281" s="45"/>
      <c r="CL281" s="45"/>
      <c r="CM281" s="43"/>
      <c r="CN281" s="42" t="s">
        <v>3966</v>
      </c>
      <c r="CO281" s="47">
        <v>0.0</v>
      </c>
      <c r="CP281" s="41">
        <v>14.0</v>
      </c>
      <c r="CQ281" s="47">
        <v>0.0</v>
      </c>
      <c r="CR281" s="47">
        <v>0.0</v>
      </c>
      <c r="CS281" s="45"/>
      <c r="CT281" s="45"/>
      <c r="CU281" s="45"/>
      <c r="CV281" s="45"/>
      <c r="CW281" s="45"/>
      <c r="CX281" s="45"/>
      <c r="CY281" s="41" t="s">
        <v>8638</v>
      </c>
      <c r="CZ281" s="41">
        <v>73.0</v>
      </c>
      <c r="DA281" s="41" t="s">
        <v>3598</v>
      </c>
      <c r="DB281" s="47">
        <v>0.0</v>
      </c>
      <c r="DC281" s="45"/>
      <c r="DD281" s="45"/>
      <c r="DE281" s="45"/>
      <c r="DF281" s="45"/>
      <c r="DG281" s="45"/>
      <c r="DH281" s="45"/>
      <c r="DI281" s="45"/>
      <c r="DJ281" s="45"/>
      <c r="DK281" s="45"/>
      <c r="DL281" s="45"/>
      <c r="DM281" s="45"/>
      <c r="DN281" s="45"/>
      <c r="DO281" s="41" t="s">
        <v>3600</v>
      </c>
      <c r="DP281" s="46" t="s">
        <v>4623</v>
      </c>
      <c r="DQ281" s="45"/>
      <c r="DR281" s="45"/>
      <c r="DS281" s="45"/>
      <c r="DT281" s="45"/>
      <c r="DU281" s="45"/>
      <c r="DV281" s="45"/>
      <c r="DW281" s="43"/>
      <c r="DX281" s="45"/>
      <c r="DY281" s="43"/>
      <c r="DZ281" s="45"/>
      <c r="EA281" s="45"/>
      <c r="EB281" s="43"/>
      <c r="EC281" s="45"/>
      <c r="ED281" s="45"/>
      <c r="EE281" s="45"/>
      <c r="EF281" s="45"/>
      <c r="EG281" s="43"/>
      <c r="EH281" s="45"/>
      <c r="EI281" s="45"/>
      <c r="EJ281" s="45"/>
      <c r="EK281" s="43"/>
      <c r="EL281" s="45"/>
      <c r="EM281" s="45"/>
      <c r="EN281" s="45"/>
      <c r="EO281" s="45"/>
      <c r="EP281" s="48" t="s">
        <v>3559</v>
      </c>
    </row>
    <row r="282">
      <c r="A282" s="32">
        <v>0.0</v>
      </c>
      <c r="B282" s="35" t="s">
        <v>8639</v>
      </c>
      <c r="C282" s="34"/>
      <c r="D282" s="34"/>
      <c r="E282" s="35" t="s">
        <v>8640</v>
      </c>
      <c r="F282" s="34"/>
      <c r="G282" s="35" t="s">
        <v>8641</v>
      </c>
      <c r="H282" s="35" t="s">
        <v>4560</v>
      </c>
      <c r="I282" s="35" t="s">
        <v>4561</v>
      </c>
      <c r="J282" s="35" t="s">
        <v>66</v>
      </c>
      <c r="K282" s="35" t="s">
        <v>8642</v>
      </c>
      <c r="L282" s="35" t="s">
        <v>6390</v>
      </c>
      <c r="M282" s="35" t="s">
        <v>8643</v>
      </c>
      <c r="N282" s="35" t="s">
        <v>5145</v>
      </c>
      <c r="O282" s="35" t="s">
        <v>8644</v>
      </c>
      <c r="P282" s="35"/>
      <c r="R282" s="35" t="s">
        <v>3571</v>
      </c>
      <c r="S282" s="35" t="s">
        <v>3572</v>
      </c>
      <c r="T282" s="35" t="s">
        <v>8645</v>
      </c>
      <c r="U282" s="36" t="s">
        <v>8646</v>
      </c>
      <c r="V282" s="36" t="s">
        <v>8647</v>
      </c>
      <c r="W282" s="37"/>
      <c r="X282" s="34"/>
      <c r="Y282" s="34"/>
      <c r="Z282" s="34"/>
      <c r="AA282" s="32">
        <v>2021.0</v>
      </c>
      <c r="AB282" s="34"/>
      <c r="AC282" s="34"/>
      <c r="AD282" s="34"/>
      <c r="AE282" s="37"/>
      <c r="AF282" s="37"/>
      <c r="AG282" s="37"/>
      <c r="AH282" s="37"/>
      <c r="AI282" s="37"/>
      <c r="AJ282" s="37"/>
      <c r="AK282" s="37"/>
      <c r="AL282" s="37"/>
      <c r="AM282" s="37"/>
      <c r="AN282" s="37"/>
      <c r="AO282" s="35" t="s">
        <v>8648</v>
      </c>
      <c r="AP282" s="35" t="s">
        <v>2629</v>
      </c>
      <c r="AQ282" s="35" t="s">
        <v>4397</v>
      </c>
      <c r="AR282" s="34"/>
      <c r="AS282" s="34" t="str">
        <f>+972 (0)54 473 0027</f>
        <v>#ERROR!</v>
      </c>
      <c r="AT282" s="35" t="s">
        <v>7890</v>
      </c>
      <c r="AU282" s="35" t="s">
        <v>8649</v>
      </c>
      <c r="AV282" s="34"/>
      <c r="AW282" s="35" t="s">
        <v>7892</v>
      </c>
      <c r="AX282" s="34"/>
      <c r="AY282" s="37"/>
      <c r="AZ282" s="35" t="s">
        <v>41</v>
      </c>
      <c r="BA282" s="37" t="str">
        <f>+972 (0)54 473 0027</f>
        <v>#ERROR!</v>
      </c>
      <c r="BB282" s="37"/>
      <c r="BC282" s="35" t="s">
        <v>3074</v>
      </c>
      <c r="BD282" s="35" t="s">
        <v>3584</v>
      </c>
      <c r="BE282" s="35" t="s">
        <v>3584</v>
      </c>
      <c r="BF282" s="35" t="s">
        <v>8650</v>
      </c>
      <c r="BG282" s="35" t="s">
        <v>8651</v>
      </c>
      <c r="BH282" s="32">
        <v>3.0</v>
      </c>
      <c r="BI282" s="34"/>
      <c r="BJ282" s="34"/>
      <c r="BK282" s="34"/>
      <c r="BL282" s="35" t="s">
        <v>8652</v>
      </c>
      <c r="BM282" s="34"/>
      <c r="BN282" s="34"/>
      <c r="BO282" s="34"/>
      <c r="BP282" s="34"/>
      <c r="BQ282" s="38" t="s">
        <v>8653</v>
      </c>
      <c r="BR282" s="37"/>
      <c r="BS282" s="34"/>
      <c r="BT282" s="37"/>
      <c r="BU282" s="34"/>
      <c r="BV282" s="35" t="s">
        <v>6093</v>
      </c>
      <c r="BW282" s="34"/>
      <c r="BX282" s="34"/>
      <c r="BY282" s="35" t="s">
        <v>3663</v>
      </c>
      <c r="BZ282" s="34"/>
      <c r="CA282" s="35" t="s">
        <v>3591</v>
      </c>
      <c r="CB282" s="38" t="s">
        <v>3991</v>
      </c>
      <c r="CC282" s="32">
        <v>0.01</v>
      </c>
      <c r="CD282" s="35" t="s">
        <v>3593</v>
      </c>
      <c r="CE282" s="37"/>
      <c r="CF282" s="34"/>
      <c r="CG282" s="35" t="s">
        <v>3589</v>
      </c>
      <c r="CH282" s="34"/>
      <c r="CI282" s="34"/>
      <c r="CJ282" s="35" t="s">
        <v>3590</v>
      </c>
      <c r="CK282" s="37"/>
      <c r="CL282" s="37"/>
      <c r="CM282" s="34"/>
      <c r="CN282" s="35" t="s">
        <v>3591</v>
      </c>
      <c r="CO282" s="39">
        <v>0.0</v>
      </c>
      <c r="CP282" s="32">
        <v>14.0</v>
      </c>
      <c r="CQ282" s="39">
        <v>0.0</v>
      </c>
      <c r="CR282" s="39">
        <v>0.0</v>
      </c>
      <c r="CS282" s="39">
        <v>0.0</v>
      </c>
      <c r="CT282" s="32">
        <v>12.0</v>
      </c>
      <c r="CU282" s="39">
        <v>0.0</v>
      </c>
      <c r="CV282" s="32">
        <v>10.0</v>
      </c>
      <c r="CW282" s="39">
        <v>0.0</v>
      </c>
      <c r="CX282" s="32">
        <v>12.0</v>
      </c>
      <c r="CY282" s="32" t="s">
        <v>6752</v>
      </c>
      <c r="CZ282" s="32">
        <v>15.0</v>
      </c>
      <c r="DA282" s="32" t="s">
        <v>3598</v>
      </c>
      <c r="DB282" s="39">
        <v>0.0</v>
      </c>
      <c r="DC282" s="32" t="s">
        <v>6752</v>
      </c>
      <c r="DD282" s="32">
        <v>17.0</v>
      </c>
      <c r="DE282" s="32" t="s">
        <v>3598</v>
      </c>
      <c r="DF282" s="32">
        <v>1.0</v>
      </c>
      <c r="DG282" s="32" t="s">
        <v>5065</v>
      </c>
      <c r="DH282" s="32">
        <v>40.0</v>
      </c>
      <c r="DI282" s="32">
        <v>0.0</v>
      </c>
      <c r="DJ282" s="32">
        <v>0.0</v>
      </c>
      <c r="DK282" s="39">
        <v>0.0</v>
      </c>
      <c r="DL282" s="32">
        <v>18.0</v>
      </c>
      <c r="DM282" s="32">
        <v>1.0</v>
      </c>
      <c r="DN282" s="39">
        <v>0.0588</v>
      </c>
      <c r="DO282" s="32" t="s">
        <v>3600</v>
      </c>
      <c r="DP282" s="38" t="s">
        <v>8654</v>
      </c>
      <c r="DQ282" s="37"/>
      <c r="DR282" s="37"/>
      <c r="DS282" s="37"/>
      <c r="DT282" s="37"/>
      <c r="DU282" s="37"/>
      <c r="DV282" s="37"/>
      <c r="DW282" s="34"/>
      <c r="DX282" s="37"/>
      <c r="DY282" s="34"/>
      <c r="DZ282" s="37"/>
      <c r="EA282" s="37"/>
      <c r="EB282" s="34"/>
      <c r="EC282" s="37"/>
      <c r="ED282" s="37"/>
      <c r="EE282" s="37"/>
      <c r="EF282" s="37"/>
      <c r="EG282" s="34"/>
      <c r="EH282" s="37"/>
      <c r="EI282" s="37"/>
      <c r="EJ282" s="37"/>
      <c r="EK282" s="34"/>
      <c r="EL282" s="37"/>
      <c r="EM282" s="37"/>
      <c r="EN282" s="37"/>
      <c r="EO282" s="37"/>
      <c r="EP282" s="40" t="s">
        <v>3559</v>
      </c>
    </row>
    <row r="283">
      <c r="A283" s="45"/>
      <c r="B283" s="42" t="s">
        <v>8655</v>
      </c>
      <c r="C283" s="43"/>
      <c r="D283" s="43"/>
      <c r="E283" s="43"/>
      <c r="F283" s="43"/>
      <c r="G283" s="42" t="s">
        <v>8656</v>
      </c>
      <c r="H283" s="42" t="s">
        <v>4560</v>
      </c>
      <c r="I283" s="42" t="s">
        <v>4561</v>
      </c>
      <c r="J283" s="42" t="s">
        <v>66</v>
      </c>
      <c r="K283" s="42" t="s">
        <v>4562</v>
      </c>
      <c r="L283" s="42" t="s">
        <v>6601</v>
      </c>
      <c r="M283" s="42" t="s">
        <v>8657</v>
      </c>
      <c r="N283" s="42" t="s">
        <v>4923</v>
      </c>
      <c r="O283" s="42" t="s">
        <v>8658</v>
      </c>
      <c r="P283" s="42"/>
      <c r="R283" s="42" t="s">
        <v>5222</v>
      </c>
      <c r="S283" s="42" t="s">
        <v>5222</v>
      </c>
      <c r="T283" s="42" t="s">
        <v>4926</v>
      </c>
      <c r="U283" s="44" t="s">
        <v>8659</v>
      </c>
      <c r="V283" s="43"/>
      <c r="W283" s="45"/>
      <c r="X283" s="43"/>
      <c r="Y283" s="43"/>
      <c r="Z283" s="43"/>
      <c r="AA283" s="41">
        <v>2020.0</v>
      </c>
      <c r="AB283" s="43"/>
      <c r="AC283" s="43"/>
      <c r="AD283" s="43"/>
      <c r="AE283" s="45"/>
      <c r="AF283" s="45"/>
      <c r="AG283" s="45"/>
      <c r="AH283" s="45"/>
      <c r="AI283" s="45"/>
      <c r="AJ283" s="45"/>
      <c r="AK283" s="45"/>
      <c r="AL283" s="45"/>
      <c r="AM283" s="45"/>
      <c r="AN283" s="45"/>
      <c r="AO283" s="43"/>
      <c r="AP283" s="43"/>
      <c r="AQ283" s="43"/>
      <c r="AR283" s="43"/>
      <c r="AS283" s="43"/>
      <c r="AT283" s="42" t="s">
        <v>41</v>
      </c>
      <c r="AU283" s="42" t="s">
        <v>8660</v>
      </c>
      <c r="AV283" s="43"/>
      <c r="AW283" s="43"/>
      <c r="AX283" s="43"/>
      <c r="AY283" s="45"/>
      <c r="AZ283" s="42" t="s">
        <v>41</v>
      </c>
      <c r="BA283" s="45"/>
      <c r="BB283" s="45"/>
      <c r="BC283" s="43"/>
      <c r="BD283" s="42" t="s">
        <v>3584</v>
      </c>
      <c r="BE283" s="42" t="s">
        <v>3584</v>
      </c>
      <c r="BF283" s="42" t="s">
        <v>5332</v>
      </c>
      <c r="BG283" s="43"/>
      <c r="BH283" s="45"/>
      <c r="BI283" s="43"/>
      <c r="BJ283" s="43"/>
      <c r="BK283" s="43"/>
      <c r="BL283" s="43"/>
      <c r="BM283" s="43"/>
      <c r="BN283" s="43"/>
      <c r="BO283" s="43"/>
      <c r="BP283" s="43"/>
      <c r="BQ283" s="45"/>
      <c r="BR283" s="45"/>
      <c r="BS283" s="43"/>
      <c r="BT283" s="45"/>
      <c r="BU283" s="43"/>
      <c r="BV283" s="43"/>
      <c r="BW283" s="43"/>
      <c r="BX283" s="43"/>
      <c r="BY283" s="43"/>
      <c r="BZ283" s="43"/>
      <c r="CA283" s="43"/>
      <c r="CB283" s="45"/>
      <c r="CC283" s="45"/>
      <c r="CD283" s="43"/>
      <c r="CE283" s="45"/>
      <c r="CF283" s="43"/>
      <c r="CG283" s="43"/>
      <c r="CH283" s="43"/>
      <c r="CI283" s="43"/>
      <c r="CJ283" s="43"/>
      <c r="CK283" s="45"/>
      <c r="CL283" s="45"/>
      <c r="CM283" s="43"/>
      <c r="CN283" s="43"/>
      <c r="CO283" s="45"/>
      <c r="CP283" s="45"/>
      <c r="CQ283" s="45"/>
      <c r="CR283" s="45"/>
      <c r="CS283" s="45"/>
      <c r="CT283" s="45"/>
      <c r="CU283" s="45"/>
      <c r="CV283" s="45"/>
      <c r="CW283" s="45"/>
      <c r="CX283" s="45"/>
      <c r="CY283" s="45"/>
      <c r="CZ283" s="45"/>
      <c r="DA283" s="45"/>
      <c r="DB283" s="45"/>
      <c r="DC283" s="45"/>
      <c r="DD283" s="45"/>
      <c r="DE283" s="45"/>
      <c r="DF283" s="45"/>
      <c r="DG283" s="45"/>
      <c r="DH283" s="45"/>
      <c r="DI283" s="45"/>
      <c r="DJ283" s="45"/>
      <c r="DK283" s="45"/>
      <c r="DL283" s="45"/>
      <c r="DM283" s="45"/>
      <c r="DN283" s="45"/>
      <c r="DO283" s="41" t="s">
        <v>3600</v>
      </c>
      <c r="DP283" s="46" t="s">
        <v>6394</v>
      </c>
      <c r="DQ283" s="45"/>
      <c r="DR283" s="45"/>
      <c r="DS283" s="45"/>
      <c r="DT283" s="45"/>
      <c r="DU283" s="45"/>
      <c r="DV283" s="45"/>
      <c r="DW283" s="43"/>
      <c r="DX283" s="45"/>
      <c r="DY283" s="43"/>
      <c r="DZ283" s="45"/>
      <c r="EA283" s="45"/>
      <c r="EB283" s="43"/>
      <c r="EC283" s="45"/>
      <c r="ED283" s="45"/>
      <c r="EE283" s="45"/>
      <c r="EF283" s="45"/>
      <c r="EG283" s="43"/>
      <c r="EH283" s="45"/>
      <c r="EI283" s="45"/>
      <c r="EJ283" s="45"/>
      <c r="EK283" s="43"/>
      <c r="EL283" s="45"/>
      <c r="EM283" s="45"/>
      <c r="EN283" s="45"/>
      <c r="EO283" s="45"/>
      <c r="EP283" s="48" t="s">
        <v>3559</v>
      </c>
    </row>
    <row r="284">
      <c r="A284" s="32">
        <v>2.75</v>
      </c>
      <c r="B284" s="35" t="s">
        <v>8661</v>
      </c>
      <c r="C284" s="34"/>
      <c r="D284" s="34"/>
      <c r="E284" s="35" t="s">
        <v>8662</v>
      </c>
      <c r="F284" s="34"/>
      <c r="G284" s="35" t="s">
        <v>8663</v>
      </c>
      <c r="H284" s="35" t="s">
        <v>3563</v>
      </c>
      <c r="I284" s="35" t="s">
        <v>3609</v>
      </c>
      <c r="J284" s="35" t="s">
        <v>3610</v>
      </c>
      <c r="K284" s="35" t="s">
        <v>4708</v>
      </c>
      <c r="L284" s="35" t="s">
        <v>6037</v>
      </c>
      <c r="M284" s="35" t="s">
        <v>8664</v>
      </c>
      <c r="N284" s="35" t="s">
        <v>5018</v>
      </c>
      <c r="O284" s="35" t="s">
        <v>8665</v>
      </c>
      <c r="P284" s="35"/>
      <c r="R284" s="35" t="s">
        <v>5222</v>
      </c>
      <c r="S284" s="35" t="s">
        <v>5222</v>
      </c>
      <c r="T284" s="35" t="s">
        <v>3573</v>
      </c>
      <c r="U284" s="36" t="s">
        <v>8666</v>
      </c>
      <c r="V284" s="34"/>
      <c r="W284" s="32">
        <v>8.0</v>
      </c>
      <c r="X284" s="35" t="s">
        <v>7381</v>
      </c>
      <c r="Y284" s="34"/>
      <c r="Z284" s="34"/>
      <c r="AA284" s="32">
        <v>2016.0</v>
      </c>
      <c r="AB284" s="34"/>
      <c r="AC284" s="34"/>
      <c r="AD284" s="34"/>
      <c r="AE284" s="37"/>
      <c r="AF284" s="37"/>
      <c r="AG284" s="37"/>
      <c r="AH284" s="37"/>
      <c r="AI284" s="37"/>
      <c r="AJ284" s="37"/>
      <c r="AK284" s="37"/>
      <c r="AL284" s="37"/>
      <c r="AM284" s="37"/>
      <c r="AN284" s="37"/>
      <c r="AO284" s="34"/>
      <c r="AP284" s="34"/>
      <c r="AQ284" s="34"/>
      <c r="AR284" s="34"/>
      <c r="AS284" s="34"/>
      <c r="AT284" s="35" t="s">
        <v>7480</v>
      </c>
      <c r="AU284" s="35" t="s">
        <v>8667</v>
      </c>
      <c r="AV284" s="35" t="s">
        <v>8668</v>
      </c>
      <c r="AW284" s="35" t="s">
        <v>7481</v>
      </c>
      <c r="AX284" s="34"/>
      <c r="AY284" s="32">
        <v>4366360.0</v>
      </c>
      <c r="AZ284" s="35" t="s">
        <v>41</v>
      </c>
      <c r="BA284" s="37"/>
      <c r="BB284" s="37"/>
      <c r="BC284" s="34"/>
      <c r="BD284" s="35" t="s">
        <v>3584</v>
      </c>
      <c r="BE284" s="35" t="s">
        <v>3584</v>
      </c>
      <c r="BF284" s="35" t="s">
        <v>8669</v>
      </c>
      <c r="BG284" s="34"/>
      <c r="BH284" s="37"/>
      <c r="BI284" s="34"/>
      <c r="BJ284" s="35" t="s">
        <v>8670</v>
      </c>
      <c r="BK284" s="34"/>
      <c r="BL284" s="34"/>
      <c r="BM284" s="35" t="s">
        <v>8671</v>
      </c>
      <c r="BN284" s="34"/>
      <c r="BO284" s="34"/>
      <c r="BP284" s="34"/>
      <c r="BQ284" s="37"/>
      <c r="BR284" s="32">
        <v>0.1</v>
      </c>
      <c r="BS284" s="35" t="s">
        <v>3593</v>
      </c>
      <c r="BT284" s="37"/>
      <c r="BU284" s="34"/>
      <c r="BV284" s="35" t="s">
        <v>3589</v>
      </c>
      <c r="BW284" s="34"/>
      <c r="BX284" s="34"/>
      <c r="BY284" s="35" t="s">
        <v>3590</v>
      </c>
      <c r="BZ284" s="34"/>
      <c r="CA284" s="35" t="s">
        <v>3591</v>
      </c>
      <c r="CB284" s="38" t="s">
        <v>6382</v>
      </c>
      <c r="CC284" s="37"/>
      <c r="CD284" s="34"/>
      <c r="CE284" s="37"/>
      <c r="CF284" s="34"/>
      <c r="CG284" s="35" t="s">
        <v>5222</v>
      </c>
      <c r="CH284" s="34"/>
      <c r="CI284" s="34"/>
      <c r="CJ284" s="35" t="s">
        <v>5222</v>
      </c>
      <c r="CK284" s="37"/>
      <c r="CL284" s="37"/>
      <c r="CM284" s="34"/>
      <c r="CN284" s="35" t="s">
        <v>3591</v>
      </c>
      <c r="CO284" s="37"/>
      <c r="CP284" s="37"/>
      <c r="CQ284" s="37"/>
      <c r="CR284" s="37"/>
      <c r="CS284" s="37"/>
      <c r="CT284" s="37"/>
      <c r="CU284" s="37"/>
      <c r="CV284" s="37"/>
      <c r="CW284" s="37"/>
      <c r="CX284" s="37"/>
      <c r="CY284" s="37"/>
      <c r="CZ284" s="37"/>
      <c r="DA284" s="37"/>
      <c r="DB284" s="37"/>
      <c r="DC284" s="37"/>
      <c r="DD284" s="37"/>
      <c r="DE284" s="37"/>
      <c r="DF284" s="37"/>
      <c r="DG284" s="37"/>
      <c r="DH284" s="37"/>
      <c r="DI284" s="37"/>
      <c r="DJ284" s="37"/>
      <c r="DK284" s="37"/>
      <c r="DL284" s="37"/>
      <c r="DM284" s="37"/>
      <c r="DN284" s="37"/>
      <c r="DO284" s="32" t="s">
        <v>3600</v>
      </c>
      <c r="DP284" s="38" t="s">
        <v>8672</v>
      </c>
      <c r="DQ284" s="32">
        <v>4.0</v>
      </c>
      <c r="DR284" s="32">
        <v>4.0</v>
      </c>
      <c r="DS284" s="37"/>
      <c r="DT284" s="37"/>
      <c r="DU284" s="37"/>
      <c r="DV284" s="32">
        <v>4.0</v>
      </c>
      <c r="DW284" s="34"/>
      <c r="DX284" s="37"/>
      <c r="DY284" s="34"/>
      <c r="DZ284" s="37"/>
      <c r="EA284" s="37"/>
      <c r="EB284" s="34"/>
      <c r="EC284" s="37"/>
      <c r="ED284" s="37"/>
      <c r="EE284" s="32">
        <v>10.42</v>
      </c>
      <c r="EF284" s="38" t="s">
        <v>8587</v>
      </c>
      <c r="EG284" s="35" t="s">
        <v>3698</v>
      </c>
      <c r="EH284" s="37"/>
      <c r="EI284" s="37"/>
      <c r="EJ284" s="37"/>
      <c r="EK284" s="34"/>
      <c r="EL284" s="37"/>
      <c r="EM284" s="37"/>
      <c r="EN284" s="37"/>
      <c r="EO284" s="37"/>
      <c r="EP284" s="40" t="s">
        <v>3559</v>
      </c>
    </row>
    <row r="285">
      <c r="A285" s="45"/>
      <c r="B285" s="55" t="s">
        <v>8673</v>
      </c>
      <c r="C285" s="43"/>
      <c r="D285" s="43"/>
      <c r="E285" s="43"/>
      <c r="F285" s="43"/>
      <c r="G285" s="42" t="s">
        <v>8674</v>
      </c>
      <c r="H285" s="42" t="s">
        <v>4560</v>
      </c>
      <c r="I285" s="42" t="s">
        <v>4561</v>
      </c>
      <c r="J285" s="42" t="s">
        <v>66</v>
      </c>
      <c r="K285" s="42" t="s">
        <v>5218</v>
      </c>
      <c r="L285" s="43"/>
      <c r="M285" s="42" t="s">
        <v>8675</v>
      </c>
      <c r="N285" s="42" t="s">
        <v>4923</v>
      </c>
      <c r="O285" s="42" t="s">
        <v>8676</v>
      </c>
      <c r="P285" s="42"/>
      <c r="R285" s="42" t="s">
        <v>3571</v>
      </c>
      <c r="S285" s="42" t="s">
        <v>4925</v>
      </c>
      <c r="T285" s="42" t="s">
        <v>4926</v>
      </c>
      <c r="U285" s="44" t="s">
        <v>8677</v>
      </c>
      <c r="V285" s="43"/>
      <c r="W285" s="45"/>
      <c r="X285" s="43"/>
      <c r="Y285" s="43"/>
      <c r="Z285" s="43"/>
      <c r="AA285" s="41">
        <v>2017.0</v>
      </c>
      <c r="AB285" s="43"/>
      <c r="AC285" s="43"/>
      <c r="AD285" s="43"/>
      <c r="AE285" s="45"/>
      <c r="AF285" s="45"/>
      <c r="AG285" s="45"/>
      <c r="AH285" s="45"/>
      <c r="AI285" s="45"/>
      <c r="AJ285" s="45"/>
      <c r="AK285" s="45"/>
      <c r="AL285" s="45"/>
      <c r="AM285" s="45"/>
      <c r="AN285" s="45"/>
      <c r="AO285" s="42" t="s">
        <v>8678</v>
      </c>
      <c r="AP285" s="42" t="s">
        <v>8679</v>
      </c>
      <c r="AQ285" s="42" t="s">
        <v>8680</v>
      </c>
      <c r="AR285" s="42" t="s">
        <v>8681</v>
      </c>
      <c r="AS285" s="43"/>
      <c r="AT285" s="42" t="s">
        <v>5689</v>
      </c>
      <c r="AU285" s="43"/>
      <c r="AV285" s="43"/>
      <c r="AW285" s="42" t="s">
        <v>298</v>
      </c>
      <c r="AX285" s="43"/>
      <c r="AY285" s="45"/>
      <c r="AZ285" s="42" t="s">
        <v>41</v>
      </c>
      <c r="BA285" s="45"/>
      <c r="BB285" s="45"/>
      <c r="BC285" s="43"/>
      <c r="BD285" s="42" t="s">
        <v>3584</v>
      </c>
      <c r="BE285" s="42" t="s">
        <v>3584</v>
      </c>
      <c r="BF285" s="43"/>
      <c r="BG285" s="43"/>
      <c r="BH285" s="45"/>
      <c r="BI285" s="43"/>
      <c r="BJ285" s="43"/>
      <c r="BK285" s="43"/>
      <c r="BL285" s="43"/>
      <c r="BM285" s="43"/>
      <c r="BN285" s="43"/>
      <c r="BO285" s="43"/>
      <c r="BP285" s="43"/>
      <c r="BQ285" s="45"/>
      <c r="BR285" s="45"/>
      <c r="BS285" s="43"/>
      <c r="BT285" s="45"/>
      <c r="BU285" s="43"/>
      <c r="BV285" s="43"/>
      <c r="BW285" s="43"/>
      <c r="BX285" s="43"/>
      <c r="BY285" s="43"/>
      <c r="BZ285" s="43"/>
      <c r="CA285" s="43"/>
      <c r="CB285" s="45"/>
      <c r="CC285" s="45"/>
      <c r="CD285" s="43"/>
      <c r="CE285" s="45"/>
      <c r="CF285" s="43"/>
      <c r="CG285" s="43"/>
      <c r="CH285" s="43"/>
      <c r="CI285" s="43"/>
      <c r="CJ285" s="43"/>
      <c r="CK285" s="45"/>
      <c r="CL285" s="45"/>
      <c r="CM285" s="43"/>
      <c r="CN285" s="43"/>
      <c r="CO285" s="47">
        <v>-9.0E-4</v>
      </c>
      <c r="CP285" s="41">
        <v>12.0</v>
      </c>
      <c r="CQ285" s="47">
        <v>0.0</v>
      </c>
      <c r="CR285" s="47">
        <v>0.0</v>
      </c>
      <c r="CS285" s="47">
        <v>-9.0E-4</v>
      </c>
      <c r="CT285" s="41">
        <v>11.0</v>
      </c>
      <c r="CU285" s="45"/>
      <c r="CV285" s="45"/>
      <c r="CW285" s="47">
        <v>-9.0E-4</v>
      </c>
      <c r="CX285" s="41">
        <v>11.0</v>
      </c>
      <c r="CY285" s="41" t="s">
        <v>8682</v>
      </c>
      <c r="CZ285" s="41">
        <v>82.0</v>
      </c>
      <c r="DA285" s="41" t="s">
        <v>3598</v>
      </c>
      <c r="DB285" s="47">
        <v>0.0</v>
      </c>
      <c r="DC285" s="41" t="s">
        <v>8682</v>
      </c>
      <c r="DD285" s="41">
        <v>81.0</v>
      </c>
      <c r="DE285" s="45"/>
      <c r="DF285" s="45"/>
      <c r="DG285" s="41" t="s">
        <v>8682</v>
      </c>
      <c r="DH285" s="41">
        <v>79.0</v>
      </c>
      <c r="DI285" s="41">
        <v>0.0</v>
      </c>
      <c r="DJ285" s="41">
        <v>0.0</v>
      </c>
      <c r="DK285" s="47">
        <v>0.0</v>
      </c>
      <c r="DL285" s="41">
        <v>135.0</v>
      </c>
      <c r="DM285" s="41">
        <v>0.0</v>
      </c>
      <c r="DN285" s="47">
        <v>0.0</v>
      </c>
      <c r="DO285" s="41" t="s">
        <v>3600</v>
      </c>
      <c r="DP285" s="46" t="s">
        <v>8683</v>
      </c>
      <c r="DQ285" s="45"/>
      <c r="DR285" s="45"/>
      <c r="DS285" s="45"/>
      <c r="DT285" s="45"/>
      <c r="DU285" s="45"/>
      <c r="DV285" s="45"/>
      <c r="DW285" s="43"/>
      <c r="DX285" s="45"/>
      <c r="DY285" s="43"/>
      <c r="DZ285" s="45"/>
      <c r="EA285" s="45"/>
      <c r="EB285" s="43"/>
      <c r="EC285" s="45"/>
      <c r="ED285" s="45"/>
      <c r="EE285" s="45"/>
      <c r="EF285" s="45"/>
      <c r="EG285" s="43"/>
      <c r="EH285" s="45"/>
      <c r="EI285" s="45"/>
      <c r="EJ285" s="45"/>
      <c r="EK285" s="43"/>
      <c r="EL285" s="45"/>
      <c r="EM285" s="45"/>
      <c r="EN285" s="45"/>
      <c r="EO285" s="45"/>
      <c r="EP285" s="48" t="s">
        <v>3559</v>
      </c>
    </row>
    <row r="286">
      <c r="A286" s="37"/>
      <c r="B286" s="35" t="s">
        <v>8684</v>
      </c>
      <c r="C286" s="34"/>
      <c r="D286" s="34"/>
      <c r="E286" s="35" t="s">
        <v>8685</v>
      </c>
      <c r="F286" s="34"/>
      <c r="G286" s="35" t="s">
        <v>8686</v>
      </c>
      <c r="H286" s="35" t="s">
        <v>30</v>
      </c>
      <c r="I286" s="35" t="s">
        <v>8687</v>
      </c>
      <c r="J286" s="35" t="s">
        <v>8688</v>
      </c>
      <c r="K286" s="35" t="s">
        <v>8689</v>
      </c>
      <c r="L286" s="34"/>
      <c r="M286" s="35" t="s">
        <v>8690</v>
      </c>
      <c r="N286" s="35" t="s">
        <v>4962</v>
      </c>
      <c r="O286" s="35" t="s">
        <v>8691</v>
      </c>
      <c r="P286" s="35"/>
      <c r="R286" s="35" t="s">
        <v>3571</v>
      </c>
      <c r="S286" s="35" t="s">
        <v>4964</v>
      </c>
      <c r="T286" s="35" t="s">
        <v>3603</v>
      </c>
      <c r="U286" s="36" t="s">
        <v>8692</v>
      </c>
      <c r="V286" s="36" t="s">
        <v>8693</v>
      </c>
      <c r="W286" s="32">
        <v>57.0</v>
      </c>
      <c r="X286" s="35" t="s">
        <v>8694</v>
      </c>
      <c r="Y286" s="34"/>
      <c r="Z286" s="34"/>
      <c r="AA286" s="32">
        <v>1978.0</v>
      </c>
      <c r="AB286" s="35" t="s">
        <v>8695</v>
      </c>
      <c r="AC286" s="34"/>
      <c r="AD286" s="34"/>
      <c r="AE286" s="37"/>
      <c r="AF286" s="37"/>
      <c r="AG286" s="37"/>
      <c r="AH286" s="37"/>
      <c r="AI286" s="37"/>
      <c r="AJ286" s="37"/>
      <c r="AK286" s="37"/>
      <c r="AL286" s="37"/>
      <c r="AM286" s="37"/>
      <c r="AN286" s="37"/>
      <c r="AO286" s="35" t="s">
        <v>8696</v>
      </c>
      <c r="AP286" s="35" t="s">
        <v>8697</v>
      </c>
      <c r="AQ286" s="35" t="s">
        <v>4093</v>
      </c>
      <c r="AR286" s="35" t="s">
        <v>8698</v>
      </c>
      <c r="AS286" s="34" t="str">
        <f>+972 (0)3 573 1801</f>
        <v>#ERROR!</v>
      </c>
      <c r="AT286" s="35" t="s">
        <v>3581</v>
      </c>
      <c r="AU286" s="35" t="s">
        <v>8699</v>
      </c>
      <c r="AV286" s="34"/>
      <c r="AW286" s="35" t="s">
        <v>75</v>
      </c>
      <c r="AX286" s="34"/>
      <c r="AY286" s="32">
        <v>6158101.0</v>
      </c>
      <c r="AZ286" s="35" t="s">
        <v>41</v>
      </c>
      <c r="BA286" s="37" t="str">
        <f>+972 (0)3 573 1801</f>
        <v>#ERROR!</v>
      </c>
      <c r="BB286" s="37"/>
      <c r="BC286" s="35" t="s">
        <v>8700</v>
      </c>
      <c r="BD286" s="35" t="s">
        <v>3584</v>
      </c>
      <c r="BE286" s="35" t="s">
        <v>3584</v>
      </c>
      <c r="BF286" s="35" t="s">
        <v>8701</v>
      </c>
      <c r="BG286" s="34"/>
      <c r="BH286" s="37"/>
      <c r="BI286" s="35" t="s">
        <v>8695</v>
      </c>
      <c r="BJ286" s="34"/>
      <c r="BK286" s="34"/>
      <c r="BL286" s="34"/>
      <c r="BM286" s="34"/>
      <c r="BN286" s="34"/>
      <c r="BO286" s="34"/>
      <c r="BP286" s="34"/>
      <c r="BQ286" s="38" t="s">
        <v>6426</v>
      </c>
      <c r="BR286" s="32">
        <v>5.15</v>
      </c>
      <c r="BS286" s="35" t="s">
        <v>3593</v>
      </c>
      <c r="BT286" s="32">
        <v>5.15</v>
      </c>
      <c r="BU286" s="35" t="s">
        <v>3697</v>
      </c>
      <c r="BV286" s="35" t="s">
        <v>4977</v>
      </c>
      <c r="BW286" s="34"/>
      <c r="BX286" s="34"/>
      <c r="BY286" s="35" t="s">
        <v>3663</v>
      </c>
      <c r="BZ286" s="34"/>
      <c r="CA286" s="35" t="s">
        <v>3591</v>
      </c>
      <c r="CB286" s="38" t="s">
        <v>6426</v>
      </c>
      <c r="CC286" s="32">
        <v>5.15</v>
      </c>
      <c r="CD286" s="35" t="s">
        <v>3593</v>
      </c>
      <c r="CE286" s="32">
        <v>5.15</v>
      </c>
      <c r="CF286" s="35" t="s">
        <v>3697</v>
      </c>
      <c r="CG286" s="35" t="s">
        <v>4977</v>
      </c>
      <c r="CH286" s="34"/>
      <c r="CI286" s="34"/>
      <c r="CJ286" s="35" t="s">
        <v>3663</v>
      </c>
      <c r="CK286" s="37"/>
      <c r="CL286" s="37"/>
      <c r="CM286" s="34"/>
      <c r="CN286" s="35" t="s">
        <v>3591</v>
      </c>
      <c r="CO286" s="39">
        <v>0.0</v>
      </c>
      <c r="CP286" s="32">
        <v>14.0</v>
      </c>
      <c r="CQ286" s="39">
        <v>0.0</v>
      </c>
      <c r="CR286" s="39">
        <v>0.0</v>
      </c>
      <c r="CS286" s="39">
        <v>0.0</v>
      </c>
      <c r="CT286" s="32">
        <v>12.0</v>
      </c>
      <c r="CU286" s="39">
        <v>0.0</v>
      </c>
      <c r="CV286" s="32">
        <v>10.0</v>
      </c>
      <c r="CW286" s="39">
        <v>0.0</v>
      </c>
      <c r="CX286" s="32">
        <v>12.0</v>
      </c>
      <c r="CY286" s="32" t="s">
        <v>8702</v>
      </c>
      <c r="CZ286" s="32">
        <v>5.0</v>
      </c>
      <c r="DA286" s="32" t="s">
        <v>3598</v>
      </c>
      <c r="DB286" s="39">
        <v>0.0</v>
      </c>
      <c r="DC286" s="32" t="s">
        <v>8702</v>
      </c>
      <c r="DD286" s="32">
        <v>6.0</v>
      </c>
      <c r="DE286" s="32" t="s">
        <v>3598</v>
      </c>
      <c r="DF286" s="32">
        <v>1.0</v>
      </c>
      <c r="DG286" s="32" t="s">
        <v>6752</v>
      </c>
      <c r="DH286" s="32">
        <v>14.0</v>
      </c>
      <c r="DI286" s="32">
        <v>0.0</v>
      </c>
      <c r="DJ286" s="32">
        <v>0.0</v>
      </c>
      <c r="DK286" s="39">
        <v>0.0</v>
      </c>
      <c r="DL286" s="32">
        <v>9.0</v>
      </c>
      <c r="DM286" s="32">
        <v>1.0</v>
      </c>
      <c r="DN286" s="39">
        <v>0.125</v>
      </c>
      <c r="DO286" s="32" t="s">
        <v>3600</v>
      </c>
      <c r="DP286" s="38" t="s">
        <v>5617</v>
      </c>
      <c r="DQ286" s="32">
        <v>6.0</v>
      </c>
      <c r="DR286" s="32">
        <v>3.0</v>
      </c>
      <c r="DS286" s="32">
        <v>1.0</v>
      </c>
      <c r="DT286" s="37"/>
      <c r="DU286" s="37"/>
      <c r="DV286" s="32">
        <v>5.0</v>
      </c>
      <c r="DW286" s="35" t="s">
        <v>8703</v>
      </c>
      <c r="DX286" s="37"/>
      <c r="DY286" s="34"/>
      <c r="DZ286" s="37"/>
      <c r="EA286" s="37"/>
      <c r="EB286" s="34"/>
      <c r="EC286" s="37"/>
      <c r="ED286" s="37"/>
      <c r="EE286" s="32">
        <v>5.15</v>
      </c>
      <c r="EF286" s="38" t="s">
        <v>6426</v>
      </c>
      <c r="EG286" s="35" t="s">
        <v>4977</v>
      </c>
      <c r="EH286" s="37"/>
      <c r="EI286" s="37"/>
      <c r="EJ286" s="37"/>
      <c r="EK286" s="35" t="s">
        <v>4248</v>
      </c>
      <c r="EL286" s="37"/>
      <c r="EM286" s="37"/>
      <c r="EN286" s="37"/>
      <c r="EO286" s="37"/>
      <c r="EP286" s="40" t="s">
        <v>3559</v>
      </c>
    </row>
    <row r="287">
      <c r="A287" s="45"/>
      <c r="B287" s="42" t="s">
        <v>8704</v>
      </c>
      <c r="C287" s="43"/>
      <c r="D287" s="43"/>
      <c r="E287" s="43"/>
      <c r="F287" s="43"/>
      <c r="G287" s="42" t="s">
        <v>8705</v>
      </c>
      <c r="H287" s="42" t="s">
        <v>4560</v>
      </c>
      <c r="I287" s="42" t="s">
        <v>4561</v>
      </c>
      <c r="J287" s="42" t="s">
        <v>66</v>
      </c>
      <c r="K287" s="42" t="s">
        <v>8706</v>
      </c>
      <c r="L287" s="42" t="s">
        <v>3612</v>
      </c>
      <c r="M287" s="42" t="s">
        <v>8707</v>
      </c>
      <c r="N287" s="42" t="s">
        <v>5481</v>
      </c>
      <c r="O287" s="42" t="s">
        <v>8708</v>
      </c>
      <c r="P287" s="42"/>
      <c r="R287" s="42" t="s">
        <v>5222</v>
      </c>
      <c r="S287" s="42" t="s">
        <v>5222</v>
      </c>
      <c r="T287" s="42" t="s">
        <v>8709</v>
      </c>
      <c r="U287" s="44" t="s">
        <v>8710</v>
      </c>
      <c r="V287" s="43"/>
      <c r="W287" s="45"/>
      <c r="X287" s="43"/>
      <c r="Y287" s="43"/>
      <c r="Z287" s="43"/>
      <c r="AA287" s="41">
        <v>2016.0</v>
      </c>
      <c r="AB287" s="43"/>
      <c r="AC287" s="43"/>
      <c r="AD287" s="43"/>
      <c r="AE287" s="45"/>
      <c r="AF287" s="45"/>
      <c r="AG287" s="45"/>
      <c r="AH287" s="45"/>
      <c r="AI287" s="45"/>
      <c r="AJ287" s="45"/>
      <c r="AK287" s="45"/>
      <c r="AL287" s="45"/>
      <c r="AM287" s="45"/>
      <c r="AN287" s="45"/>
      <c r="AO287" s="43"/>
      <c r="AP287" s="43"/>
      <c r="AQ287" s="43"/>
      <c r="AR287" s="43"/>
      <c r="AS287" s="43"/>
      <c r="AT287" s="42" t="s">
        <v>3654</v>
      </c>
      <c r="AU287" s="42" t="s">
        <v>8711</v>
      </c>
      <c r="AV287" s="43"/>
      <c r="AW287" s="42" t="s">
        <v>147</v>
      </c>
      <c r="AX287" s="43"/>
      <c r="AY287" s="45"/>
      <c r="AZ287" s="42" t="s">
        <v>41</v>
      </c>
      <c r="BA287" s="45"/>
      <c r="BB287" s="45"/>
      <c r="BC287" s="43"/>
      <c r="BD287" s="42" t="s">
        <v>3584</v>
      </c>
      <c r="BE287" s="42" t="s">
        <v>3584</v>
      </c>
      <c r="BF287" s="42" t="s">
        <v>8712</v>
      </c>
      <c r="BG287" s="43"/>
      <c r="BH287" s="45"/>
      <c r="BI287" s="43"/>
      <c r="BJ287" s="42" t="s">
        <v>8713</v>
      </c>
      <c r="BK287" s="43"/>
      <c r="BL287" s="43"/>
      <c r="BM287" s="42" t="s">
        <v>8714</v>
      </c>
      <c r="BN287" s="43"/>
      <c r="BO287" s="43"/>
      <c r="BP287" s="43"/>
      <c r="BQ287" s="46" t="s">
        <v>8715</v>
      </c>
      <c r="BR287" s="41">
        <v>0.06</v>
      </c>
      <c r="BS287" s="42" t="s">
        <v>3593</v>
      </c>
      <c r="BT287" s="45"/>
      <c r="BU287" s="43"/>
      <c r="BV287" s="42" t="s">
        <v>4102</v>
      </c>
      <c r="BW287" s="43"/>
      <c r="BX287" s="43"/>
      <c r="BY287" s="42" t="s">
        <v>3590</v>
      </c>
      <c r="BZ287" s="43"/>
      <c r="CA287" s="42" t="s">
        <v>3591</v>
      </c>
      <c r="CB287" s="46" t="s">
        <v>4706</v>
      </c>
      <c r="CC287" s="45"/>
      <c r="CD287" s="43"/>
      <c r="CE287" s="45"/>
      <c r="CF287" s="43"/>
      <c r="CG287" s="42" t="s">
        <v>5222</v>
      </c>
      <c r="CH287" s="43"/>
      <c r="CI287" s="43"/>
      <c r="CJ287" s="42" t="s">
        <v>5222</v>
      </c>
      <c r="CK287" s="45"/>
      <c r="CL287" s="45"/>
      <c r="CM287" s="43"/>
      <c r="CN287" s="42" t="s">
        <v>3591</v>
      </c>
      <c r="CO287" s="45"/>
      <c r="CP287" s="45"/>
      <c r="CQ287" s="45"/>
      <c r="CR287" s="45"/>
      <c r="CS287" s="45"/>
      <c r="CT287" s="45"/>
      <c r="CU287" s="45"/>
      <c r="CV287" s="45"/>
      <c r="CW287" s="45"/>
      <c r="CX287" s="45"/>
      <c r="CY287" s="45"/>
      <c r="CZ287" s="45"/>
      <c r="DA287" s="45"/>
      <c r="DB287" s="45"/>
      <c r="DC287" s="45"/>
      <c r="DD287" s="45"/>
      <c r="DE287" s="45"/>
      <c r="DF287" s="45"/>
      <c r="DG287" s="45"/>
      <c r="DH287" s="45"/>
      <c r="DI287" s="45"/>
      <c r="DJ287" s="45"/>
      <c r="DK287" s="45"/>
      <c r="DL287" s="45"/>
      <c r="DM287" s="45"/>
      <c r="DN287" s="45"/>
      <c r="DO287" s="41" t="s">
        <v>3600</v>
      </c>
      <c r="DP287" s="46" t="s">
        <v>5177</v>
      </c>
      <c r="DQ287" s="45"/>
      <c r="DR287" s="45"/>
      <c r="DS287" s="45"/>
      <c r="DT287" s="45"/>
      <c r="DU287" s="45"/>
      <c r="DV287" s="45"/>
      <c r="DW287" s="43"/>
      <c r="DX287" s="45"/>
      <c r="DY287" s="43"/>
      <c r="DZ287" s="45"/>
      <c r="EA287" s="45"/>
      <c r="EB287" s="43"/>
      <c r="EC287" s="45"/>
      <c r="ED287" s="45"/>
      <c r="EE287" s="45"/>
      <c r="EF287" s="45"/>
      <c r="EG287" s="43"/>
      <c r="EH287" s="45"/>
      <c r="EI287" s="45"/>
      <c r="EJ287" s="45"/>
      <c r="EK287" s="43"/>
      <c r="EL287" s="45"/>
      <c r="EM287" s="45"/>
      <c r="EN287" s="45"/>
      <c r="EO287" s="45"/>
      <c r="EP287" s="48" t="s">
        <v>3559</v>
      </c>
    </row>
    <row r="288">
      <c r="A288" s="37"/>
      <c r="B288" s="33" t="s">
        <v>8716</v>
      </c>
      <c r="C288" s="34"/>
      <c r="D288" s="34"/>
      <c r="E288" s="35" t="s">
        <v>8717</v>
      </c>
      <c r="F288" s="34"/>
      <c r="G288" s="35" t="s">
        <v>8718</v>
      </c>
      <c r="H288" s="35" t="s">
        <v>3563</v>
      </c>
      <c r="I288" s="35" t="s">
        <v>3564</v>
      </c>
      <c r="J288" s="35" t="s">
        <v>3565</v>
      </c>
      <c r="K288" s="35" t="s">
        <v>8719</v>
      </c>
      <c r="L288" s="35" t="s">
        <v>8720</v>
      </c>
      <c r="M288" s="35" t="s">
        <v>8721</v>
      </c>
      <c r="N288" s="35" t="s">
        <v>4923</v>
      </c>
      <c r="O288" s="35" t="s">
        <v>8722</v>
      </c>
      <c r="P288" s="35"/>
      <c r="R288" s="35" t="s">
        <v>3571</v>
      </c>
      <c r="S288" s="35" t="s">
        <v>4925</v>
      </c>
      <c r="T288" s="35" t="s">
        <v>4926</v>
      </c>
      <c r="U288" s="36" t="s">
        <v>8723</v>
      </c>
      <c r="V288" s="36" t="s">
        <v>8724</v>
      </c>
      <c r="W288" s="37"/>
      <c r="X288" s="34"/>
      <c r="Y288" s="34"/>
      <c r="Z288" s="34"/>
      <c r="AA288" s="37"/>
      <c r="AB288" s="34"/>
      <c r="AC288" s="34"/>
      <c r="AD288" s="34"/>
      <c r="AE288" s="37"/>
      <c r="AF288" s="37"/>
      <c r="AG288" s="37"/>
      <c r="AH288" s="37"/>
      <c r="AI288" s="37"/>
      <c r="AJ288" s="37"/>
      <c r="AK288" s="37"/>
      <c r="AL288" s="37"/>
      <c r="AM288" s="37"/>
      <c r="AN288" s="37"/>
      <c r="AO288" s="35" t="s">
        <v>8725</v>
      </c>
      <c r="AP288" s="35" t="s">
        <v>8726</v>
      </c>
      <c r="AQ288" s="35" t="s">
        <v>4397</v>
      </c>
      <c r="AR288" s="35" t="s">
        <v>8727</v>
      </c>
      <c r="AS288" s="34"/>
      <c r="AT288" s="35" t="s">
        <v>41</v>
      </c>
      <c r="AU288" s="35" t="s">
        <v>8728</v>
      </c>
      <c r="AV288" s="34"/>
      <c r="AW288" s="34"/>
      <c r="AX288" s="34"/>
      <c r="AY288" s="32">
        <v>2015600.0</v>
      </c>
      <c r="AZ288" s="35" t="s">
        <v>41</v>
      </c>
      <c r="BA288" s="37"/>
      <c r="BB288" s="37"/>
      <c r="BC288" s="35" t="s">
        <v>8729</v>
      </c>
      <c r="BD288" s="35" t="s">
        <v>3584</v>
      </c>
      <c r="BE288" s="35" t="s">
        <v>3584</v>
      </c>
      <c r="BF288" s="34"/>
      <c r="BG288" s="34"/>
      <c r="BH288" s="37"/>
      <c r="BI288" s="34"/>
      <c r="BJ288" s="34"/>
      <c r="BK288" s="34"/>
      <c r="BL288" s="34"/>
      <c r="BM288" s="34"/>
      <c r="BN288" s="34"/>
      <c r="BO288" s="34"/>
      <c r="BP288" s="34"/>
      <c r="BQ288" s="37"/>
      <c r="BR288" s="37"/>
      <c r="BS288" s="34"/>
      <c r="BT288" s="37"/>
      <c r="BU288" s="34"/>
      <c r="BV288" s="34"/>
      <c r="BW288" s="34"/>
      <c r="BX288" s="34"/>
      <c r="BY288" s="34"/>
      <c r="BZ288" s="34"/>
      <c r="CA288" s="34"/>
      <c r="CB288" s="37"/>
      <c r="CC288" s="37"/>
      <c r="CD288" s="34"/>
      <c r="CE288" s="37"/>
      <c r="CF288" s="34"/>
      <c r="CG288" s="34"/>
      <c r="CH288" s="34"/>
      <c r="CI288" s="34"/>
      <c r="CJ288" s="34"/>
      <c r="CK288" s="37"/>
      <c r="CL288" s="37"/>
      <c r="CM288" s="34"/>
      <c r="CN288" s="34"/>
      <c r="CO288" s="39">
        <v>0.0</v>
      </c>
      <c r="CP288" s="32">
        <v>14.0</v>
      </c>
      <c r="CQ288" s="39">
        <v>0.0</v>
      </c>
      <c r="CR288" s="39">
        <v>0.0</v>
      </c>
      <c r="CS288" s="39">
        <v>0.0</v>
      </c>
      <c r="CT288" s="32">
        <v>12.0</v>
      </c>
      <c r="CU288" s="39">
        <v>0.0</v>
      </c>
      <c r="CV288" s="32">
        <v>10.0</v>
      </c>
      <c r="CW288" s="37"/>
      <c r="CX288" s="37"/>
      <c r="CY288" s="32" t="s">
        <v>8730</v>
      </c>
      <c r="CZ288" s="32">
        <v>63.0</v>
      </c>
      <c r="DA288" s="32" t="s">
        <v>3598</v>
      </c>
      <c r="DB288" s="39">
        <v>0.0</v>
      </c>
      <c r="DC288" s="32" t="s">
        <v>8730</v>
      </c>
      <c r="DD288" s="32">
        <v>65.0</v>
      </c>
      <c r="DE288" s="32" t="s">
        <v>8730</v>
      </c>
      <c r="DF288" s="32">
        <v>63.0</v>
      </c>
      <c r="DG288" s="37"/>
      <c r="DH288" s="37"/>
      <c r="DI288" s="32">
        <v>174.0</v>
      </c>
      <c r="DJ288" s="32">
        <v>34.0</v>
      </c>
      <c r="DK288" s="39">
        <v>0.2429</v>
      </c>
      <c r="DL288" s="37"/>
      <c r="DM288" s="37"/>
      <c r="DN288" s="37"/>
      <c r="DO288" s="32" t="s">
        <v>3600</v>
      </c>
      <c r="DP288" s="38" t="s">
        <v>8731</v>
      </c>
      <c r="DQ288" s="32">
        <v>2.0</v>
      </c>
      <c r="DR288" s="37"/>
      <c r="DS288" s="37"/>
      <c r="DT288" s="32">
        <v>2.0</v>
      </c>
      <c r="DU288" s="32">
        <v>1.0</v>
      </c>
      <c r="DV288" s="37"/>
      <c r="DW288" s="35" t="s">
        <v>8732</v>
      </c>
      <c r="DX288" s="37"/>
      <c r="DY288" s="34"/>
      <c r="DZ288" s="37"/>
      <c r="EA288" s="37"/>
      <c r="EB288" s="34"/>
      <c r="EC288" s="37"/>
      <c r="ED288" s="37"/>
      <c r="EE288" s="37"/>
      <c r="EF288" s="37"/>
      <c r="EG288" s="34"/>
      <c r="EH288" s="37"/>
      <c r="EI288" s="37"/>
      <c r="EJ288" s="37"/>
      <c r="EK288" s="34"/>
      <c r="EL288" s="37"/>
      <c r="EM288" s="37"/>
      <c r="EN288" s="37"/>
      <c r="EO288" s="37"/>
      <c r="EP288" s="40" t="s">
        <v>3559</v>
      </c>
    </row>
    <row r="289">
      <c r="A289" s="45"/>
      <c r="B289" s="42" t="s">
        <v>8733</v>
      </c>
      <c r="C289" s="43"/>
      <c r="D289" s="43"/>
      <c r="E289" s="42" t="s">
        <v>8734</v>
      </c>
      <c r="F289" s="43"/>
      <c r="G289" s="42" t="s">
        <v>8735</v>
      </c>
      <c r="H289" s="42" t="s">
        <v>3867</v>
      </c>
      <c r="I289" s="42" t="s">
        <v>3897</v>
      </c>
      <c r="J289" s="42" t="s">
        <v>4689</v>
      </c>
      <c r="K289" s="42" t="s">
        <v>8736</v>
      </c>
      <c r="L289" s="42" t="s">
        <v>8737</v>
      </c>
      <c r="M289" s="42" t="s">
        <v>8738</v>
      </c>
      <c r="N289" s="42" t="s">
        <v>5145</v>
      </c>
      <c r="O289" s="42" t="s">
        <v>8739</v>
      </c>
      <c r="P289" s="42"/>
      <c r="R289" s="42" t="s">
        <v>3571</v>
      </c>
      <c r="S289" s="42" t="s">
        <v>3572</v>
      </c>
      <c r="T289" s="42" t="s">
        <v>5147</v>
      </c>
      <c r="U289" s="44" t="s">
        <v>8740</v>
      </c>
      <c r="V289" s="44" t="s">
        <v>8741</v>
      </c>
      <c r="W289" s="45"/>
      <c r="X289" s="43"/>
      <c r="Y289" s="43"/>
      <c r="Z289" s="43"/>
      <c r="AA289" s="41">
        <v>2008.0</v>
      </c>
      <c r="AB289" s="43"/>
      <c r="AC289" s="43"/>
      <c r="AD289" s="43"/>
      <c r="AE289" s="45"/>
      <c r="AF289" s="45"/>
      <c r="AG289" s="45"/>
      <c r="AH289" s="45"/>
      <c r="AI289" s="45"/>
      <c r="AJ289" s="45"/>
      <c r="AK289" s="45"/>
      <c r="AL289" s="45"/>
      <c r="AM289" s="45"/>
      <c r="AN289" s="45"/>
      <c r="AO289" s="42" t="s">
        <v>8742</v>
      </c>
      <c r="AP289" s="42" t="s">
        <v>8743</v>
      </c>
      <c r="AQ289" s="42" t="s">
        <v>6137</v>
      </c>
      <c r="AR289" s="42" t="s">
        <v>8744</v>
      </c>
      <c r="AS289" s="43"/>
      <c r="AT289" s="42" t="s">
        <v>3581</v>
      </c>
      <c r="AU289" s="42" t="s">
        <v>8745</v>
      </c>
      <c r="AV289" s="42" t="s">
        <v>8746</v>
      </c>
      <c r="AW289" s="42" t="s">
        <v>75</v>
      </c>
      <c r="AX289" s="43"/>
      <c r="AY289" s="41">
        <v>6713701.0</v>
      </c>
      <c r="AZ289" s="42" t="s">
        <v>41</v>
      </c>
      <c r="BA289" s="45"/>
      <c r="BB289" s="45"/>
      <c r="BC289" s="42" t="s">
        <v>8747</v>
      </c>
      <c r="BD289" s="42" t="s">
        <v>3584</v>
      </c>
      <c r="BE289" s="42" t="s">
        <v>3584</v>
      </c>
      <c r="BF289" s="42" t="s">
        <v>8748</v>
      </c>
      <c r="BG289" s="43"/>
      <c r="BH289" s="45"/>
      <c r="BI289" s="43"/>
      <c r="BJ289" s="42" t="s">
        <v>8749</v>
      </c>
      <c r="BK289" s="43"/>
      <c r="BL289" s="43"/>
      <c r="BM289" s="42" t="s">
        <v>8750</v>
      </c>
      <c r="BN289" s="43"/>
      <c r="BO289" s="43"/>
      <c r="BP289" s="43"/>
      <c r="BQ289" s="45"/>
      <c r="BR289" s="45"/>
      <c r="BS289" s="43"/>
      <c r="BT289" s="45"/>
      <c r="BU289" s="43"/>
      <c r="BV289" s="42" t="s">
        <v>3589</v>
      </c>
      <c r="BW289" s="43"/>
      <c r="BX289" s="43"/>
      <c r="BY289" s="42" t="s">
        <v>3590</v>
      </c>
      <c r="BZ289" s="43"/>
      <c r="CA289" s="42" t="s">
        <v>3591</v>
      </c>
      <c r="CB289" s="45"/>
      <c r="CC289" s="45"/>
      <c r="CD289" s="43"/>
      <c r="CE289" s="45"/>
      <c r="CF289" s="43"/>
      <c r="CG289" s="42" t="s">
        <v>3589</v>
      </c>
      <c r="CH289" s="43"/>
      <c r="CI289" s="43"/>
      <c r="CJ289" s="42" t="s">
        <v>3590</v>
      </c>
      <c r="CK289" s="45"/>
      <c r="CL289" s="45"/>
      <c r="CM289" s="43"/>
      <c r="CN289" s="42" t="s">
        <v>3591</v>
      </c>
      <c r="CO289" s="47">
        <v>0.0</v>
      </c>
      <c r="CP289" s="41">
        <v>14.0</v>
      </c>
      <c r="CQ289" s="47">
        <v>0.0</v>
      </c>
      <c r="CR289" s="47">
        <v>0.0</v>
      </c>
      <c r="CS289" s="47">
        <v>0.0</v>
      </c>
      <c r="CT289" s="41">
        <v>12.0</v>
      </c>
      <c r="CU289" s="45"/>
      <c r="CV289" s="45"/>
      <c r="CW289" s="47">
        <v>0.0</v>
      </c>
      <c r="CX289" s="41">
        <v>12.0</v>
      </c>
      <c r="CY289" s="41" t="s">
        <v>8489</v>
      </c>
      <c r="CZ289" s="41">
        <v>21.0</v>
      </c>
      <c r="DA289" s="41" t="s">
        <v>3598</v>
      </c>
      <c r="DB289" s="47">
        <v>0.0</v>
      </c>
      <c r="DC289" s="41" t="s">
        <v>8489</v>
      </c>
      <c r="DD289" s="41">
        <v>23.0</v>
      </c>
      <c r="DE289" s="45"/>
      <c r="DF289" s="45"/>
      <c r="DG289" s="41" t="s">
        <v>8489</v>
      </c>
      <c r="DH289" s="41">
        <v>20.0</v>
      </c>
      <c r="DI289" s="45"/>
      <c r="DJ289" s="45"/>
      <c r="DK289" s="45"/>
      <c r="DL289" s="41">
        <v>11.0</v>
      </c>
      <c r="DM289" s="41">
        <v>2.0</v>
      </c>
      <c r="DN289" s="47">
        <v>0.2222</v>
      </c>
      <c r="DO289" s="41" t="s">
        <v>3600</v>
      </c>
      <c r="DP289" s="46" t="s">
        <v>4664</v>
      </c>
      <c r="DQ289" s="45"/>
      <c r="DR289" s="45"/>
      <c r="DS289" s="45"/>
      <c r="DT289" s="45"/>
      <c r="DU289" s="45"/>
      <c r="DV289" s="45"/>
      <c r="DW289" s="43"/>
      <c r="DX289" s="45"/>
      <c r="DY289" s="43"/>
      <c r="DZ289" s="45"/>
      <c r="EA289" s="45"/>
      <c r="EB289" s="43"/>
      <c r="EC289" s="45"/>
      <c r="ED289" s="45"/>
      <c r="EE289" s="45"/>
      <c r="EF289" s="45"/>
      <c r="EG289" s="43"/>
      <c r="EH289" s="45"/>
      <c r="EI289" s="45"/>
      <c r="EJ289" s="45"/>
      <c r="EK289" s="43"/>
      <c r="EL289" s="45"/>
      <c r="EM289" s="45"/>
      <c r="EN289" s="45"/>
      <c r="EO289" s="45"/>
      <c r="EP289" s="48" t="s">
        <v>3559</v>
      </c>
    </row>
    <row r="290">
      <c r="A290" s="37"/>
      <c r="B290" s="35" t="s">
        <v>8751</v>
      </c>
      <c r="C290" s="34"/>
      <c r="D290" s="34"/>
      <c r="E290" s="35" t="s">
        <v>8752</v>
      </c>
      <c r="F290" s="34"/>
      <c r="G290" s="35" t="s">
        <v>8753</v>
      </c>
      <c r="H290" s="35" t="s">
        <v>4560</v>
      </c>
      <c r="I290" s="35" t="s">
        <v>4561</v>
      </c>
      <c r="J290" s="35" t="s">
        <v>66</v>
      </c>
      <c r="K290" s="35" t="s">
        <v>6997</v>
      </c>
      <c r="L290" s="34"/>
      <c r="M290" s="35" t="s">
        <v>8754</v>
      </c>
      <c r="N290" s="35" t="s">
        <v>4923</v>
      </c>
      <c r="O290" s="35" t="s">
        <v>8755</v>
      </c>
      <c r="P290" s="35"/>
      <c r="R290" s="35" t="s">
        <v>3571</v>
      </c>
      <c r="S290" s="35" t="s">
        <v>4925</v>
      </c>
      <c r="T290" s="35" t="s">
        <v>4926</v>
      </c>
      <c r="U290" s="36" t="s">
        <v>8756</v>
      </c>
      <c r="V290" s="36" t="s">
        <v>8757</v>
      </c>
      <c r="W290" s="32">
        <v>11.0</v>
      </c>
      <c r="X290" s="53">
        <v>84.25763888888889</v>
      </c>
      <c r="Y290" s="34"/>
      <c r="Z290" s="34"/>
      <c r="AA290" s="32">
        <v>2011.0</v>
      </c>
      <c r="AB290" s="34"/>
      <c r="AC290" s="34"/>
      <c r="AD290" s="34"/>
      <c r="AE290" s="37"/>
      <c r="AF290" s="37"/>
      <c r="AG290" s="37"/>
      <c r="AH290" s="37"/>
      <c r="AI290" s="37"/>
      <c r="AJ290" s="37"/>
      <c r="AK290" s="37"/>
      <c r="AL290" s="37"/>
      <c r="AM290" s="37"/>
      <c r="AN290" s="37"/>
      <c r="AO290" s="35" t="s">
        <v>8758</v>
      </c>
      <c r="AP290" s="35" t="s">
        <v>8759</v>
      </c>
      <c r="AQ290" s="35" t="s">
        <v>4093</v>
      </c>
      <c r="AR290" s="34"/>
      <c r="AS290" s="34" t="str">
        <f>+972 (0)4 999 0622</f>
        <v>#ERROR!</v>
      </c>
      <c r="AT290" s="35" t="s">
        <v>3581</v>
      </c>
      <c r="AU290" s="35" t="s">
        <v>8760</v>
      </c>
      <c r="AV290" s="34"/>
      <c r="AW290" s="35" t="s">
        <v>75</v>
      </c>
      <c r="AX290" s="34"/>
      <c r="AY290" s="37"/>
      <c r="AZ290" s="35" t="s">
        <v>41</v>
      </c>
      <c r="BA290" s="37" t="str">
        <f>+972 (0)4 999 0622</f>
        <v>#ERROR!</v>
      </c>
      <c r="BB290" s="37"/>
      <c r="BC290" s="34"/>
      <c r="BD290" s="35" t="s">
        <v>3584</v>
      </c>
      <c r="BE290" s="35" t="s">
        <v>3584</v>
      </c>
      <c r="BF290" s="34"/>
      <c r="BG290" s="34"/>
      <c r="BH290" s="37"/>
      <c r="BI290" s="34"/>
      <c r="BJ290" s="34"/>
      <c r="BK290" s="34"/>
      <c r="BL290" s="34"/>
      <c r="BM290" s="34"/>
      <c r="BN290" s="34"/>
      <c r="BO290" s="34"/>
      <c r="BP290" s="34"/>
      <c r="BQ290" s="37"/>
      <c r="BR290" s="37"/>
      <c r="BS290" s="34"/>
      <c r="BT290" s="37"/>
      <c r="BU290" s="34"/>
      <c r="BV290" s="34"/>
      <c r="BW290" s="34"/>
      <c r="BX290" s="34"/>
      <c r="BY290" s="34"/>
      <c r="BZ290" s="34"/>
      <c r="CA290" s="34"/>
      <c r="CB290" s="37"/>
      <c r="CC290" s="37"/>
      <c r="CD290" s="34"/>
      <c r="CE290" s="37"/>
      <c r="CF290" s="34"/>
      <c r="CG290" s="34"/>
      <c r="CH290" s="34"/>
      <c r="CI290" s="34"/>
      <c r="CJ290" s="34"/>
      <c r="CK290" s="37"/>
      <c r="CL290" s="37"/>
      <c r="CM290" s="34"/>
      <c r="CN290" s="34"/>
      <c r="CO290" s="39">
        <v>0.0</v>
      </c>
      <c r="CP290" s="32">
        <v>14.0</v>
      </c>
      <c r="CQ290" s="39">
        <v>0.0</v>
      </c>
      <c r="CR290" s="39">
        <v>0.0</v>
      </c>
      <c r="CS290" s="39">
        <v>0.0</v>
      </c>
      <c r="CT290" s="32">
        <v>12.0</v>
      </c>
      <c r="CU290" s="39">
        <v>0.0</v>
      </c>
      <c r="CV290" s="32">
        <v>10.0</v>
      </c>
      <c r="CW290" s="39">
        <v>0.0</v>
      </c>
      <c r="CX290" s="32">
        <v>12.0</v>
      </c>
      <c r="CY290" s="32" t="s">
        <v>6632</v>
      </c>
      <c r="CZ290" s="32">
        <v>44.0</v>
      </c>
      <c r="DA290" s="32" t="s">
        <v>3598</v>
      </c>
      <c r="DB290" s="39">
        <v>0.0</v>
      </c>
      <c r="DC290" s="32" t="s">
        <v>6632</v>
      </c>
      <c r="DD290" s="32">
        <v>47.0</v>
      </c>
      <c r="DE290" s="32" t="s">
        <v>3598</v>
      </c>
      <c r="DF290" s="32">
        <v>1.0</v>
      </c>
      <c r="DG290" s="32" t="s">
        <v>3918</v>
      </c>
      <c r="DH290" s="32">
        <v>66.0</v>
      </c>
      <c r="DI290" s="32">
        <v>0.0</v>
      </c>
      <c r="DJ290" s="32">
        <v>0.0</v>
      </c>
      <c r="DK290" s="39">
        <v>0.0</v>
      </c>
      <c r="DL290" s="32">
        <v>40.0</v>
      </c>
      <c r="DM290" s="32">
        <v>1.0</v>
      </c>
      <c r="DN290" s="39">
        <v>0.0256</v>
      </c>
      <c r="DO290" s="32" t="s">
        <v>3600</v>
      </c>
      <c r="DP290" s="38" t="s">
        <v>8761</v>
      </c>
      <c r="DQ290" s="37"/>
      <c r="DR290" s="37"/>
      <c r="DS290" s="37"/>
      <c r="DT290" s="37"/>
      <c r="DU290" s="37"/>
      <c r="DV290" s="37"/>
      <c r="DW290" s="34"/>
      <c r="DX290" s="37"/>
      <c r="DY290" s="34"/>
      <c r="DZ290" s="37"/>
      <c r="EA290" s="37"/>
      <c r="EB290" s="34"/>
      <c r="EC290" s="37"/>
      <c r="ED290" s="37"/>
      <c r="EE290" s="37"/>
      <c r="EF290" s="37"/>
      <c r="EG290" s="34"/>
      <c r="EH290" s="37"/>
      <c r="EI290" s="37"/>
      <c r="EJ290" s="37"/>
      <c r="EK290" s="34"/>
      <c r="EL290" s="37"/>
      <c r="EM290" s="37"/>
      <c r="EN290" s="37"/>
      <c r="EO290" s="37"/>
      <c r="EP290" s="40" t="s">
        <v>3559</v>
      </c>
    </row>
    <row r="291">
      <c r="A291" s="45"/>
      <c r="B291" s="42" t="s">
        <v>8762</v>
      </c>
      <c r="C291" s="43"/>
      <c r="D291" s="43"/>
      <c r="E291" s="43"/>
      <c r="F291" s="43"/>
      <c r="G291" s="42" t="s">
        <v>8763</v>
      </c>
      <c r="H291" s="42" t="s">
        <v>4560</v>
      </c>
      <c r="I291" s="42" t="s">
        <v>4561</v>
      </c>
      <c r="J291" s="42" t="s">
        <v>66</v>
      </c>
      <c r="K291" s="42" t="s">
        <v>4562</v>
      </c>
      <c r="L291" s="42" t="s">
        <v>6078</v>
      </c>
      <c r="M291" s="42" t="s">
        <v>8764</v>
      </c>
      <c r="N291" s="42" t="s">
        <v>5481</v>
      </c>
      <c r="O291" s="42" t="s">
        <v>8765</v>
      </c>
      <c r="P291" s="42"/>
      <c r="R291" s="42" t="s">
        <v>5222</v>
      </c>
      <c r="S291" s="42" t="s">
        <v>5222</v>
      </c>
      <c r="T291" s="42" t="s">
        <v>5147</v>
      </c>
      <c r="U291" s="43"/>
      <c r="V291" s="43"/>
      <c r="W291" s="45"/>
      <c r="X291" s="43"/>
      <c r="Y291" s="43"/>
      <c r="Z291" s="43"/>
      <c r="AA291" s="41">
        <v>2014.0</v>
      </c>
      <c r="AB291" s="43"/>
      <c r="AC291" s="43"/>
      <c r="AD291" s="43"/>
      <c r="AE291" s="45"/>
      <c r="AF291" s="45"/>
      <c r="AG291" s="45"/>
      <c r="AH291" s="45"/>
      <c r="AI291" s="45"/>
      <c r="AJ291" s="45"/>
      <c r="AK291" s="45"/>
      <c r="AL291" s="45"/>
      <c r="AM291" s="45"/>
      <c r="AN291" s="45"/>
      <c r="AO291" s="43"/>
      <c r="AP291" s="43"/>
      <c r="AQ291" s="43"/>
      <c r="AR291" s="43"/>
      <c r="AS291" s="43"/>
      <c r="AT291" s="42" t="s">
        <v>4997</v>
      </c>
      <c r="AU291" s="43"/>
      <c r="AV291" s="43"/>
      <c r="AW291" s="42" t="s">
        <v>2433</v>
      </c>
      <c r="AX291" s="43"/>
      <c r="AY291" s="45"/>
      <c r="AZ291" s="42" t="s">
        <v>41</v>
      </c>
      <c r="BA291" s="45"/>
      <c r="BB291" s="45"/>
      <c r="BC291" s="43"/>
      <c r="BD291" s="42" t="s">
        <v>3584</v>
      </c>
      <c r="BE291" s="42" t="s">
        <v>3584</v>
      </c>
      <c r="BF291" s="42" t="s">
        <v>8766</v>
      </c>
      <c r="BG291" s="43"/>
      <c r="BH291" s="45"/>
      <c r="BI291" s="43"/>
      <c r="BJ291" s="43"/>
      <c r="BK291" s="43"/>
      <c r="BL291" s="43"/>
      <c r="BM291" s="43"/>
      <c r="BN291" s="43"/>
      <c r="BO291" s="43"/>
      <c r="BP291" s="43"/>
      <c r="BQ291" s="45"/>
      <c r="BR291" s="45"/>
      <c r="BS291" s="43"/>
      <c r="BT291" s="45"/>
      <c r="BU291" s="43"/>
      <c r="BV291" s="42" t="s">
        <v>3589</v>
      </c>
      <c r="BW291" s="43"/>
      <c r="BX291" s="43"/>
      <c r="BY291" s="42" t="s">
        <v>3590</v>
      </c>
      <c r="BZ291" s="43"/>
      <c r="CA291" s="42" t="s">
        <v>3591</v>
      </c>
      <c r="CB291" s="45"/>
      <c r="CC291" s="45"/>
      <c r="CD291" s="43"/>
      <c r="CE291" s="45"/>
      <c r="CF291" s="43"/>
      <c r="CG291" s="42" t="s">
        <v>5222</v>
      </c>
      <c r="CH291" s="43"/>
      <c r="CI291" s="43"/>
      <c r="CJ291" s="42" t="s">
        <v>5222</v>
      </c>
      <c r="CK291" s="45"/>
      <c r="CL291" s="45"/>
      <c r="CM291" s="43"/>
      <c r="CN291" s="42" t="s">
        <v>3591</v>
      </c>
      <c r="CO291" s="45"/>
      <c r="CP291" s="45"/>
      <c r="CQ291" s="45"/>
      <c r="CR291" s="45"/>
      <c r="CS291" s="45"/>
      <c r="CT291" s="45"/>
      <c r="CU291" s="45"/>
      <c r="CV291" s="45"/>
      <c r="CW291" s="45"/>
      <c r="CX291" s="45"/>
      <c r="CY291" s="45"/>
      <c r="CZ291" s="45"/>
      <c r="DA291" s="45"/>
      <c r="DB291" s="45"/>
      <c r="DC291" s="45"/>
      <c r="DD291" s="45"/>
      <c r="DE291" s="45"/>
      <c r="DF291" s="45"/>
      <c r="DG291" s="45"/>
      <c r="DH291" s="45"/>
      <c r="DI291" s="45"/>
      <c r="DJ291" s="45"/>
      <c r="DK291" s="45"/>
      <c r="DL291" s="45"/>
      <c r="DM291" s="45"/>
      <c r="DN291" s="45"/>
      <c r="DO291" s="41" t="s">
        <v>3600</v>
      </c>
      <c r="DP291" s="46" t="s">
        <v>5177</v>
      </c>
      <c r="DQ291" s="45"/>
      <c r="DR291" s="45"/>
      <c r="DS291" s="45"/>
      <c r="DT291" s="45"/>
      <c r="DU291" s="45"/>
      <c r="DV291" s="45"/>
      <c r="DW291" s="43"/>
      <c r="DX291" s="45"/>
      <c r="DY291" s="43"/>
      <c r="DZ291" s="45"/>
      <c r="EA291" s="45"/>
      <c r="EB291" s="43"/>
      <c r="EC291" s="45"/>
      <c r="ED291" s="45"/>
      <c r="EE291" s="45"/>
      <c r="EF291" s="45"/>
      <c r="EG291" s="43"/>
      <c r="EH291" s="45"/>
      <c r="EI291" s="45"/>
      <c r="EJ291" s="45"/>
      <c r="EK291" s="43"/>
      <c r="EL291" s="45"/>
      <c r="EM291" s="45"/>
      <c r="EN291" s="45"/>
      <c r="EO291" s="45"/>
      <c r="EP291" s="48" t="s">
        <v>3559</v>
      </c>
    </row>
    <row r="292">
      <c r="A292" s="32">
        <v>6.0</v>
      </c>
      <c r="B292" s="35" t="s">
        <v>8767</v>
      </c>
      <c r="C292" s="34"/>
      <c r="D292" s="35" t="s">
        <v>512</v>
      </c>
      <c r="E292" s="35" t="s">
        <v>8768</v>
      </c>
      <c r="F292" s="34"/>
      <c r="G292" s="35" t="s">
        <v>8769</v>
      </c>
      <c r="H292" s="35" t="s">
        <v>3867</v>
      </c>
      <c r="I292" s="35" t="s">
        <v>3868</v>
      </c>
      <c r="J292" s="35" t="s">
        <v>3869</v>
      </c>
      <c r="K292" s="35" t="s">
        <v>3925</v>
      </c>
      <c r="L292" s="35" t="s">
        <v>6037</v>
      </c>
      <c r="M292" s="35" t="s">
        <v>8770</v>
      </c>
      <c r="N292" s="35" t="s">
        <v>5018</v>
      </c>
      <c r="O292" s="35" t="s">
        <v>8771</v>
      </c>
      <c r="P292" s="35"/>
      <c r="R292" s="35" t="s">
        <v>3571</v>
      </c>
      <c r="S292" s="35" t="s">
        <v>3572</v>
      </c>
      <c r="T292" s="35" t="s">
        <v>3573</v>
      </c>
      <c r="U292" s="36" t="s">
        <v>8772</v>
      </c>
      <c r="V292" s="36" t="s">
        <v>8773</v>
      </c>
      <c r="W292" s="32">
        <v>13.0</v>
      </c>
      <c r="X292" s="35" t="s">
        <v>8774</v>
      </c>
      <c r="Y292" s="34"/>
      <c r="Z292" s="34"/>
      <c r="AA292" s="32">
        <v>2011.0</v>
      </c>
      <c r="AB292" s="34"/>
      <c r="AC292" s="34"/>
      <c r="AD292" s="34"/>
      <c r="AE292" s="37"/>
      <c r="AF292" s="37"/>
      <c r="AG292" s="37"/>
      <c r="AH292" s="37"/>
      <c r="AI292" s="37"/>
      <c r="AJ292" s="37"/>
      <c r="AK292" s="37"/>
      <c r="AL292" s="37"/>
      <c r="AM292" s="37"/>
      <c r="AN292" s="37"/>
      <c r="AO292" s="35" t="s">
        <v>8775</v>
      </c>
      <c r="AP292" s="35" t="s">
        <v>8776</v>
      </c>
      <c r="AQ292" s="35" t="s">
        <v>3982</v>
      </c>
      <c r="AR292" s="35" t="s">
        <v>8777</v>
      </c>
      <c r="AS292" s="34" t="str">
        <f>+972 (0)54 452 7338</f>
        <v>#ERROR!</v>
      </c>
      <c r="AT292" s="35" t="s">
        <v>3581</v>
      </c>
      <c r="AU292" s="35" t="s">
        <v>8778</v>
      </c>
      <c r="AV292" s="34"/>
      <c r="AW292" s="35" t="s">
        <v>75</v>
      </c>
      <c r="AX292" s="34"/>
      <c r="AY292" s="32">
        <v>6165002.0</v>
      </c>
      <c r="AZ292" s="35" t="s">
        <v>41</v>
      </c>
      <c r="BA292" s="37" t="str">
        <f>+972 (0)54 452 7338</f>
        <v>#ERROR!</v>
      </c>
      <c r="BB292" s="37"/>
      <c r="BC292" s="35" t="s">
        <v>519</v>
      </c>
      <c r="BD292" s="35" t="s">
        <v>3584</v>
      </c>
      <c r="BE292" s="35" t="s">
        <v>3584</v>
      </c>
      <c r="BF292" s="35" t="s">
        <v>8779</v>
      </c>
      <c r="BG292" s="34"/>
      <c r="BH292" s="37"/>
      <c r="BI292" s="34"/>
      <c r="BJ292" s="35" t="s">
        <v>8780</v>
      </c>
      <c r="BK292" s="34"/>
      <c r="BL292" s="34"/>
      <c r="BM292" s="34"/>
      <c r="BN292" s="34"/>
      <c r="BO292" s="34"/>
      <c r="BP292" s="34"/>
      <c r="BQ292" s="37"/>
      <c r="BR292" s="37"/>
      <c r="BS292" s="34"/>
      <c r="BT292" s="37"/>
      <c r="BU292" s="34"/>
      <c r="BV292" s="35" t="s">
        <v>3802</v>
      </c>
      <c r="BW292" s="35" t="s">
        <v>3802</v>
      </c>
      <c r="BX292" s="34"/>
      <c r="BY292" s="35" t="s">
        <v>3803</v>
      </c>
      <c r="BZ292" s="34"/>
      <c r="CA292" s="35" t="s">
        <v>3591</v>
      </c>
      <c r="CB292" s="38" t="s">
        <v>8781</v>
      </c>
      <c r="CC292" s="37"/>
      <c r="CD292" s="34"/>
      <c r="CE292" s="37"/>
      <c r="CF292" s="34"/>
      <c r="CG292" s="35" t="s">
        <v>3830</v>
      </c>
      <c r="CH292" s="34"/>
      <c r="CI292" s="34"/>
      <c r="CJ292" s="35" t="s">
        <v>3590</v>
      </c>
      <c r="CK292" s="37"/>
      <c r="CL292" s="37"/>
      <c r="CM292" s="34"/>
      <c r="CN292" s="35" t="s">
        <v>3591</v>
      </c>
      <c r="CO292" s="37"/>
      <c r="CP292" s="37"/>
      <c r="CQ292" s="37"/>
      <c r="CR292" s="37"/>
      <c r="CS292" s="37"/>
      <c r="CT292" s="37"/>
      <c r="CU292" s="37"/>
      <c r="CV292" s="37"/>
      <c r="CW292" s="37"/>
      <c r="CX292" s="37"/>
      <c r="CY292" s="37"/>
      <c r="CZ292" s="37"/>
      <c r="DA292" s="37"/>
      <c r="DB292" s="37"/>
      <c r="DC292" s="37"/>
      <c r="DD292" s="37"/>
      <c r="DE292" s="37"/>
      <c r="DF292" s="37"/>
      <c r="DG292" s="37"/>
      <c r="DH292" s="37"/>
      <c r="DI292" s="37"/>
      <c r="DJ292" s="37"/>
      <c r="DK292" s="37"/>
      <c r="DL292" s="37"/>
      <c r="DM292" s="37"/>
      <c r="DN292" s="37"/>
      <c r="DO292" s="32" t="s">
        <v>3600</v>
      </c>
      <c r="DP292" s="38" t="s">
        <v>8782</v>
      </c>
      <c r="DQ292" s="32">
        <v>14.0</v>
      </c>
      <c r="DR292" s="32">
        <v>5.0</v>
      </c>
      <c r="DS292" s="37"/>
      <c r="DT292" s="37"/>
      <c r="DU292" s="37"/>
      <c r="DV292" s="32">
        <v>14.0</v>
      </c>
      <c r="DW292" s="34"/>
      <c r="DX292" s="37"/>
      <c r="DY292" s="34"/>
      <c r="DZ292" s="37"/>
      <c r="EA292" s="37"/>
      <c r="EB292" s="34"/>
      <c r="EC292" s="37"/>
      <c r="ED292" s="37"/>
      <c r="EE292" s="37"/>
      <c r="EF292" s="37"/>
      <c r="EG292" s="34"/>
      <c r="EH292" s="37"/>
      <c r="EI292" s="37"/>
      <c r="EJ292" s="37"/>
      <c r="EK292" s="34"/>
      <c r="EL292" s="37"/>
      <c r="EM292" s="37"/>
      <c r="EN292" s="37"/>
      <c r="EO292" s="37"/>
      <c r="EP292" s="40" t="s">
        <v>3559</v>
      </c>
    </row>
    <row r="293">
      <c r="A293" s="41">
        <v>17.0</v>
      </c>
      <c r="B293" s="42" t="s">
        <v>8783</v>
      </c>
      <c r="C293" s="43"/>
      <c r="D293" s="43"/>
      <c r="E293" s="42" t="s">
        <v>8784</v>
      </c>
      <c r="F293" s="42" t="s">
        <v>8785</v>
      </c>
      <c r="G293" s="42" t="s">
        <v>8786</v>
      </c>
      <c r="H293" s="42" t="s">
        <v>3563</v>
      </c>
      <c r="I293" s="42" t="s">
        <v>3564</v>
      </c>
      <c r="J293" s="42" t="s">
        <v>3642</v>
      </c>
      <c r="K293" s="42" t="s">
        <v>8787</v>
      </c>
      <c r="L293" s="42" t="s">
        <v>8788</v>
      </c>
      <c r="M293" s="42" t="s">
        <v>8789</v>
      </c>
      <c r="N293" s="42" t="s">
        <v>5018</v>
      </c>
      <c r="O293" s="42" t="s">
        <v>8790</v>
      </c>
      <c r="P293" s="42"/>
      <c r="R293" s="42" t="s">
        <v>3571</v>
      </c>
      <c r="S293" s="42" t="s">
        <v>5020</v>
      </c>
      <c r="T293" s="42" t="s">
        <v>3573</v>
      </c>
      <c r="U293" s="44" t="s">
        <v>8791</v>
      </c>
      <c r="V293" s="43"/>
      <c r="W293" s="41">
        <v>56.0</v>
      </c>
      <c r="X293" s="42" t="s">
        <v>8792</v>
      </c>
      <c r="Y293" s="43"/>
      <c r="Z293" s="43"/>
      <c r="AA293" s="41">
        <v>2016.0</v>
      </c>
      <c r="AB293" s="43"/>
      <c r="AC293" s="43"/>
      <c r="AD293" s="43"/>
      <c r="AE293" s="45"/>
      <c r="AF293" s="45"/>
      <c r="AG293" s="45"/>
      <c r="AH293" s="45"/>
      <c r="AI293" s="45"/>
      <c r="AJ293" s="45"/>
      <c r="AK293" s="45"/>
      <c r="AL293" s="45"/>
      <c r="AM293" s="45"/>
      <c r="AN293" s="45"/>
      <c r="AO293" s="43"/>
      <c r="AP293" s="43"/>
      <c r="AQ293" s="43"/>
      <c r="AR293" s="43"/>
      <c r="AS293" s="43"/>
      <c r="AT293" s="42" t="s">
        <v>3581</v>
      </c>
      <c r="AU293" s="42" t="s">
        <v>8793</v>
      </c>
      <c r="AV293" s="43"/>
      <c r="AW293" s="42" t="s">
        <v>75</v>
      </c>
      <c r="AX293" s="43"/>
      <c r="AY293" s="41">
        <v>6971901.0</v>
      </c>
      <c r="AZ293" s="42" t="s">
        <v>41</v>
      </c>
      <c r="BA293" s="45"/>
      <c r="BB293" s="45"/>
      <c r="BC293" s="43"/>
      <c r="BD293" s="42" t="s">
        <v>3584</v>
      </c>
      <c r="BE293" s="42" t="s">
        <v>3584</v>
      </c>
      <c r="BF293" s="42" t="s">
        <v>8794</v>
      </c>
      <c r="BG293" s="43"/>
      <c r="BH293" s="45"/>
      <c r="BI293" s="42" t="s">
        <v>3969</v>
      </c>
      <c r="BJ293" s="42" t="s">
        <v>8795</v>
      </c>
      <c r="BK293" s="43"/>
      <c r="BL293" s="43"/>
      <c r="BM293" s="42" t="s">
        <v>8796</v>
      </c>
      <c r="BN293" s="43"/>
      <c r="BO293" s="43"/>
      <c r="BP293" s="43"/>
      <c r="BQ293" s="46" t="s">
        <v>8797</v>
      </c>
      <c r="BR293" s="45"/>
      <c r="BS293" s="43"/>
      <c r="BT293" s="45"/>
      <c r="BU293" s="43"/>
      <c r="BV293" s="42" t="s">
        <v>3589</v>
      </c>
      <c r="BW293" s="43"/>
      <c r="BX293" s="43"/>
      <c r="BY293" s="42" t="s">
        <v>3590</v>
      </c>
      <c r="BZ293" s="43"/>
      <c r="CA293" s="42" t="s">
        <v>3591</v>
      </c>
      <c r="CB293" s="46" t="s">
        <v>8798</v>
      </c>
      <c r="CC293" s="45"/>
      <c r="CD293" s="43"/>
      <c r="CE293" s="45"/>
      <c r="CF293" s="43"/>
      <c r="CG293" s="42" t="s">
        <v>4977</v>
      </c>
      <c r="CH293" s="43"/>
      <c r="CI293" s="43"/>
      <c r="CJ293" s="42" t="s">
        <v>3663</v>
      </c>
      <c r="CK293" s="45"/>
      <c r="CL293" s="45"/>
      <c r="CM293" s="43"/>
      <c r="CN293" s="42" t="s">
        <v>3591</v>
      </c>
      <c r="CO293" s="45"/>
      <c r="CP293" s="45"/>
      <c r="CQ293" s="45"/>
      <c r="CR293" s="45"/>
      <c r="CS293" s="45"/>
      <c r="CT293" s="45"/>
      <c r="CU293" s="45"/>
      <c r="CV293" s="45"/>
      <c r="CW293" s="45"/>
      <c r="CX293" s="45"/>
      <c r="CY293" s="45"/>
      <c r="CZ293" s="45"/>
      <c r="DA293" s="45"/>
      <c r="DB293" s="45"/>
      <c r="DC293" s="45"/>
      <c r="DD293" s="45"/>
      <c r="DE293" s="45"/>
      <c r="DF293" s="45"/>
      <c r="DG293" s="45"/>
      <c r="DH293" s="45"/>
      <c r="DI293" s="45"/>
      <c r="DJ293" s="45"/>
      <c r="DK293" s="45"/>
      <c r="DL293" s="45"/>
      <c r="DM293" s="45"/>
      <c r="DN293" s="45"/>
      <c r="DO293" s="41" t="s">
        <v>3600</v>
      </c>
      <c r="DP293" s="46" t="s">
        <v>4193</v>
      </c>
      <c r="DQ293" s="41">
        <v>59.0</v>
      </c>
      <c r="DR293" s="41">
        <v>14.0</v>
      </c>
      <c r="DS293" s="41">
        <v>25.0</v>
      </c>
      <c r="DT293" s="41">
        <v>5.0</v>
      </c>
      <c r="DU293" s="45"/>
      <c r="DV293" s="41">
        <v>29.0</v>
      </c>
      <c r="DW293" s="42" t="s">
        <v>8799</v>
      </c>
      <c r="DX293" s="45"/>
      <c r="DY293" s="43"/>
      <c r="DZ293" s="45"/>
      <c r="EA293" s="45"/>
      <c r="EB293" s="43"/>
      <c r="EC293" s="45"/>
      <c r="ED293" s="45"/>
      <c r="EE293" s="45"/>
      <c r="EF293" s="45"/>
      <c r="EG293" s="43"/>
      <c r="EH293" s="45"/>
      <c r="EI293" s="45"/>
      <c r="EJ293" s="45"/>
      <c r="EK293" s="43"/>
      <c r="EL293" s="45"/>
      <c r="EM293" s="45"/>
      <c r="EN293" s="45"/>
      <c r="EO293" s="45"/>
      <c r="EP293" s="48" t="s">
        <v>3559</v>
      </c>
    </row>
    <row r="294">
      <c r="A294" s="37"/>
      <c r="B294" s="35" t="s">
        <v>8800</v>
      </c>
      <c r="C294" s="35" t="s">
        <v>8801</v>
      </c>
      <c r="D294" s="34"/>
      <c r="E294" s="35" t="s">
        <v>8802</v>
      </c>
      <c r="F294" s="34"/>
      <c r="G294" s="35" t="s">
        <v>8803</v>
      </c>
      <c r="H294" s="35" t="s">
        <v>4560</v>
      </c>
      <c r="I294" s="35" t="s">
        <v>4561</v>
      </c>
      <c r="J294" s="35" t="s">
        <v>66</v>
      </c>
      <c r="K294" s="35" t="s">
        <v>4562</v>
      </c>
      <c r="L294" s="34"/>
      <c r="M294" s="35" t="s">
        <v>8804</v>
      </c>
      <c r="N294" s="35" t="s">
        <v>4923</v>
      </c>
      <c r="O294" s="35" t="s">
        <v>8805</v>
      </c>
      <c r="P294" s="35"/>
      <c r="R294" s="35" t="s">
        <v>3571</v>
      </c>
      <c r="S294" s="35" t="s">
        <v>4925</v>
      </c>
      <c r="T294" s="35" t="s">
        <v>4926</v>
      </c>
      <c r="U294" s="36" t="s">
        <v>8806</v>
      </c>
      <c r="V294" s="36" t="s">
        <v>8807</v>
      </c>
      <c r="W294" s="32">
        <v>72.0</v>
      </c>
      <c r="X294" s="53">
        <v>84.34166666666667</v>
      </c>
      <c r="Y294" s="34"/>
      <c r="Z294" s="34"/>
      <c r="AA294" s="32">
        <v>1946.0</v>
      </c>
      <c r="AB294" s="34"/>
      <c r="AC294" s="34"/>
      <c r="AD294" s="34"/>
      <c r="AE294" s="37"/>
      <c r="AF294" s="37"/>
      <c r="AG294" s="37"/>
      <c r="AH294" s="37"/>
      <c r="AI294" s="37"/>
      <c r="AJ294" s="37"/>
      <c r="AK294" s="37"/>
      <c r="AL294" s="37"/>
      <c r="AM294" s="37"/>
      <c r="AN294" s="37"/>
      <c r="AO294" s="35" t="s">
        <v>8808</v>
      </c>
      <c r="AP294" s="35" t="s">
        <v>8809</v>
      </c>
      <c r="AQ294" s="35" t="s">
        <v>4093</v>
      </c>
      <c r="AR294" s="34"/>
      <c r="AS294" s="34" t="str">
        <f>+972 (0)3 565 5555</f>
        <v>#ERROR!</v>
      </c>
      <c r="AT294" s="35" t="s">
        <v>4211</v>
      </c>
      <c r="AU294" s="35" t="s">
        <v>8810</v>
      </c>
      <c r="AV294" s="34"/>
      <c r="AW294" s="35" t="s">
        <v>4213</v>
      </c>
      <c r="AX294" s="34"/>
      <c r="AY294" s="37"/>
      <c r="AZ294" s="35" t="s">
        <v>41</v>
      </c>
      <c r="BA294" s="37" t="str">
        <f>+972 (0)3 565 5555</f>
        <v>#ERROR!</v>
      </c>
      <c r="BB294" s="37"/>
      <c r="BC294" s="35" t="s">
        <v>8811</v>
      </c>
      <c r="BD294" s="35" t="s">
        <v>3584</v>
      </c>
      <c r="BE294" s="35" t="s">
        <v>3584</v>
      </c>
      <c r="BF294" s="34"/>
      <c r="BG294" s="34"/>
      <c r="BH294" s="37"/>
      <c r="BI294" s="34"/>
      <c r="BJ294" s="34"/>
      <c r="BK294" s="34"/>
      <c r="BL294" s="34"/>
      <c r="BM294" s="34"/>
      <c r="BN294" s="34"/>
      <c r="BO294" s="34"/>
      <c r="BP294" s="34"/>
      <c r="BQ294" s="37"/>
      <c r="BR294" s="37"/>
      <c r="BS294" s="34"/>
      <c r="BT294" s="37"/>
      <c r="BU294" s="34"/>
      <c r="BV294" s="34"/>
      <c r="BW294" s="34"/>
      <c r="BX294" s="34"/>
      <c r="BY294" s="34"/>
      <c r="BZ294" s="34"/>
      <c r="CA294" s="34"/>
      <c r="CB294" s="37"/>
      <c r="CC294" s="37"/>
      <c r="CD294" s="34"/>
      <c r="CE294" s="37"/>
      <c r="CF294" s="34"/>
      <c r="CG294" s="34"/>
      <c r="CH294" s="34"/>
      <c r="CI294" s="34"/>
      <c r="CJ294" s="34"/>
      <c r="CK294" s="37"/>
      <c r="CL294" s="37"/>
      <c r="CM294" s="34"/>
      <c r="CN294" s="34"/>
      <c r="CO294" s="39">
        <v>-0.004</v>
      </c>
      <c r="CP294" s="32">
        <v>9.0</v>
      </c>
      <c r="CQ294" s="39">
        <v>0.0</v>
      </c>
      <c r="CR294" s="39">
        <v>0.0</v>
      </c>
      <c r="CS294" s="39">
        <v>-0.004</v>
      </c>
      <c r="CT294" s="32">
        <v>8.0</v>
      </c>
      <c r="CU294" s="37"/>
      <c r="CV294" s="37"/>
      <c r="CW294" s="39">
        <v>-0.004</v>
      </c>
      <c r="CX294" s="32">
        <v>8.0</v>
      </c>
      <c r="CY294" s="32" t="s">
        <v>8812</v>
      </c>
      <c r="CZ294" s="32">
        <v>85.0</v>
      </c>
      <c r="DA294" s="32" t="s">
        <v>3598</v>
      </c>
      <c r="DB294" s="39">
        <v>0.0</v>
      </c>
      <c r="DC294" s="32" t="s">
        <v>8812</v>
      </c>
      <c r="DD294" s="32">
        <v>84.0</v>
      </c>
      <c r="DE294" s="37"/>
      <c r="DF294" s="37"/>
      <c r="DG294" s="32" t="s">
        <v>8812</v>
      </c>
      <c r="DH294" s="32">
        <v>82.0</v>
      </c>
      <c r="DI294" s="49">
        <v>3211.0</v>
      </c>
      <c r="DJ294" s="32">
        <v>226.0</v>
      </c>
      <c r="DK294" s="39">
        <v>0.0757</v>
      </c>
      <c r="DL294" s="32">
        <v>155.0</v>
      </c>
      <c r="DM294" s="32">
        <v>0.0</v>
      </c>
      <c r="DN294" s="39">
        <v>0.0</v>
      </c>
      <c r="DO294" s="32" t="s">
        <v>3600</v>
      </c>
      <c r="DP294" s="38" t="s">
        <v>8813</v>
      </c>
      <c r="DQ294" s="37"/>
      <c r="DR294" s="37"/>
      <c r="DS294" s="37"/>
      <c r="DT294" s="37"/>
      <c r="DU294" s="37"/>
      <c r="DV294" s="37"/>
      <c r="DW294" s="34"/>
      <c r="DX294" s="37"/>
      <c r="DY294" s="34"/>
      <c r="DZ294" s="37"/>
      <c r="EA294" s="37"/>
      <c r="EB294" s="34"/>
      <c r="EC294" s="37"/>
      <c r="ED294" s="37"/>
      <c r="EE294" s="37"/>
      <c r="EF294" s="37"/>
      <c r="EG294" s="34"/>
      <c r="EH294" s="37"/>
      <c r="EI294" s="37"/>
      <c r="EJ294" s="37"/>
      <c r="EK294" s="34"/>
      <c r="EL294" s="37"/>
      <c r="EM294" s="37"/>
      <c r="EN294" s="37"/>
      <c r="EO294" s="37"/>
      <c r="EP294" s="40" t="s">
        <v>3559</v>
      </c>
    </row>
    <row r="295">
      <c r="A295" s="41">
        <v>25.13</v>
      </c>
      <c r="B295" s="42" t="s">
        <v>8814</v>
      </c>
      <c r="C295" s="43"/>
      <c r="D295" s="43"/>
      <c r="E295" s="42" t="s">
        <v>8815</v>
      </c>
      <c r="F295" s="43"/>
      <c r="G295" s="42" t="s">
        <v>8816</v>
      </c>
      <c r="H295" s="42" t="s">
        <v>3563</v>
      </c>
      <c r="I295" s="42" t="s">
        <v>3564</v>
      </c>
      <c r="J295" s="42" t="s">
        <v>3565</v>
      </c>
      <c r="K295" s="42" t="s">
        <v>4303</v>
      </c>
      <c r="L295" s="43"/>
      <c r="M295" s="42" t="s">
        <v>8817</v>
      </c>
      <c r="N295" s="42" t="s">
        <v>5018</v>
      </c>
      <c r="O295" s="42" t="s">
        <v>8818</v>
      </c>
      <c r="P295" s="42"/>
      <c r="R295" s="42" t="s">
        <v>5412</v>
      </c>
      <c r="S295" s="42" t="s">
        <v>5236</v>
      </c>
      <c r="T295" s="42" t="s">
        <v>5867</v>
      </c>
      <c r="U295" s="44" t="s">
        <v>8819</v>
      </c>
      <c r="V295" s="44" t="s">
        <v>8820</v>
      </c>
      <c r="W295" s="41">
        <v>50.0</v>
      </c>
      <c r="X295" s="42" t="s">
        <v>8821</v>
      </c>
      <c r="Y295" s="42" t="s">
        <v>5417</v>
      </c>
      <c r="Z295" s="42" t="s">
        <v>8822</v>
      </c>
      <c r="AA295" s="41">
        <v>2014.0</v>
      </c>
      <c r="AB295" s="43"/>
      <c r="AC295" s="43"/>
      <c r="AD295" s="42" t="s">
        <v>8823</v>
      </c>
      <c r="AE295" s="41">
        <v>0.53</v>
      </c>
      <c r="AF295" s="41">
        <v>0.2</v>
      </c>
      <c r="AG295" s="41">
        <v>-9.44</v>
      </c>
      <c r="AH295" s="41">
        <v>3.13</v>
      </c>
      <c r="AI295" s="41">
        <v>-9.38</v>
      </c>
      <c r="AJ295" s="41">
        <v>-9.51</v>
      </c>
      <c r="AK295" s="41">
        <v>76.22</v>
      </c>
      <c r="AL295" s="41">
        <v>-3.98</v>
      </c>
      <c r="AM295" s="47">
        <v>0.1319</v>
      </c>
      <c r="AN295" s="41" t="s">
        <v>5419</v>
      </c>
      <c r="AO295" s="42" t="s">
        <v>8824</v>
      </c>
      <c r="AP295" s="42" t="s">
        <v>8825</v>
      </c>
      <c r="AQ295" s="42" t="s">
        <v>7151</v>
      </c>
      <c r="AR295" s="42" t="s">
        <v>8826</v>
      </c>
      <c r="AS295" s="43"/>
      <c r="AT295" s="42" t="s">
        <v>4211</v>
      </c>
      <c r="AU295" s="42" t="s">
        <v>8827</v>
      </c>
      <c r="AV295" s="43"/>
      <c r="AW295" s="42" t="s">
        <v>4213</v>
      </c>
      <c r="AX295" s="43"/>
      <c r="AY295" s="41">
        <v>4970602.0</v>
      </c>
      <c r="AZ295" s="42" t="s">
        <v>41</v>
      </c>
      <c r="BA295" s="45"/>
      <c r="BB295" s="45"/>
      <c r="BC295" s="43"/>
      <c r="BD295" s="42" t="s">
        <v>3584</v>
      </c>
      <c r="BE295" s="42" t="s">
        <v>3584</v>
      </c>
      <c r="BF295" s="42" t="s">
        <v>8828</v>
      </c>
      <c r="BG295" s="42" t="s">
        <v>8829</v>
      </c>
      <c r="BH295" s="41">
        <v>2.0</v>
      </c>
      <c r="BI295" s="43"/>
      <c r="BJ295" s="42" t="s">
        <v>8830</v>
      </c>
      <c r="BK295" s="42" t="s">
        <v>8831</v>
      </c>
      <c r="BL295" s="42" t="s">
        <v>8832</v>
      </c>
      <c r="BM295" s="42" t="s">
        <v>8833</v>
      </c>
      <c r="BN295" s="42" t="s">
        <v>8834</v>
      </c>
      <c r="BO295" s="42" t="s">
        <v>8835</v>
      </c>
      <c r="BP295" s="42" t="s">
        <v>8836</v>
      </c>
      <c r="BQ295" s="46" t="s">
        <v>3965</v>
      </c>
      <c r="BR295" s="41">
        <v>0.9</v>
      </c>
      <c r="BS295" s="42" t="s">
        <v>3593</v>
      </c>
      <c r="BT295" s="45"/>
      <c r="BU295" s="43"/>
      <c r="BV295" s="42" t="s">
        <v>3663</v>
      </c>
      <c r="BW295" s="42" t="s">
        <v>3663</v>
      </c>
      <c r="BX295" s="43"/>
      <c r="BY295" s="42" t="s">
        <v>3663</v>
      </c>
      <c r="BZ295" s="43"/>
      <c r="CA295" s="42" t="s">
        <v>3591</v>
      </c>
      <c r="CB295" s="46" t="s">
        <v>8837</v>
      </c>
      <c r="CC295" s="45"/>
      <c r="CD295" s="43"/>
      <c r="CE295" s="45"/>
      <c r="CF295" s="43"/>
      <c r="CG295" s="42" t="s">
        <v>4977</v>
      </c>
      <c r="CH295" s="43"/>
      <c r="CI295" s="43"/>
      <c r="CJ295" s="42" t="s">
        <v>3663</v>
      </c>
      <c r="CK295" s="45"/>
      <c r="CL295" s="45"/>
      <c r="CM295" s="43"/>
      <c r="CN295" s="42" t="s">
        <v>4321</v>
      </c>
      <c r="CO295" s="47">
        <v>0.0148</v>
      </c>
      <c r="CP295" s="41">
        <v>98.0</v>
      </c>
      <c r="CQ295" s="47">
        <v>0.0</v>
      </c>
      <c r="CR295" s="47">
        <v>0.0</v>
      </c>
      <c r="CS295" s="47">
        <v>0.0297</v>
      </c>
      <c r="CT295" s="41">
        <v>100.0</v>
      </c>
      <c r="CU295" s="45"/>
      <c r="CV295" s="45"/>
      <c r="CW295" s="47">
        <v>0.0297</v>
      </c>
      <c r="CX295" s="41">
        <v>100.0</v>
      </c>
      <c r="CY295" s="41" t="s">
        <v>8838</v>
      </c>
      <c r="CZ295" s="41">
        <v>96.0</v>
      </c>
      <c r="DA295" s="41" t="s">
        <v>3598</v>
      </c>
      <c r="DB295" s="47">
        <v>0.0</v>
      </c>
      <c r="DC295" s="41" t="s">
        <v>8839</v>
      </c>
      <c r="DD295" s="41">
        <v>98.0</v>
      </c>
      <c r="DE295" s="45"/>
      <c r="DF295" s="45"/>
      <c r="DG295" s="41" t="s">
        <v>8839</v>
      </c>
      <c r="DH295" s="41">
        <v>99.0</v>
      </c>
      <c r="DI295" s="45"/>
      <c r="DJ295" s="45"/>
      <c r="DK295" s="45"/>
      <c r="DL295" s="41">
        <v>931.0</v>
      </c>
      <c r="DM295" s="41">
        <v>1.0</v>
      </c>
      <c r="DN295" s="47">
        <v>0.0011</v>
      </c>
      <c r="DO295" s="41" t="s">
        <v>3600</v>
      </c>
      <c r="DP295" s="46" t="s">
        <v>3833</v>
      </c>
      <c r="DQ295" s="41">
        <v>37.0</v>
      </c>
      <c r="DR295" s="41">
        <v>7.0</v>
      </c>
      <c r="DS295" s="41">
        <v>25.0</v>
      </c>
      <c r="DT295" s="41">
        <v>5.0</v>
      </c>
      <c r="DU295" s="45"/>
      <c r="DV295" s="41">
        <v>7.0</v>
      </c>
      <c r="DW295" s="42" t="s">
        <v>8840</v>
      </c>
      <c r="DX295" s="45"/>
      <c r="DY295" s="43"/>
      <c r="DZ295" s="45"/>
      <c r="EA295" s="45"/>
      <c r="EB295" s="43"/>
      <c r="EC295" s="45"/>
      <c r="ED295" s="45"/>
      <c r="EE295" s="41">
        <v>32.19</v>
      </c>
      <c r="EF295" s="46" t="s">
        <v>8841</v>
      </c>
      <c r="EG295" s="42" t="s">
        <v>4532</v>
      </c>
      <c r="EH295" s="45"/>
      <c r="EI295" s="45"/>
      <c r="EJ295" s="45"/>
      <c r="EK295" s="43"/>
      <c r="EL295" s="45"/>
      <c r="EM295" s="45"/>
      <c r="EN295" s="45"/>
      <c r="EO295" s="45"/>
      <c r="EP295" s="48" t="s">
        <v>3559</v>
      </c>
    </row>
    <row r="296">
      <c r="A296" s="37"/>
      <c r="B296" s="35" t="s">
        <v>8842</v>
      </c>
      <c r="C296" s="34"/>
      <c r="D296" s="34"/>
      <c r="E296" s="34"/>
      <c r="F296" s="34"/>
      <c r="G296" s="35" t="s">
        <v>8843</v>
      </c>
      <c r="H296" s="35" t="s">
        <v>3563</v>
      </c>
      <c r="I296" s="35" t="s">
        <v>3609</v>
      </c>
      <c r="J296" s="35" t="s">
        <v>4050</v>
      </c>
      <c r="K296" s="35" t="s">
        <v>8844</v>
      </c>
      <c r="L296" s="35" t="s">
        <v>8845</v>
      </c>
      <c r="M296" s="35" t="s">
        <v>8846</v>
      </c>
      <c r="N296" s="35" t="s">
        <v>4923</v>
      </c>
      <c r="O296" s="35" t="s">
        <v>8847</v>
      </c>
      <c r="P296" s="35"/>
      <c r="R296" s="35" t="s">
        <v>3571</v>
      </c>
      <c r="S296" s="35" t="s">
        <v>4925</v>
      </c>
      <c r="T296" s="35" t="s">
        <v>4926</v>
      </c>
      <c r="U296" s="36" t="s">
        <v>8848</v>
      </c>
      <c r="V296" s="36" t="s">
        <v>8849</v>
      </c>
      <c r="W296" s="32">
        <v>3.0</v>
      </c>
      <c r="X296" s="35" t="s">
        <v>5715</v>
      </c>
      <c r="Y296" s="34"/>
      <c r="Z296" s="34"/>
      <c r="AA296" s="32">
        <v>2024.0</v>
      </c>
      <c r="AB296" s="34"/>
      <c r="AC296" s="34"/>
      <c r="AD296" s="34"/>
      <c r="AE296" s="37"/>
      <c r="AF296" s="37"/>
      <c r="AG296" s="37"/>
      <c r="AH296" s="37"/>
      <c r="AI296" s="37"/>
      <c r="AJ296" s="37"/>
      <c r="AK296" s="37"/>
      <c r="AL296" s="37"/>
      <c r="AM296" s="37"/>
      <c r="AN296" s="37"/>
      <c r="AO296" s="35" t="s">
        <v>8850</v>
      </c>
      <c r="AP296" s="35" t="s">
        <v>8851</v>
      </c>
      <c r="AQ296" s="35" t="s">
        <v>3579</v>
      </c>
      <c r="AR296" s="35" t="s">
        <v>8852</v>
      </c>
      <c r="AS296" s="34"/>
      <c r="AT296" s="35" t="s">
        <v>3718</v>
      </c>
      <c r="AU296" s="34"/>
      <c r="AV296" s="34"/>
      <c r="AW296" s="35" t="s">
        <v>552</v>
      </c>
      <c r="AX296" s="34"/>
      <c r="AY296" s="37"/>
      <c r="AZ296" s="35" t="s">
        <v>41</v>
      </c>
      <c r="BA296" s="37"/>
      <c r="BB296" s="37"/>
      <c r="BC296" s="34"/>
      <c r="BD296" s="35" t="s">
        <v>3584</v>
      </c>
      <c r="BE296" s="35" t="s">
        <v>3584</v>
      </c>
      <c r="BF296" s="34"/>
      <c r="BG296" s="34"/>
      <c r="BH296" s="37"/>
      <c r="BI296" s="34"/>
      <c r="BJ296" s="34"/>
      <c r="BK296" s="34"/>
      <c r="BL296" s="34"/>
      <c r="BM296" s="34"/>
      <c r="BN296" s="34"/>
      <c r="BO296" s="34"/>
      <c r="BP296" s="34"/>
      <c r="BQ296" s="37"/>
      <c r="BR296" s="37"/>
      <c r="BS296" s="34"/>
      <c r="BT296" s="37"/>
      <c r="BU296" s="34"/>
      <c r="BV296" s="34"/>
      <c r="BW296" s="34"/>
      <c r="BX296" s="34"/>
      <c r="BY296" s="34"/>
      <c r="BZ296" s="34"/>
      <c r="CA296" s="34"/>
      <c r="CB296" s="37"/>
      <c r="CC296" s="37"/>
      <c r="CD296" s="34"/>
      <c r="CE296" s="37"/>
      <c r="CF296" s="34"/>
      <c r="CG296" s="34"/>
      <c r="CH296" s="34"/>
      <c r="CI296" s="34"/>
      <c r="CJ296" s="34"/>
      <c r="CK296" s="37"/>
      <c r="CL296" s="37"/>
      <c r="CM296" s="34"/>
      <c r="CN296" s="34"/>
      <c r="CO296" s="37"/>
      <c r="CP296" s="37"/>
      <c r="CQ296" s="37"/>
      <c r="CR296" s="37"/>
      <c r="CS296" s="37"/>
      <c r="CT296" s="37"/>
      <c r="CU296" s="37"/>
      <c r="CV296" s="37"/>
      <c r="CW296" s="37"/>
      <c r="CX296" s="37"/>
      <c r="CY296" s="37"/>
      <c r="CZ296" s="37"/>
      <c r="DA296" s="37"/>
      <c r="DB296" s="37"/>
      <c r="DC296" s="37"/>
      <c r="DD296" s="37"/>
      <c r="DE296" s="37"/>
      <c r="DF296" s="37"/>
      <c r="DG296" s="37"/>
      <c r="DH296" s="37"/>
      <c r="DI296" s="37"/>
      <c r="DJ296" s="37"/>
      <c r="DK296" s="37"/>
      <c r="DL296" s="37"/>
      <c r="DM296" s="37"/>
      <c r="DN296" s="37"/>
      <c r="DO296" s="32" t="s">
        <v>3600</v>
      </c>
      <c r="DP296" s="38" t="s">
        <v>6921</v>
      </c>
      <c r="DQ296" s="37"/>
      <c r="DR296" s="37"/>
      <c r="DS296" s="37"/>
      <c r="DT296" s="37"/>
      <c r="DU296" s="37"/>
      <c r="DV296" s="37"/>
      <c r="DW296" s="34"/>
      <c r="DX296" s="37"/>
      <c r="DY296" s="34"/>
      <c r="DZ296" s="37"/>
      <c r="EA296" s="37"/>
      <c r="EB296" s="34"/>
      <c r="EC296" s="37"/>
      <c r="ED296" s="37"/>
      <c r="EE296" s="37"/>
      <c r="EF296" s="37"/>
      <c r="EG296" s="34"/>
      <c r="EH296" s="37"/>
      <c r="EI296" s="37"/>
      <c r="EJ296" s="37"/>
      <c r="EK296" s="34"/>
      <c r="EL296" s="37"/>
      <c r="EM296" s="37"/>
      <c r="EN296" s="37"/>
      <c r="EO296" s="37"/>
      <c r="EP296" s="40" t="s">
        <v>3559</v>
      </c>
    </row>
    <row r="297">
      <c r="A297" s="41">
        <v>7.72</v>
      </c>
      <c r="B297" s="42" t="s">
        <v>5742</v>
      </c>
      <c r="C297" s="42" t="s">
        <v>8853</v>
      </c>
      <c r="D297" s="42" t="s">
        <v>8854</v>
      </c>
      <c r="E297" s="42" t="s">
        <v>8855</v>
      </c>
      <c r="F297" s="43"/>
      <c r="G297" s="42" t="s">
        <v>8856</v>
      </c>
      <c r="H297" s="42" t="s">
        <v>3867</v>
      </c>
      <c r="I297" s="42" t="s">
        <v>3897</v>
      </c>
      <c r="J297" s="42" t="s">
        <v>8857</v>
      </c>
      <c r="K297" s="42" t="s">
        <v>8858</v>
      </c>
      <c r="L297" s="42" t="s">
        <v>5736</v>
      </c>
      <c r="M297" s="42" t="s">
        <v>8859</v>
      </c>
      <c r="N297" s="42" t="s">
        <v>5075</v>
      </c>
      <c r="O297" s="42" t="s">
        <v>8860</v>
      </c>
      <c r="P297" s="42"/>
      <c r="R297" s="42" t="s">
        <v>3571</v>
      </c>
      <c r="S297" s="42" t="s">
        <v>5020</v>
      </c>
      <c r="T297" s="42" t="s">
        <v>6173</v>
      </c>
      <c r="U297" s="44" t="s">
        <v>8861</v>
      </c>
      <c r="V297" s="44" t="s">
        <v>8862</v>
      </c>
      <c r="W297" s="45"/>
      <c r="X297" s="43"/>
      <c r="Y297" s="43"/>
      <c r="Z297" s="43"/>
      <c r="AA297" s="41">
        <v>1984.0</v>
      </c>
      <c r="AB297" s="43"/>
      <c r="AC297" s="43"/>
      <c r="AD297" s="43"/>
      <c r="AE297" s="45"/>
      <c r="AF297" s="45"/>
      <c r="AG297" s="45"/>
      <c r="AH297" s="45"/>
      <c r="AI297" s="45"/>
      <c r="AJ297" s="45"/>
      <c r="AK297" s="45"/>
      <c r="AL297" s="45"/>
      <c r="AM297" s="45"/>
      <c r="AN297" s="45"/>
      <c r="AO297" s="42" t="s">
        <v>8863</v>
      </c>
      <c r="AP297" s="42" t="s">
        <v>8864</v>
      </c>
      <c r="AQ297" s="42" t="s">
        <v>4093</v>
      </c>
      <c r="AR297" s="42" t="s">
        <v>8865</v>
      </c>
      <c r="AS297" s="43" t="str">
        <f>+972 (0)74 722 3888</f>
        <v>#ERROR!</v>
      </c>
      <c r="AT297" s="42" t="s">
        <v>4095</v>
      </c>
      <c r="AU297" s="42" t="s">
        <v>8866</v>
      </c>
      <c r="AV297" s="43"/>
      <c r="AW297" s="42" t="s">
        <v>323</v>
      </c>
      <c r="AX297" s="43"/>
      <c r="AY297" s="41">
        <v>5811701.0</v>
      </c>
      <c r="AZ297" s="42" t="s">
        <v>41</v>
      </c>
      <c r="BA297" s="45" t="str">
        <f>+972 (0)74 722 3888</f>
        <v>#ERROR!</v>
      </c>
      <c r="BB297" s="45" t="str">
        <f>+972 (0)3 558 1377</f>
        <v>#ERROR!</v>
      </c>
      <c r="BC297" s="43"/>
      <c r="BD297" s="42" t="s">
        <v>3584</v>
      </c>
      <c r="BE297" s="42" t="s">
        <v>3584</v>
      </c>
      <c r="BF297" s="42" t="s">
        <v>8867</v>
      </c>
      <c r="BG297" s="43"/>
      <c r="BH297" s="45"/>
      <c r="BI297" s="42" t="s">
        <v>8421</v>
      </c>
      <c r="BJ297" s="42" t="s">
        <v>8868</v>
      </c>
      <c r="BK297" s="43"/>
      <c r="BL297" s="43"/>
      <c r="BM297" s="42" t="s">
        <v>8869</v>
      </c>
      <c r="BN297" s="43"/>
      <c r="BO297" s="43"/>
      <c r="BP297" s="42" t="s">
        <v>8870</v>
      </c>
      <c r="BQ297" s="46" t="s">
        <v>8871</v>
      </c>
      <c r="BR297" s="41">
        <v>42.2</v>
      </c>
      <c r="BS297" s="42" t="s">
        <v>3593</v>
      </c>
      <c r="BT297" s="41">
        <v>76.04</v>
      </c>
      <c r="BU297" s="42" t="s">
        <v>3697</v>
      </c>
      <c r="BV297" s="42" t="s">
        <v>4977</v>
      </c>
      <c r="BW297" s="43"/>
      <c r="BX297" s="43"/>
      <c r="BY297" s="42" t="s">
        <v>3663</v>
      </c>
      <c r="BZ297" s="42" t="s">
        <v>8872</v>
      </c>
      <c r="CA297" s="42" t="s">
        <v>3591</v>
      </c>
      <c r="CB297" s="46" t="s">
        <v>8873</v>
      </c>
      <c r="CC297" s="41">
        <v>7.72</v>
      </c>
      <c r="CD297" s="42" t="s">
        <v>3593</v>
      </c>
      <c r="CE297" s="41">
        <v>16.97</v>
      </c>
      <c r="CF297" s="42" t="s">
        <v>3697</v>
      </c>
      <c r="CG297" s="42" t="s">
        <v>3663</v>
      </c>
      <c r="CH297" s="42" t="s">
        <v>3663</v>
      </c>
      <c r="CI297" s="43"/>
      <c r="CJ297" s="42" t="s">
        <v>3663</v>
      </c>
      <c r="CK297" s="46" t="s">
        <v>8871</v>
      </c>
      <c r="CL297" s="41">
        <v>42.2</v>
      </c>
      <c r="CM297" s="43"/>
      <c r="CN297" s="42" t="s">
        <v>3591</v>
      </c>
      <c r="CO297" s="45"/>
      <c r="CP297" s="45"/>
      <c r="CQ297" s="45"/>
      <c r="CR297" s="45"/>
      <c r="CS297" s="45"/>
      <c r="CT297" s="45"/>
      <c r="CU297" s="45"/>
      <c r="CV297" s="45"/>
      <c r="CW297" s="45"/>
      <c r="CX297" s="45"/>
      <c r="CY297" s="45"/>
      <c r="CZ297" s="45"/>
      <c r="DA297" s="45"/>
      <c r="DB297" s="45"/>
      <c r="DC297" s="45"/>
      <c r="DD297" s="45"/>
      <c r="DE297" s="45"/>
      <c r="DF297" s="45"/>
      <c r="DG297" s="45"/>
      <c r="DH297" s="45"/>
      <c r="DI297" s="45"/>
      <c r="DJ297" s="45"/>
      <c r="DK297" s="45"/>
      <c r="DL297" s="45"/>
      <c r="DM297" s="45"/>
      <c r="DN297" s="45"/>
      <c r="DO297" s="41" t="s">
        <v>3600</v>
      </c>
      <c r="DP297" s="46" t="s">
        <v>6203</v>
      </c>
      <c r="DQ297" s="45"/>
      <c r="DR297" s="45"/>
      <c r="DS297" s="45"/>
      <c r="DT297" s="45"/>
      <c r="DU297" s="45"/>
      <c r="DV297" s="45"/>
      <c r="DW297" s="43"/>
      <c r="DX297" s="45"/>
      <c r="DY297" s="43"/>
      <c r="DZ297" s="45"/>
      <c r="EA297" s="45"/>
      <c r="EB297" s="43"/>
      <c r="EC297" s="45"/>
      <c r="ED297" s="45"/>
      <c r="EE297" s="41">
        <v>16.97</v>
      </c>
      <c r="EF297" s="46" t="s">
        <v>8873</v>
      </c>
      <c r="EG297" s="42" t="s">
        <v>3663</v>
      </c>
      <c r="EH297" s="45"/>
      <c r="EI297" s="45"/>
      <c r="EJ297" s="45"/>
      <c r="EK297" s="43"/>
      <c r="EL297" s="45"/>
      <c r="EM297" s="45"/>
      <c r="EN297" s="45"/>
      <c r="EO297" s="45"/>
      <c r="EP297" s="48" t="s">
        <v>3559</v>
      </c>
    </row>
    <row r="298">
      <c r="A298" s="37"/>
      <c r="B298" s="35" t="s">
        <v>8874</v>
      </c>
      <c r="C298" s="34"/>
      <c r="D298" s="34"/>
      <c r="E298" s="35" t="s">
        <v>8875</v>
      </c>
      <c r="F298" s="34"/>
      <c r="G298" s="35" t="s">
        <v>8876</v>
      </c>
      <c r="H298" s="35" t="s">
        <v>4560</v>
      </c>
      <c r="I298" s="35" t="s">
        <v>4561</v>
      </c>
      <c r="J298" s="35" t="s">
        <v>66</v>
      </c>
      <c r="K298" s="35" t="s">
        <v>4562</v>
      </c>
      <c r="L298" s="34"/>
      <c r="M298" s="35" t="s">
        <v>8877</v>
      </c>
      <c r="N298" s="35" t="s">
        <v>4923</v>
      </c>
      <c r="O298" s="35" t="s">
        <v>8878</v>
      </c>
      <c r="P298" s="35"/>
      <c r="R298" s="35" t="s">
        <v>5750</v>
      </c>
      <c r="S298" s="35" t="s">
        <v>5236</v>
      </c>
      <c r="T298" s="35" t="s">
        <v>5568</v>
      </c>
      <c r="U298" s="34"/>
      <c r="V298" s="34"/>
      <c r="W298" s="32">
        <v>325.0</v>
      </c>
      <c r="X298" s="35" t="s">
        <v>8879</v>
      </c>
      <c r="Y298" s="35" t="s">
        <v>5417</v>
      </c>
      <c r="Z298" s="35" t="s">
        <v>8880</v>
      </c>
      <c r="AA298" s="37"/>
      <c r="AB298" s="34"/>
      <c r="AC298" s="34"/>
      <c r="AD298" s="34"/>
      <c r="AE298" s="32">
        <v>117.83</v>
      </c>
      <c r="AF298" s="32">
        <v>25.0</v>
      </c>
      <c r="AG298" s="32">
        <v>4.66</v>
      </c>
      <c r="AH298" s="32">
        <v>108.06</v>
      </c>
      <c r="AI298" s="32">
        <v>17.87</v>
      </c>
      <c r="AJ298" s="32">
        <v>8.21</v>
      </c>
      <c r="AK298" s="32">
        <v>67.22</v>
      </c>
      <c r="AL298" s="32">
        <v>41.49</v>
      </c>
      <c r="AM298" s="39">
        <v>0.1685</v>
      </c>
      <c r="AN298" s="32" t="s">
        <v>5245</v>
      </c>
      <c r="AO298" s="35" t="s">
        <v>8881</v>
      </c>
      <c r="AP298" s="35" t="s">
        <v>8882</v>
      </c>
      <c r="AQ298" s="35" t="s">
        <v>4093</v>
      </c>
      <c r="AR298" s="35" t="s">
        <v>8883</v>
      </c>
      <c r="AS298" s="34" t="str">
        <f>+972 (0)3 558 1377</f>
        <v>#ERROR!</v>
      </c>
      <c r="AT298" s="35" t="s">
        <v>4095</v>
      </c>
      <c r="AU298" s="35" t="s">
        <v>8884</v>
      </c>
      <c r="AV298" s="34"/>
      <c r="AW298" s="35" t="s">
        <v>323</v>
      </c>
      <c r="AX298" s="34"/>
      <c r="AY298" s="32">
        <v>5881804.0</v>
      </c>
      <c r="AZ298" s="35" t="s">
        <v>41</v>
      </c>
      <c r="BA298" s="37" t="str">
        <f>+972 (0)3 558 1377</f>
        <v>#ERROR!</v>
      </c>
      <c r="BB298" s="37"/>
      <c r="BC298" s="34"/>
      <c r="BD298" s="35" t="s">
        <v>3584</v>
      </c>
      <c r="BE298" s="35" t="s">
        <v>3584</v>
      </c>
      <c r="BF298" s="35" t="s">
        <v>8885</v>
      </c>
      <c r="BG298" s="34"/>
      <c r="BH298" s="37"/>
      <c r="BI298" s="34"/>
      <c r="BJ298" s="35" t="s">
        <v>8421</v>
      </c>
      <c r="BK298" s="34"/>
      <c r="BL298" s="34"/>
      <c r="BM298" s="35" t="s">
        <v>8886</v>
      </c>
      <c r="BN298" s="34"/>
      <c r="BO298" s="34"/>
      <c r="BP298" s="34"/>
      <c r="BQ298" s="38" t="s">
        <v>8887</v>
      </c>
      <c r="BR298" s="37"/>
      <c r="BS298" s="34"/>
      <c r="BT298" s="37"/>
      <c r="BU298" s="34"/>
      <c r="BV298" s="35" t="s">
        <v>4532</v>
      </c>
      <c r="BW298" s="35" t="s">
        <v>4406</v>
      </c>
      <c r="BX298" s="34"/>
      <c r="BY298" s="35" t="s">
        <v>5764</v>
      </c>
      <c r="BZ298" s="34"/>
      <c r="CA298" s="35" t="s">
        <v>3591</v>
      </c>
      <c r="CB298" s="38" t="s">
        <v>8887</v>
      </c>
      <c r="CC298" s="37"/>
      <c r="CD298" s="34"/>
      <c r="CE298" s="37"/>
      <c r="CF298" s="34"/>
      <c r="CG298" s="35" t="s">
        <v>4532</v>
      </c>
      <c r="CH298" s="35" t="s">
        <v>4406</v>
      </c>
      <c r="CI298" s="34"/>
      <c r="CJ298" s="35" t="s">
        <v>5764</v>
      </c>
      <c r="CK298" s="37"/>
      <c r="CL298" s="37"/>
      <c r="CM298" s="34"/>
      <c r="CN298" s="35" t="s">
        <v>3591</v>
      </c>
      <c r="CO298" s="37"/>
      <c r="CP298" s="37"/>
      <c r="CQ298" s="37"/>
      <c r="CR298" s="37"/>
      <c r="CS298" s="37"/>
      <c r="CT298" s="37"/>
      <c r="CU298" s="37"/>
      <c r="CV298" s="37"/>
      <c r="CW298" s="37"/>
      <c r="CX298" s="37"/>
      <c r="CY298" s="37"/>
      <c r="CZ298" s="37"/>
      <c r="DA298" s="37"/>
      <c r="DB298" s="37"/>
      <c r="DC298" s="37"/>
      <c r="DD298" s="37"/>
      <c r="DE298" s="37"/>
      <c r="DF298" s="37"/>
      <c r="DG298" s="37"/>
      <c r="DH298" s="37"/>
      <c r="DI298" s="37"/>
      <c r="DJ298" s="37"/>
      <c r="DK298" s="37"/>
      <c r="DL298" s="37"/>
      <c r="DM298" s="37"/>
      <c r="DN298" s="37"/>
      <c r="DO298" s="32" t="s">
        <v>3600</v>
      </c>
      <c r="DP298" s="38" t="s">
        <v>5464</v>
      </c>
      <c r="DQ298" s="37"/>
      <c r="DR298" s="37"/>
      <c r="DS298" s="37"/>
      <c r="DT298" s="37"/>
      <c r="DU298" s="37"/>
      <c r="DV298" s="37"/>
      <c r="DW298" s="34"/>
      <c r="DX298" s="37"/>
      <c r="DY298" s="34"/>
      <c r="DZ298" s="37"/>
      <c r="EA298" s="37"/>
      <c r="EB298" s="34"/>
      <c r="EC298" s="37"/>
      <c r="ED298" s="37"/>
      <c r="EE298" s="37"/>
      <c r="EF298" s="37"/>
      <c r="EG298" s="34"/>
      <c r="EH298" s="37"/>
      <c r="EI298" s="37"/>
      <c r="EJ298" s="37"/>
      <c r="EK298" s="34"/>
      <c r="EL298" s="37"/>
      <c r="EM298" s="37"/>
      <c r="EN298" s="37"/>
      <c r="EO298" s="37"/>
      <c r="EP298" s="40" t="s">
        <v>3559</v>
      </c>
    </row>
    <row r="299">
      <c r="A299" s="41">
        <v>0.01</v>
      </c>
      <c r="B299" s="42" t="s">
        <v>2389</v>
      </c>
      <c r="C299" s="43"/>
      <c r="D299" s="43"/>
      <c r="E299" s="42" t="s">
        <v>8888</v>
      </c>
      <c r="F299" s="43"/>
      <c r="G299" s="42" t="s">
        <v>8889</v>
      </c>
      <c r="H299" s="42" t="s">
        <v>4560</v>
      </c>
      <c r="I299" s="42" t="s">
        <v>4561</v>
      </c>
      <c r="J299" s="42" t="s">
        <v>66</v>
      </c>
      <c r="K299" s="42" t="s">
        <v>8890</v>
      </c>
      <c r="L299" s="42" t="s">
        <v>8891</v>
      </c>
      <c r="M299" s="42" t="s">
        <v>8892</v>
      </c>
      <c r="N299" s="42" t="s">
        <v>5145</v>
      </c>
      <c r="O299" s="42" t="s">
        <v>8893</v>
      </c>
      <c r="P299" s="42"/>
      <c r="R299" s="42" t="s">
        <v>3571</v>
      </c>
      <c r="S299" s="42" t="s">
        <v>3572</v>
      </c>
      <c r="T299" s="42" t="s">
        <v>5147</v>
      </c>
      <c r="U299" s="44" t="s">
        <v>8894</v>
      </c>
      <c r="V299" s="44" t="s">
        <v>8895</v>
      </c>
      <c r="W299" s="41">
        <v>5.0</v>
      </c>
      <c r="X299" s="42" t="s">
        <v>8896</v>
      </c>
      <c r="Y299" s="43"/>
      <c r="Z299" s="43"/>
      <c r="AA299" s="41">
        <v>2015.0</v>
      </c>
      <c r="AB299" s="43"/>
      <c r="AC299" s="43"/>
      <c r="AD299" s="43"/>
      <c r="AE299" s="45"/>
      <c r="AF299" s="45"/>
      <c r="AG299" s="45"/>
      <c r="AH299" s="45"/>
      <c r="AI299" s="45"/>
      <c r="AJ299" s="45"/>
      <c r="AK299" s="45"/>
      <c r="AL299" s="45"/>
      <c r="AM299" s="45"/>
      <c r="AN299" s="45"/>
      <c r="AO299" s="42" t="s">
        <v>8897</v>
      </c>
      <c r="AP299" s="42" t="s">
        <v>8898</v>
      </c>
      <c r="AQ299" s="42" t="s">
        <v>3579</v>
      </c>
      <c r="AR299" s="42" t="s">
        <v>2392</v>
      </c>
      <c r="AS299" s="43"/>
      <c r="AT299" s="42" t="s">
        <v>3654</v>
      </c>
      <c r="AU299" s="42" t="s">
        <v>8899</v>
      </c>
      <c r="AV299" s="43"/>
      <c r="AW299" s="42" t="s">
        <v>147</v>
      </c>
      <c r="AX299" s="43"/>
      <c r="AY299" s="41">
        <v>93385.0</v>
      </c>
      <c r="AZ299" s="42" t="s">
        <v>41</v>
      </c>
      <c r="BA299" s="45" t="str">
        <f>+972 (0)2 673 5043</f>
        <v>#ERROR!</v>
      </c>
      <c r="BB299" s="45"/>
      <c r="BC299" s="43"/>
      <c r="BD299" s="42" t="s">
        <v>3584</v>
      </c>
      <c r="BE299" s="42" t="s">
        <v>3584</v>
      </c>
      <c r="BF299" s="42" t="s">
        <v>8900</v>
      </c>
      <c r="BG299" s="42" t="s">
        <v>8901</v>
      </c>
      <c r="BH299" s="41">
        <v>1.0</v>
      </c>
      <c r="BI299" s="43"/>
      <c r="BJ299" s="43"/>
      <c r="BK299" s="43"/>
      <c r="BL299" s="42" t="s">
        <v>8902</v>
      </c>
      <c r="BM299" s="43"/>
      <c r="BN299" s="43"/>
      <c r="BO299" s="43"/>
      <c r="BP299" s="43"/>
      <c r="BQ299" s="45"/>
      <c r="BR299" s="45"/>
      <c r="BS299" s="43"/>
      <c r="BT299" s="45"/>
      <c r="BU299" s="43"/>
      <c r="BV299" s="42" t="s">
        <v>3589</v>
      </c>
      <c r="BW299" s="43"/>
      <c r="BX299" s="43"/>
      <c r="BY299" s="42" t="s">
        <v>3590</v>
      </c>
      <c r="BZ299" s="43"/>
      <c r="CA299" s="42" t="s">
        <v>3591</v>
      </c>
      <c r="CB299" s="46" t="s">
        <v>6966</v>
      </c>
      <c r="CC299" s="41">
        <v>0.01</v>
      </c>
      <c r="CD299" s="42" t="s">
        <v>3593</v>
      </c>
      <c r="CE299" s="45"/>
      <c r="CF299" s="43"/>
      <c r="CG299" s="42" t="s">
        <v>5462</v>
      </c>
      <c r="CH299" s="43"/>
      <c r="CI299" s="43"/>
      <c r="CJ299" s="42" t="s">
        <v>3803</v>
      </c>
      <c r="CK299" s="45"/>
      <c r="CL299" s="45"/>
      <c r="CM299" s="43"/>
      <c r="CN299" s="42" t="s">
        <v>3591</v>
      </c>
      <c r="CO299" s="47">
        <v>0.0</v>
      </c>
      <c r="CP299" s="41">
        <v>14.0</v>
      </c>
      <c r="CQ299" s="47">
        <v>0.0</v>
      </c>
      <c r="CR299" s="47">
        <v>0.0</v>
      </c>
      <c r="CS299" s="47">
        <v>0.0</v>
      </c>
      <c r="CT299" s="41">
        <v>12.0</v>
      </c>
      <c r="CU299" s="45"/>
      <c r="CV299" s="45"/>
      <c r="CW299" s="47">
        <v>0.0</v>
      </c>
      <c r="CX299" s="41">
        <v>12.0</v>
      </c>
      <c r="CY299" s="41" t="s">
        <v>5600</v>
      </c>
      <c r="CZ299" s="41">
        <v>27.0</v>
      </c>
      <c r="DA299" s="41" t="s">
        <v>3598</v>
      </c>
      <c r="DB299" s="47">
        <v>0.0</v>
      </c>
      <c r="DC299" s="41" t="s">
        <v>5600</v>
      </c>
      <c r="DD299" s="41">
        <v>29.0</v>
      </c>
      <c r="DE299" s="45"/>
      <c r="DF299" s="45"/>
      <c r="DG299" s="41" t="s">
        <v>5600</v>
      </c>
      <c r="DH299" s="41">
        <v>26.0</v>
      </c>
      <c r="DI299" s="45"/>
      <c r="DJ299" s="45"/>
      <c r="DK299" s="45"/>
      <c r="DL299" s="41">
        <v>13.0</v>
      </c>
      <c r="DM299" s="41">
        <v>0.0</v>
      </c>
      <c r="DN299" s="47">
        <v>0.0</v>
      </c>
      <c r="DO299" s="41" t="s">
        <v>3600</v>
      </c>
      <c r="DP299" s="46" t="s">
        <v>4805</v>
      </c>
      <c r="DQ299" s="45"/>
      <c r="DR299" s="45"/>
      <c r="DS299" s="45"/>
      <c r="DT299" s="45"/>
      <c r="DU299" s="45"/>
      <c r="DV299" s="45"/>
      <c r="DW299" s="43"/>
      <c r="DX299" s="45"/>
      <c r="DY299" s="43"/>
      <c r="DZ299" s="45"/>
      <c r="EA299" s="45"/>
      <c r="EB299" s="43"/>
      <c r="EC299" s="45"/>
      <c r="ED299" s="45"/>
      <c r="EE299" s="45"/>
      <c r="EF299" s="45"/>
      <c r="EG299" s="43"/>
      <c r="EH299" s="45"/>
      <c r="EI299" s="45"/>
      <c r="EJ299" s="45"/>
      <c r="EK299" s="43"/>
      <c r="EL299" s="45"/>
      <c r="EM299" s="45"/>
      <c r="EN299" s="45"/>
      <c r="EO299" s="45"/>
      <c r="EP299" s="48" t="s">
        <v>3559</v>
      </c>
    </row>
    <row r="300">
      <c r="A300" s="37"/>
      <c r="B300" s="35" t="s">
        <v>8903</v>
      </c>
      <c r="C300" s="34"/>
      <c r="D300" s="34"/>
      <c r="E300" s="35" t="s">
        <v>8904</v>
      </c>
      <c r="F300" s="34"/>
      <c r="G300" s="35" t="s">
        <v>8905</v>
      </c>
      <c r="H300" s="35" t="s">
        <v>4560</v>
      </c>
      <c r="I300" s="35" t="s">
        <v>8906</v>
      </c>
      <c r="J300" s="35" t="s">
        <v>8907</v>
      </c>
      <c r="K300" s="35" t="s">
        <v>8908</v>
      </c>
      <c r="L300" s="34"/>
      <c r="M300" s="35" t="s">
        <v>8909</v>
      </c>
      <c r="N300" s="35" t="s">
        <v>4923</v>
      </c>
      <c r="O300" s="35" t="s">
        <v>8910</v>
      </c>
      <c r="P300" s="35"/>
      <c r="R300" s="35" t="s">
        <v>3571</v>
      </c>
      <c r="S300" s="35" t="s">
        <v>4925</v>
      </c>
      <c r="T300" s="35" t="s">
        <v>4926</v>
      </c>
      <c r="U300" s="34"/>
      <c r="V300" s="34"/>
      <c r="W300" s="32">
        <v>115.0</v>
      </c>
      <c r="X300" s="53">
        <v>84.49652777777777</v>
      </c>
      <c r="Y300" s="34"/>
      <c r="Z300" s="34"/>
      <c r="AA300" s="32">
        <v>1979.0</v>
      </c>
      <c r="AB300" s="34"/>
      <c r="AC300" s="34"/>
      <c r="AD300" s="34"/>
      <c r="AE300" s="32">
        <v>40.59</v>
      </c>
      <c r="AF300" s="37"/>
      <c r="AG300" s="37"/>
      <c r="AH300" s="37"/>
      <c r="AI300" s="37"/>
      <c r="AJ300" s="37"/>
      <c r="AK300" s="37"/>
      <c r="AL300" s="37"/>
      <c r="AM300" s="37"/>
      <c r="AN300" s="32" t="s">
        <v>8911</v>
      </c>
      <c r="AO300" s="35" t="s">
        <v>8912</v>
      </c>
      <c r="AP300" s="35" t="s">
        <v>8913</v>
      </c>
      <c r="AQ300" s="35" t="s">
        <v>910</v>
      </c>
      <c r="AR300" s="34"/>
      <c r="AS300" s="34"/>
      <c r="AT300" s="35" t="s">
        <v>4095</v>
      </c>
      <c r="AU300" s="35" t="s">
        <v>8914</v>
      </c>
      <c r="AV300" s="34"/>
      <c r="AW300" s="35" t="s">
        <v>323</v>
      </c>
      <c r="AX300" s="34"/>
      <c r="AY300" s="37"/>
      <c r="AZ300" s="35" t="s">
        <v>41</v>
      </c>
      <c r="BA300" s="37"/>
      <c r="BB300" s="37"/>
      <c r="BC300" s="34"/>
      <c r="BD300" s="35" t="s">
        <v>3584</v>
      </c>
      <c r="BE300" s="35" t="s">
        <v>3584</v>
      </c>
      <c r="BF300" s="34"/>
      <c r="BG300" s="34"/>
      <c r="BH300" s="37"/>
      <c r="BI300" s="34"/>
      <c r="BJ300" s="34"/>
      <c r="BK300" s="34"/>
      <c r="BL300" s="34"/>
      <c r="BM300" s="34"/>
      <c r="BN300" s="34"/>
      <c r="BO300" s="34"/>
      <c r="BP300" s="34"/>
      <c r="BQ300" s="37"/>
      <c r="BR300" s="37"/>
      <c r="BS300" s="34"/>
      <c r="BT300" s="37"/>
      <c r="BU300" s="34"/>
      <c r="BV300" s="34"/>
      <c r="BW300" s="34"/>
      <c r="BX300" s="34"/>
      <c r="BY300" s="34"/>
      <c r="BZ300" s="34"/>
      <c r="CA300" s="34"/>
      <c r="CB300" s="37"/>
      <c r="CC300" s="37"/>
      <c r="CD300" s="34"/>
      <c r="CE300" s="37"/>
      <c r="CF300" s="34"/>
      <c r="CG300" s="34"/>
      <c r="CH300" s="34"/>
      <c r="CI300" s="34"/>
      <c r="CJ300" s="34"/>
      <c r="CK300" s="37"/>
      <c r="CL300" s="37"/>
      <c r="CM300" s="34"/>
      <c r="CN300" s="34"/>
      <c r="CO300" s="37"/>
      <c r="CP300" s="37"/>
      <c r="CQ300" s="37"/>
      <c r="CR300" s="37"/>
      <c r="CS300" s="37"/>
      <c r="CT300" s="37"/>
      <c r="CU300" s="37"/>
      <c r="CV300" s="37"/>
      <c r="CW300" s="37"/>
      <c r="CX300" s="37"/>
      <c r="CY300" s="37"/>
      <c r="CZ300" s="37"/>
      <c r="DA300" s="37"/>
      <c r="DB300" s="37"/>
      <c r="DC300" s="37"/>
      <c r="DD300" s="37"/>
      <c r="DE300" s="37"/>
      <c r="DF300" s="37"/>
      <c r="DG300" s="37"/>
      <c r="DH300" s="37"/>
      <c r="DI300" s="37"/>
      <c r="DJ300" s="37"/>
      <c r="DK300" s="37"/>
      <c r="DL300" s="37"/>
      <c r="DM300" s="37"/>
      <c r="DN300" s="37"/>
      <c r="DO300" s="32" t="s">
        <v>3600</v>
      </c>
      <c r="DP300" s="38" t="s">
        <v>6493</v>
      </c>
      <c r="DQ300" s="37"/>
      <c r="DR300" s="37"/>
      <c r="DS300" s="37"/>
      <c r="DT300" s="37"/>
      <c r="DU300" s="37"/>
      <c r="DV300" s="37"/>
      <c r="DW300" s="34"/>
      <c r="DX300" s="37"/>
      <c r="DY300" s="34"/>
      <c r="DZ300" s="37"/>
      <c r="EA300" s="37"/>
      <c r="EB300" s="34"/>
      <c r="EC300" s="37"/>
      <c r="ED300" s="37"/>
      <c r="EE300" s="37"/>
      <c r="EF300" s="37"/>
      <c r="EG300" s="34"/>
      <c r="EH300" s="37"/>
      <c r="EI300" s="37"/>
      <c r="EJ300" s="37"/>
      <c r="EK300" s="34"/>
      <c r="EL300" s="37"/>
      <c r="EM300" s="37"/>
      <c r="EN300" s="37"/>
      <c r="EO300" s="37"/>
      <c r="EP300" s="40" t="s">
        <v>3559</v>
      </c>
    </row>
    <row r="301">
      <c r="A301" s="45"/>
      <c r="B301" s="42" t="s">
        <v>8915</v>
      </c>
      <c r="C301" s="42" t="s">
        <v>8916</v>
      </c>
      <c r="D301" s="43"/>
      <c r="E301" s="42" t="s">
        <v>8917</v>
      </c>
      <c r="F301" s="42" t="s">
        <v>8918</v>
      </c>
      <c r="G301" s="42" t="s">
        <v>8919</v>
      </c>
      <c r="H301" s="42" t="s">
        <v>3563</v>
      </c>
      <c r="I301" s="42" t="s">
        <v>6667</v>
      </c>
      <c r="J301" s="42" t="s">
        <v>6668</v>
      </c>
      <c r="K301" s="42" t="s">
        <v>8920</v>
      </c>
      <c r="L301" s="42" t="s">
        <v>8921</v>
      </c>
      <c r="M301" s="42" t="s">
        <v>8922</v>
      </c>
      <c r="N301" s="42" t="s">
        <v>4962</v>
      </c>
      <c r="O301" s="42" t="s">
        <v>8923</v>
      </c>
      <c r="P301" s="42"/>
      <c r="R301" s="42" t="s">
        <v>3571</v>
      </c>
      <c r="S301" s="42" t="s">
        <v>5020</v>
      </c>
      <c r="T301" s="42" t="s">
        <v>3603</v>
      </c>
      <c r="U301" s="44" t="s">
        <v>8924</v>
      </c>
      <c r="V301" s="43"/>
      <c r="W301" s="41">
        <v>19.0</v>
      </c>
      <c r="X301" s="42" t="s">
        <v>8925</v>
      </c>
      <c r="Y301" s="43"/>
      <c r="Z301" s="43"/>
      <c r="AA301" s="41">
        <v>2012.0</v>
      </c>
      <c r="AB301" s="43"/>
      <c r="AC301" s="43"/>
      <c r="AD301" s="43"/>
      <c r="AE301" s="45"/>
      <c r="AF301" s="45"/>
      <c r="AG301" s="45"/>
      <c r="AH301" s="45"/>
      <c r="AI301" s="45"/>
      <c r="AJ301" s="45"/>
      <c r="AK301" s="45"/>
      <c r="AL301" s="45"/>
      <c r="AM301" s="45"/>
      <c r="AN301" s="45"/>
      <c r="AO301" s="43"/>
      <c r="AP301" s="43"/>
      <c r="AQ301" s="43"/>
      <c r="AR301" s="43"/>
      <c r="AS301" s="43"/>
      <c r="AT301" s="42" t="s">
        <v>3851</v>
      </c>
      <c r="AU301" s="42" t="s">
        <v>8926</v>
      </c>
      <c r="AV301" s="42" t="s">
        <v>8927</v>
      </c>
      <c r="AW301" s="42" t="s">
        <v>616</v>
      </c>
      <c r="AX301" s="43"/>
      <c r="AY301" s="41">
        <v>5252247.0</v>
      </c>
      <c r="AZ301" s="42" t="s">
        <v>41</v>
      </c>
      <c r="BA301" s="45"/>
      <c r="BB301" s="45"/>
      <c r="BC301" s="43"/>
      <c r="BD301" s="42" t="s">
        <v>3584</v>
      </c>
      <c r="BE301" s="42" t="s">
        <v>3584</v>
      </c>
      <c r="BF301" s="42" t="s">
        <v>8928</v>
      </c>
      <c r="BG301" s="43"/>
      <c r="BH301" s="45"/>
      <c r="BI301" s="42" t="s">
        <v>338</v>
      </c>
      <c r="BJ301" s="43"/>
      <c r="BK301" s="43"/>
      <c r="BL301" s="43"/>
      <c r="BM301" s="43"/>
      <c r="BN301" s="43"/>
      <c r="BO301" s="43"/>
      <c r="BP301" s="42" t="s">
        <v>8929</v>
      </c>
      <c r="BQ301" s="46" t="s">
        <v>8930</v>
      </c>
      <c r="BR301" s="45"/>
      <c r="BS301" s="43"/>
      <c r="BT301" s="45"/>
      <c r="BU301" s="43"/>
      <c r="BV301" s="42" t="s">
        <v>4977</v>
      </c>
      <c r="BW301" s="43"/>
      <c r="BX301" s="43"/>
      <c r="BY301" s="42" t="s">
        <v>3663</v>
      </c>
      <c r="BZ301" s="43"/>
      <c r="CA301" s="42" t="s">
        <v>3591</v>
      </c>
      <c r="CB301" s="46" t="s">
        <v>8930</v>
      </c>
      <c r="CC301" s="45"/>
      <c r="CD301" s="43"/>
      <c r="CE301" s="45"/>
      <c r="CF301" s="43"/>
      <c r="CG301" s="42" t="s">
        <v>4977</v>
      </c>
      <c r="CH301" s="43"/>
      <c r="CI301" s="43"/>
      <c r="CJ301" s="42" t="s">
        <v>3663</v>
      </c>
      <c r="CK301" s="45"/>
      <c r="CL301" s="45"/>
      <c r="CM301" s="43"/>
      <c r="CN301" s="42" t="s">
        <v>3591</v>
      </c>
      <c r="CO301" s="45"/>
      <c r="CP301" s="45"/>
      <c r="CQ301" s="45"/>
      <c r="CR301" s="45"/>
      <c r="CS301" s="45"/>
      <c r="CT301" s="45"/>
      <c r="CU301" s="45"/>
      <c r="CV301" s="45"/>
      <c r="CW301" s="45"/>
      <c r="CX301" s="45"/>
      <c r="CY301" s="45"/>
      <c r="CZ301" s="45"/>
      <c r="DA301" s="45"/>
      <c r="DB301" s="45"/>
      <c r="DC301" s="45"/>
      <c r="DD301" s="45"/>
      <c r="DE301" s="45"/>
      <c r="DF301" s="45"/>
      <c r="DG301" s="45"/>
      <c r="DH301" s="45"/>
      <c r="DI301" s="45"/>
      <c r="DJ301" s="45"/>
      <c r="DK301" s="45"/>
      <c r="DL301" s="45"/>
      <c r="DM301" s="45"/>
      <c r="DN301" s="45"/>
      <c r="DO301" s="41" t="s">
        <v>3600</v>
      </c>
      <c r="DP301" s="46" t="s">
        <v>8931</v>
      </c>
      <c r="DQ301" s="45"/>
      <c r="DR301" s="45"/>
      <c r="DS301" s="45"/>
      <c r="DT301" s="45"/>
      <c r="DU301" s="45"/>
      <c r="DV301" s="45"/>
      <c r="DW301" s="43"/>
      <c r="DX301" s="45"/>
      <c r="DY301" s="43"/>
      <c r="DZ301" s="45"/>
      <c r="EA301" s="45"/>
      <c r="EB301" s="43"/>
      <c r="EC301" s="45"/>
      <c r="ED301" s="45"/>
      <c r="EE301" s="45"/>
      <c r="EF301" s="45"/>
      <c r="EG301" s="43"/>
      <c r="EH301" s="45"/>
      <c r="EI301" s="45"/>
      <c r="EJ301" s="45"/>
      <c r="EK301" s="43"/>
      <c r="EL301" s="45"/>
      <c r="EM301" s="45"/>
      <c r="EN301" s="45"/>
      <c r="EO301" s="45"/>
      <c r="EP301" s="48" t="s">
        <v>3559</v>
      </c>
    </row>
    <row r="302">
      <c r="A302" s="37"/>
      <c r="B302" s="35" t="s">
        <v>8932</v>
      </c>
      <c r="C302" s="34"/>
      <c r="D302" s="34"/>
      <c r="E302" s="35" t="s">
        <v>8933</v>
      </c>
      <c r="F302" s="34"/>
      <c r="G302" s="35" t="s">
        <v>8934</v>
      </c>
      <c r="H302" s="35" t="s">
        <v>3563</v>
      </c>
      <c r="I302" s="35" t="s">
        <v>3564</v>
      </c>
      <c r="J302" s="35" t="s">
        <v>3565</v>
      </c>
      <c r="K302" s="35" t="s">
        <v>8935</v>
      </c>
      <c r="L302" s="35" t="s">
        <v>5722</v>
      </c>
      <c r="M302" s="35" t="s">
        <v>8936</v>
      </c>
      <c r="N302" s="35" t="s">
        <v>4923</v>
      </c>
      <c r="O302" s="35" t="s">
        <v>8937</v>
      </c>
      <c r="P302" s="35"/>
      <c r="R302" s="35" t="s">
        <v>3571</v>
      </c>
      <c r="S302" s="35" t="s">
        <v>4925</v>
      </c>
      <c r="T302" s="35" t="s">
        <v>4926</v>
      </c>
      <c r="U302" s="36" t="s">
        <v>8938</v>
      </c>
      <c r="V302" s="36" t="s">
        <v>8939</v>
      </c>
      <c r="W302" s="32">
        <v>11.0</v>
      </c>
      <c r="X302" s="53">
        <v>84.21597222222222</v>
      </c>
      <c r="Y302" s="34"/>
      <c r="Z302" s="34"/>
      <c r="AA302" s="32">
        <v>2016.0</v>
      </c>
      <c r="AB302" s="34"/>
      <c r="AC302" s="34"/>
      <c r="AD302" s="34"/>
      <c r="AE302" s="37"/>
      <c r="AF302" s="37"/>
      <c r="AG302" s="37"/>
      <c r="AH302" s="37"/>
      <c r="AI302" s="37"/>
      <c r="AJ302" s="37"/>
      <c r="AK302" s="37"/>
      <c r="AL302" s="37"/>
      <c r="AM302" s="37"/>
      <c r="AN302" s="37"/>
      <c r="AO302" s="35" t="s">
        <v>8940</v>
      </c>
      <c r="AP302" s="35" t="s">
        <v>8941</v>
      </c>
      <c r="AQ302" s="35" t="s">
        <v>8942</v>
      </c>
      <c r="AR302" s="35" t="s">
        <v>8943</v>
      </c>
      <c r="AS302" s="34" t="str">
        <f>+972 (0)52 554 5568</f>
        <v>#ERROR!</v>
      </c>
      <c r="AT302" s="35" t="s">
        <v>7890</v>
      </c>
      <c r="AU302" s="34"/>
      <c r="AV302" s="34"/>
      <c r="AW302" s="35" t="s">
        <v>7892</v>
      </c>
      <c r="AX302" s="34"/>
      <c r="AY302" s="37"/>
      <c r="AZ302" s="35" t="s">
        <v>41</v>
      </c>
      <c r="BA302" s="37" t="str">
        <f>+972 (0)52 554 5568</f>
        <v>#ERROR!</v>
      </c>
      <c r="BB302" s="37"/>
      <c r="BC302" s="34"/>
      <c r="BD302" s="35" t="s">
        <v>3584</v>
      </c>
      <c r="BE302" s="35" t="s">
        <v>3584</v>
      </c>
      <c r="BF302" s="34"/>
      <c r="BG302" s="34"/>
      <c r="BH302" s="37"/>
      <c r="BI302" s="34"/>
      <c r="BJ302" s="34"/>
      <c r="BK302" s="34"/>
      <c r="BL302" s="34"/>
      <c r="BM302" s="34"/>
      <c r="BN302" s="34"/>
      <c r="BO302" s="34"/>
      <c r="BP302" s="34"/>
      <c r="BQ302" s="37"/>
      <c r="BR302" s="37"/>
      <c r="BS302" s="34"/>
      <c r="BT302" s="37"/>
      <c r="BU302" s="34"/>
      <c r="BV302" s="34"/>
      <c r="BW302" s="34"/>
      <c r="BX302" s="34"/>
      <c r="BY302" s="34"/>
      <c r="BZ302" s="34"/>
      <c r="CA302" s="34"/>
      <c r="CB302" s="37"/>
      <c r="CC302" s="37"/>
      <c r="CD302" s="34"/>
      <c r="CE302" s="37"/>
      <c r="CF302" s="34"/>
      <c r="CG302" s="34"/>
      <c r="CH302" s="34"/>
      <c r="CI302" s="34"/>
      <c r="CJ302" s="34"/>
      <c r="CK302" s="37"/>
      <c r="CL302" s="37"/>
      <c r="CM302" s="34"/>
      <c r="CN302" s="34"/>
      <c r="CO302" s="37"/>
      <c r="CP302" s="37"/>
      <c r="CQ302" s="37"/>
      <c r="CR302" s="37"/>
      <c r="CS302" s="37"/>
      <c r="CT302" s="37"/>
      <c r="CU302" s="37"/>
      <c r="CV302" s="37"/>
      <c r="CW302" s="37"/>
      <c r="CX302" s="37"/>
      <c r="CY302" s="37"/>
      <c r="CZ302" s="37"/>
      <c r="DA302" s="37"/>
      <c r="DB302" s="37"/>
      <c r="DC302" s="37"/>
      <c r="DD302" s="37"/>
      <c r="DE302" s="37"/>
      <c r="DF302" s="37"/>
      <c r="DG302" s="37"/>
      <c r="DH302" s="37"/>
      <c r="DI302" s="37"/>
      <c r="DJ302" s="37"/>
      <c r="DK302" s="37"/>
      <c r="DL302" s="37"/>
      <c r="DM302" s="37"/>
      <c r="DN302" s="37"/>
      <c r="DO302" s="32" t="s">
        <v>3600</v>
      </c>
      <c r="DP302" s="38" t="s">
        <v>8944</v>
      </c>
      <c r="DQ302" s="37"/>
      <c r="DR302" s="37"/>
      <c r="DS302" s="37"/>
      <c r="DT302" s="37"/>
      <c r="DU302" s="37"/>
      <c r="DV302" s="37"/>
      <c r="DW302" s="34"/>
      <c r="DX302" s="37"/>
      <c r="DY302" s="34"/>
      <c r="DZ302" s="37"/>
      <c r="EA302" s="37"/>
      <c r="EB302" s="34"/>
      <c r="EC302" s="37"/>
      <c r="ED302" s="37"/>
      <c r="EE302" s="37"/>
      <c r="EF302" s="37"/>
      <c r="EG302" s="34"/>
      <c r="EH302" s="37"/>
      <c r="EI302" s="37"/>
      <c r="EJ302" s="37"/>
      <c r="EK302" s="34"/>
      <c r="EL302" s="37"/>
      <c r="EM302" s="37"/>
      <c r="EN302" s="37"/>
      <c r="EO302" s="37"/>
      <c r="EP302" s="40" t="s">
        <v>3559</v>
      </c>
    </row>
    <row r="303">
      <c r="A303" s="45"/>
      <c r="B303" s="42" t="s">
        <v>8945</v>
      </c>
      <c r="C303" s="43"/>
      <c r="D303" s="43"/>
      <c r="E303" s="43"/>
      <c r="F303" s="43"/>
      <c r="G303" s="42" t="s">
        <v>8946</v>
      </c>
      <c r="H303" s="42" t="s">
        <v>4560</v>
      </c>
      <c r="I303" s="42" t="s">
        <v>6452</v>
      </c>
      <c r="J303" s="42" t="s">
        <v>6453</v>
      </c>
      <c r="K303" s="42" t="s">
        <v>8947</v>
      </c>
      <c r="L303" s="43"/>
      <c r="M303" s="42" t="s">
        <v>8948</v>
      </c>
      <c r="N303" s="42" t="s">
        <v>4389</v>
      </c>
      <c r="O303" s="42" t="s">
        <v>8949</v>
      </c>
      <c r="P303" s="42"/>
      <c r="R303" s="42" t="s">
        <v>3571</v>
      </c>
      <c r="S303" s="42" t="s">
        <v>3572</v>
      </c>
      <c r="T303" s="42" t="s">
        <v>4989</v>
      </c>
      <c r="U303" s="43"/>
      <c r="V303" s="43"/>
      <c r="W303" s="52">
        <v>5000.0</v>
      </c>
      <c r="X303" s="54">
        <v>87.76388888888889</v>
      </c>
      <c r="Y303" s="43"/>
      <c r="Z303" s="43"/>
      <c r="AA303" s="45"/>
      <c r="AB303" s="42" t="s">
        <v>5274</v>
      </c>
      <c r="AC303" s="43"/>
      <c r="AD303" s="43"/>
      <c r="AE303" s="45"/>
      <c r="AF303" s="45"/>
      <c r="AG303" s="45"/>
      <c r="AH303" s="45"/>
      <c r="AI303" s="45"/>
      <c r="AJ303" s="45"/>
      <c r="AK303" s="45"/>
      <c r="AL303" s="45"/>
      <c r="AM303" s="45"/>
      <c r="AN303" s="45"/>
      <c r="AO303" s="42" t="s">
        <v>8950</v>
      </c>
      <c r="AP303" s="42" t="s">
        <v>8951</v>
      </c>
      <c r="AQ303" s="42" t="s">
        <v>8952</v>
      </c>
      <c r="AR303" s="43"/>
      <c r="AS303" s="43"/>
      <c r="AT303" s="42" t="s">
        <v>6138</v>
      </c>
      <c r="AU303" s="43"/>
      <c r="AV303" s="43"/>
      <c r="AW303" s="42" t="s">
        <v>6141</v>
      </c>
      <c r="AX303" s="43"/>
      <c r="AY303" s="45"/>
      <c r="AZ303" s="42" t="s">
        <v>41</v>
      </c>
      <c r="BA303" s="45"/>
      <c r="BB303" s="45"/>
      <c r="BC303" s="43"/>
      <c r="BD303" s="42" t="s">
        <v>3584</v>
      </c>
      <c r="BE303" s="42" t="s">
        <v>3584</v>
      </c>
      <c r="BF303" s="42" t="s">
        <v>8953</v>
      </c>
      <c r="BG303" s="42" t="s">
        <v>8954</v>
      </c>
      <c r="BH303" s="41">
        <v>2.0</v>
      </c>
      <c r="BI303" s="43"/>
      <c r="BJ303" s="43"/>
      <c r="BK303" s="43"/>
      <c r="BL303" s="42" t="s">
        <v>8955</v>
      </c>
      <c r="BM303" s="43"/>
      <c r="BN303" s="43"/>
      <c r="BO303" s="43"/>
      <c r="BP303" s="43"/>
      <c r="BQ303" s="46" t="s">
        <v>4642</v>
      </c>
      <c r="BR303" s="41">
        <v>152.5</v>
      </c>
      <c r="BS303" s="42" t="s">
        <v>3593</v>
      </c>
      <c r="BT303" s="51">
        <v>1016.65</v>
      </c>
      <c r="BU303" s="42" t="s">
        <v>3697</v>
      </c>
      <c r="BV303" s="42" t="s">
        <v>3830</v>
      </c>
      <c r="BW303" s="43"/>
      <c r="BX303" s="43"/>
      <c r="BY303" s="42" t="s">
        <v>4989</v>
      </c>
      <c r="BZ303" s="43"/>
      <c r="CA303" s="42" t="s">
        <v>3591</v>
      </c>
      <c r="CB303" s="46" t="s">
        <v>4642</v>
      </c>
      <c r="CC303" s="41">
        <v>152.5</v>
      </c>
      <c r="CD303" s="42" t="s">
        <v>3593</v>
      </c>
      <c r="CE303" s="51">
        <v>1016.65</v>
      </c>
      <c r="CF303" s="42" t="s">
        <v>3697</v>
      </c>
      <c r="CG303" s="42" t="s">
        <v>3830</v>
      </c>
      <c r="CH303" s="43"/>
      <c r="CI303" s="43"/>
      <c r="CJ303" s="42" t="s">
        <v>4989</v>
      </c>
      <c r="CK303" s="45"/>
      <c r="CL303" s="45"/>
      <c r="CM303" s="43"/>
      <c r="CN303" s="42" t="s">
        <v>3591</v>
      </c>
      <c r="CO303" s="45"/>
      <c r="CP303" s="45"/>
      <c r="CQ303" s="45"/>
      <c r="CR303" s="45"/>
      <c r="CS303" s="45"/>
      <c r="CT303" s="45"/>
      <c r="CU303" s="45"/>
      <c r="CV303" s="45"/>
      <c r="CW303" s="45"/>
      <c r="CX303" s="45"/>
      <c r="CY303" s="45"/>
      <c r="CZ303" s="45"/>
      <c r="DA303" s="45"/>
      <c r="DB303" s="45"/>
      <c r="DC303" s="45"/>
      <c r="DD303" s="45"/>
      <c r="DE303" s="45"/>
      <c r="DF303" s="45"/>
      <c r="DG303" s="45"/>
      <c r="DH303" s="45"/>
      <c r="DI303" s="45"/>
      <c r="DJ303" s="45"/>
      <c r="DK303" s="45"/>
      <c r="DL303" s="45"/>
      <c r="DM303" s="45"/>
      <c r="DN303" s="45"/>
      <c r="DO303" s="41" t="s">
        <v>3600</v>
      </c>
      <c r="DP303" s="46" t="s">
        <v>7721</v>
      </c>
      <c r="DQ303" s="45"/>
      <c r="DR303" s="45"/>
      <c r="DS303" s="45"/>
      <c r="DT303" s="45"/>
      <c r="DU303" s="45"/>
      <c r="DV303" s="45"/>
      <c r="DW303" s="43"/>
      <c r="DX303" s="45"/>
      <c r="DY303" s="43"/>
      <c r="DZ303" s="45"/>
      <c r="EA303" s="45"/>
      <c r="EB303" s="43"/>
      <c r="EC303" s="45"/>
      <c r="ED303" s="45"/>
      <c r="EE303" s="51">
        <v>1016.65</v>
      </c>
      <c r="EF303" s="46" t="s">
        <v>4642</v>
      </c>
      <c r="EG303" s="42" t="s">
        <v>3830</v>
      </c>
      <c r="EH303" s="45"/>
      <c r="EI303" s="45"/>
      <c r="EJ303" s="45"/>
      <c r="EK303" s="43"/>
      <c r="EL303" s="45"/>
      <c r="EM303" s="45"/>
      <c r="EN303" s="45"/>
      <c r="EO303" s="45"/>
      <c r="EP303" s="48" t="s">
        <v>3559</v>
      </c>
    </row>
    <row r="304">
      <c r="A304" s="37"/>
      <c r="B304" s="35" t="s">
        <v>8956</v>
      </c>
      <c r="C304" s="34"/>
      <c r="D304" s="35" t="s">
        <v>1043</v>
      </c>
      <c r="E304" s="35" t="s">
        <v>8957</v>
      </c>
      <c r="F304" s="34"/>
      <c r="G304" s="35" t="s">
        <v>8958</v>
      </c>
      <c r="H304" s="35" t="s">
        <v>3867</v>
      </c>
      <c r="I304" s="35" t="s">
        <v>4199</v>
      </c>
      <c r="J304" s="35" t="s">
        <v>4414</v>
      </c>
      <c r="K304" s="35" t="s">
        <v>8959</v>
      </c>
      <c r="L304" s="34"/>
      <c r="M304" s="35" t="s">
        <v>8960</v>
      </c>
      <c r="N304" s="35" t="s">
        <v>5075</v>
      </c>
      <c r="O304" s="35" t="s">
        <v>8961</v>
      </c>
      <c r="P304" s="35"/>
      <c r="R304" s="35" t="s">
        <v>3571</v>
      </c>
      <c r="S304" s="35" t="s">
        <v>3572</v>
      </c>
      <c r="T304" s="35" t="s">
        <v>4391</v>
      </c>
      <c r="U304" s="36" t="s">
        <v>8962</v>
      </c>
      <c r="V304" s="36" t="s">
        <v>8963</v>
      </c>
      <c r="W304" s="32">
        <v>21.0</v>
      </c>
      <c r="X304" s="35" t="s">
        <v>8964</v>
      </c>
      <c r="Y304" s="34"/>
      <c r="Z304" s="34"/>
      <c r="AA304" s="32">
        <v>1995.0</v>
      </c>
      <c r="AB304" s="34"/>
      <c r="AC304" s="34"/>
      <c r="AD304" s="34"/>
      <c r="AE304" s="37"/>
      <c r="AF304" s="37"/>
      <c r="AG304" s="37"/>
      <c r="AH304" s="37"/>
      <c r="AI304" s="37"/>
      <c r="AJ304" s="37"/>
      <c r="AK304" s="37"/>
      <c r="AL304" s="37"/>
      <c r="AM304" s="37"/>
      <c r="AN304" s="37"/>
      <c r="AO304" s="35" t="s">
        <v>8965</v>
      </c>
      <c r="AP304" s="35" t="s">
        <v>8966</v>
      </c>
      <c r="AQ304" s="35" t="s">
        <v>5973</v>
      </c>
      <c r="AR304" s="35" t="s">
        <v>8967</v>
      </c>
      <c r="AS304" s="34" t="str">
        <f>+972 (0)9 763 3300</f>
        <v>#ERROR!</v>
      </c>
      <c r="AT304" s="35" t="s">
        <v>8968</v>
      </c>
      <c r="AU304" s="35" t="s">
        <v>8969</v>
      </c>
      <c r="AV304" s="34"/>
      <c r="AW304" s="35" t="s">
        <v>8970</v>
      </c>
      <c r="AX304" s="34"/>
      <c r="AY304" s="32">
        <v>44643.0</v>
      </c>
      <c r="AZ304" s="35" t="s">
        <v>41</v>
      </c>
      <c r="BA304" s="37" t="str">
        <f>+972 (0)9 763 3300</f>
        <v>#ERROR!</v>
      </c>
      <c r="BB304" s="37" t="str">
        <f>+972 (0)9 766 3394</f>
        <v>#ERROR!</v>
      </c>
      <c r="BC304" s="35" t="s">
        <v>8971</v>
      </c>
      <c r="BD304" s="35" t="s">
        <v>3584</v>
      </c>
      <c r="BE304" s="35" t="s">
        <v>3584</v>
      </c>
      <c r="BF304" s="35" t="s">
        <v>8972</v>
      </c>
      <c r="BG304" s="34"/>
      <c r="BH304" s="37"/>
      <c r="BI304" s="34"/>
      <c r="BJ304" s="35" t="s">
        <v>8973</v>
      </c>
      <c r="BK304" s="34"/>
      <c r="BL304" s="34"/>
      <c r="BM304" s="35" t="s">
        <v>8974</v>
      </c>
      <c r="BN304" s="34"/>
      <c r="BO304" s="34"/>
      <c r="BP304" s="34"/>
      <c r="BQ304" s="38" t="s">
        <v>6714</v>
      </c>
      <c r="BR304" s="37"/>
      <c r="BS304" s="34"/>
      <c r="BT304" s="37"/>
      <c r="BU304" s="34"/>
      <c r="BV304" s="35" t="s">
        <v>3669</v>
      </c>
      <c r="BW304" s="34"/>
      <c r="BX304" s="34"/>
      <c r="BY304" s="35" t="s">
        <v>3573</v>
      </c>
      <c r="BZ304" s="34"/>
      <c r="CA304" s="35" t="s">
        <v>3591</v>
      </c>
      <c r="CB304" s="38" t="s">
        <v>8975</v>
      </c>
      <c r="CC304" s="37"/>
      <c r="CD304" s="34"/>
      <c r="CE304" s="37"/>
      <c r="CF304" s="34"/>
      <c r="CG304" s="35" t="s">
        <v>4977</v>
      </c>
      <c r="CH304" s="34"/>
      <c r="CI304" s="34"/>
      <c r="CJ304" s="35" t="s">
        <v>3590</v>
      </c>
      <c r="CK304" s="37"/>
      <c r="CL304" s="37"/>
      <c r="CM304" s="34"/>
      <c r="CN304" s="35" t="s">
        <v>3591</v>
      </c>
      <c r="CO304" s="37"/>
      <c r="CP304" s="37"/>
      <c r="CQ304" s="37"/>
      <c r="CR304" s="37"/>
      <c r="CS304" s="37"/>
      <c r="CT304" s="37"/>
      <c r="CU304" s="37"/>
      <c r="CV304" s="37"/>
      <c r="CW304" s="37"/>
      <c r="CX304" s="37"/>
      <c r="CY304" s="37"/>
      <c r="CZ304" s="37"/>
      <c r="DA304" s="37"/>
      <c r="DB304" s="37"/>
      <c r="DC304" s="37"/>
      <c r="DD304" s="37"/>
      <c r="DE304" s="37"/>
      <c r="DF304" s="37"/>
      <c r="DG304" s="37"/>
      <c r="DH304" s="37"/>
      <c r="DI304" s="37"/>
      <c r="DJ304" s="37"/>
      <c r="DK304" s="37"/>
      <c r="DL304" s="37"/>
      <c r="DM304" s="37"/>
      <c r="DN304" s="37"/>
      <c r="DO304" s="32" t="s">
        <v>3600</v>
      </c>
      <c r="DP304" s="38" t="s">
        <v>8976</v>
      </c>
      <c r="DQ304" s="32">
        <v>10.0</v>
      </c>
      <c r="DR304" s="32">
        <v>3.0</v>
      </c>
      <c r="DS304" s="32">
        <v>5.0</v>
      </c>
      <c r="DT304" s="37"/>
      <c r="DU304" s="37"/>
      <c r="DV304" s="32">
        <v>5.0</v>
      </c>
      <c r="DW304" s="35" t="s">
        <v>8977</v>
      </c>
      <c r="DX304" s="37"/>
      <c r="DY304" s="34"/>
      <c r="DZ304" s="37"/>
      <c r="EA304" s="37"/>
      <c r="EB304" s="34"/>
      <c r="EC304" s="37"/>
      <c r="ED304" s="37"/>
      <c r="EE304" s="37"/>
      <c r="EF304" s="37"/>
      <c r="EG304" s="34"/>
      <c r="EH304" s="37"/>
      <c r="EI304" s="37"/>
      <c r="EJ304" s="37"/>
      <c r="EK304" s="34"/>
      <c r="EL304" s="37"/>
      <c r="EM304" s="37"/>
      <c r="EN304" s="37"/>
      <c r="EO304" s="37"/>
      <c r="EP304" s="40" t="s">
        <v>3559</v>
      </c>
    </row>
    <row r="305">
      <c r="A305" s="45"/>
      <c r="B305" s="42" t="s">
        <v>8978</v>
      </c>
      <c r="C305" s="43"/>
      <c r="D305" s="43"/>
      <c r="E305" s="42" t="s">
        <v>8979</v>
      </c>
      <c r="F305" s="43"/>
      <c r="G305" s="42" t="s">
        <v>8980</v>
      </c>
      <c r="H305" s="42" t="s">
        <v>3867</v>
      </c>
      <c r="I305" s="42" t="s">
        <v>3868</v>
      </c>
      <c r="J305" s="42" t="s">
        <v>3869</v>
      </c>
      <c r="K305" s="42" t="s">
        <v>5621</v>
      </c>
      <c r="L305" s="43"/>
      <c r="M305" s="42" t="s">
        <v>8981</v>
      </c>
      <c r="N305" s="42" t="s">
        <v>4962</v>
      </c>
      <c r="O305" s="42" t="s">
        <v>8982</v>
      </c>
      <c r="P305" s="42"/>
      <c r="R305" s="42" t="s">
        <v>3571</v>
      </c>
      <c r="S305" s="42" t="s">
        <v>5020</v>
      </c>
      <c r="T305" s="42" t="s">
        <v>3603</v>
      </c>
      <c r="U305" s="44" t="s">
        <v>8983</v>
      </c>
      <c r="V305" s="43"/>
      <c r="W305" s="45"/>
      <c r="X305" s="43"/>
      <c r="Y305" s="43"/>
      <c r="Z305" s="43"/>
      <c r="AA305" s="41">
        <v>2014.0</v>
      </c>
      <c r="AB305" s="43"/>
      <c r="AC305" s="43"/>
      <c r="AD305" s="43"/>
      <c r="AE305" s="45"/>
      <c r="AF305" s="45"/>
      <c r="AG305" s="45"/>
      <c r="AH305" s="45"/>
      <c r="AI305" s="45"/>
      <c r="AJ305" s="45"/>
      <c r="AK305" s="45"/>
      <c r="AL305" s="45"/>
      <c r="AM305" s="45"/>
      <c r="AN305" s="45"/>
      <c r="AO305" s="43"/>
      <c r="AP305" s="43"/>
      <c r="AQ305" s="43"/>
      <c r="AR305" s="43"/>
      <c r="AS305" s="43"/>
      <c r="AT305" s="42" t="s">
        <v>3654</v>
      </c>
      <c r="AU305" s="42" t="s">
        <v>8984</v>
      </c>
      <c r="AV305" s="43"/>
      <c r="AW305" s="42" t="s">
        <v>147</v>
      </c>
      <c r="AX305" s="43"/>
      <c r="AY305" s="41">
        <v>9342142.0</v>
      </c>
      <c r="AZ305" s="42" t="s">
        <v>41</v>
      </c>
      <c r="BA305" s="45"/>
      <c r="BB305" s="45"/>
      <c r="BC305" s="43"/>
      <c r="BD305" s="42" t="s">
        <v>3584</v>
      </c>
      <c r="BE305" s="42" t="s">
        <v>3584</v>
      </c>
      <c r="BF305" s="42" t="s">
        <v>8985</v>
      </c>
      <c r="BG305" s="43"/>
      <c r="BH305" s="45"/>
      <c r="BI305" s="42" t="s">
        <v>8986</v>
      </c>
      <c r="BJ305" s="43"/>
      <c r="BK305" s="43"/>
      <c r="BL305" s="43"/>
      <c r="BM305" s="43"/>
      <c r="BN305" s="43"/>
      <c r="BO305" s="43"/>
      <c r="BP305" s="43"/>
      <c r="BQ305" s="46" t="s">
        <v>3661</v>
      </c>
      <c r="BR305" s="45"/>
      <c r="BS305" s="43"/>
      <c r="BT305" s="45"/>
      <c r="BU305" s="43"/>
      <c r="BV305" s="42" t="s">
        <v>4977</v>
      </c>
      <c r="BW305" s="43"/>
      <c r="BX305" s="43"/>
      <c r="BY305" s="42" t="s">
        <v>3663</v>
      </c>
      <c r="BZ305" s="43"/>
      <c r="CA305" s="42" t="s">
        <v>3591</v>
      </c>
      <c r="CB305" s="46" t="s">
        <v>3661</v>
      </c>
      <c r="CC305" s="45"/>
      <c r="CD305" s="43"/>
      <c r="CE305" s="45"/>
      <c r="CF305" s="43"/>
      <c r="CG305" s="42" t="s">
        <v>4977</v>
      </c>
      <c r="CH305" s="43"/>
      <c r="CI305" s="43"/>
      <c r="CJ305" s="42" t="s">
        <v>3663</v>
      </c>
      <c r="CK305" s="45"/>
      <c r="CL305" s="45"/>
      <c r="CM305" s="43"/>
      <c r="CN305" s="42" t="s">
        <v>3591</v>
      </c>
      <c r="CO305" s="45"/>
      <c r="CP305" s="45"/>
      <c r="CQ305" s="45"/>
      <c r="CR305" s="45"/>
      <c r="CS305" s="45"/>
      <c r="CT305" s="45"/>
      <c r="CU305" s="45"/>
      <c r="CV305" s="45"/>
      <c r="CW305" s="45"/>
      <c r="CX305" s="45"/>
      <c r="CY305" s="45"/>
      <c r="CZ305" s="45"/>
      <c r="DA305" s="45"/>
      <c r="DB305" s="45"/>
      <c r="DC305" s="45"/>
      <c r="DD305" s="45"/>
      <c r="DE305" s="45"/>
      <c r="DF305" s="45"/>
      <c r="DG305" s="45"/>
      <c r="DH305" s="45"/>
      <c r="DI305" s="45"/>
      <c r="DJ305" s="45"/>
      <c r="DK305" s="45"/>
      <c r="DL305" s="45"/>
      <c r="DM305" s="45"/>
      <c r="DN305" s="45"/>
      <c r="DO305" s="41" t="s">
        <v>3600</v>
      </c>
      <c r="DP305" s="46" t="s">
        <v>5695</v>
      </c>
      <c r="DQ305" s="45"/>
      <c r="DR305" s="45"/>
      <c r="DS305" s="45"/>
      <c r="DT305" s="45"/>
      <c r="DU305" s="45"/>
      <c r="DV305" s="45"/>
      <c r="DW305" s="43"/>
      <c r="DX305" s="45"/>
      <c r="DY305" s="43"/>
      <c r="DZ305" s="45"/>
      <c r="EA305" s="45"/>
      <c r="EB305" s="43"/>
      <c r="EC305" s="45"/>
      <c r="ED305" s="45"/>
      <c r="EE305" s="45"/>
      <c r="EF305" s="45"/>
      <c r="EG305" s="43"/>
      <c r="EH305" s="45"/>
      <c r="EI305" s="45"/>
      <c r="EJ305" s="45"/>
      <c r="EK305" s="43"/>
      <c r="EL305" s="45"/>
      <c r="EM305" s="45"/>
      <c r="EN305" s="45"/>
      <c r="EO305" s="45"/>
      <c r="EP305" s="48" t="s">
        <v>3559</v>
      </c>
    </row>
    <row r="306">
      <c r="A306" s="32">
        <v>0.78</v>
      </c>
      <c r="B306" s="35" t="s">
        <v>8987</v>
      </c>
      <c r="C306" s="34"/>
      <c r="D306" s="34"/>
      <c r="E306" s="35" t="s">
        <v>8988</v>
      </c>
      <c r="F306" s="35" t="s">
        <v>8989</v>
      </c>
      <c r="G306" s="35" t="s">
        <v>8990</v>
      </c>
      <c r="H306" s="35" t="s">
        <v>3563</v>
      </c>
      <c r="I306" s="35" t="s">
        <v>3609</v>
      </c>
      <c r="J306" s="35" t="s">
        <v>3610</v>
      </c>
      <c r="K306" s="35" t="s">
        <v>8991</v>
      </c>
      <c r="L306" s="35" t="s">
        <v>8992</v>
      </c>
      <c r="M306" s="35" t="s">
        <v>8993</v>
      </c>
      <c r="N306" s="35" t="s">
        <v>8994</v>
      </c>
      <c r="O306" s="35" t="s">
        <v>8995</v>
      </c>
      <c r="P306" s="35"/>
      <c r="R306" s="35" t="s">
        <v>3571</v>
      </c>
      <c r="S306" s="35" t="s">
        <v>4964</v>
      </c>
      <c r="T306" s="35" t="s">
        <v>5147</v>
      </c>
      <c r="U306" s="36" t="s">
        <v>8996</v>
      </c>
      <c r="V306" s="36" t="s">
        <v>8997</v>
      </c>
      <c r="W306" s="32">
        <v>4.0</v>
      </c>
      <c r="X306" s="35" t="s">
        <v>8998</v>
      </c>
      <c r="Y306" s="34"/>
      <c r="Z306" s="34"/>
      <c r="AA306" s="32">
        <v>2020.0</v>
      </c>
      <c r="AB306" s="35" t="s">
        <v>8831</v>
      </c>
      <c r="AC306" s="34"/>
      <c r="AD306" s="34"/>
      <c r="AE306" s="37"/>
      <c r="AF306" s="37"/>
      <c r="AG306" s="37"/>
      <c r="AH306" s="37"/>
      <c r="AI306" s="37"/>
      <c r="AJ306" s="37"/>
      <c r="AK306" s="37"/>
      <c r="AL306" s="37"/>
      <c r="AM306" s="37"/>
      <c r="AN306" s="37"/>
      <c r="AO306" s="35" t="s">
        <v>8999</v>
      </c>
      <c r="AP306" s="35" t="s">
        <v>9000</v>
      </c>
      <c r="AQ306" s="35" t="s">
        <v>4397</v>
      </c>
      <c r="AR306" s="35" t="s">
        <v>9001</v>
      </c>
      <c r="AS306" s="34" t="str">
        <f>+972 (0)52 428 9660</f>
        <v>#ERROR!</v>
      </c>
      <c r="AT306" s="35" t="s">
        <v>9002</v>
      </c>
      <c r="AU306" s="34"/>
      <c r="AV306" s="34"/>
      <c r="AW306" s="35" t="s">
        <v>9003</v>
      </c>
      <c r="AX306" s="35" t="s">
        <v>4214</v>
      </c>
      <c r="AY306" s="37"/>
      <c r="AZ306" s="35" t="s">
        <v>41</v>
      </c>
      <c r="BA306" s="37" t="str">
        <f>+972 (0)52 428 9660</f>
        <v>#ERROR!</v>
      </c>
      <c r="BB306" s="37"/>
      <c r="BC306" s="35" t="s">
        <v>9004</v>
      </c>
      <c r="BD306" s="35" t="s">
        <v>3584</v>
      </c>
      <c r="BE306" s="35" t="s">
        <v>3584</v>
      </c>
      <c r="BF306" s="35" t="s">
        <v>9005</v>
      </c>
      <c r="BG306" s="34"/>
      <c r="BH306" s="37"/>
      <c r="BI306" s="35" t="s">
        <v>9006</v>
      </c>
      <c r="BJ306" s="34"/>
      <c r="BK306" s="34"/>
      <c r="BL306" s="34"/>
      <c r="BM306" s="34"/>
      <c r="BN306" s="34"/>
      <c r="BO306" s="35" t="s">
        <v>9007</v>
      </c>
      <c r="BP306" s="35" t="s">
        <v>9008</v>
      </c>
      <c r="BQ306" s="38" t="s">
        <v>9009</v>
      </c>
      <c r="BR306" s="32">
        <v>0.78</v>
      </c>
      <c r="BS306" s="35" t="s">
        <v>3593</v>
      </c>
      <c r="BT306" s="32">
        <v>7.51</v>
      </c>
      <c r="BU306" s="35" t="s">
        <v>3593</v>
      </c>
      <c r="BV306" s="35" t="s">
        <v>5462</v>
      </c>
      <c r="BW306" s="34"/>
      <c r="BX306" s="34"/>
      <c r="BY306" s="35" t="s">
        <v>3803</v>
      </c>
      <c r="BZ306" s="34"/>
      <c r="CA306" s="35" t="s">
        <v>3591</v>
      </c>
      <c r="CB306" s="38" t="s">
        <v>6203</v>
      </c>
      <c r="CC306" s="32">
        <v>21.6</v>
      </c>
      <c r="CD306" s="35" t="s">
        <v>3593</v>
      </c>
      <c r="CE306" s="32">
        <v>21.6</v>
      </c>
      <c r="CF306" s="35" t="s">
        <v>3593</v>
      </c>
      <c r="CG306" s="35" t="s">
        <v>4977</v>
      </c>
      <c r="CH306" s="35" t="s">
        <v>5708</v>
      </c>
      <c r="CI306" s="34"/>
      <c r="CJ306" s="35" t="s">
        <v>3663</v>
      </c>
      <c r="CK306" s="37"/>
      <c r="CL306" s="37"/>
      <c r="CM306" s="34"/>
      <c r="CN306" s="35" t="s">
        <v>3591</v>
      </c>
      <c r="CO306" s="37"/>
      <c r="CP306" s="37"/>
      <c r="CQ306" s="37"/>
      <c r="CR306" s="37"/>
      <c r="CS306" s="37"/>
      <c r="CT306" s="37"/>
      <c r="CU306" s="37"/>
      <c r="CV306" s="37"/>
      <c r="CW306" s="37"/>
      <c r="CX306" s="37"/>
      <c r="CY306" s="37"/>
      <c r="CZ306" s="37"/>
      <c r="DA306" s="37"/>
      <c r="DB306" s="37"/>
      <c r="DC306" s="37"/>
      <c r="DD306" s="37"/>
      <c r="DE306" s="37"/>
      <c r="DF306" s="37"/>
      <c r="DG306" s="37"/>
      <c r="DH306" s="37"/>
      <c r="DI306" s="37"/>
      <c r="DJ306" s="37"/>
      <c r="DK306" s="37"/>
      <c r="DL306" s="37"/>
      <c r="DM306" s="37"/>
      <c r="DN306" s="37"/>
      <c r="DO306" s="32" t="s">
        <v>3600</v>
      </c>
      <c r="DP306" s="38" t="s">
        <v>6466</v>
      </c>
      <c r="DQ306" s="37"/>
      <c r="DR306" s="37"/>
      <c r="DS306" s="37"/>
      <c r="DT306" s="37"/>
      <c r="DU306" s="37"/>
      <c r="DV306" s="37"/>
      <c r="DW306" s="34"/>
      <c r="DX306" s="37"/>
      <c r="DY306" s="34"/>
      <c r="DZ306" s="37"/>
      <c r="EA306" s="37"/>
      <c r="EB306" s="34"/>
      <c r="EC306" s="37"/>
      <c r="ED306" s="37"/>
      <c r="EE306" s="32">
        <v>21.6</v>
      </c>
      <c r="EF306" s="38" t="s">
        <v>6203</v>
      </c>
      <c r="EG306" s="35" t="s">
        <v>4977</v>
      </c>
      <c r="EH306" s="37"/>
      <c r="EI306" s="37"/>
      <c r="EJ306" s="37"/>
      <c r="EK306" s="34"/>
      <c r="EL306" s="37"/>
      <c r="EM306" s="37"/>
      <c r="EN306" s="37"/>
      <c r="EO306" s="37"/>
      <c r="EP306" s="40" t="s">
        <v>3559</v>
      </c>
    </row>
    <row r="307">
      <c r="A307" s="45"/>
      <c r="B307" s="42" t="s">
        <v>3013</v>
      </c>
      <c r="C307" s="43"/>
      <c r="D307" s="43"/>
      <c r="E307" s="43"/>
      <c r="F307" s="43"/>
      <c r="G307" s="42" t="s">
        <v>9010</v>
      </c>
      <c r="H307" s="42" t="s">
        <v>4560</v>
      </c>
      <c r="I307" s="42" t="s">
        <v>4561</v>
      </c>
      <c r="J307" s="42" t="s">
        <v>66</v>
      </c>
      <c r="K307" s="42" t="s">
        <v>4562</v>
      </c>
      <c r="L307" s="43"/>
      <c r="M307" s="43"/>
      <c r="N307" s="42" t="s">
        <v>4923</v>
      </c>
      <c r="O307" s="42" t="s">
        <v>9011</v>
      </c>
      <c r="P307" s="42"/>
      <c r="R307" s="43"/>
      <c r="S307" s="42" t="s">
        <v>4925</v>
      </c>
      <c r="T307" s="42" t="s">
        <v>4926</v>
      </c>
      <c r="U307" s="44" t="s">
        <v>9012</v>
      </c>
      <c r="V307" s="44" t="s">
        <v>9013</v>
      </c>
      <c r="W307" s="41">
        <v>4.0</v>
      </c>
      <c r="X307" s="42" t="s">
        <v>8413</v>
      </c>
      <c r="Y307" s="43"/>
      <c r="Z307" s="43"/>
      <c r="AA307" s="41">
        <v>2023.0</v>
      </c>
      <c r="AB307" s="43"/>
      <c r="AC307" s="43"/>
      <c r="AD307" s="43"/>
      <c r="AE307" s="45"/>
      <c r="AF307" s="45"/>
      <c r="AG307" s="45"/>
      <c r="AH307" s="45"/>
      <c r="AI307" s="45"/>
      <c r="AJ307" s="45"/>
      <c r="AK307" s="45"/>
      <c r="AL307" s="45"/>
      <c r="AM307" s="45"/>
      <c r="AN307" s="45"/>
      <c r="AO307" s="43"/>
      <c r="AP307" s="43"/>
      <c r="AQ307" s="43"/>
      <c r="AR307" s="43"/>
      <c r="AS307" s="43"/>
      <c r="AT307" s="42" t="s">
        <v>9014</v>
      </c>
      <c r="AU307" s="42" t="s">
        <v>9015</v>
      </c>
      <c r="AV307" s="43"/>
      <c r="AW307" s="42" t="s">
        <v>722</v>
      </c>
      <c r="AX307" s="43"/>
      <c r="AY307" s="45"/>
      <c r="AZ307" s="42" t="s">
        <v>41</v>
      </c>
      <c r="BA307" s="45" t="str">
        <f>+972 (0)50 388 8885</f>
        <v>#ERROR!</v>
      </c>
      <c r="BB307" s="45"/>
      <c r="BC307" s="42" t="s">
        <v>3016</v>
      </c>
      <c r="BD307" s="42" t="s">
        <v>3584</v>
      </c>
      <c r="BE307" s="42" t="s">
        <v>3584</v>
      </c>
      <c r="BF307" s="43"/>
      <c r="BG307" s="43"/>
      <c r="BH307" s="45"/>
      <c r="BI307" s="43"/>
      <c r="BJ307" s="43"/>
      <c r="BK307" s="43"/>
      <c r="BL307" s="43"/>
      <c r="BM307" s="43"/>
      <c r="BN307" s="43"/>
      <c r="BO307" s="43"/>
      <c r="BP307" s="43"/>
      <c r="BQ307" s="45"/>
      <c r="BR307" s="45"/>
      <c r="BS307" s="43"/>
      <c r="BT307" s="45"/>
      <c r="BU307" s="43"/>
      <c r="BV307" s="43"/>
      <c r="BW307" s="43"/>
      <c r="BX307" s="43"/>
      <c r="BY307" s="43"/>
      <c r="BZ307" s="43"/>
      <c r="CA307" s="43"/>
      <c r="CB307" s="45"/>
      <c r="CC307" s="45"/>
      <c r="CD307" s="43"/>
      <c r="CE307" s="45"/>
      <c r="CF307" s="43"/>
      <c r="CG307" s="43"/>
      <c r="CH307" s="43"/>
      <c r="CI307" s="43"/>
      <c r="CJ307" s="43"/>
      <c r="CK307" s="45"/>
      <c r="CL307" s="45"/>
      <c r="CM307" s="43"/>
      <c r="CN307" s="43"/>
      <c r="CO307" s="47">
        <v>0.0</v>
      </c>
      <c r="CP307" s="41">
        <v>14.0</v>
      </c>
      <c r="CQ307" s="47">
        <v>0.0</v>
      </c>
      <c r="CR307" s="47">
        <v>0.0</v>
      </c>
      <c r="CS307" s="47">
        <v>0.0</v>
      </c>
      <c r="CT307" s="41">
        <v>12.0</v>
      </c>
      <c r="CU307" s="45"/>
      <c r="CV307" s="45"/>
      <c r="CW307" s="47">
        <v>0.0</v>
      </c>
      <c r="CX307" s="41">
        <v>12.0</v>
      </c>
      <c r="CY307" s="41" t="s">
        <v>9016</v>
      </c>
      <c r="CZ307" s="41">
        <v>26.0</v>
      </c>
      <c r="DA307" s="41" t="s">
        <v>3598</v>
      </c>
      <c r="DB307" s="47">
        <v>0.0</v>
      </c>
      <c r="DC307" s="41" t="s">
        <v>5600</v>
      </c>
      <c r="DD307" s="41">
        <v>29.0</v>
      </c>
      <c r="DE307" s="45"/>
      <c r="DF307" s="45"/>
      <c r="DG307" s="41" t="s">
        <v>5600</v>
      </c>
      <c r="DH307" s="41">
        <v>26.0</v>
      </c>
      <c r="DI307" s="45"/>
      <c r="DJ307" s="45"/>
      <c r="DK307" s="45"/>
      <c r="DL307" s="41">
        <v>13.0</v>
      </c>
      <c r="DM307" s="41">
        <v>1.0</v>
      </c>
      <c r="DN307" s="47">
        <v>0.0833</v>
      </c>
      <c r="DO307" s="41" t="s">
        <v>5066</v>
      </c>
      <c r="DP307" s="46" t="s">
        <v>9017</v>
      </c>
      <c r="DQ307" s="45"/>
      <c r="DR307" s="45"/>
      <c r="DS307" s="45"/>
      <c r="DT307" s="45"/>
      <c r="DU307" s="45"/>
      <c r="DV307" s="45"/>
      <c r="DW307" s="43"/>
      <c r="DX307" s="45"/>
      <c r="DY307" s="43"/>
      <c r="DZ307" s="45"/>
      <c r="EA307" s="45"/>
      <c r="EB307" s="43"/>
      <c r="EC307" s="45"/>
      <c r="ED307" s="45"/>
      <c r="EE307" s="45"/>
      <c r="EF307" s="45"/>
      <c r="EG307" s="43"/>
      <c r="EH307" s="45"/>
      <c r="EI307" s="45"/>
      <c r="EJ307" s="45"/>
      <c r="EK307" s="43"/>
      <c r="EL307" s="45"/>
      <c r="EM307" s="45"/>
      <c r="EN307" s="45"/>
      <c r="EO307" s="45"/>
      <c r="EP307" s="48" t="s">
        <v>3559</v>
      </c>
    </row>
    <row r="308">
      <c r="A308" s="37"/>
      <c r="B308" s="35" t="s">
        <v>9018</v>
      </c>
      <c r="C308" s="34"/>
      <c r="D308" s="34"/>
      <c r="E308" s="35" t="s">
        <v>9019</v>
      </c>
      <c r="F308" s="34"/>
      <c r="G308" s="35" t="s">
        <v>9020</v>
      </c>
      <c r="H308" s="35" t="s">
        <v>4560</v>
      </c>
      <c r="I308" s="35" t="s">
        <v>4561</v>
      </c>
      <c r="J308" s="35" t="s">
        <v>66</v>
      </c>
      <c r="K308" s="35" t="s">
        <v>4562</v>
      </c>
      <c r="L308" s="35" t="s">
        <v>7960</v>
      </c>
      <c r="M308" s="35" t="s">
        <v>9021</v>
      </c>
      <c r="N308" s="35" t="s">
        <v>4923</v>
      </c>
      <c r="O308" s="35" t="s">
        <v>9022</v>
      </c>
      <c r="P308" s="35"/>
      <c r="R308" s="35" t="s">
        <v>5222</v>
      </c>
      <c r="S308" s="35" t="s">
        <v>5222</v>
      </c>
      <c r="T308" s="35" t="s">
        <v>4926</v>
      </c>
      <c r="U308" s="36" t="s">
        <v>9023</v>
      </c>
      <c r="V308" s="34"/>
      <c r="W308" s="37"/>
      <c r="X308" s="34"/>
      <c r="Y308" s="34"/>
      <c r="Z308" s="34"/>
      <c r="AA308" s="32">
        <v>2016.0</v>
      </c>
      <c r="AB308" s="34"/>
      <c r="AC308" s="34"/>
      <c r="AD308" s="34"/>
      <c r="AE308" s="37"/>
      <c r="AF308" s="37"/>
      <c r="AG308" s="37"/>
      <c r="AH308" s="37"/>
      <c r="AI308" s="37"/>
      <c r="AJ308" s="37"/>
      <c r="AK308" s="37"/>
      <c r="AL308" s="37"/>
      <c r="AM308" s="37"/>
      <c r="AN308" s="37"/>
      <c r="AO308" s="34"/>
      <c r="AP308" s="34"/>
      <c r="AQ308" s="34"/>
      <c r="AR308" s="34"/>
      <c r="AS308" s="34"/>
      <c r="AT308" s="35" t="s">
        <v>3581</v>
      </c>
      <c r="AU308" s="34"/>
      <c r="AV308" s="34"/>
      <c r="AW308" s="35" t="s">
        <v>75</v>
      </c>
      <c r="AX308" s="34"/>
      <c r="AY308" s="37"/>
      <c r="AZ308" s="35" t="s">
        <v>41</v>
      </c>
      <c r="BA308" s="37"/>
      <c r="BB308" s="37"/>
      <c r="BC308" s="34"/>
      <c r="BD308" s="35" t="s">
        <v>3584</v>
      </c>
      <c r="BE308" s="35" t="s">
        <v>3584</v>
      </c>
      <c r="BF308" s="35" t="s">
        <v>5332</v>
      </c>
      <c r="BG308" s="34"/>
      <c r="BH308" s="37"/>
      <c r="BI308" s="34"/>
      <c r="BJ308" s="34"/>
      <c r="BK308" s="34"/>
      <c r="BL308" s="34"/>
      <c r="BM308" s="34"/>
      <c r="BN308" s="34"/>
      <c r="BO308" s="34"/>
      <c r="BP308" s="34"/>
      <c r="BQ308" s="37"/>
      <c r="BR308" s="37"/>
      <c r="BS308" s="34"/>
      <c r="BT308" s="37"/>
      <c r="BU308" s="34"/>
      <c r="BV308" s="34"/>
      <c r="BW308" s="34"/>
      <c r="BX308" s="34"/>
      <c r="BY308" s="34"/>
      <c r="BZ308" s="34"/>
      <c r="CA308" s="34"/>
      <c r="CB308" s="37"/>
      <c r="CC308" s="37"/>
      <c r="CD308" s="34"/>
      <c r="CE308" s="37"/>
      <c r="CF308" s="34"/>
      <c r="CG308" s="34"/>
      <c r="CH308" s="34"/>
      <c r="CI308" s="34"/>
      <c r="CJ308" s="34"/>
      <c r="CK308" s="37"/>
      <c r="CL308" s="37"/>
      <c r="CM308" s="34"/>
      <c r="CN308" s="34"/>
      <c r="CO308" s="37"/>
      <c r="CP308" s="37"/>
      <c r="CQ308" s="37"/>
      <c r="CR308" s="37"/>
      <c r="CS308" s="37"/>
      <c r="CT308" s="37"/>
      <c r="CU308" s="37"/>
      <c r="CV308" s="37"/>
      <c r="CW308" s="37"/>
      <c r="CX308" s="37"/>
      <c r="CY308" s="37"/>
      <c r="CZ308" s="37"/>
      <c r="DA308" s="37"/>
      <c r="DB308" s="37"/>
      <c r="DC308" s="37"/>
      <c r="DD308" s="37"/>
      <c r="DE308" s="37"/>
      <c r="DF308" s="37"/>
      <c r="DG308" s="37"/>
      <c r="DH308" s="37"/>
      <c r="DI308" s="37"/>
      <c r="DJ308" s="37"/>
      <c r="DK308" s="37"/>
      <c r="DL308" s="37"/>
      <c r="DM308" s="37"/>
      <c r="DN308" s="37"/>
      <c r="DO308" s="32" t="s">
        <v>3600</v>
      </c>
      <c r="DP308" s="38" t="s">
        <v>6394</v>
      </c>
      <c r="DQ308" s="37"/>
      <c r="DR308" s="37"/>
      <c r="DS308" s="37"/>
      <c r="DT308" s="37"/>
      <c r="DU308" s="37"/>
      <c r="DV308" s="37"/>
      <c r="DW308" s="34"/>
      <c r="DX308" s="37"/>
      <c r="DY308" s="34"/>
      <c r="DZ308" s="37"/>
      <c r="EA308" s="37"/>
      <c r="EB308" s="34"/>
      <c r="EC308" s="37"/>
      <c r="ED308" s="37"/>
      <c r="EE308" s="37"/>
      <c r="EF308" s="37"/>
      <c r="EG308" s="34"/>
      <c r="EH308" s="37"/>
      <c r="EI308" s="37"/>
      <c r="EJ308" s="37"/>
      <c r="EK308" s="34"/>
      <c r="EL308" s="37"/>
      <c r="EM308" s="37"/>
      <c r="EN308" s="37"/>
      <c r="EO308" s="37"/>
      <c r="EP308" s="40" t="s">
        <v>3559</v>
      </c>
    </row>
    <row r="309">
      <c r="A309" s="45"/>
      <c r="B309" s="42" t="s">
        <v>9024</v>
      </c>
      <c r="C309" s="43"/>
      <c r="D309" s="43"/>
      <c r="E309" s="42" t="s">
        <v>9025</v>
      </c>
      <c r="F309" s="43"/>
      <c r="G309" s="42" t="s">
        <v>9026</v>
      </c>
      <c r="H309" s="42" t="s">
        <v>3563</v>
      </c>
      <c r="I309" s="42" t="s">
        <v>3609</v>
      </c>
      <c r="J309" s="42" t="s">
        <v>4050</v>
      </c>
      <c r="K309" s="42" t="s">
        <v>9027</v>
      </c>
      <c r="L309" s="42" t="s">
        <v>8495</v>
      </c>
      <c r="M309" s="42" t="s">
        <v>9028</v>
      </c>
      <c r="N309" s="42" t="s">
        <v>5481</v>
      </c>
      <c r="O309" s="42" t="s">
        <v>9029</v>
      </c>
      <c r="P309" s="42"/>
      <c r="R309" s="42" t="s">
        <v>5222</v>
      </c>
      <c r="S309" s="42" t="s">
        <v>5222</v>
      </c>
      <c r="T309" s="42" t="s">
        <v>5147</v>
      </c>
      <c r="U309" s="44" t="s">
        <v>9030</v>
      </c>
      <c r="V309" s="43"/>
      <c r="W309" s="45"/>
      <c r="X309" s="43"/>
      <c r="Y309" s="43"/>
      <c r="Z309" s="43"/>
      <c r="AA309" s="41">
        <v>2020.0</v>
      </c>
      <c r="AB309" s="43"/>
      <c r="AC309" s="43"/>
      <c r="AD309" s="43"/>
      <c r="AE309" s="45"/>
      <c r="AF309" s="45"/>
      <c r="AG309" s="45"/>
      <c r="AH309" s="45"/>
      <c r="AI309" s="45"/>
      <c r="AJ309" s="45"/>
      <c r="AK309" s="45"/>
      <c r="AL309" s="45"/>
      <c r="AM309" s="45"/>
      <c r="AN309" s="45"/>
      <c r="AO309" s="43"/>
      <c r="AP309" s="43"/>
      <c r="AQ309" s="43"/>
      <c r="AR309" s="43"/>
      <c r="AS309" s="43"/>
      <c r="AT309" s="42" t="s">
        <v>3744</v>
      </c>
      <c r="AU309" s="43"/>
      <c r="AV309" s="43"/>
      <c r="AW309" s="42" t="s">
        <v>183</v>
      </c>
      <c r="AX309" s="43"/>
      <c r="AY309" s="45"/>
      <c r="AZ309" s="42" t="s">
        <v>41</v>
      </c>
      <c r="BA309" s="45"/>
      <c r="BB309" s="45"/>
      <c r="BC309" s="43"/>
      <c r="BD309" s="42" t="s">
        <v>3584</v>
      </c>
      <c r="BE309" s="42" t="s">
        <v>3584</v>
      </c>
      <c r="BF309" s="42" t="s">
        <v>9031</v>
      </c>
      <c r="BG309" s="43"/>
      <c r="BH309" s="45"/>
      <c r="BI309" s="43"/>
      <c r="BJ309" s="42" t="s">
        <v>9032</v>
      </c>
      <c r="BK309" s="43"/>
      <c r="BL309" s="43"/>
      <c r="BM309" s="42" t="s">
        <v>8796</v>
      </c>
      <c r="BN309" s="43"/>
      <c r="BO309" s="43"/>
      <c r="BP309" s="43"/>
      <c r="BQ309" s="45"/>
      <c r="BR309" s="45"/>
      <c r="BS309" s="43"/>
      <c r="BT309" s="45"/>
      <c r="BU309" s="43"/>
      <c r="BV309" s="42" t="s">
        <v>3589</v>
      </c>
      <c r="BW309" s="43"/>
      <c r="BX309" s="43"/>
      <c r="BY309" s="42" t="s">
        <v>3590</v>
      </c>
      <c r="BZ309" s="43"/>
      <c r="CA309" s="42" t="s">
        <v>3591</v>
      </c>
      <c r="CB309" s="46" t="s">
        <v>7788</v>
      </c>
      <c r="CC309" s="45"/>
      <c r="CD309" s="43"/>
      <c r="CE309" s="45"/>
      <c r="CF309" s="43"/>
      <c r="CG309" s="42" t="s">
        <v>5222</v>
      </c>
      <c r="CH309" s="43"/>
      <c r="CI309" s="43"/>
      <c r="CJ309" s="42" t="s">
        <v>5222</v>
      </c>
      <c r="CK309" s="45"/>
      <c r="CL309" s="45"/>
      <c r="CM309" s="43"/>
      <c r="CN309" s="42" t="s">
        <v>3591</v>
      </c>
      <c r="CO309" s="45"/>
      <c r="CP309" s="45"/>
      <c r="CQ309" s="45"/>
      <c r="CR309" s="45"/>
      <c r="CS309" s="45"/>
      <c r="CT309" s="45"/>
      <c r="CU309" s="45"/>
      <c r="CV309" s="45"/>
      <c r="CW309" s="45"/>
      <c r="CX309" s="45"/>
      <c r="CY309" s="45"/>
      <c r="CZ309" s="45"/>
      <c r="DA309" s="45"/>
      <c r="DB309" s="45"/>
      <c r="DC309" s="45"/>
      <c r="DD309" s="45"/>
      <c r="DE309" s="45"/>
      <c r="DF309" s="45"/>
      <c r="DG309" s="45"/>
      <c r="DH309" s="45"/>
      <c r="DI309" s="45"/>
      <c r="DJ309" s="45"/>
      <c r="DK309" s="45"/>
      <c r="DL309" s="45"/>
      <c r="DM309" s="45"/>
      <c r="DN309" s="45"/>
      <c r="DO309" s="41" t="s">
        <v>3600</v>
      </c>
      <c r="DP309" s="46" t="s">
        <v>9033</v>
      </c>
      <c r="DQ309" s="45"/>
      <c r="DR309" s="45"/>
      <c r="DS309" s="45"/>
      <c r="DT309" s="45"/>
      <c r="DU309" s="45"/>
      <c r="DV309" s="45"/>
      <c r="DW309" s="43"/>
      <c r="DX309" s="45"/>
      <c r="DY309" s="43"/>
      <c r="DZ309" s="45"/>
      <c r="EA309" s="45"/>
      <c r="EB309" s="43"/>
      <c r="EC309" s="45"/>
      <c r="ED309" s="45"/>
      <c r="EE309" s="45"/>
      <c r="EF309" s="45"/>
      <c r="EG309" s="43"/>
      <c r="EH309" s="45"/>
      <c r="EI309" s="45"/>
      <c r="EJ309" s="45"/>
      <c r="EK309" s="43"/>
      <c r="EL309" s="45"/>
      <c r="EM309" s="45"/>
      <c r="EN309" s="45"/>
      <c r="EO309" s="45"/>
      <c r="EP309" s="48" t="s">
        <v>3559</v>
      </c>
    </row>
    <row r="310">
      <c r="A310" s="32">
        <v>0.05</v>
      </c>
      <c r="B310" s="35" t="s">
        <v>9034</v>
      </c>
      <c r="C310" s="34"/>
      <c r="D310" s="34"/>
      <c r="E310" s="35" t="s">
        <v>9035</v>
      </c>
      <c r="F310" s="35" t="s">
        <v>9036</v>
      </c>
      <c r="G310" s="35" t="s">
        <v>9037</v>
      </c>
      <c r="H310" s="35" t="s">
        <v>4560</v>
      </c>
      <c r="I310" s="35" t="s">
        <v>6034</v>
      </c>
      <c r="J310" s="35" t="s">
        <v>6035</v>
      </c>
      <c r="K310" s="35" t="s">
        <v>9038</v>
      </c>
      <c r="L310" s="35" t="s">
        <v>9039</v>
      </c>
      <c r="M310" s="35" t="s">
        <v>9040</v>
      </c>
      <c r="N310" s="35" t="s">
        <v>4923</v>
      </c>
      <c r="O310" s="35" t="s">
        <v>9041</v>
      </c>
      <c r="P310" s="35"/>
      <c r="R310" s="35" t="s">
        <v>3571</v>
      </c>
      <c r="S310" s="35" t="s">
        <v>4925</v>
      </c>
      <c r="T310" s="35" t="s">
        <v>4926</v>
      </c>
      <c r="U310" s="36" t="s">
        <v>9042</v>
      </c>
      <c r="V310" s="36" t="s">
        <v>9043</v>
      </c>
      <c r="W310" s="32">
        <v>8.0</v>
      </c>
      <c r="X310" s="35" t="s">
        <v>9044</v>
      </c>
      <c r="Y310" s="34"/>
      <c r="Z310" s="34"/>
      <c r="AA310" s="32">
        <v>2019.0</v>
      </c>
      <c r="AB310" s="34"/>
      <c r="AC310" s="34"/>
      <c r="AD310" s="34"/>
      <c r="AE310" s="37"/>
      <c r="AF310" s="37"/>
      <c r="AG310" s="37"/>
      <c r="AH310" s="37"/>
      <c r="AI310" s="37"/>
      <c r="AJ310" s="37"/>
      <c r="AK310" s="37"/>
      <c r="AL310" s="37"/>
      <c r="AM310" s="37"/>
      <c r="AN310" s="37"/>
      <c r="AO310" s="35" t="s">
        <v>9045</v>
      </c>
      <c r="AP310" s="35" t="s">
        <v>9046</v>
      </c>
      <c r="AQ310" s="35" t="s">
        <v>4397</v>
      </c>
      <c r="AR310" s="35" t="s">
        <v>9047</v>
      </c>
      <c r="AS310" s="34" t="str">
        <f>+972 (0)79 910 6699</f>
        <v>#ERROR!</v>
      </c>
      <c r="AT310" s="35" t="s">
        <v>9048</v>
      </c>
      <c r="AU310" s="35" t="s">
        <v>9049</v>
      </c>
      <c r="AV310" s="34"/>
      <c r="AW310" s="35" t="s">
        <v>9050</v>
      </c>
      <c r="AX310" s="34"/>
      <c r="AY310" s="37"/>
      <c r="AZ310" s="35" t="s">
        <v>41</v>
      </c>
      <c r="BA310" s="37" t="str">
        <f>+972 (0)79 910 6699</f>
        <v>#ERROR!</v>
      </c>
      <c r="BB310" s="37"/>
      <c r="BC310" s="34"/>
      <c r="BD310" s="35" t="s">
        <v>3584</v>
      </c>
      <c r="BE310" s="35" t="s">
        <v>3584</v>
      </c>
      <c r="BF310" s="35" t="s">
        <v>9051</v>
      </c>
      <c r="BG310" s="34"/>
      <c r="BH310" s="37"/>
      <c r="BI310" s="34"/>
      <c r="BJ310" s="34"/>
      <c r="BK310" s="34"/>
      <c r="BL310" s="34"/>
      <c r="BM310" s="34"/>
      <c r="BN310" s="34"/>
      <c r="BO310" s="35" t="s">
        <v>9052</v>
      </c>
      <c r="BP310" s="34"/>
      <c r="BQ310" s="38" t="s">
        <v>9053</v>
      </c>
      <c r="BR310" s="32">
        <v>0.05</v>
      </c>
      <c r="BS310" s="35" t="s">
        <v>3593</v>
      </c>
      <c r="BT310" s="37"/>
      <c r="BU310" s="34"/>
      <c r="BV310" s="35" t="s">
        <v>5320</v>
      </c>
      <c r="BW310" s="34"/>
      <c r="BX310" s="34"/>
      <c r="BY310" s="35" t="s">
        <v>3803</v>
      </c>
      <c r="BZ310" s="34"/>
      <c r="CA310" s="35" t="s">
        <v>3591</v>
      </c>
      <c r="CB310" s="38" t="s">
        <v>9053</v>
      </c>
      <c r="CC310" s="32">
        <v>0.05</v>
      </c>
      <c r="CD310" s="35" t="s">
        <v>3593</v>
      </c>
      <c r="CE310" s="37"/>
      <c r="CF310" s="34"/>
      <c r="CG310" s="35" t="s">
        <v>5320</v>
      </c>
      <c r="CH310" s="34"/>
      <c r="CI310" s="34"/>
      <c r="CJ310" s="35" t="s">
        <v>3803</v>
      </c>
      <c r="CK310" s="37"/>
      <c r="CL310" s="37"/>
      <c r="CM310" s="34"/>
      <c r="CN310" s="35" t="s">
        <v>3591</v>
      </c>
      <c r="CO310" s="39">
        <v>0.0</v>
      </c>
      <c r="CP310" s="32">
        <v>14.0</v>
      </c>
      <c r="CQ310" s="39">
        <v>0.0</v>
      </c>
      <c r="CR310" s="39">
        <v>0.0</v>
      </c>
      <c r="CS310" s="39">
        <v>0.0</v>
      </c>
      <c r="CT310" s="32">
        <v>12.0</v>
      </c>
      <c r="CU310" s="37"/>
      <c r="CV310" s="37"/>
      <c r="CW310" s="39">
        <v>0.0</v>
      </c>
      <c r="CX310" s="32">
        <v>12.0</v>
      </c>
      <c r="CY310" s="32" t="s">
        <v>8489</v>
      </c>
      <c r="CZ310" s="32">
        <v>21.0</v>
      </c>
      <c r="DA310" s="32" t="s">
        <v>3598</v>
      </c>
      <c r="DB310" s="39">
        <v>0.0</v>
      </c>
      <c r="DC310" s="32" t="s">
        <v>8489</v>
      </c>
      <c r="DD310" s="32">
        <v>23.0</v>
      </c>
      <c r="DE310" s="37"/>
      <c r="DF310" s="37"/>
      <c r="DG310" s="32" t="s">
        <v>8489</v>
      </c>
      <c r="DH310" s="32">
        <v>20.0</v>
      </c>
      <c r="DI310" s="32">
        <v>249.0</v>
      </c>
      <c r="DJ310" s="32">
        <v>-50.0</v>
      </c>
      <c r="DK310" s="39">
        <v>-0.1672</v>
      </c>
      <c r="DL310" s="32">
        <v>11.0</v>
      </c>
      <c r="DM310" s="32">
        <v>0.0</v>
      </c>
      <c r="DN310" s="39">
        <v>0.0</v>
      </c>
      <c r="DO310" s="32" t="s">
        <v>3600</v>
      </c>
      <c r="DP310" s="38" t="s">
        <v>9054</v>
      </c>
      <c r="DQ310" s="37"/>
      <c r="DR310" s="37"/>
      <c r="DS310" s="37"/>
      <c r="DT310" s="37"/>
      <c r="DU310" s="37"/>
      <c r="DV310" s="37"/>
      <c r="DW310" s="34"/>
      <c r="DX310" s="37"/>
      <c r="DY310" s="34"/>
      <c r="DZ310" s="37"/>
      <c r="EA310" s="37"/>
      <c r="EB310" s="34"/>
      <c r="EC310" s="37"/>
      <c r="ED310" s="37"/>
      <c r="EE310" s="37"/>
      <c r="EF310" s="37"/>
      <c r="EG310" s="34"/>
      <c r="EH310" s="37"/>
      <c r="EI310" s="37"/>
      <c r="EJ310" s="37"/>
      <c r="EK310" s="34"/>
      <c r="EL310" s="37"/>
      <c r="EM310" s="37"/>
      <c r="EN310" s="37"/>
      <c r="EO310" s="37"/>
      <c r="EP310" s="40" t="s">
        <v>3559</v>
      </c>
    </row>
    <row r="311">
      <c r="A311" s="41">
        <v>2.0</v>
      </c>
      <c r="B311" s="42" t="s">
        <v>9055</v>
      </c>
      <c r="C311" s="43"/>
      <c r="D311" s="43"/>
      <c r="E311" s="42" t="s">
        <v>9056</v>
      </c>
      <c r="F311" s="42" t="s">
        <v>9057</v>
      </c>
      <c r="G311" s="42" t="s">
        <v>9058</v>
      </c>
      <c r="H311" s="42" t="s">
        <v>3867</v>
      </c>
      <c r="I311" s="42" t="s">
        <v>3897</v>
      </c>
      <c r="J311" s="42" t="s">
        <v>3898</v>
      </c>
      <c r="K311" s="42" t="s">
        <v>6151</v>
      </c>
      <c r="L311" s="42" t="s">
        <v>9059</v>
      </c>
      <c r="M311" s="42" t="s">
        <v>9060</v>
      </c>
      <c r="N311" s="42" t="s">
        <v>5018</v>
      </c>
      <c r="O311" s="42" t="s">
        <v>9061</v>
      </c>
      <c r="P311" s="42"/>
      <c r="R311" s="42" t="s">
        <v>3571</v>
      </c>
      <c r="S311" s="42" t="s">
        <v>5020</v>
      </c>
      <c r="T311" s="42" t="s">
        <v>3573</v>
      </c>
      <c r="U311" s="44" t="s">
        <v>9062</v>
      </c>
      <c r="V311" s="43"/>
      <c r="W311" s="45"/>
      <c r="X311" s="43"/>
      <c r="Y311" s="43"/>
      <c r="Z311" s="43"/>
      <c r="AA311" s="41">
        <v>2015.0</v>
      </c>
      <c r="AB311" s="43"/>
      <c r="AC311" s="43"/>
      <c r="AD311" s="43"/>
      <c r="AE311" s="45"/>
      <c r="AF311" s="45"/>
      <c r="AG311" s="45"/>
      <c r="AH311" s="45"/>
      <c r="AI311" s="45"/>
      <c r="AJ311" s="45"/>
      <c r="AK311" s="45"/>
      <c r="AL311" s="45"/>
      <c r="AM311" s="45"/>
      <c r="AN311" s="45"/>
      <c r="AO311" s="43"/>
      <c r="AP311" s="43"/>
      <c r="AQ311" s="43"/>
      <c r="AR311" s="43"/>
      <c r="AS311" s="43"/>
      <c r="AT311" s="42" t="s">
        <v>3581</v>
      </c>
      <c r="AU311" s="42" t="s">
        <v>9063</v>
      </c>
      <c r="AV311" s="43"/>
      <c r="AW311" s="42" t="s">
        <v>75</v>
      </c>
      <c r="AX311" s="43"/>
      <c r="AY311" s="45"/>
      <c r="AZ311" s="42" t="s">
        <v>41</v>
      </c>
      <c r="BA311" s="45"/>
      <c r="BB311" s="45"/>
      <c r="BC311" s="43"/>
      <c r="BD311" s="42" t="s">
        <v>3584</v>
      </c>
      <c r="BE311" s="42" t="s">
        <v>3584</v>
      </c>
      <c r="BF311" s="42" t="s">
        <v>9064</v>
      </c>
      <c r="BG311" s="43"/>
      <c r="BH311" s="45"/>
      <c r="BI311" s="42" t="s">
        <v>9065</v>
      </c>
      <c r="BJ311" s="42" t="s">
        <v>9066</v>
      </c>
      <c r="BK311" s="43"/>
      <c r="BL311" s="43"/>
      <c r="BM311" s="42" t="s">
        <v>9067</v>
      </c>
      <c r="BN311" s="43"/>
      <c r="BO311" s="43"/>
      <c r="BP311" s="43"/>
      <c r="BQ311" s="45"/>
      <c r="BR311" s="41">
        <v>2.0</v>
      </c>
      <c r="BS311" s="42" t="s">
        <v>3593</v>
      </c>
      <c r="BT311" s="45"/>
      <c r="BU311" s="43"/>
      <c r="BV311" s="42" t="s">
        <v>3698</v>
      </c>
      <c r="BW311" s="42" t="s">
        <v>3698</v>
      </c>
      <c r="BX311" s="43"/>
      <c r="BY311" s="42" t="s">
        <v>3573</v>
      </c>
      <c r="BZ311" s="43"/>
      <c r="CA311" s="42" t="s">
        <v>3591</v>
      </c>
      <c r="CB311" s="46" t="s">
        <v>9068</v>
      </c>
      <c r="CC311" s="45"/>
      <c r="CD311" s="43"/>
      <c r="CE311" s="45"/>
      <c r="CF311" s="43"/>
      <c r="CG311" s="42" t="s">
        <v>4977</v>
      </c>
      <c r="CH311" s="43"/>
      <c r="CI311" s="43"/>
      <c r="CJ311" s="42" t="s">
        <v>3663</v>
      </c>
      <c r="CK311" s="45"/>
      <c r="CL311" s="45"/>
      <c r="CM311" s="43"/>
      <c r="CN311" s="42" t="s">
        <v>3591</v>
      </c>
      <c r="CO311" s="45"/>
      <c r="CP311" s="45"/>
      <c r="CQ311" s="45"/>
      <c r="CR311" s="45"/>
      <c r="CS311" s="45"/>
      <c r="CT311" s="45"/>
      <c r="CU311" s="45"/>
      <c r="CV311" s="45"/>
      <c r="CW311" s="45"/>
      <c r="CX311" s="45"/>
      <c r="CY311" s="45"/>
      <c r="CZ311" s="45"/>
      <c r="DA311" s="45"/>
      <c r="DB311" s="45"/>
      <c r="DC311" s="45"/>
      <c r="DD311" s="45"/>
      <c r="DE311" s="45"/>
      <c r="DF311" s="45"/>
      <c r="DG311" s="45"/>
      <c r="DH311" s="45"/>
      <c r="DI311" s="45"/>
      <c r="DJ311" s="45"/>
      <c r="DK311" s="45"/>
      <c r="DL311" s="45"/>
      <c r="DM311" s="45"/>
      <c r="DN311" s="45"/>
      <c r="DO311" s="41" t="s">
        <v>3600</v>
      </c>
      <c r="DP311" s="46" t="s">
        <v>5177</v>
      </c>
      <c r="DQ311" s="41">
        <v>1.0</v>
      </c>
      <c r="DR311" s="41">
        <v>1.0</v>
      </c>
      <c r="DS311" s="41">
        <v>1.0</v>
      </c>
      <c r="DT311" s="45"/>
      <c r="DU311" s="45"/>
      <c r="DV311" s="45"/>
      <c r="DW311" s="42" t="s">
        <v>4954</v>
      </c>
      <c r="DX311" s="45"/>
      <c r="DY311" s="43"/>
      <c r="DZ311" s="45"/>
      <c r="EA311" s="45"/>
      <c r="EB311" s="43"/>
      <c r="EC311" s="45"/>
      <c r="ED311" s="45"/>
      <c r="EE311" s="45"/>
      <c r="EF311" s="45"/>
      <c r="EG311" s="43"/>
      <c r="EH311" s="45"/>
      <c r="EI311" s="45"/>
      <c r="EJ311" s="45"/>
      <c r="EK311" s="43"/>
      <c r="EL311" s="45"/>
      <c r="EM311" s="45"/>
      <c r="EN311" s="45"/>
      <c r="EO311" s="45"/>
      <c r="EP311" s="48" t="s">
        <v>3559</v>
      </c>
    </row>
    <row r="312">
      <c r="A312" s="37"/>
      <c r="B312" s="35" t="s">
        <v>9069</v>
      </c>
      <c r="C312" s="35" t="s">
        <v>9070</v>
      </c>
      <c r="D312" s="35" t="s">
        <v>9071</v>
      </c>
      <c r="E312" s="34"/>
      <c r="F312" s="34"/>
      <c r="G312" s="35" t="s">
        <v>9072</v>
      </c>
      <c r="H312" s="35" t="s">
        <v>3867</v>
      </c>
      <c r="I312" s="35" t="s">
        <v>3868</v>
      </c>
      <c r="J312" s="35" t="s">
        <v>5057</v>
      </c>
      <c r="K312" s="35" t="s">
        <v>5058</v>
      </c>
      <c r="L312" s="35" t="s">
        <v>5736</v>
      </c>
      <c r="M312" s="35" t="s">
        <v>9073</v>
      </c>
      <c r="N312" s="35" t="s">
        <v>5944</v>
      </c>
      <c r="O312" s="35" t="s">
        <v>9074</v>
      </c>
      <c r="P312" s="35"/>
      <c r="R312" s="35" t="s">
        <v>3571</v>
      </c>
      <c r="S312" s="35" t="s">
        <v>4925</v>
      </c>
      <c r="T312" s="35" t="s">
        <v>3603</v>
      </c>
      <c r="U312" s="36" t="s">
        <v>9075</v>
      </c>
      <c r="V312" s="34"/>
      <c r="W312" s="37"/>
      <c r="X312" s="34"/>
      <c r="Y312" s="34"/>
      <c r="Z312" s="34"/>
      <c r="AA312" s="32">
        <v>1977.0</v>
      </c>
      <c r="AB312" s="34"/>
      <c r="AC312" s="34"/>
      <c r="AD312" s="34"/>
      <c r="AE312" s="37"/>
      <c r="AF312" s="37"/>
      <c r="AG312" s="37"/>
      <c r="AH312" s="37"/>
      <c r="AI312" s="37"/>
      <c r="AJ312" s="37"/>
      <c r="AK312" s="37"/>
      <c r="AL312" s="37"/>
      <c r="AM312" s="37"/>
      <c r="AN312" s="37"/>
      <c r="AO312" s="34"/>
      <c r="AP312" s="34"/>
      <c r="AQ312" s="34"/>
      <c r="AR312" s="34"/>
      <c r="AS312" s="34"/>
      <c r="AT312" s="35" t="s">
        <v>6317</v>
      </c>
      <c r="AU312" s="35" t="s">
        <v>9076</v>
      </c>
      <c r="AV312" s="35" t="s">
        <v>6318</v>
      </c>
      <c r="AW312" s="35" t="s">
        <v>246</v>
      </c>
      <c r="AX312" s="34"/>
      <c r="AY312" s="32">
        <v>70100.0</v>
      </c>
      <c r="AZ312" s="35" t="s">
        <v>41</v>
      </c>
      <c r="BA312" s="37" t="str">
        <f>+972 (0)3 977 1131</f>
        <v>#ERROR!</v>
      </c>
      <c r="BB312" s="37" t="str">
        <f>+972 (0)3 972 1371</f>
        <v>#ERROR!</v>
      </c>
      <c r="BC312" s="35" t="s">
        <v>9077</v>
      </c>
      <c r="BD312" s="35" t="s">
        <v>3584</v>
      </c>
      <c r="BE312" s="35" t="s">
        <v>3584</v>
      </c>
      <c r="BF312" s="35" t="s">
        <v>9078</v>
      </c>
      <c r="BG312" s="35" t="s">
        <v>7536</v>
      </c>
      <c r="BH312" s="32">
        <v>1.0</v>
      </c>
      <c r="BI312" s="34"/>
      <c r="BJ312" s="34"/>
      <c r="BK312" s="35" t="s">
        <v>9079</v>
      </c>
      <c r="BL312" s="35" t="s">
        <v>7537</v>
      </c>
      <c r="BM312" s="34"/>
      <c r="BN312" s="35" t="s">
        <v>9080</v>
      </c>
      <c r="BO312" s="34"/>
      <c r="BP312" s="34"/>
      <c r="BQ312" s="38" t="s">
        <v>9081</v>
      </c>
      <c r="BR312" s="37"/>
      <c r="BS312" s="34"/>
      <c r="BT312" s="37"/>
      <c r="BU312" s="34"/>
      <c r="BV312" s="35" t="s">
        <v>4977</v>
      </c>
      <c r="BW312" s="35" t="s">
        <v>5708</v>
      </c>
      <c r="BX312" s="34"/>
      <c r="BY312" s="35" t="s">
        <v>3663</v>
      </c>
      <c r="BZ312" s="34"/>
      <c r="CA312" s="35" t="s">
        <v>3966</v>
      </c>
      <c r="CB312" s="38" t="s">
        <v>9081</v>
      </c>
      <c r="CC312" s="37"/>
      <c r="CD312" s="34"/>
      <c r="CE312" s="37"/>
      <c r="CF312" s="34"/>
      <c r="CG312" s="35" t="s">
        <v>4977</v>
      </c>
      <c r="CH312" s="35" t="s">
        <v>5708</v>
      </c>
      <c r="CI312" s="34"/>
      <c r="CJ312" s="35" t="s">
        <v>3663</v>
      </c>
      <c r="CK312" s="37"/>
      <c r="CL312" s="37"/>
      <c r="CM312" s="34"/>
      <c r="CN312" s="35" t="s">
        <v>3966</v>
      </c>
      <c r="CO312" s="39">
        <v>-0.0881</v>
      </c>
      <c r="CP312" s="32">
        <v>1.0</v>
      </c>
      <c r="CQ312" s="39">
        <v>0.0</v>
      </c>
      <c r="CR312" s="39">
        <v>0.0</v>
      </c>
      <c r="CS312" s="39">
        <v>-0.0881</v>
      </c>
      <c r="CT312" s="32">
        <v>1.0</v>
      </c>
      <c r="CU312" s="37"/>
      <c r="CV312" s="37"/>
      <c r="CW312" s="39">
        <v>-0.0881</v>
      </c>
      <c r="CX312" s="32">
        <v>1.0</v>
      </c>
      <c r="CY312" s="32" t="s">
        <v>9082</v>
      </c>
      <c r="CZ312" s="32">
        <v>97.0</v>
      </c>
      <c r="DA312" s="32" t="s">
        <v>3598</v>
      </c>
      <c r="DB312" s="39">
        <v>0.0</v>
      </c>
      <c r="DC312" s="32" t="s">
        <v>9082</v>
      </c>
      <c r="DD312" s="32">
        <v>97.0</v>
      </c>
      <c r="DE312" s="37"/>
      <c r="DF312" s="37"/>
      <c r="DG312" s="32" t="s">
        <v>9082</v>
      </c>
      <c r="DH312" s="32">
        <v>97.0</v>
      </c>
      <c r="DI312" s="37"/>
      <c r="DJ312" s="37"/>
      <c r="DK312" s="37"/>
      <c r="DL312" s="32">
        <v>634.0</v>
      </c>
      <c r="DM312" s="32">
        <v>-53.0</v>
      </c>
      <c r="DN312" s="39">
        <v>-0.0771</v>
      </c>
      <c r="DO312" s="32" t="s">
        <v>3600</v>
      </c>
      <c r="DP312" s="38" t="s">
        <v>9083</v>
      </c>
      <c r="DQ312" s="37"/>
      <c r="DR312" s="37"/>
      <c r="DS312" s="37"/>
      <c r="DT312" s="37"/>
      <c r="DU312" s="37"/>
      <c r="DV312" s="37"/>
      <c r="DW312" s="34"/>
      <c r="DX312" s="37"/>
      <c r="DY312" s="34"/>
      <c r="DZ312" s="37"/>
      <c r="EA312" s="37"/>
      <c r="EB312" s="34"/>
      <c r="EC312" s="37"/>
      <c r="ED312" s="37"/>
      <c r="EE312" s="37"/>
      <c r="EF312" s="37"/>
      <c r="EG312" s="34"/>
      <c r="EH312" s="37"/>
      <c r="EI312" s="37"/>
      <c r="EJ312" s="37"/>
      <c r="EK312" s="34"/>
      <c r="EL312" s="37"/>
      <c r="EM312" s="37"/>
      <c r="EN312" s="37"/>
      <c r="EO312" s="37"/>
      <c r="EP312" s="40" t="s">
        <v>3559</v>
      </c>
    </row>
    <row r="313">
      <c r="A313" s="45"/>
      <c r="B313" s="42" t="s">
        <v>9084</v>
      </c>
      <c r="C313" s="43"/>
      <c r="D313" s="42" t="s">
        <v>9085</v>
      </c>
      <c r="E313" s="42" t="s">
        <v>9086</v>
      </c>
      <c r="F313" s="43"/>
      <c r="G313" s="42" t="s">
        <v>9087</v>
      </c>
      <c r="H313" s="42" t="s">
        <v>4560</v>
      </c>
      <c r="I313" s="42" t="s">
        <v>4561</v>
      </c>
      <c r="J313" s="42" t="s">
        <v>66</v>
      </c>
      <c r="K313" s="42" t="s">
        <v>9088</v>
      </c>
      <c r="L313" s="43"/>
      <c r="M313" s="42" t="s">
        <v>9089</v>
      </c>
      <c r="N313" s="42" t="s">
        <v>4389</v>
      </c>
      <c r="O313" s="42" t="s">
        <v>9090</v>
      </c>
      <c r="P313" s="42"/>
      <c r="R313" s="42" t="s">
        <v>3571</v>
      </c>
      <c r="S313" s="42" t="s">
        <v>3572</v>
      </c>
      <c r="T313" s="42" t="s">
        <v>8555</v>
      </c>
      <c r="U313" s="44" t="s">
        <v>9091</v>
      </c>
      <c r="V313" s="44" t="s">
        <v>9092</v>
      </c>
      <c r="W313" s="41">
        <v>23.0</v>
      </c>
      <c r="X313" s="42" t="s">
        <v>9093</v>
      </c>
      <c r="Y313" s="43"/>
      <c r="Z313" s="43"/>
      <c r="AA313" s="41">
        <v>1994.0</v>
      </c>
      <c r="AB313" s="43"/>
      <c r="AC313" s="43"/>
      <c r="AD313" s="43"/>
      <c r="AE313" s="41">
        <v>75.51</v>
      </c>
      <c r="AF313" s="45"/>
      <c r="AG313" s="45"/>
      <c r="AH313" s="45"/>
      <c r="AI313" s="45"/>
      <c r="AJ313" s="45"/>
      <c r="AK313" s="45"/>
      <c r="AL313" s="45"/>
      <c r="AM313" s="45"/>
      <c r="AN313" s="41" t="s">
        <v>6293</v>
      </c>
      <c r="AO313" s="42" t="s">
        <v>9094</v>
      </c>
      <c r="AP313" s="42" t="s">
        <v>9095</v>
      </c>
      <c r="AQ313" s="42" t="s">
        <v>4093</v>
      </c>
      <c r="AR313" s="42" t="s">
        <v>9096</v>
      </c>
      <c r="AS313" s="43"/>
      <c r="AT313" s="42" t="s">
        <v>5689</v>
      </c>
      <c r="AU313" s="42" t="s">
        <v>9097</v>
      </c>
      <c r="AV313" s="43"/>
      <c r="AW313" s="42" t="s">
        <v>298</v>
      </c>
      <c r="AX313" s="43"/>
      <c r="AY313" s="45"/>
      <c r="AZ313" s="42" t="s">
        <v>41</v>
      </c>
      <c r="BA313" s="45"/>
      <c r="BB313" s="45"/>
      <c r="BC313" s="43"/>
      <c r="BD313" s="42" t="s">
        <v>3584</v>
      </c>
      <c r="BE313" s="42" t="s">
        <v>3584</v>
      </c>
      <c r="BF313" s="42" t="s">
        <v>9098</v>
      </c>
      <c r="BG313" s="42" t="s">
        <v>9099</v>
      </c>
      <c r="BH313" s="41">
        <v>1.0</v>
      </c>
      <c r="BI313" s="43"/>
      <c r="BJ313" s="42" t="s">
        <v>9100</v>
      </c>
      <c r="BK313" s="43"/>
      <c r="BL313" s="42" t="s">
        <v>9101</v>
      </c>
      <c r="BM313" s="42" t="s">
        <v>9102</v>
      </c>
      <c r="BN313" s="43"/>
      <c r="BO313" s="43"/>
      <c r="BP313" s="42" t="s">
        <v>6655</v>
      </c>
      <c r="BQ313" s="46" t="s">
        <v>9103</v>
      </c>
      <c r="BR313" s="45"/>
      <c r="BS313" s="43"/>
      <c r="BT313" s="45"/>
      <c r="BU313" s="43"/>
      <c r="BV313" s="42" t="s">
        <v>5005</v>
      </c>
      <c r="BW313" s="43"/>
      <c r="BX313" s="43"/>
      <c r="BY313" s="42" t="s">
        <v>4989</v>
      </c>
      <c r="BZ313" s="43"/>
      <c r="CA313" s="42" t="s">
        <v>3591</v>
      </c>
      <c r="CB313" s="46" t="s">
        <v>9104</v>
      </c>
      <c r="CC313" s="41">
        <v>4.6</v>
      </c>
      <c r="CD313" s="42" t="s">
        <v>3593</v>
      </c>
      <c r="CE313" s="41">
        <v>51.11</v>
      </c>
      <c r="CF313" s="42" t="s">
        <v>3697</v>
      </c>
      <c r="CG313" s="42" t="s">
        <v>3830</v>
      </c>
      <c r="CH313" s="43"/>
      <c r="CI313" s="43"/>
      <c r="CJ313" s="42" t="s">
        <v>4989</v>
      </c>
      <c r="CK313" s="45"/>
      <c r="CL313" s="45"/>
      <c r="CM313" s="43"/>
      <c r="CN313" s="42" t="s">
        <v>3591</v>
      </c>
      <c r="CO313" s="47">
        <v>0.0</v>
      </c>
      <c r="CP313" s="41">
        <v>14.0</v>
      </c>
      <c r="CQ313" s="47">
        <v>0.0</v>
      </c>
      <c r="CR313" s="47">
        <v>0.0</v>
      </c>
      <c r="CS313" s="47">
        <v>0.0</v>
      </c>
      <c r="CT313" s="41">
        <v>12.0</v>
      </c>
      <c r="CU313" s="45"/>
      <c r="CV313" s="45"/>
      <c r="CW313" s="47">
        <v>0.0</v>
      </c>
      <c r="CX313" s="41">
        <v>12.0</v>
      </c>
      <c r="CY313" s="41" t="s">
        <v>9105</v>
      </c>
      <c r="CZ313" s="41">
        <v>69.0</v>
      </c>
      <c r="DA313" s="41" t="s">
        <v>3598</v>
      </c>
      <c r="DB313" s="47">
        <v>0.0</v>
      </c>
      <c r="DC313" s="41" t="s">
        <v>9105</v>
      </c>
      <c r="DD313" s="41">
        <v>71.0</v>
      </c>
      <c r="DE313" s="45"/>
      <c r="DF313" s="45"/>
      <c r="DG313" s="41" t="s">
        <v>9105</v>
      </c>
      <c r="DH313" s="41">
        <v>70.0</v>
      </c>
      <c r="DI313" s="45"/>
      <c r="DJ313" s="45"/>
      <c r="DK313" s="45"/>
      <c r="DL313" s="41">
        <v>53.0</v>
      </c>
      <c r="DM313" s="41">
        <v>1.0</v>
      </c>
      <c r="DN313" s="47">
        <v>0.0192</v>
      </c>
      <c r="DO313" s="41" t="s">
        <v>3600</v>
      </c>
      <c r="DP313" s="46" t="s">
        <v>9106</v>
      </c>
      <c r="DQ313" s="45"/>
      <c r="DR313" s="45"/>
      <c r="DS313" s="45"/>
      <c r="DT313" s="45"/>
      <c r="DU313" s="45"/>
      <c r="DV313" s="45"/>
      <c r="DW313" s="43"/>
      <c r="DX313" s="45"/>
      <c r="DY313" s="43"/>
      <c r="DZ313" s="45"/>
      <c r="EA313" s="45"/>
      <c r="EB313" s="43"/>
      <c r="EC313" s="45"/>
      <c r="ED313" s="45"/>
      <c r="EE313" s="41">
        <v>51.11</v>
      </c>
      <c r="EF313" s="46" t="s">
        <v>9104</v>
      </c>
      <c r="EG313" s="42" t="s">
        <v>3830</v>
      </c>
      <c r="EH313" s="45"/>
      <c r="EI313" s="45"/>
      <c r="EJ313" s="45"/>
      <c r="EK313" s="43"/>
      <c r="EL313" s="45"/>
      <c r="EM313" s="45"/>
      <c r="EN313" s="45"/>
      <c r="EO313" s="45"/>
      <c r="EP313" s="48" t="s">
        <v>3559</v>
      </c>
    </row>
    <row r="314">
      <c r="A314" s="37"/>
      <c r="B314" s="35" t="s">
        <v>9107</v>
      </c>
      <c r="C314" s="35" t="s">
        <v>9108</v>
      </c>
      <c r="D314" s="35" t="s">
        <v>9109</v>
      </c>
      <c r="E314" s="35" t="s">
        <v>9110</v>
      </c>
      <c r="F314" s="34"/>
      <c r="G314" s="35" t="s">
        <v>9111</v>
      </c>
      <c r="H314" s="35" t="s">
        <v>3867</v>
      </c>
      <c r="I314" s="35" t="s">
        <v>3868</v>
      </c>
      <c r="J314" s="35" t="s">
        <v>3869</v>
      </c>
      <c r="K314" s="35" t="s">
        <v>4024</v>
      </c>
      <c r="L314" s="35" t="s">
        <v>4986</v>
      </c>
      <c r="M314" s="35" t="s">
        <v>9112</v>
      </c>
      <c r="N314" s="35" t="s">
        <v>5075</v>
      </c>
      <c r="O314" s="35" t="s">
        <v>9113</v>
      </c>
      <c r="P314" s="35"/>
      <c r="R314" s="35" t="s">
        <v>5750</v>
      </c>
      <c r="S314" s="35" t="s">
        <v>5236</v>
      </c>
      <c r="T314" s="35" t="s">
        <v>8555</v>
      </c>
      <c r="U314" s="36" t="s">
        <v>9114</v>
      </c>
      <c r="V314" s="34"/>
      <c r="W314" s="32">
        <v>153.0</v>
      </c>
      <c r="X314" s="35" t="s">
        <v>9115</v>
      </c>
      <c r="Y314" s="35" t="s">
        <v>5417</v>
      </c>
      <c r="Z314" s="35" t="s">
        <v>9116</v>
      </c>
      <c r="AA314" s="32">
        <v>1993.0</v>
      </c>
      <c r="AB314" s="34"/>
      <c r="AC314" s="34"/>
      <c r="AD314" s="34"/>
      <c r="AE314" s="32">
        <v>46.03</v>
      </c>
      <c r="AF314" s="32">
        <v>15.93</v>
      </c>
      <c r="AG314" s="32">
        <v>5.11</v>
      </c>
      <c r="AH314" s="32">
        <v>94.77</v>
      </c>
      <c r="AI314" s="32">
        <v>12.4</v>
      </c>
      <c r="AJ314" s="32">
        <v>8.47</v>
      </c>
      <c r="AK314" s="32">
        <v>66.19</v>
      </c>
      <c r="AL314" s="32">
        <v>14.35</v>
      </c>
      <c r="AM314" s="39">
        <v>0.0229</v>
      </c>
      <c r="AN314" s="32" t="s">
        <v>5245</v>
      </c>
      <c r="AO314" s="35" t="s">
        <v>9117</v>
      </c>
      <c r="AP314" s="35" t="s">
        <v>9118</v>
      </c>
      <c r="AQ314" s="35" t="s">
        <v>9119</v>
      </c>
      <c r="AR314" s="34"/>
      <c r="AS314" s="34" t="str">
        <f>+972 (0)73 226 7300</f>
        <v>#ERROR!</v>
      </c>
      <c r="AT314" s="35" t="s">
        <v>9120</v>
      </c>
      <c r="AU314" s="35" t="s">
        <v>9121</v>
      </c>
      <c r="AV314" s="35" t="s">
        <v>9122</v>
      </c>
      <c r="AW314" s="35" t="s">
        <v>9123</v>
      </c>
      <c r="AX314" s="34"/>
      <c r="AY314" s="32">
        <v>1812001.0</v>
      </c>
      <c r="AZ314" s="35" t="s">
        <v>41</v>
      </c>
      <c r="BA314" s="37" t="str">
        <f>+972 (0)73 226 7300</f>
        <v>#ERROR!</v>
      </c>
      <c r="BB314" s="37" t="str">
        <f>+972 (0)4 642 6222</f>
        <v>#ERROR!</v>
      </c>
      <c r="BC314" s="35" t="s">
        <v>9124</v>
      </c>
      <c r="BD314" s="35" t="s">
        <v>3584</v>
      </c>
      <c r="BE314" s="35" t="s">
        <v>3584</v>
      </c>
      <c r="BF314" s="35" t="s">
        <v>9125</v>
      </c>
      <c r="BG314" s="35" t="s">
        <v>7678</v>
      </c>
      <c r="BH314" s="32">
        <v>1.0</v>
      </c>
      <c r="BI314" s="34"/>
      <c r="BJ314" s="34"/>
      <c r="BK314" s="34"/>
      <c r="BL314" s="35" t="s">
        <v>7680</v>
      </c>
      <c r="BM314" s="34"/>
      <c r="BN314" s="34"/>
      <c r="BO314" s="35" t="s">
        <v>9126</v>
      </c>
      <c r="BP314" s="35" t="s">
        <v>9127</v>
      </c>
      <c r="BQ314" s="38" t="s">
        <v>9128</v>
      </c>
      <c r="BR314" s="32">
        <v>2.0</v>
      </c>
      <c r="BS314" s="35" t="s">
        <v>3593</v>
      </c>
      <c r="BT314" s="32">
        <v>2.0</v>
      </c>
      <c r="BU314" s="34"/>
      <c r="BV314" s="35" t="s">
        <v>5005</v>
      </c>
      <c r="BW314" s="34"/>
      <c r="BX314" s="34"/>
      <c r="BY314" s="35" t="s">
        <v>4989</v>
      </c>
      <c r="BZ314" s="34"/>
      <c r="CA314" s="35" t="s">
        <v>3591</v>
      </c>
      <c r="CB314" s="38" t="s">
        <v>9129</v>
      </c>
      <c r="CC314" s="37"/>
      <c r="CD314" s="34"/>
      <c r="CE314" s="37"/>
      <c r="CF314" s="34"/>
      <c r="CG314" s="35" t="s">
        <v>5257</v>
      </c>
      <c r="CH314" s="34"/>
      <c r="CI314" s="34"/>
      <c r="CJ314" s="35" t="s">
        <v>4989</v>
      </c>
      <c r="CK314" s="37"/>
      <c r="CL314" s="37"/>
      <c r="CM314" s="34"/>
      <c r="CN314" s="35" t="s">
        <v>3591</v>
      </c>
      <c r="CO314" s="37"/>
      <c r="CP314" s="37"/>
      <c r="CQ314" s="37"/>
      <c r="CR314" s="37"/>
      <c r="CS314" s="37"/>
      <c r="CT314" s="37"/>
      <c r="CU314" s="37"/>
      <c r="CV314" s="37"/>
      <c r="CW314" s="37"/>
      <c r="CX314" s="37"/>
      <c r="CY314" s="37"/>
      <c r="CZ314" s="37"/>
      <c r="DA314" s="37"/>
      <c r="DB314" s="37"/>
      <c r="DC314" s="37"/>
      <c r="DD314" s="37"/>
      <c r="DE314" s="37"/>
      <c r="DF314" s="37"/>
      <c r="DG314" s="37"/>
      <c r="DH314" s="37"/>
      <c r="DI314" s="37"/>
      <c r="DJ314" s="37"/>
      <c r="DK314" s="37"/>
      <c r="DL314" s="37"/>
      <c r="DM314" s="37"/>
      <c r="DN314" s="37"/>
      <c r="DO314" s="32" t="s">
        <v>3600</v>
      </c>
      <c r="DP314" s="38" t="s">
        <v>9130</v>
      </c>
      <c r="DQ314" s="37"/>
      <c r="DR314" s="37"/>
      <c r="DS314" s="37"/>
      <c r="DT314" s="37"/>
      <c r="DU314" s="37"/>
      <c r="DV314" s="37"/>
      <c r="DW314" s="34"/>
      <c r="DX314" s="37"/>
      <c r="DY314" s="34"/>
      <c r="DZ314" s="37"/>
      <c r="EA314" s="37"/>
      <c r="EB314" s="34"/>
      <c r="EC314" s="37"/>
      <c r="ED314" s="37"/>
      <c r="EE314" s="32">
        <v>2.0</v>
      </c>
      <c r="EF314" s="38" t="s">
        <v>9128</v>
      </c>
      <c r="EG314" s="35" t="s">
        <v>5005</v>
      </c>
      <c r="EH314" s="37"/>
      <c r="EI314" s="37"/>
      <c r="EJ314" s="37"/>
      <c r="EK314" s="34"/>
      <c r="EL314" s="37"/>
      <c r="EM314" s="37"/>
      <c r="EN314" s="37"/>
      <c r="EO314" s="37"/>
      <c r="EP314" s="40" t="s">
        <v>3559</v>
      </c>
    </row>
    <row r="315">
      <c r="A315" s="45"/>
      <c r="B315" s="42" t="s">
        <v>9131</v>
      </c>
      <c r="C315" s="43"/>
      <c r="D315" s="43"/>
      <c r="E315" s="42" t="s">
        <v>9132</v>
      </c>
      <c r="F315" s="43"/>
      <c r="G315" s="42" t="s">
        <v>9133</v>
      </c>
      <c r="H315" s="42" t="s">
        <v>3563</v>
      </c>
      <c r="I315" s="42" t="s">
        <v>3564</v>
      </c>
      <c r="J315" s="42" t="s">
        <v>3565</v>
      </c>
      <c r="K315" s="42" t="s">
        <v>5929</v>
      </c>
      <c r="L315" s="42" t="s">
        <v>9134</v>
      </c>
      <c r="M315" s="42" t="s">
        <v>9135</v>
      </c>
      <c r="N315" s="42" t="s">
        <v>5481</v>
      </c>
      <c r="O315" s="42" t="s">
        <v>9136</v>
      </c>
      <c r="P315" s="42"/>
      <c r="R315" s="42" t="s">
        <v>5222</v>
      </c>
      <c r="S315" s="42" t="s">
        <v>5222</v>
      </c>
      <c r="T315" s="42" t="s">
        <v>5147</v>
      </c>
      <c r="U315" s="44" t="s">
        <v>9137</v>
      </c>
      <c r="V315" s="43"/>
      <c r="W315" s="45"/>
      <c r="X315" s="43"/>
      <c r="Y315" s="43"/>
      <c r="Z315" s="43"/>
      <c r="AA315" s="41">
        <v>2016.0</v>
      </c>
      <c r="AB315" s="43"/>
      <c r="AC315" s="43"/>
      <c r="AD315" s="43"/>
      <c r="AE315" s="45"/>
      <c r="AF315" s="45"/>
      <c r="AG315" s="45"/>
      <c r="AH315" s="45"/>
      <c r="AI315" s="45"/>
      <c r="AJ315" s="45"/>
      <c r="AK315" s="45"/>
      <c r="AL315" s="45"/>
      <c r="AM315" s="45"/>
      <c r="AN315" s="45"/>
      <c r="AO315" s="43"/>
      <c r="AP315" s="43"/>
      <c r="AQ315" s="43"/>
      <c r="AR315" s="43"/>
      <c r="AS315" s="43"/>
      <c r="AT315" s="42" t="s">
        <v>4448</v>
      </c>
      <c r="AU315" s="42" t="s">
        <v>9138</v>
      </c>
      <c r="AV315" s="43"/>
      <c r="AW315" s="42" t="s">
        <v>485</v>
      </c>
      <c r="AX315" s="43"/>
      <c r="AY315" s="45"/>
      <c r="AZ315" s="42" t="s">
        <v>41</v>
      </c>
      <c r="BA315" s="45"/>
      <c r="BB315" s="45"/>
      <c r="BC315" s="42" t="s">
        <v>9139</v>
      </c>
      <c r="BD315" s="42" t="s">
        <v>3584</v>
      </c>
      <c r="BE315" s="42" t="s">
        <v>3584</v>
      </c>
      <c r="BF315" s="42" t="s">
        <v>9140</v>
      </c>
      <c r="BG315" s="43"/>
      <c r="BH315" s="45"/>
      <c r="BI315" s="43"/>
      <c r="BJ315" s="42" t="s">
        <v>9141</v>
      </c>
      <c r="BK315" s="43"/>
      <c r="BL315" s="43"/>
      <c r="BM315" s="42" t="s">
        <v>9142</v>
      </c>
      <c r="BN315" s="43"/>
      <c r="BO315" s="43"/>
      <c r="BP315" s="43"/>
      <c r="BQ315" s="46" t="s">
        <v>9143</v>
      </c>
      <c r="BR315" s="45"/>
      <c r="BS315" s="43"/>
      <c r="BT315" s="45"/>
      <c r="BU315" s="43"/>
      <c r="BV315" s="42" t="s">
        <v>3589</v>
      </c>
      <c r="BW315" s="43"/>
      <c r="BX315" s="43"/>
      <c r="BY315" s="42" t="s">
        <v>3590</v>
      </c>
      <c r="BZ315" s="43"/>
      <c r="CA315" s="42" t="s">
        <v>3591</v>
      </c>
      <c r="CB315" s="46" t="s">
        <v>6966</v>
      </c>
      <c r="CC315" s="45"/>
      <c r="CD315" s="43"/>
      <c r="CE315" s="45"/>
      <c r="CF315" s="43"/>
      <c r="CG315" s="42" t="s">
        <v>5222</v>
      </c>
      <c r="CH315" s="43"/>
      <c r="CI315" s="43"/>
      <c r="CJ315" s="42" t="s">
        <v>5222</v>
      </c>
      <c r="CK315" s="45"/>
      <c r="CL315" s="45"/>
      <c r="CM315" s="43"/>
      <c r="CN315" s="42" t="s">
        <v>3591</v>
      </c>
      <c r="CO315" s="45"/>
      <c r="CP315" s="45"/>
      <c r="CQ315" s="45"/>
      <c r="CR315" s="45"/>
      <c r="CS315" s="45"/>
      <c r="CT315" s="45"/>
      <c r="CU315" s="45"/>
      <c r="CV315" s="45"/>
      <c r="CW315" s="45"/>
      <c r="CX315" s="45"/>
      <c r="CY315" s="45"/>
      <c r="CZ315" s="45"/>
      <c r="DA315" s="45"/>
      <c r="DB315" s="45"/>
      <c r="DC315" s="45"/>
      <c r="DD315" s="45"/>
      <c r="DE315" s="45"/>
      <c r="DF315" s="45"/>
      <c r="DG315" s="45"/>
      <c r="DH315" s="45"/>
      <c r="DI315" s="45"/>
      <c r="DJ315" s="45"/>
      <c r="DK315" s="45"/>
      <c r="DL315" s="45"/>
      <c r="DM315" s="45"/>
      <c r="DN315" s="45"/>
      <c r="DO315" s="41" t="s">
        <v>3600</v>
      </c>
      <c r="DP315" s="46" t="s">
        <v>5177</v>
      </c>
      <c r="DQ315" s="45"/>
      <c r="DR315" s="45"/>
      <c r="DS315" s="45"/>
      <c r="DT315" s="45"/>
      <c r="DU315" s="45"/>
      <c r="DV315" s="45"/>
      <c r="DW315" s="43"/>
      <c r="DX315" s="45"/>
      <c r="DY315" s="43"/>
      <c r="DZ315" s="45"/>
      <c r="EA315" s="45"/>
      <c r="EB315" s="43"/>
      <c r="EC315" s="45"/>
      <c r="ED315" s="45"/>
      <c r="EE315" s="45"/>
      <c r="EF315" s="45"/>
      <c r="EG315" s="43"/>
      <c r="EH315" s="45"/>
      <c r="EI315" s="45"/>
      <c r="EJ315" s="45"/>
      <c r="EK315" s="43"/>
      <c r="EL315" s="45"/>
      <c r="EM315" s="45"/>
      <c r="EN315" s="45"/>
      <c r="EO315" s="45"/>
      <c r="EP315" s="48" t="s">
        <v>3559</v>
      </c>
    </row>
    <row r="316">
      <c r="A316" s="37"/>
      <c r="B316" s="35" t="s">
        <v>9144</v>
      </c>
      <c r="C316" s="34"/>
      <c r="D316" s="34"/>
      <c r="E316" s="34"/>
      <c r="F316" s="34"/>
      <c r="G316" s="35" t="s">
        <v>9145</v>
      </c>
      <c r="H316" s="35" t="s">
        <v>3563</v>
      </c>
      <c r="I316" s="35" t="s">
        <v>3564</v>
      </c>
      <c r="J316" s="35" t="s">
        <v>3565</v>
      </c>
      <c r="K316" s="35" t="s">
        <v>5114</v>
      </c>
      <c r="L316" s="35" t="s">
        <v>9146</v>
      </c>
      <c r="M316" s="35" t="s">
        <v>9147</v>
      </c>
      <c r="N316" s="35" t="s">
        <v>4923</v>
      </c>
      <c r="O316" s="35" t="s">
        <v>9148</v>
      </c>
      <c r="P316" s="35"/>
      <c r="R316" s="35" t="s">
        <v>3571</v>
      </c>
      <c r="S316" s="35" t="s">
        <v>4925</v>
      </c>
      <c r="T316" s="35" t="s">
        <v>4926</v>
      </c>
      <c r="U316" s="36" t="s">
        <v>9149</v>
      </c>
      <c r="V316" s="36" t="s">
        <v>9150</v>
      </c>
      <c r="W316" s="37"/>
      <c r="X316" s="34"/>
      <c r="Y316" s="34"/>
      <c r="Z316" s="34"/>
      <c r="AA316" s="32">
        <v>2018.0</v>
      </c>
      <c r="AB316" s="34"/>
      <c r="AC316" s="34"/>
      <c r="AD316" s="34"/>
      <c r="AE316" s="37"/>
      <c r="AF316" s="37"/>
      <c r="AG316" s="37"/>
      <c r="AH316" s="37"/>
      <c r="AI316" s="37"/>
      <c r="AJ316" s="37"/>
      <c r="AK316" s="37"/>
      <c r="AL316" s="37"/>
      <c r="AM316" s="37"/>
      <c r="AN316" s="37"/>
      <c r="AO316" s="35" t="s">
        <v>9151</v>
      </c>
      <c r="AP316" s="35" t="s">
        <v>9152</v>
      </c>
      <c r="AQ316" s="35" t="s">
        <v>4930</v>
      </c>
      <c r="AR316" s="35" t="s">
        <v>9153</v>
      </c>
      <c r="AS316" s="34" t="str">
        <f>+972 (0)73 743 3331</f>
        <v>#ERROR!</v>
      </c>
      <c r="AT316" s="35" t="s">
        <v>3581</v>
      </c>
      <c r="AU316" s="35" t="s">
        <v>9154</v>
      </c>
      <c r="AV316" s="34"/>
      <c r="AW316" s="35" t="s">
        <v>75</v>
      </c>
      <c r="AX316" s="34"/>
      <c r="AY316" s="32">
        <v>6423904.0</v>
      </c>
      <c r="AZ316" s="35" t="s">
        <v>41</v>
      </c>
      <c r="BA316" s="37"/>
      <c r="BB316" s="37"/>
      <c r="BC316" s="34"/>
      <c r="BD316" s="35" t="s">
        <v>3584</v>
      </c>
      <c r="BE316" s="35" t="s">
        <v>3584</v>
      </c>
      <c r="BF316" s="34"/>
      <c r="BG316" s="34"/>
      <c r="BH316" s="37"/>
      <c r="BI316" s="34"/>
      <c r="BJ316" s="34"/>
      <c r="BK316" s="34"/>
      <c r="BL316" s="34"/>
      <c r="BM316" s="34"/>
      <c r="BN316" s="34"/>
      <c r="BO316" s="34"/>
      <c r="BP316" s="34"/>
      <c r="BQ316" s="37"/>
      <c r="BR316" s="37"/>
      <c r="BS316" s="34"/>
      <c r="BT316" s="37"/>
      <c r="BU316" s="34"/>
      <c r="BV316" s="34"/>
      <c r="BW316" s="34"/>
      <c r="BX316" s="34"/>
      <c r="BY316" s="34"/>
      <c r="BZ316" s="34"/>
      <c r="CA316" s="34"/>
      <c r="CB316" s="37"/>
      <c r="CC316" s="37"/>
      <c r="CD316" s="34"/>
      <c r="CE316" s="37"/>
      <c r="CF316" s="34"/>
      <c r="CG316" s="34"/>
      <c r="CH316" s="34"/>
      <c r="CI316" s="34"/>
      <c r="CJ316" s="34"/>
      <c r="CK316" s="37"/>
      <c r="CL316" s="37"/>
      <c r="CM316" s="34"/>
      <c r="CN316" s="34"/>
      <c r="CO316" s="39">
        <v>0.0</v>
      </c>
      <c r="CP316" s="32">
        <v>14.0</v>
      </c>
      <c r="CQ316" s="39">
        <v>0.0</v>
      </c>
      <c r="CR316" s="39">
        <v>0.0</v>
      </c>
      <c r="CS316" s="39">
        <v>0.0</v>
      </c>
      <c r="CT316" s="32">
        <v>12.0</v>
      </c>
      <c r="CU316" s="37"/>
      <c r="CV316" s="37"/>
      <c r="CW316" s="39">
        <v>0.0</v>
      </c>
      <c r="CX316" s="32">
        <v>12.0</v>
      </c>
      <c r="CY316" s="32" t="s">
        <v>4827</v>
      </c>
      <c r="CZ316" s="32">
        <v>65.0</v>
      </c>
      <c r="DA316" s="32" t="s">
        <v>3598</v>
      </c>
      <c r="DB316" s="39">
        <v>0.0</v>
      </c>
      <c r="DC316" s="32" t="s">
        <v>4827</v>
      </c>
      <c r="DD316" s="32">
        <v>66.0</v>
      </c>
      <c r="DE316" s="37"/>
      <c r="DF316" s="37"/>
      <c r="DG316" s="32" t="s">
        <v>4827</v>
      </c>
      <c r="DH316" s="32">
        <v>65.0</v>
      </c>
      <c r="DI316" s="37"/>
      <c r="DJ316" s="37"/>
      <c r="DK316" s="37"/>
      <c r="DL316" s="32">
        <v>39.0</v>
      </c>
      <c r="DM316" s="32">
        <v>1.0</v>
      </c>
      <c r="DN316" s="39">
        <v>0.0263</v>
      </c>
      <c r="DO316" s="32" t="s">
        <v>3600</v>
      </c>
      <c r="DP316" s="38" t="s">
        <v>9155</v>
      </c>
      <c r="DQ316" s="37"/>
      <c r="DR316" s="37"/>
      <c r="DS316" s="37"/>
      <c r="DT316" s="37"/>
      <c r="DU316" s="37"/>
      <c r="DV316" s="37"/>
      <c r="DW316" s="34"/>
      <c r="DX316" s="37"/>
      <c r="DY316" s="34"/>
      <c r="DZ316" s="37"/>
      <c r="EA316" s="37"/>
      <c r="EB316" s="34"/>
      <c r="EC316" s="37"/>
      <c r="ED316" s="37"/>
      <c r="EE316" s="37"/>
      <c r="EF316" s="37"/>
      <c r="EG316" s="34"/>
      <c r="EH316" s="37"/>
      <c r="EI316" s="37"/>
      <c r="EJ316" s="37"/>
      <c r="EK316" s="34"/>
      <c r="EL316" s="37"/>
      <c r="EM316" s="37"/>
      <c r="EN316" s="37"/>
      <c r="EO316" s="37"/>
      <c r="EP316" s="40" t="s">
        <v>3559</v>
      </c>
    </row>
    <row r="317">
      <c r="A317" s="41">
        <v>1.02</v>
      </c>
      <c r="B317" s="42" t="s">
        <v>9156</v>
      </c>
      <c r="C317" s="43"/>
      <c r="D317" s="43"/>
      <c r="E317" s="42" t="s">
        <v>9157</v>
      </c>
      <c r="F317" s="43"/>
      <c r="G317" s="42" t="s">
        <v>9158</v>
      </c>
      <c r="H317" s="42" t="s">
        <v>4560</v>
      </c>
      <c r="I317" s="42" t="s">
        <v>4561</v>
      </c>
      <c r="J317" s="42" t="s">
        <v>66</v>
      </c>
      <c r="K317" s="42" t="s">
        <v>6997</v>
      </c>
      <c r="L317" s="42" t="s">
        <v>9159</v>
      </c>
      <c r="M317" s="42" t="s">
        <v>9160</v>
      </c>
      <c r="N317" s="42" t="s">
        <v>5018</v>
      </c>
      <c r="O317" s="42" t="s">
        <v>9161</v>
      </c>
      <c r="P317" s="42"/>
      <c r="R317" s="42" t="s">
        <v>5222</v>
      </c>
      <c r="S317" s="42" t="s">
        <v>5222</v>
      </c>
      <c r="T317" s="42" t="s">
        <v>3573</v>
      </c>
      <c r="U317" s="44" t="s">
        <v>9162</v>
      </c>
      <c r="V317" s="43"/>
      <c r="W317" s="41">
        <v>3.0</v>
      </c>
      <c r="X317" s="42" t="s">
        <v>9163</v>
      </c>
      <c r="Y317" s="43"/>
      <c r="Z317" s="43"/>
      <c r="AA317" s="41">
        <v>2014.0</v>
      </c>
      <c r="AB317" s="43"/>
      <c r="AC317" s="43"/>
      <c r="AD317" s="43"/>
      <c r="AE317" s="45"/>
      <c r="AF317" s="45"/>
      <c r="AG317" s="45"/>
      <c r="AH317" s="45"/>
      <c r="AI317" s="45"/>
      <c r="AJ317" s="45"/>
      <c r="AK317" s="45"/>
      <c r="AL317" s="45"/>
      <c r="AM317" s="45"/>
      <c r="AN317" s="45"/>
      <c r="AO317" s="43"/>
      <c r="AP317" s="43"/>
      <c r="AQ317" s="43"/>
      <c r="AR317" s="43"/>
      <c r="AS317" s="43"/>
      <c r="AT317" s="42" t="s">
        <v>3581</v>
      </c>
      <c r="AU317" s="42" t="s">
        <v>9164</v>
      </c>
      <c r="AV317" s="43"/>
      <c r="AW317" s="42" t="s">
        <v>75</v>
      </c>
      <c r="AX317" s="43"/>
      <c r="AY317" s="41">
        <v>71724.0</v>
      </c>
      <c r="AZ317" s="42" t="s">
        <v>41</v>
      </c>
      <c r="BA317" s="45"/>
      <c r="BB317" s="45"/>
      <c r="BC317" s="42" t="s">
        <v>9165</v>
      </c>
      <c r="BD317" s="42" t="s">
        <v>3584</v>
      </c>
      <c r="BE317" s="42" t="s">
        <v>3584</v>
      </c>
      <c r="BF317" s="42" t="s">
        <v>9166</v>
      </c>
      <c r="BG317" s="42" t="s">
        <v>9167</v>
      </c>
      <c r="BH317" s="41">
        <v>1.0</v>
      </c>
      <c r="BI317" s="43"/>
      <c r="BJ317" s="42" t="s">
        <v>9168</v>
      </c>
      <c r="BK317" s="43"/>
      <c r="BL317" s="42" t="s">
        <v>9169</v>
      </c>
      <c r="BM317" s="42" t="s">
        <v>9170</v>
      </c>
      <c r="BN317" s="43"/>
      <c r="BO317" s="43"/>
      <c r="BP317" s="43"/>
      <c r="BQ317" s="46" t="s">
        <v>4918</v>
      </c>
      <c r="BR317" s="41">
        <v>0.55</v>
      </c>
      <c r="BS317" s="42" t="s">
        <v>3593</v>
      </c>
      <c r="BT317" s="45"/>
      <c r="BU317" s="43"/>
      <c r="BV317" s="42" t="s">
        <v>3589</v>
      </c>
      <c r="BW317" s="43"/>
      <c r="BX317" s="43"/>
      <c r="BY317" s="42" t="s">
        <v>3590</v>
      </c>
      <c r="BZ317" s="43"/>
      <c r="CA317" s="42" t="s">
        <v>3591</v>
      </c>
      <c r="CB317" s="46" t="s">
        <v>9171</v>
      </c>
      <c r="CC317" s="45"/>
      <c r="CD317" s="43"/>
      <c r="CE317" s="45"/>
      <c r="CF317" s="43"/>
      <c r="CG317" s="42" t="s">
        <v>5222</v>
      </c>
      <c r="CH317" s="43"/>
      <c r="CI317" s="43"/>
      <c r="CJ317" s="42" t="s">
        <v>5222</v>
      </c>
      <c r="CK317" s="45"/>
      <c r="CL317" s="45"/>
      <c r="CM317" s="43"/>
      <c r="CN317" s="42" t="s">
        <v>3591</v>
      </c>
      <c r="CO317" s="45"/>
      <c r="CP317" s="45"/>
      <c r="CQ317" s="45"/>
      <c r="CR317" s="45"/>
      <c r="CS317" s="45"/>
      <c r="CT317" s="45"/>
      <c r="CU317" s="45"/>
      <c r="CV317" s="45"/>
      <c r="CW317" s="45"/>
      <c r="CX317" s="45"/>
      <c r="CY317" s="45"/>
      <c r="CZ317" s="45"/>
      <c r="DA317" s="45"/>
      <c r="DB317" s="45"/>
      <c r="DC317" s="45"/>
      <c r="DD317" s="45"/>
      <c r="DE317" s="45"/>
      <c r="DF317" s="45"/>
      <c r="DG317" s="45"/>
      <c r="DH317" s="45"/>
      <c r="DI317" s="45"/>
      <c r="DJ317" s="45"/>
      <c r="DK317" s="45"/>
      <c r="DL317" s="45"/>
      <c r="DM317" s="45"/>
      <c r="DN317" s="45"/>
      <c r="DO317" s="41" t="s">
        <v>3600</v>
      </c>
      <c r="DP317" s="46" t="s">
        <v>5433</v>
      </c>
      <c r="DQ317" s="41">
        <v>6.0</v>
      </c>
      <c r="DR317" s="41">
        <v>3.0</v>
      </c>
      <c r="DS317" s="45"/>
      <c r="DT317" s="45"/>
      <c r="DU317" s="45"/>
      <c r="DV317" s="41">
        <v>6.0</v>
      </c>
      <c r="DW317" s="43"/>
      <c r="DX317" s="45"/>
      <c r="DY317" s="43"/>
      <c r="DZ317" s="45"/>
      <c r="EA317" s="45"/>
      <c r="EB317" s="43"/>
      <c r="EC317" s="45"/>
      <c r="ED317" s="45"/>
      <c r="EE317" s="41">
        <v>6.6</v>
      </c>
      <c r="EF317" s="46" t="s">
        <v>5678</v>
      </c>
      <c r="EG317" s="42" t="s">
        <v>3594</v>
      </c>
      <c r="EH317" s="45"/>
      <c r="EI317" s="45"/>
      <c r="EJ317" s="45"/>
      <c r="EK317" s="43"/>
      <c r="EL317" s="45"/>
      <c r="EM317" s="45"/>
      <c r="EN317" s="45"/>
      <c r="EO317" s="45"/>
      <c r="EP317" s="48" t="s">
        <v>3559</v>
      </c>
    </row>
    <row r="318">
      <c r="A318" s="37"/>
      <c r="B318" s="35" t="s">
        <v>9172</v>
      </c>
      <c r="C318" s="34"/>
      <c r="D318" s="34"/>
      <c r="E318" s="35" t="s">
        <v>9173</v>
      </c>
      <c r="F318" s="34"/>
      <c r="G318" s="35" t="s">
        <v>9174</v>
      </c>
      <c r="H318" s="35" t="s">
        <v>3563</v>
      </c>
      <c r="I318" s="35" t="s">
        <v>3564</v>
      </c>
      <c r="J318" s="35" t="s">
        <v>7458</v>
      </c>
      <c r="K318" s="35" t="s">
        <v>9175</v>
      </c>
      <c r="L318" s="35" t="s">
        <v>6037</v>
      </c>
      <c r="M318" s="35" t="s">
        <v>9176</v>
      </c>
      <c r="N318" s="35" t="s">
        <v>4923</v>
      </c>
      <c r="O318" s="35" t="s">
        <v>9177</v>
      </c>
      <c r="P318" s="35"/>
      <c r="R318" s="35" t="s">
        <v>3571</v>
      </c>
      <c r="S318" s="35" t="s">
        <v>4925</v>
      </c>
      <c r="T318" s="35" t="s">
        <v>4926</v>
      </c>
      <c r="U318" s="36" t="s">
        <v>9178</v>
      </c>
      <c r="V318" s="34"/>
      <c r="W318" s="37"/>
      <c r="X318" s="34"/>
      <c r="Y318" s="34"/>
      <c r="Z318" s="34"/>
      <c r="AA318" s="32">
        <v>2022.0</v>
      </c>
      <c r="AB318" s="34"/>
      <c r="AC318" s="34"/>
      <c r="AD318" s="34"/>
      <c r="AE318" s="37"/>
      <c r="AF318" s="37"/>
      <c r="AG318" s="37"/>
      <c r="AH318" s="37"/>
      <c r="AI318" s="37"/>
      <c r="AJ318" s="37"/>
      <c r="AK318" s="37"/>
      <c r="AL318" s="37"/>
      <c r="AM318" s="37"/>
      <c r="AN318" s="37"/>
      <c r="AO318" s="35" t="s">
        <v>9179</v>
      </c>
      <c r="AP318" s="35" t="s">
        <v>9180</v>
      </c>
      <c r="AQ318" s="35" t="s">
        <v>265</v>
      </c>
      <c r="AR318" s="35" t="s">
        <v>9181</v>
      </c>
      <c r="AS318" s="34"/>
      <c r="AT318" s="35" t="s">
        <v>3581</v>
      </c>
      <c r="AU318" s="35" t="s">
        <v>9182</v>
      </c>
      <c r="AV318" s="34"/>
      <c r="AW318" s="35" t="s">
        <v>75</v>
      </c>
      <c r="AX318" s="34"/>
      <c r="AY318" s="37"/>
      <c r="AZ318" s="35" t="s">
        <v>41</v>
      </c>
      <c r="BA318" s="37"/>
      <c r="BB318" s="37"/>
      <c r="BC318" s="34"/>
      <c r="BD318" s="35" t="s">
        <v>3584</v>
      </c>
      <c r="BE318" s="35" t="s">
        <v>3584</v>
      </c>
      <c r="BF318" s="34"/>
      <c r="BG318" s="34"/>
      <c r="BH318" s="37"/>
      <c r="BI318" s="34"/>
      <c r="BJ318" s="34"/>
      <c r="BK318" s="34"/>
      <c r="BL318" s="34"/>
      <c r="BM318" s="34"/>
      <c r="BN318" s="34"/>
      <c r="BO318" s="34"/>
      <c r="BP318" s="34"/>
      <c r="BQ318" s="37"/>
      <c r="BR318" s="37"/>
      <c r="BS318" s="34"/>
      <c r="BT318" s="37"/>
      <c r="BU318" s="34"/>
      <c r="BV318" s="34"/>
      <c r="BW318" s="34"/>
      <c r="BX318" s="34"/>
      <c r="BY318" s="34"/>
      <c r="BZ318" s="34"/>
      <c r="CA318" s="34"/>
      <c r="CB318" s="37"/>
      <c r="CC318" s="37"/>
      <c r="CD318" s="34"/>
      <c r="CE318" s="37"/>
      <c r="CF318" s="34"/>
      <c r="CG318" s="34"/>
      <c r="CH318" s="34"/>
      <c r="CI318" s="34"/>
      <c r="CJ318" s="34"/>
      <c r="CK318" s="37"/>
      <c r="CL318" s="37"/>
      <c r="CM318" s="34"/>
      <c r="CN318" s="34"/>
      <c r="CO318" s="39">
        <v>0.0</v>
      </c>
      <c r="CP318" s="32">
        <v>14.0</v>
      </c>
      <c r="CQ318" s="39">
        <v>0.0</v>
      </c>
      <c r="CR318" s="39">
        <v>0.0</v>
      </c>
      <c r="CS318" s="39">
        <v>0.0</v>
      </c>
      <c r="CT318" s="32">
        <v>12.0</v>
      </c>
      <c r="CU318" s="39">
        <v>0.0</v>
      </c>
      <c r="CV318" s="32">
        <v>10.0</v>
      </c>
      <c r="CW318" s="39">
        <v>0.0</v>
      </c>
      <c r="CX318" s="32">
        <v>12.0</v>
      </c>
      <c r="CY318" s="32" t="s">
        <v>7482</v>
      </c>
      <c r="CZ318" s="32">
        <v>4.0</v>
      </c>
      <c r="DA318" s="32" t="s">
        <v>3598</v>
      </c>
      <c r="DB318" s="39">
        <v>0.0</v>
      </c>
      <c r="DC318" s="32" t="s">
        <v>7482</v>
      </c>
      <c r="DD318" s="32">
        <v>5.0</v>
      </c>
      <c r="DE318" s="32" t="s">
        <v>3598</v>
      </c>
      <c r="DF318" s="32">
        <v>1.0</v>
      </c>
      <c r="DG318" s="32" t="s">
        <v>5403</v>
      </c>
      <c r="DH318" s="32">
        <v>12.0</v>
      </c>
      <c r="DI318" s="32">
        <v>0.0</v>
      </c>
      <c r="DJ318" s="32">
        <v>0.0</v>
      </c>
      <c r="DK318" s="39">
        <v>0.0</v>
      </c>
      <c r="DL318" s="32">
        <v>8.0</v>
      </c>
      <c r="DM318" s="32">
        <v>1.0</v>
      </c>
      <c r="DN318" s="39">
        <v>0.1429</v>
      </c>
      <c r="DO318" s="32" t="s">
        <v>3600</v>
      </c>
      <c r="DP318" s="38" t="s">
        <v>8549</v>
      </c>
      <c r="DQ318" s="37"/>
      <c r="DR318" s="37"/>
      <c r="DS318" s="37"/>
      <c r="DT318" s="37"/>
      <c r="DU318" s="37"/>
      <c r="DV318" s="37"/>
      <c r="DW318" s="34"/>
      <c r="DX318" s="37"/>
      <c r="DY318" s="34"/>
      <c r="DZ318" s="37"/>
      <c r="EA318" s="37"/>
      <c r="EB318" s="34"/>
      <c r="EC318" s="37"/>
      <c r="ED318" s="37"/>
      <c r="EE318" s="37"/>
      <c r="EF318" s="37"/>
      <c r="EG318" s="34"/>
      <c r="EH318" s="37"/>
      <c r="EI318" s="37"/>
      <c r="EJ318" s="37"/>
      <c r="EK318" s="34"/>
      <c r="EL318" s="37"/>
      <c r="EM318" s="37"/>
      <c r="EN318" s="37"/>
      <c r="EO318" s="37"/>
      <c r="EP318" s="40" t="s">
        <v>3559</v>
      </c>
    </row>
    <row r="319">
      <c r="A319" s="45"/>
      <c r="B319" s="42" t="s">
        <v>9183</v>
      </c>
      <c r="C319" s="43"/>
      <c r="D319" s="43"/>
      <c r="E319" s="42" t="s">
        <v>9184</v>
      </c>
      <c r="F319" s="43"/>
      <c r="G319" s="42" t="s">
        <v>9185</v>
      </c>
      <c r="H319" s="42" t="s">
        <v>3867</v>
      </c>
      <c r="I319" s="42" t="s">
        <v>3897</v>
      </c>
      <c r="J319" s="42" t="s">
        <v>3898</v>
      </c>
      <c r="K319" s="42" t="s">
        <v>6151</v>
      </c>
      <c r="L319" s="42" t="s">
        <v>9186</v>
      </c>
      <c r="M319" s="42" t="s">
        <v>9187</v>
      </c>
      <c r="N319" s="42" t="s">
        <v>5018</v>
      </c>
      <c r="O319" s="42" t="s">
        <v>9188</v>
      </c>
      <c r="P319" s="42"/>
      <c r="R319" s="42" t="s">
        <v>3571</v>
      </c>
      <c r="S319" s="42" t="s">
        <v>5236</v>
      </c>
      <c r="T319" s="42" t="s">
        <v>5413</v>
      </c>
      <c r="U319" s="44" t="s">
        <v>9189</v>
      </c>
      <c r="V319" s="44" t="s">
        <v>9190</v>
      </c>
      <c r="W319" s="41">
        <v>38.0</v>
      </c>
      <c r="X319" s="42" t="s">
        <v>9191</v>
      </c>
      <c r="Y319" s="42" t="s">
        <v>5417</v>
      </c>
      <c r="Z319" s="42" t="s">
        <v>9192</v>
      </c>
      <c r="AA319" s="41">
        <v>2016.0</v>
      </c>
      <c r="AB319" s="43"/>
      <c r="AC319" s="43"/>
      <c r="AD319" s="43"/>
      <c r="AE319" s="45"/>
      <c r="AF319" s="45"/>
      <c r="AG319" s="45"/>
      <c r="AH319" s="45"/>
      <c r="AI319" s="45"/>
      <c r="AJ319" s="45"/>
      <c r="AK319" s="41">
        <v>9.57</v>
      </c>
      <c r="AL319" s="45"/>
      <c r="AM319" s="45"/>
      <c r="AN319" s="45"/>
      <c r="AO319" s="42" t="s">
        <v>9193</v>
      </c>
      <c r="AP319" s="42" t="s">
        <v>9194</v>
      </c>
      <c r="AQ319" s="42" t="s">
        <v>9195</v>
      </c>
      <c r="AR319" s="42" t="s">
        <v>9196</v>
      </c>
      <c r="AS319" s="43" t="str">
        <f>+972 (0)77 970 9090</f>
        <v>#ERROR!</v>
      </c>
      <c r="AT319" s="42" t="s">
        <v>9197</v>
      </c>
      <c r="AU319" s="42" t="s">
        <v>9198</v>
      </c>
      <c r="AV319" s="43"/>
      <c r="AW319" s="42" t="s">
        <v>2091</v>
      </c>
      <c r="AX319" s="43"/>
      <c r="AY319" s="41">
        <v>88000.0</v>
      </c>
      <c r="AZ319" s="42" t="s">
        <v>41</v>
      </c>
      <c r="BA319" s="45" t="str">
        <f>+972 (0)77 970 9090</f>
        <v>#ERROR!</v>
      </c>
      <c r="BB319" s="45"/>
      <c r="BC319" s="42" t="s">
        <v>2092</v>
      </c>
      <c r="BD319" s="42" t="s">
        <v>3584</v>
      </c>
      <c r="BE319" s="42" t="s">
        <v>3584</v>
      </c>
      <c r="BF319" s="42" t="s">
        <v>9199</v>
      </c>
      <c r="BG319" s="43"/>
      <c r="BH319" s="45"/>
      <c r="BI319" s="43"/>
      <c r="BJ319" s="42" t="s">
        <v>9200</v>
      </c>
      <c r="BK319" s="43"/>
      <c r="BL319" s="43"/>
      <c r="BM319" s="42" t="s">
        <v>9201</v>
      </c>
      <c r="BN319" s="43"/>
      <c r="BO319" s="43"/>
      <c r="BP319" s="42" t="s">
        <v>9202</v>
      </c>
      <c r="BQ319" s="46" t="s">
        <v>3588</v>
      </c>
      <c r="BR319" s="45"/>
      <c r="BS319" s="43"/>
      <c r="BT319" s="45"/>
      <c r="BU319" s="43"/>
      <c r="BV319" s="42" t="s">
        <v>3669</v>
      </c>
      <c r="BW319" s="43"/>
      <c r="BX319" s="43"/>
      <c r="BY319" s="42" t="s">
        <v>3573</v>
      </c>
      <c r="BZ319" s="43"/>
      <c r="CA319" s="42" t="s">
        <v>3591</v>
      </c>
      <c r="CB319" s="46" t="s">
        <v>9203</v>
      </c>
      <c r="CC319" s="45"/>
      <c r="CD319" s="43"/>
      <c r="CE319" s="45"/>
      <c r="CF319" s="43"/>
      <c r="CG319" s="42" t="s">
        <v>4532</v>
      </c>
      <c r="CH319" s="43"/>
      <c r="CI319" s="43"/>
      <c r="CJ319" s="42" t="s">
        <v>5764</v>
      </c>
      <c r="CK319" s="45"/>
      <c r="CL319" s="45"/>
      <c r="CM319" s="43"/>
      <c r="CN319" s="42" t="s">
        <v>3591</v>
      </c>
      <c r="CO319" s="47">
        <v>0.0</v>
      </c>
      <c r="CP319" s="41">
        <v>14.0</v>
      </c>
      <c r="CQ319" s="47">
        <v>0.0</v>
      </c>
      <c r="CR319" s="47">
        <v>0.0</v>
      </c>
      <c r="CS319" s="47">
        <v>0.0</v>
      </c>
      <c r="CT319" s="41">
        <v>12.0</v>
      </c>
      <c r="CU319" s="45"/>
      <c r="CV319" s="45"/>
      <c r="CW319" s="47">
        <v>0.0</v>
      </c>
      <c r="CX319" s="41">
        <v>12.0</v>
      </c>
      <c r="CY319" s="41" t="s">
        <v>9204</v>
      </c>
      <c r="CZ319" s="41">
        <v>73.0</v>
      </c>
      <c r="DA319" s="41" t="s">
        <v>3598</v>
      </c>
      <c r="DB319" s="47">
        <v>0.0</v>
      </c>
      <c r="DC319" s="41" t="s">
        <v>9204</v>
      </c>
      <c r="DD319" s="41">
        <v>74.0</v>
      </c>
      <c r="DE319" s="45"/>
      <c r="DF319" s="45"/>
      <c r="DG319" s="41" t="s">
        <v>9204</v>
      </c>
      <c r="DH319" s="41">
        <v>73.0</v>
      </c>
      <c r="DI319" s="45"/>
      <c r="DJ319" s="45"/>
      <c r="DK319" s="45"/>
      <c r="DL319" s="41">
        <v>70.0</v>
      </c>
      <c r="DM319" s="41">
        <v>0.0</v>
      </c>
      <c r="DN319" s="47">
        <v>0.0</v>
      </c>
      <c r="DO319" s="41" t="s">
        <v>3600</v>
      </c>
      <c r="DP319" s="46" t="s">
        <v>3667</v>
      </c>
      <c r="DQ319" s="45"/>
      <c r="DR319" s="45"/>
      <c r="DS319" s="45"/>
      <c r="DT319" s="45"/>
      <c r="DU319" s="45"/>
      <c r="DV319" s="45"/>
      <c r="DW319" s="43"/>
      <c r="DX319" s="45"/>
      <c r="DY319" s="43"/>
      <c r="DZ319" s="45"/>
      <c r="EA319" s="45"/>
      <c r="EB319" s="43"/>
      <c r="EC319" s="45"/>
      <c r="ED319" s="45"/>
      <c r="EE319" s="45"/>
      <c r="EF319" s="45"/>
      <c r="EG319" s="43"/>
      <c r="EH319" s="45"/>
      <c r="EI319" s="45"/>
      <c r="EJ319" s="45"/>
      <c r="EK319" s="43"/>
      <c r="EL319" s="45"/>
      <c r="EM319" s="45"/>
      <c r="EN319" s="45"/>
      <c r="EO319" s="45"/>
      <c r="EP319" s="48" t="s">
        <v>3559</v>
      </c>
    </row>
    <row r="320">
      <c r="A320" s="37"/>
      <c r="B320" s="35" t="s">
        <v>3271</v>
      </c>
      <c r="C320" s="34"/>
      <c r="D320" s="34"/>
      <c r="E320" s="34"/>
      <c r="F320" s="34"/>
      <c r="G320" s="35" t="s">
        <v>9205</v>
      </c>
      <c r="H320" s="35" t="s">
        <v>3867</v>
      </c>
      <c r="I320" s="35" t="s">
        <v>3897</v>
      </c>
      <c r="J320" s="35" t="s">
        <v>5092</v>
      </c>
      <c r="K320" s="35" t="s">
        <v>9206</v>
      </c>
      <c r="L320" s="35" t="s">
        <v>9207</v>
      </c>
      <c r="M320" s="35" t="s">
        <v>9208</v>
      </c>
      <c r="N320" s="35" t="s">
        <v>5145</v>
      </c>
      <c r="O320" s="35" t="s">
        <v>9209</v>
      </c>
      <c r="P320" s="35"/>
      <c r="R320" s="35" t="s">
        <v>3571</v>
      </c>
      <c r="S320" s="35" t="s">
        <v>3572</v>
      </c>
      <c r="T320" s="35" t="s">
        <v>5147</v>
      </c>
      <c r="U320" s="36" t="s">
        <v>9210</v>
      </c>
      <c r="V320" s="36" t="s">
        <v>9211</v>
      </c>
      <c r="W320" s="32">
        <v>7.0</v>
      </c>
      <c r="X320" s="35" t="s">
        <v>9212</v>
      </c>
      <c r="Y320" s="34"/>
      <c r="Z320" s="34"/>
      <c r="AA320" s="32">
        <v>2020.0</v>
      </c>
      <c r="AB320" s="34"/>
      <c r="AC320" s="34"/>
      <c r="AD320" s="34"/>
      <c r="AE320" s="37"/>
      <c r="AF320" s="37"/>
      <c r="AG320" s="37"/>
      <c r="AH320" s="37"/>
      <c r="AI320" s="37"/>
      <c r="AJ320" s="37"/>
      <c r="AK320" s="37"/>
      <c r="AL320" s="37"/>
      <c r="AM320" s="37"/>
      <c r="AN320" s="37"/>
      <c r="AO320" s="35" t="s">
        <v>9213</v>
      </c>
      <c r="AP320" s="35" t="s">
        <v>3273</v>
      </c>
      <c r="AQ320" s="35" t="s">
        <v>4930</v>
      </c>
      <c r="AR320" s="34"/>
      <c r="AS320" s="34"/>
      <c r="AT320" s="35" t="s">
        <v>3581</v>
      </c>
      <c r="AU320" s="35" t="s">
        <v>9214</v>
      </c>
      <c r="AV320" s="34"/>
      <c r="AW320" s="35" t="s">
        <v>75</v>
      </c>
      <c r="AX320" s="34"/>
      <c r="AY320" s="32">
        <v>6971923.0</v>
      </c>
      <c r="AZ320" s="35" t="s">
        <v>41</v>
      </c>
      <c r="BA320" s="37"/>
      <c r="BB320" s="37"/>
      <c r="BC320" s="35" t="s">
        <v>3277</v>
      </c>
      <c r="BD320" s="35" t="s">
        <v>3584</v>
      </c>
      <c r="BE320" s="35" t="s">
        <v>3584</v>
      </c>
      <c r="BF320" s="35" t="s">
        <v>6423</v>
      </c>
      <c r="BG320" s="35" t="s">
        <v>8467</v>
      </c>
      <c r="BH320" s="32">
        <v>1.0</v>
      </c>
      <c r="BI320" s="34"/>
      <c r="BJ320" s="34"/>
      <c r="BK320" s="34"/>
      <c r="BL320" s="35" t="s">
        <v>8468</v>
      </c>
      <c r="BM320" s="34"/>
      <c r="BN320" s="34"/>
      <c r="BO320" s="34"/>
      <c r="BP320" s="34"/>
      <c r="BQ320" s="37"/>
      <c r="BR320" s="37"/>
      <c r="BS320" s="34"/>
      <c r="BT320" s="37"/>
      <c r="BU320" s="34"/>
      <c r="BV320" s="35" t="s">
        <v>3589</v>
      </c>
      <c r="BW320" s="34"/>
      <c r="BX320" s="34"/>
      <c r="BY320" s="35" t="s">
        <v>3590</v>
      </c>
      <c r="BZ320" s="34"/>
      <c r="CA320" s="35" t="s">
        <v>3591</v>
      </c>
      <c r="CB320" s="37"/>
      <c r="CC320" s="37"/>
      <c r="CD320" s="34"/>
      <c r="CE320" s="37"/>
      <c r="CF320" s="34"/>
      <c r="CG320" s="35" t="s">
        <v>3589</v>
      </c>
      <c r="CH320" s="34"/>
      <c r="CI320" s="34"/>
      <c r="CJ320" s="35" t="s">
        <v>3590</v>
      </c>
      <c r="CK320" s="37"/>
      <c r="CL320" s="37"/>
      <c r="CM320" s="34"/>
      <c r="CN320" s="35" t="s">
        <v>3591</v>
      </c>
      <c r="CO320" s="39">
        <v>0.0</v>
      </c>
      <c r="CP320" s="32">
        <v>14.0</v>
      </c>
      <c r="CQ320" s="39">
        <v>0.0</v>
      </c>
      <c r="CR320" s="39">
        <v>0.0</v>
      </c>
      <c r="CS320" s="39">
        <v>0.0</v>
      </c>
      <c r="CT320" s="32">
        <v>12.0</v>
      </c>
      <c r="CU320" s="39">
        <v>0.0</v>
      </c>
      <c r="CV320" s="32">
        <v>10.0</v>
      </c>
      <c r="CW320" s="39">
        <v>0.0</v>
      </c>
      <c r="CX320" s="32">
        <v>12.0</v>
      </c>
      <c r="CY320" s="32" t="s">
        <v>6514</v>
      </c>
      <c r="CZ320" s="32">
        <v>12.0</v>
      </c>
      <c r="DA320" s="32" t="s">
        <v>3598</v>
      </c>
      <c r="DB320" s="39">
        <v>0.0</v>
      </c>
      <c r="DC320" s="32" t="s">
        <v>6514</v>
      </c>
      <c r="DD320" s="32">
        <v>14.0</v>
      </c>
      <c r="DE320" s="32" t="s">
        <v>9215</v>
      </c>
      <c r="DF320" s="32">
        <v>42.0</v>
      </c>
      <c r="DG320" s="32" t="s">
        <v>5600</v>
      </c>
      <c r="DH320" s="32">
        <v>26.0</v>
      </c>
      <c r="DI320" s="32">
        <v>0.0</v>
      </c>
      <c r="DJ320" s="32">
        <v>0.0</v>
      </c>
      <c r="DK320" s="39">
        <v>0.0</v>
      </c>
      <c r="DL320" s="32">
        <v>13.0</v>
      </c>
      <c r="DM320" s="32">
        <v>1.0</v>
      </c>
      <c r="DN320" s="39">
        <v>0.0833</v>
      </c>
      <c r="DO320" s="32" t="s">
        <v>3600</v>
      </c>
      <c r="DP320" s="38" t="s">
        <v>3634</v>
      </c>
      <c r="DQ320" s="37"/>
      <c r="DR320" s="37"/>
      <c r="DS320" s="37"/>
      <c r="DT320" s="37"/>
      <c r="DU320" s="37"/>
      <c r="DV320" s="37"/>
      <c r="DW320" s="34"/>
      <c r="DX320" s="37"/>
      <c r="DY320" s="34"/>
      <c r="DZ320" s="37"/>
      <c r="EA320" s="37"/>
      <c r="EB320" s="34"/>
      <c r="EC320" s="37"/>
      <c r="ED320" s="37"/>
      <c r="EE320" s="37"/>
      <c r="EF320" s="37"/>
      <c r="EG320" s="34"/>
      <c r="EH320" s="37"/>
      <c r="EI320" s="37"/>
      <c r="EJ320" s="37"/>
      <c r="EK320" s="34"/>
      <c r="EL320" s="37"/>
      <c r="EM320" s="37"/>
      <c r="EN320" s="37"/>
      <c r="EO320" s="37"/>
      <c r="EP320" s="40" t="s">
        <v>3559</v>
      </c>
    </row>
    <row r="321">
      <c r="A321" s="41">
        <v>551.52</v>
      </c>
      <c r="B321" s="42" t="s">
        <v>9216</v>
      </c>
      <c r="C321" s="43"/>
      <c r="D321" s="42" t="s">
        <v>9217</v>
      </c>
      <c r="E321" s="42" t="s">
        <v>9218</v>
      </c>
      <c r="F321" s="43"/>
      <c r="G321" s="42" t="s">
        <v>9219</v>
      </c>
      <c r="H321" s="42" t="s">
        <v>4560</v>
      </c>
      <c r="I321" s="42" t="s">
        <v>4561</v>
      </c>
      <c r="J321" s="42" t="s">
        <v>66</v>
      </c>
      <c r="K321" s="42" t="s">
        <v>9220</v>
      </c>
      <c r="L321" s="42" t="s">
        <v>5736</v>
      </c>
      <c r="M321" s="42" t="s">
        <v>9221</v>
      </c>
      <c r="N321" s="42" t="s">
        <v>4962</v>
      </c>
      <c r="O321" s="42" t="s">
        <v>9222</v>
      </c>
      <c r="P321" s="42"/>
      <c r="R321" s="42" t="s">
        <v>3571</v>
      </c>
      <c r="S321" s="42" t="s">
        <v>5020</v>
      </c>
      <c r="T321" s="42" t="s">
        <v>9223</v>
      </c>
      <c r="U321" s="44" t="s">
        <v>9224</v>
      </c>
      <c r="V321" s="43"/>
      <c r="W321" s="45"/>
      <c r="X321" s="43"/>
      <c r="Y321" s="43"/>
      <c r="Z321" s="43"/>
      <c r="AA321" s="41">
        <v>1993.0</v>
      </c>
      <c r="AB321" s="43"/>
      <c r="AC321" s="43"/>
      <c r="AD321" s="43"/>
      <c r="AE321" s="41">
        <v>492.16</v>
      </c>
      <c r="AF321" s="45"/>
      <c r="AG321" s="41">
        <v>1.53</v>
      </c>
      <c r="AH321" s="45"/>
      <c r="AI321" s="45"/>
      <c r="AJ321" s="45"/>
      <c r="AK321" s="45"/>
      <c r="AL321" s="45"/>
      <c r="AM321" s="47">
        <v>0.1731</v>
      </c>
      <c r="AN321" s="41" t="s">
        <v>5532</v>
      </c>
      <c r="AO321" s="43"/>
      <c r="AP321" s="43"/>
      <c r="AQ321" s="43"/>
      <c r="AR321" s="43"/>
      <c r="AS321" s="43"/>
      <c r="AT321" s="42" t="s">
        <v>4973</v>
      </c>
      <c r="AU321" s="42" t="s">
        <v>9225</v>
      </c>
      <c r="AV321" s="43"/>
      <c r="AW321" s="42" t="s">
        <v>4975</v>
      </c>
      <c r="AX321" s="43"/>
      <c r="AY321" s="45"/>
      <c r="AZ321" s="42" t="s">
        <v>41</v>
      </c>
      <c r="BA321" s="45" t="str">
        <f>+972 (0)3 953 4455</f>
        <v>#ERROR!</v>
      </c>
      <c r="BB321" s="45" t="str">
        <f>+972 (0)3 953 4456</f>
        <v>#ERROR!</v>
      </c>
      <c r="BC321" s="42" t="s">
        <v>9226</v>
      </c>
      <c r="BD321" s="42" t="s">
        <v>3584</v>
      </c>
      <c r="BE321" s="42" t="s">
        <v>3584</v>
      </c>
      <c r="BF321" s="42" t="s">
        <v>9227</v>
      </c>
      <c r="BG321" s="42" t="s">
        <v>9228</v>
      </c>
      <c r="BH321" s="41">
        <v>1.0</v>
      </c>
      <c r="BI321" s="43"/>
      <c r="BJ321" s="42" t="s">
        <v>9229</v>
      </c>
      <c r="BK321" s="43"/>
      <c r="BL321" s="43"/>
      <c r="BM321" s="42" t="s">
        <v>9230</v>
      </c>
      <c r="BN321" s="43"/>
      <c r="BO321" s="43"/>
      <c r="BP321" s="42" t="s">
        <v>9231</v>
      </c>
      <c r="BQ321" s="46" t="s">
        <v>9232</v>
      </c>
      <c r="BR321" s="45"/>
      <c r="BS321" s="43"/>
      <c r="BT321" s="45"/>
      <c r="BU321" s="43"/>
      <c r="BV321" s="42" t="s">
        <v>4977</v>
      </c>
      <c r="BW321" s="43"/>
      <c r="BX321" s="43"/>
      <c r="BY321" s="42" t="s">
        <v>3663</v>
      </c>
      <c r="BZ321" s="43"/>
      <c r="CA321" s="42" t="s">
        <v>3591</v>
      </c>
      <c r="CB321" s="46" t="s">
        <v>5463</v>
      </c>
      <c r="CC321" s="41">
        <v>102.33</v>
      </c>
      <c r="CD321" s="42" t="s">
        <v>3593</v>
      </c>
      <c r="CE321" s="45"/>
      <c r="CF321" s="43"/>
      <c r="CG321" s="42" t="s">
        <v>7221</v>
      </c>
      <c r="CH321" s="43"/>
      <c r="CI321" s="43"/>
      <c r="CJ321" s="42" t="s">
        <v>6182</v>
      </c>
      <c r="CK321" s="46" t="s">
        <v>5463</v>
      </c>
      <c r="CL321" s="41">
        <v>102.33</v>
      </c>
      <c r="CM321" s="42" t="s">
        <v>9233</v>
      </c>
      <c r="CN321" s="42" t="s">
        <v>3591</v>
      </c>
      <c r="CO321" s="45"/>
      <c r="CP321" s="45"/>
      <c r="CQ321" s="45"/>
      <c r="CR321" s="45"/>
      <c r="CS321" s="45"/>
      <c r="CT321" s="45"/>
      <c r="CU321" s="45"/>
      <c r="CV321" s="45"/>
      <c r="CW321" s="45"/>
      <c r="CX321" s="45"/>
      <c r="CY321" s="45"/>
      <c r="CZ321" s="45"/>
      <c r="DA321" s="45"/>
      <c r="DB321" s="45"/>
      <c r="DC321" s="45"/>
      <c r="DD321" s="45"/>
      <c r="DE321" s="45"/>
      <c r="DF321" s="45"/>
      <c r="DG321" s="45"/>
      <c r="DH321" s="45"/>
      <c r="DI321" s="45"/>
      <c r="DJ321" s="45"/>
      <c r="DK321" s="45"/>
      <c r="DL321" s="45"/>
      <c r="DM321" s="45"/>
      <c r="DN321" s="45"/>
      <c r="DO321" s="41" t="s">
        <v>3600</v>
      </c>
      <c r="DP321" s="46" t="s">
        <v>7973</v>
      </c>
      <c r="DQ321" s="45"/>
      <c r="DR321" s="45"/>
      <c r="DS321" s="45"/>
      <c r="DT321" s="45"/>
      <c r="DU321" s="45"/>
      <c r="DV321" s="45"/>
      <c r="DW321" s="43"/>
      <c r="DX321" s="45"/>
      <c r="DY321" s="43"/>
      <c r="DZ321" s="45"/>
      <c r="EA321" s="45"/>
      <c r="EB321" s="43"/>
      <c r="EC321" s="45"/>
      <c r="ED321" s="45"/>
      <c r="EE321" s="41">
        <v>225.82</v>
      </c>
      <c r="EF321" s="46" t="s">
        <v>9234</v>
      </c>
      <c r="EG321" s="42" t="s">
        <v>3830</v>
      </c>
      <c r="EH321" s="45"/>
      <c r="EI321" s="45"/>
      <c r="EJ321" s="45"/>
      <c r="EK321" s="43"/>
      <c r="EL321" s="45"/>
      <c r="EM321" s="45"/>
      <c r="EN321" s="45"/>
      <c r="EO321" s="45"/>
      <c r="EP321" s="48" t="s">
        <v>3559</v>
      </c>
    </row>
    <row r="322">
      <c r="A322" s="37"/>
      <c r="B322" s="35" t="s">
        <v>9235</v>
      </c>
      <c r="C322" s="34"/>
      <c r="D322" s="34"/>
      <c r="E322" s="34"/>
      <c r="F322" s="34"/>
      <c r="G322" s="35" t="s">
        <v>9236</v>
      </c>
      <c r="H322" s="35" t="s">
        <v>3563</v>
      </c>
      <c r="I322" s="35" t="s">
        <v>3564</v>
      </c>
      <c r="J322" s="35" t="s">
        <v>3565</v>
      </c>
      <c r="K322" s="35" t="s">
        <v>5929</v>
      </c>
      <c r="L322" s="35" t="s">
        <v>9237</v>
      </c>
      <c r="M322" s="35" t="s">
        <v>9238</v>
      </c>
      <c r="N322" s="35" t="s">
        <v>5481</v>
      </c>
      <c r="O322" s="35" t="s">
        <v>9239</v>
      </c>
      <c r="P322" s="35"/>
      <c r="R322" s="35" t="s">
        <v>5222</v>
      </c>
      <c r="S322" s="35" t="s">
        <v>5222</v>
      </c>
      <c r="T322" s="35" t="s">
        <v>5147</v>
      </c>
      <c r="U322" s="36" t="s">
        <v>9240</v>
      </c>
      <c r="V322" s="34"/>
      <c r="W322" s="37"/>
      <c r="X322" s="34"/>
      <c r="Y322" s="34"/>
      <c r="Z322" s="34"/>
      <c r="AA322" s="32">
        <v>2014.0</v>
      </c>
      <c r="AB322" s="34"/>
      <c r="AC322" s="34"/>
      <c r="AD322" s="34"/>
      <c r="AE322" s="37"/>
      <c r="AF322" s="37"/>
      <c r="AG322" s="37"/>
      <c r="AH322" s="37"/>
      <c r="AI322" s="37"/>
      <c r="AJ322" s="37"/>
      <c r="AK322" s="37"/>
      <c r="AL322" s="37"/>
      <c r="AM322" s="37"/>
      <c r="AN322" s="37"/>
      <c r="AO322" s="34"/>
      <c r="AP322" s="34"/>
      <c r="AQ322" s="34"/>
      <c r="AR322" s="34"/>
      <c r="AS322" s="34"/>
      <c r="AT322" s="35" t="s">
        <v>7480</v>
      </c>
      <c r="AU322" s="34"/>
      <c r="AV322" s="34"/>
      <c r="AW322" s="35" t="s">
        <v>7481</v>
      </c>
      <c r="AX322" s="34"/>
      <c r="AY322" s="37"/>
      <c r="AZ322" s="35" t="s">
        <v>41</v>
      </c>
      <c r="BA322" s="37"/>
      <c r="BB322" s="37"/>
      <c r="BC322" s="34"/>
      <c r="BD322" s="35" t="s">
        <v>3584</v>
      </c>
      <c r="BE322" s="35" t="s">
        <v>3584</v>
      </c>
      <c r="BF322" s="35" t="s">
        <v>9241</v>
      </c>
      <c r="BG322" s="34"/>
      <c r="BH322" s="37"/>
      <c r="BI322" s="34"/>
      <c r="BJ322" s="35" t="s">
        <v>5904</v>
      </c>
      <c r="BK322" s="34"/>
      <c r="BL322" s="34"/>
      <c r="BM322" s="35" t="s">
        <v>5905</v>
      </c>
      <c r="BN322" s="34"/>
      <c r="BO322" s="34"/>
      <c r="BP322" s="34"/>
      <c r="BQ322" s="38" t="s">
        <v>7971</v>
      </c>
      <c r="BR322" s="37"/>
      <c r="BS322" s="34"/>
      <c r="BT322" s="37"/>
      <c r="BU322" s="34"/>
      <c r="BV322" s="35" t="s">
        <v>3589</v>
      </c>
      <c r="BW322" s="34"/>
      <c r="BX322" s="34"/>
      <c r="BY322" s="35" t="s">
        <v>3590</v>
      </c>
      <c r="BZ322" s="34"/>
      <c r="CA322" s="35" t="s">
        <v>3591</v>
      </c>
      <c r="CB322" s="38" t="s">
        <v>4577</v>
      </c>
      <c r="CC322" s="37"/>
      <c r="CD322" s="34"/>
      <c r="CE322" s="37"/>
      <c r="CF322" s="34"/>
      <c r="CG322" s="35" t="s">
        <v>5222</v>
      </c>
      <c r="CH322" s="34"/>
      <c r="CI322" s="34"/>
      <c r="CJ322" s="35" t="s">
        <v>5222</v>
      </c>
      <c r="CK322" s="37"/>
      <c r="CL322" s="37"/>
      <c r="CM322" s="34"/>
      <c r="CN322" s="35" t="s">
        <v>3591</v>
      </c>
      <c r="CO322" s="37"/>
      <c r="CP322" s="37"/>
      <c r="CQ322" s="37"/>
      <c r="CR322" s="37"/>
      <c r="CS322" s="37"/>
      <c r="CT322" s="37"/>
      <c r="CU322" s="37"/>
      <c r="CV322" s="37"/>
      <c r="CW322" s="37"/>
      <c r="CX322" s="37"/>
      <c r="CY322" s="37"/>
      <c r="CZ322" s="37"/>
      <c r="DA322" s="37"/>
      <c r="DB322" s="37"/>
      <c r="DC322" s="37"/>
      <c r="DD322" s="37"/>
      <c r="DE322" s="37"/>
      <c r="DF322" s="37"/>
      <c r="DG322" s="37"/>
      <c r="DH322" s="37"/>
      <c r="DI322" s="37"/>
      <c r="DJ322" s="37"/>
      <c r="DK322" s="37"/>
      <c r="DL322" s="37"/>
      <c r="DM322" s="37"/>
      <c r="DN322" s="37"/>
      <c r="DO322" s="32" t="s">
        <v>3600</v>
      </c>
      <c r="DP322" s="38" t="s">
        <v>5720</v>
      </c>
      <c r="DQ322" s="37"/>
      <c r="DR322" s="37"/>
      <c r="DS322" s="37"/>
      <c r="DT322" s="37"/>
      <c r="DU322" s="37"/>
      <c r="DV322" s="37"/>
      <c r="DW322" s="34"/>
      <c r="DX322" s="37"/>
      <c r="DY322" s="34"/>
      <c r="DZ322" s="37"/>
      <c r="EA322" s="37"/>
      <c r="EB322" s="34"/>
      <c r="EC322" s="37"/>
      <c r="ED322" s="37"/>
      <c r="EE322" s="37"/>
      <c r="EF322" s="37"/>
      <c r="EG322" s="34"/>
      <c r="EH322" s="37"/>
      <c r="EI322" s="37"/>
      <c r="EJ322" s="37"/>
      <c r="EK322" s="34"/>
      <c r="EL322" s="37"/>
      <c r="EM322" s="37"/>
      <c r="EN322" s="37"/>
      <c r="EO322" s="37"/>
      <c r="EP322" s="40" t="s">
        <v>3559</v>
      </c>
    </row>
    <row r="323">
      <c r="A323" s="45"/>
      <c r="B323" s="42" t="s">
        <v>9242</v>
      </c>
      <c r="C323" s="43"/>
      <c r="D323" s="43"/>
      <c r="E323" s="43"/>
      <c r="F323" s="43"/>
      <c r="G323" s="42" t="s">
        <v>9243</v>
      </c>
      <c r="H323" s="42" t="s">
        <v>3867</v>
      </c>
      <c r="I323" s="42" t="s">
        <v>4199</v>
      </c>
      <c r="J323" s="42" t="s">
        <v>4329</v>
      </c>
      <c r="K323" s="42" t="s">
        <v>9244</v>
      </c>
      <c r="L323" s="43"/>
      <c r="M323" s="42" t="s">
        <v>9245</v>
      </c>
      <c r="N323" s="42" t="s">
        <v>4389</v>
      </c>
      <c r="O323" s="42" t="s">
        <v>9246</v>
      </c>
      <c r="P323" s="42"/>
      <c r="R323" s="42" t="s">
        <v>3571</v>
      </c>
      <c r="S323" s="42" t="s">
        <v>3572</v>
      </c>
      <c r="T323" s="42" t="s">
        <v>4989</v>
      </c>
      <c r="U323" s="44" t="s">
        <v>9247</v>
      </c>
      <c r="V323" s="44" t="s">
        <v>9248</v>
      </c>
      <c r="W323" s="45"/>
      <c r="X323" s="43"/>
      <c r="Y323" s="43"/>
      <c r="Z323" s="43"/>
      <c r="AA323" s="41">
        <v>2015.0</v>
      </c>
      <c r="AB323" s="43"/>
      <c r="AC323" s="43"/>
      <c r="AD323" s="43"/>
      <c r="AE323" s="45"/>
      <c r="AF323" s="45"/>
      <c r="AG323" s="45"/>
      <c r="AH323" s="45"/>
      <c r="AI323" s="45"/>
      <c r="AJ323" s="45"/>
      <c r="AK323" s="45"/>
      <c r="AL323" s="45"/>
      <c r="AM323" s="45"/>
      <c r="AN323" s="45"/>
      <c r="AO323" s="42" t="s">
        <v>9249</v>
      </c>
      <c r="AP323" s="42" t="s">
        <v>9250</v>
      </c>
      <c r="AQ323" s="42" t="s">
        <v>3982</v>
      </c>
      <c r="AR323" s="42" t="s">
        <v>9251</v>
      </c>
      <c r="AS323" s="43"/>
      <c r="AT323" s="42" t="s">
        <v>41</v>
      </c>
      <c r="AU323" s="43"/>
      <c r="AV323" s="43"/>
      <c r="AW323" s="43"/>
      <c r="AX323" s="43"/>
      <c r="AY323" s="45"/>
      <c r="AZ323" s="42" t="s">
        <v>41</v>
      </c>
      <c r="BA323" s="45"/>
      <c r="BB323" s="45"/>
      <c r="BC323" s="43"/>
      <c r="BD323" s="42" t="s">
        <v>3584</v>
      </c>
      <c r="BE323" s="42" t="s">
        <v>3584</v>
      </c>
      <c r="BF323" s="42" t="s">
        <v>9252</v>
      </c>
      <c r="BG323" s="42" t="s">
        <v>9253</v>
      </c>
      <c r="BH323" s="41">
        <v>1.0</v>
      </c>
      <c r="BI323" s="43"/>
      <c r="BJ323" s="43"/>
      <c r="BK323" s="43"/>
      <c r="BL323" s="42" t="s">
        <v>9254</v>
      </c>
      <c r="BM323" s="43"/>
      <c r="BN323" s="43"/>
      <c r="BO323" s="43"/>
      <c r="BP323" s="43"/>
      <c r="BQ323" s="46" t="s">
        <v>3858</v>
      </c>
      <c r="BR323" s="45"/>
      <c r="BS323" s="43"/>
      <c r="BT323" s="45"/>
      <c r="BU323" s="43"/>
      <c r="BV323" s="42" t="s">
        <v>5635</v>
      </c>
      <c r="BW323" s="43"/>
      <c r="BX323" s="43"/>
      <c r="BY323" s="42" t="s">
        <v>4989</v>
      </c>
      <c r="BZ323" s="43"/>
      <c r="CA323" s="42" t="s">
        <v>3591</v>
      </c>
      <c r="CB323" s="46" t="s">
        <v>3858</v>
      </c>
      <c r="CC323" s="45"/>
      <c r="CD323" s="43"/>
      <c r="CE323" s="45"/>
      <c r="CF323" s="43"/>
      <c r="CG323" s="42" t="s">
        <v>5635</v>
      </c>
      <c r="CH323" s="43"/>
      <c r="CI323" s="43"/>
      <c r="CJ323" s="42" t="s">
        <v>4989</v>
      </c>
      <c r="CK323" s="45"/>
      <c r="CL323" s="45"/>
      <c r="CM323" s="43"/>
      <c r="CN323" s="42" t="s">
        <v>3591</v>
      </c>
      <c r="CO323" s="45"/>
      <c r="CP323" s="45"/>
      <c r="CQ323" s="45"/>
      <c r="CR323" s="45"/>
      <c r="CS323" s="45"/>
      <c r="CT323" s="45"/>
      <c r="CU323" s="45"/>
      <c r="CV323" s="45"/>
      <c r="CW323" s="45"/>
      <c r="CX323" s="45"/>
      <c r="CY323" s="45"/>
      <c r="CZ323" s="45"/>
      <c r="DA323" s="45"/>
      <c r="DB323" s="45"/>
      <c r="DC323" s="45"/>
      <c r="DD323" s="45"/>
      <c r="DE323" s="45"/>
      <c r="DF323" s="45"/>
      <c r="DG323" s="45"/>
      <c r="DH323" s="45"/>
      <c r="DI323" s="45"/>
      <c r="DJ323" s="45"/>
      <c r="DK323" s="45"/>
      <c r="DL323" s="45"/>
      <c r="DM323" s="45"/>
      <c r="DN323" s="45"/>
      <c r="DO323" s="41" t="s">
        <v>3600</v>
      </c>
      <c r="DP323" s="46" t="s">
        <v>9255</v>
      </c>
      <c r="DQ323" s="45"/>
      <c r="DR323" s="45"/>
      <c r="DS323" s="45"/>
      <c r="DT323" s="45"/>
      <c r="DU323" s="45"/>
      <c r="DV323" s="45"/>
      <c r="DW323" s="43"/>
      <c r="DX323" s="45"/>
      <c r="DY323" s="43"/>
      <c r="DZ323" s="45"/>
      <c r="EA323" s="45"/>
      <c r="EB323" s="43"/>
      <c r="EC323" s="45"/>
      <c r="ED323" s="45"/>
      <c r="EE323" s="45"/>
      <c r="EF323" s="45"/>
      <c r="EG323" s="43"/>
      <c r="EH323" s="45"/>
      <c r="EI323" s="45"/>
      <c r="EJ323" s="45"/>
      <c r="EK323" s="43"/>
      <c r="EL323" s="45"/>
      <c r="EM323" s="45"/>
      <c r="EN323" s="45"/>
      <c r="EO323" s="45"/>
      <c r="EP323" s="48" t="s">
        <v>3559</v>
      </c>
    </row>
    <row r="324">
      <c r="A324" s="37"/>
      <c r="B324" s="35" t="s">
        <v>9256</v>
      </c>
      <c r="C324" s="34"/>
      <c r="D324" s="34"/>
      <c r="E324" s="35" t="s">
        <v>9257</v>
      </c>
      <c r="F324" s="34"/>
      <c r="G324" s="35" t="s">
        <v>9258</v>
      </c>
      <c r="H324" s="35" t="s">
        <v>3867</v>
      </c>
      <c r="I324" s="35" t="s">
        <v>4199</v>
      </c>
      <c r="J324" s="35" t="s">
        <v>4200</v>
      </c>
      <c r="K324" s="35" t="s">
        <v>8168</v>
      </c>
      <c r="L324" s="35" t="s">
        <v>9259</v>
      </c>
      <c r="M324" s="35" t="s">
        <v>9260</v>
      </c>
      <c r="N324" s="35" t="s">
        <v>4962</v>
      </c>
      <c r="O324" s="35" t="s">
        <v>9261</v>
      </c>
      <c r="P324" s="35"/>
      <c r="R324" s="35" t="s">
        <v>3571</v>
      </c>
      <c r="S324" s="35" t="s">
        <v>5020</v>
      </c>
      <c r="T324" s="35" t="s">
        <v>3603</v>
      </c>
      <c r="U324" s="36" t="s">
        <v>9262</v>
      </c>
      <c r="V324" s="36" t="s">
        <v>9263</v>
      </c>
      <c r="W324" s="32">
        <v>50.0</v>
      </c>
      <c r="X324" s="53">
        <v>83.95138888888889</v>
      </c>
      <c r="Y324" s="34"/>
      <c r="Z324" s="34"/>
      <c r="AA324" s="32">
        <v>1988.0</v>
      </c>
      <c r="AB324" s="34"/>
      <c r="AC324" s="34"/>
      <c r="AD324" s="34"/>
      <c r="AE324" s="37"/>
      <c r="AF324" s="37"/>
      <c r="AG324" s="37"/>
      <c r="AH324" s="37"/>
      <c r="AI324" s="37"/>
      <c r="AJ324" s="37"/>
      <c r="AK324" s="37"/>
      <c r="AL324" s="37"/>
      <c r="AM324" s="37"/>
      <c r="AN324" s="37"/>
      <c r="AO324" s="34"/>
      <c r="AP324" s="34"/>
      <c r="AQ324" s="34"/>
      <c r="AR324" s="34"/>
      <c r="AS324" s="34"/>
      <c r="AT324" s="35" t="s">
        <v>3581</v>
      </c>
      <c r="AU324" s="35" t="s">
        <v>9264</v>
      </c>
      <c r="AV324" s="34"/>
      <c r="AW324" s="35" t="s">
        <v>75</v>
      </c>
      <c r="AX324" s="34"/>
      <c r="AY324" s="32">
        <v>6744326.0</v>
      </c>
      <c r="AZ324" s="35" t="s">
        <v>41</v>
      </c>
      <c r="BA324" s="37"/>
      <c r="BB324" s="37"/>
      <c r="BC324" s="34"/>
      <c r="BD324" s="35" t="s">
        <v>3584</v>
      </c>
      <c r="BE324" s="35" t="s">
        <v>3584</v>
      </c>
      <c r="BF324" s="35" t="s">
        <v>9265</v>
      </c>
      <c r="BG324" s="34"/>
      <c r="BH324" s="37"/>
      <c r="BI324" s="35" t="s">
        <v>9266</v>
      </c>
      <c r="BJ324" s="34"/>
      <c r="BK324" s="34"/>
      <c r="BL324" s="34"/>
      <c r="BM324" s="34"/>
      <c r="BN324" s="34"/>
      <c r="BO324" s="34"/>
      <c r="BP324" s="34"/>
      <c r="BQ324" s="38" t="s">
        <v>9267</v>
      </c>
      <c r="BR324" s="32">
        <v>34.44</v>
      </c>
      <c r="BS324" s="35" t="s">
        <v>3593</v>
      </c>
      <c r="BT324" s="32">
        <v>34.44</v>
      </c>
      <c r="BU324" s="35" t="s">
        <v>3593</v>
      </c>
      <c r="BV324" s="35" t="s">
        <v>4977</v>
      </c>
      <c r="BW324" s="34"/>
      <c r="BX324" s="34"/>
      <c r="BY324" s="35" t="s">
        <v>3663</v>
      </c>
      <c r="BZ324" s="34"/>
      <c r="CA324" s="35" t="s">
        <v>3591</v>
      </c>
      <c r="CB324" s="38" t="s">
        <v>9267</v>
      </c>
      <c r="CC324" s="32">
        <v>34.44</v>
      </c>
      <c r="CD324" s="35" t="s">
        <v>3593</v>
      </c>
      <c r="CE324" s="32">
        <v>34.44</v>
      </c>
      <c r="CF324" s="35" t="s">
        <v>3593</v>
      </c>
      <c r="CG324" s="35" t="s">
        <v>4977</v>
      </c>
      <c r="CH324" s="34"/>
      <c r="CI324" s="34"/>
      <c r="CJ324" s="35" t="s">
        <v>3663</v>
      </c>
      <c r="CK324" s="37"/>
      <c r="CL324" s="37"/>
      <c r="CM324" s="34"/>
      <c r="CN324" s="35" t="s">
        <v>3591</v>
      </c>
      <c r="CO324" s="37"/>
      <c r="CP324" s="37"/>
      <c r="CQ324" s="37"/>
      <c r="CR324" s="37"/>
      <c r="CS324" s="37"/>
      <c r="CT324" s="37"/>
      <c r="CU324" s="37"/>
      <c r="CV324" s="37"/>
      <c r="CW324" s="37"/>
      <c r="CX324" s="37"/>
      <c r="CY324" s="37"/>
      <c r="CZ324" s="37"/>
      <c r="DA324" s="37"/>
      <c r="DB324" s="37"/>
      <c r="DC324" s="37"/>
      <c r="DD324" s="37"/>
      <c r="DE324" s="37"/>
      <c r="DF324" s="37"/>
      <c r="DG324" s="37"/>
      <c r="DH324" s="37"/>
      <c r="DI324" s="37"/>
      <c r="DJ324" s="37"/>
      <c r="DK324" s="37"/>
      <c r="DL324" s="37"/>
      <c r="DM324" s="37"/>
      <c r="DN324" s="37"/>
      <c r="DO324" s="32" t="s">
        <v>3600</v>
      </c>
      <c r="DP324" s="38" t="s">
        <v>5350</v>
      </c>
      <c r="DQ324" s="32">
        <v>35.0</v>
      </c>
      <c r="DR324" s="32">
        <v>9.0</v>
      </c>
      <c r="DS324" s="32">
        <v>22.0</v>
      </c>
      <c r="DT324" s="37"/>
      <c r="DU324" s="37"/>
      <c r="DV324" s="32">
        <v>13.0</v>
      </c>
      <c r="DW324" s="35" t="s">
        <v>9268</v>
      </c>
      <c r="DX324" s="37"/>
      <c r="DY324" s="34"/>
      <c r="DZ324" s="37"/>
      <c r="EA324" s="37"/>
      <c r="EB324" s="34"/>
      <c r="EC324" s="37"/>
      <c r="ED324" s="37"/>
      <c r="EE324" s="32">
        <v>34.44</v>
      </c>
      <c r="EF324" s="38" t="s">
        <v>9267</v>
      </c>
      <c r="EG324" s="35" t="s">
        <v>4977</v>
      </c>
      <c r="EH324" s="37"/>
      <c r="EI324" s="37"/>
      <c r="EJ324" s="37"/>
      <c r="EK324" s="35" t="s">
        <v>4108</v>
      </c>
      <c r="EL324" s="37"/>
      <c r="EM324" s="37"/>
      <c r="EN324" s="37"/>
      <c r="EO324" s="37"/>
      <c r="EP324" s="40" t="s">
        <v>3559</v>
      </c>
    </row>
    <row r="325">
      <c r="A325" s="41">
        <v>289.0</v>
      </c>
      <c r="B325" s="42" t="s">
        <v>9269</v>
      </c>
      <c r="C325" s="43"/>
      <c r="D325" s="42" t="s">
        <v>1241</v>
      </c>
      <c r="E325" s="42" t="s">
        <v>9270</v>
      </c>
      <c r="F325" s="42" t="s">
        <v>9271</v>
      </c>
      <c r="G325" s="42" t="s">
        <v>9272</v>
      </c>
      <c r="H325" s="42" t="s">
        <v>3563</v>
      </c>
      <c r="I325" s="42" t="s">
        <v>351</v>
      </c>
      <c r="J325" s="42" t="s">
        <v>4111</v>
      </c>
      <c r="K325" s="42" t="s">
        <v>9273</v>
      </c>
      <c r="L325" s="42" t="s">
        <v>9274</v>
      </c>
      <c r="M325" s="42" t="s">
        <v>9275</v>
      </c>
      <c r="N325" s="42" t="s">
        <v>5075</v>
      </c>
      <c r="O325" s="42" t="s">
        <v>9276</v>
      </c>
      <c r="P325" s="42"/>
      <c r="R325" s="42" t="s">
        <v>5412</v>
      </c>
      <c r="S325" s="42" t="s">
        <v>5236</v>
      </c>
      <c r="T325" s="42" t="s">
        <v>6680</v>
      </c>
      <c r="U325" s="44" t="s">
        <v>9277</v>
      </c>
      <c r="V325" s="44" t="s">
        <v>9278</v>
      </c>
      <c r="W325" s="41">
        <v>256.0</v>
      </c>
      <c r="X325" s="42" t="s">
        <v>9279</v>
      </c>
      <c r="Y325" s="42" t="s">
        <v>9280</v>
      </c>
      <c r="Z325" s="42" t="s">
        <v>9281</v>
      </c>
      <c r="AA325" s="41">
        <v>2006.0</v>
      </c>
      <c r="AB325" s="43"/>
      <c r="AC325" s="43"/>
      <c r="AD325" s="42" t="s">
        <v>9282</v>
      </c>
      <c r="AE325" s="41">
        <v>67.89</v>
      </c>
      <c r="AF325" s="41">
        <v>42.41</v>
      </c>
      <c r="AG325" s="41">
        <v>-30.13</v>
      </c>
      <c r="AH325" s="41">
        <v>88.24</v>
      </c>
      <c r="AI325" s="41">
        <v>-31.55</v>
      </c>
      <c r="AJ325" s="41">
        <v>-34.61</v>
      </c>
      <c r="AK325" s="41">
        <v>170.95</v>
      </c>
      <c r="AL325" s="41">
        <v>-85.36</v>
      </c>
      <c r="AM325" s="47">
        <v>0.0753</v>
      </c>
      <c r="AN325" s="41" t="s">
        <v>5245</v>
      </c>
      <c r="AO325" s="42" t="s">
        <v>9283</v>
      </c>
      <c r="AP325" s="42" t="s">
        <v>9284</v>
      </c>
      <c r="AQ325" s="42" t="s">
        <v>9285</v>
      </c>
      <c r="AR325" s="42" t="s">
        <v>9286</v>
      </c>
      <c r="AS325" s="43" t="str">
        <f>+972 (0)9 762 6900</f>
        <v>#ERROR!</v>
      </c>
      <c r="AT325" s="42" t="s">
        <v>6220</v>
      </c>
      <c r="AU325" s="42" t="s">
        <v>9287</v>
      </c>
      <c r="AV325" s="42" t="s">
        <v>9288</v>
      </c>
      <c r="AW325" s="42" t="s">
        <v>6222</v>
      </c>
      <c r="AX325" s="43"/>
      <c r="AY325" s="41">
        <v>4501309.0</v>
      </c>
      <c r="AZ325" s="42" t="s">
        <v>41</v>
      </c>
      <c r="BA325" s="45" t="str">
        <f>+972 (0)9 762 6900</f>
        <v>#ERROR!</v>
      </c>
      <c r="BB325" s="45"/>
      <c r="BC325" s="42" t="s">
        <v>1250</v>
      </c>
      <c r="BD325" s="42" t="s">
        <v>3584</v>
      </c>
      <c r="BE325" s="42" t="s">
        <v>3584</v>
      </c>
      <c r="BF325" s="42" t="s">
        <v>9289</v>
      </c>
      <c r="BG325" s="42" t="s">
        <v>9290</v>
      </c>
      <c r="BH325" s="41">
        <v>1.0</v>
      </c>
      <c r="BI325" s="43"/>
      <c r="BJ325" s="42" t="s">
        <v>9291</v>
      </c>
      <c r="BK325" s="43"/>
      <c r="BL325" s="42" t="s">
        <v>9292</v>
      </c>
      <c r="BM325" s="42" t="s">
        <v>9293</v>
      </c>
      <c r="BN325" s="43"/>
      <c r="BO325" s="43"/>
      <c r="BP325" s="42" t="s">
        <v>9294</v>
      </c>
      <c r="BQ325" s="46" t="s">
        <v>9295</v>
      </c>
      <c r="BR325" s="41">
        <v>7.0</v>
      </c>
      <c r="BS325" s="42" t="s">
        <v>3593</v>
      </c>
      <c r="BT325" s="41">
        <v>10.26</v>
      </c>
      <c r="BU325" s="42" t="s">
        <v>3697</v>
      </c>
      <c r="BV325" s="42" t="s">
        <v>3669</v>
      </c>
      <c r="BW325" s="42" t="s">
        <v>3595</v>
      </c>
      <c r="BX325" s="43"/>
      <c r="BY325" s="42" t="s">
        <v>3573</v>
      </c>
      <c r="BZ325" s="42" t="s">
        <v>9296</v>
      </c>
      <c r="CA325" s="42" t="s">
        <v>3591</v>
      </c>
      <c r="CB325" s="46" t="s">
        <v>9297</v>
      </c>
      <c r="CC325" s="41">
        <v>125.0</v>
      </c>
      <c r="CD325" s="42" t="s">
        <v>3593</v>
      </c>
      <c r="CE325" s="51">
        <v>1160.0</v>
      </c>
      <c r="CF325" s="42" t="s">
        <v>3697</v>
      </c>
      <c r="CG325" s="42" t="s">
        <v>5257</v>
      </c>
      <c r="CH325" s="43"/>
      <c r="CI325" s="43"/>
      <c r="CJ325" s="42" t="s">
        <v>4989</v>
      </c>
      <c r="CK325" s="46" t="s">
        <v>9295</v>
      </c>
      <c r="CL325" s="45"/>
      <c r="CM325" s="43"/>
      <c r="CN325" s="42" t="s">
        <v>3591</v>
      </c>
      <c r="CO325" s="47">
        <v>0.0012</v>
      </c>
      <c r="CP325" s="41">
        <v>86.0</v>
      </c>
      <c r="CQ325" s="47">
        <v>9.0E-4</v>
      </c>
      <c r="CR325" s="47">
        <v>2.4603</v>
      </c>
      <c r="CS325" s="47">
        <v>0.0012</v>
      </c>
      <c r="CT325" s="41">
        <v>89.0</v>
      </c>
      <c r="CU325" s="45"/>
      <c r="CV325" s="45"/>
      <c r="CW325" s="47">
        <v>0.0012</v>
      </c>
      <c r="CX325" s="41">
        <v>89.0</v>
      </c>
      <c r="CY325" s="41" t="s">
        <v>9298</v>
      </c>
      <c r="CZ325" s="41">
        <v>97.0</v>
      </c>
      <c r="DA325" s="41" t="s">
        <v>3598</v>
      </c>
      <c r="DB325" s="47">
        <v>0.0</v>
      </c>
      <c r="DC325" s="41" t="s">
        <v>9298</v>
      </c>
      <c r="DD325" s="41">
        <v>98.0</v>
      </c>
      <c r="DE325" s="45"/>
      <c r="DF325" s="45"/>
      <c r="DG325" s="41" t="s">
        <v>9298</v>
      </c>
      <c r="DH325" s="41">
        <v>98.0</v>
      </c>
      <c r="DI325" s="45"/>
      <c r="DJ325" s="45"/>
      <c r="DK325" s="45"/>
      <c r="DL325" s="41">
        <v>712.0</v>
      </c>
      <c r="DM325" s="41">
        <v>2.0</v>
      </c>
      <c r="DN325" s="47">
        <v>0.0028</v>
      </c>
      <c r="DO325" s="41" t="s">
        <v>3600</v>
      </c>
      <c r="DP325" s="46" t="s">
        <v>6328</v>
      </c>
      <c r="DQ325" s="41">
        <v>227.0</v>
      </c>
      <c r="DR325" s="41">
        <v>57.0</v>
      </c>
      <c r="DS325" s="41">
        <v>199.0</v>
      </c>
      <c r="DT325" s="45"/>
      <c r="DU325" s="45"/>
      <c r="DV325" s="41">
        <v>28.0</v>
      </c>
      <c r="DW325" s="42" t="s">
        <v>9299</v>
      </c>
      <c r="DX325" s="45"/>
      <c r="DY325" s="43"/>
      <c r="DZ325" s="45"/>
      <c r="EA325" s="45"/>
      <c r="EB325" s="43"/>
      <c r="EC325" s="45"/>
      <c r="ED325" s="45"/>
      <c r="EE325" s="51">
        <v>1160.0</v>
      </c>
      <c r="EF325" s="46" t="s">
        <v>9297</v>
      </c>
      <c r="EG325" s="42" t="s">
        <v>5257</v>
      </c>
      <c r="EH325" s="45"/>
      <c r="EI325" s="45"/>
      <c r="EJ325" s="45"/>
      <c r="EK325" s="42" t="s">
        <v>4381</v>
      </c>
      <c r="EL325" s="45"/>
      <c r="EM325" s="45"/>
      <c r="EN325" s="41">
        <v>1.83</v>
      </c>
      <c r="EO325" s="41">
        <v>1.83</v>
      </c>
      <c r="EP325" s="48" t="s">
        <v>3559</v>
      </c>
    </row>
    <row r="326">
      <c r="A326" s="32">
        <v>8.08</v>
      </c>
      <c r="B326" s="35" t="s">
        <v>9300</v>
      </c>
      <c r="C326" s="35" t="s">
        <v>9301</v>
      </c>
      <c r="D326" s="34"/>
      <c r="E326" s="35" t="s">
        <v>9302</v>
      </c>
      <c r="F326" s="35" t="s">
        <v>9303</v>
      </c>
      <c r="G326" s="35" t="s">
        <v>9304</v>
      </c>
      <c r="H326" s="35" t="s">
        <v>3563</v>
      </c>
      <c r="I326" s="35" t="s">
        <v>3564</v>
      </c>
      <c r="J326" s="35" t="s">
        <v>3565</v>
      </c>
      <c r="K326" s="35" t="s">
        <v>4303</v>
      </c>
      <c r="L326" s="35" t="s">
        <v>3811</v>
      </c>
      <c r="M326" s="35" t="s">
        <v>9305</v>
      </c>
      <c r="N326" s="35" t="s">
        <v>5018</v>
      </c>
      <c r="O326" s="35" t="s">
        <v>9306</v>
      </c>
      <c r="P326" s="35"/>
      <c r="R326" s="35" t="s">
        <v>3571</v>
      </c>
      <c r="S326" s="35" t="s">
        <v>5020</v>
      </c>
      <c r="T326" s="35" t="s">
        <v>3573</v>
      </c>
      <c r="U326" s="36" t="s">
        <v>9307</v>
      </c>
      <c r="V326" s="34"/>
      <c r="W326" s="32">
        <v>45.0</v>
      </c>
      <c r="X326" s="35" t="s">
        <v>9308</v>
      </c>
      <c r="Y326" s="34"/>
      <c r="Z326" s="34"/>
      <c r="AA326" s="32">
        <v>2015.0</v>
      </c>
      <c r="AB326" s="34"/>
      <c r="AC326" s="34"/>
      <c r="AD326" s="34"/>
      <c r="AE326" s="37"/>
      <c r="AF326" s="37"/>
      <c r="AG326" s="37"/>
      <c r="AH326" s="37"/>
      <c r="AI326" s="37"/>
      <c r="AJ326" s="37"/>
      <c r="AK326" s="37"/>
      <c r="AL326" s="37"/>
      <c r="AM326" s="37"/>
      <c r="AN326" s="37"/>
      <c r="AO326" s="34"/>
      <c r="AP326" s="34"/>
      <c r="AQ326" s="34"/>
      <c r="AR326" s="34"/>
      <c r="AS326" s="34"/>
      <c r="AT326" s="35" t="s">
        <v>5629</v>
      </c>
      <c r="AU326" s="35" t="s">
        <v>9309</v>
      </c>
      <c r="AV326" s="34"/>
      <c r="AW326" s="35" t="s">
        <v>1407</v>
      </c>
      <c r="AX326" s="34"/>
      <c r="AY326" s="32">
        <v>6037604.0</v>
      </c>
      <c r="AZ326" s="35" t="s">
        <v>41</v>
      </c>
      <c r="BA326" s="37"/>
      <c r="BB326" s="37"/>
      <c r="BC326" s="34"/>
      <c r="BD326" s="35" t="s">
        <v>3584</v>
      </c>
      <c r="BE326" s="35" t="s">
        <v>3584</v>
      </c>
      <c r="BF326" s="35" t="s">
        <v>9310</v>
      </c>
      <c r="BG326" s="35" t="s">
        <v>9311</v>
      </c>
      <c r="BH326" s="32">
        <v>1.0</v>
      </c>
      <c r="BI326" s="35" t="s">
        <v>9312</v>
      </c>
      <c r="BJ326" s="35" t="s">
        <v>9313</v>
      </c>
      <c r="BK326" s="34"/>
      <c r="BL326" s="35" t="s">
        <v>9314</v>
      </c>
      <c r="BM326" s="35" t="s">
        <v>9315</v>
      </c>
      <c r="BN326" s="34"/>
      <c r="BO326" s="34"/>
      <c r="BP326" s="35" t="s">
        <v>6280</v>
      </c>
      <c r="BQ326" s="37"/>
      <c r="BR326" s="32">
        <v>0.03</v>
      </c>
      <c r="BS326" s="35" t="s">
        <v>3593</v>
      </c>
      <c r="BT326" s="37"/>
      <c r="BU326" s="34"/>
      <c r="BV326" s="35" t="s">
        <v>3589</v>
      </c>
      <c r="BW326" s="34"/>
      <c r="BX326" s="34"/>
      <c r="BY326" s="35" t="s">
        <v>3590</v>
      </c>
      <c r="BZ326" s="34"/>
      <c r="CA326" s="35" t="s">
        <v>3591</v>
      </c>
      <c r="CB326" s="38" t="s">
        <v>9316</v>
      </c>
      <c r="CC326" s="37"/>
      <c r="CD326" s="34"/>
      <c r="CE326" s="37"/>
      <c r="CF326" s="34"/>
      <c r="CG326" s="35" t="s">
        <v>4977</v>
      </c>
      <c r="CH326" s="34"/>
      <c r="CI326" s="34"/>
      <c r="CJ326" s="35" t="s">
        <v>3663</v>
      </c>
      <c r="CK326" s="37"/>
      <c r="CL326" s="37"/>
      <c r="CM326" s="34"/>
      <c r="CN326" s="35" t="s">
        <v>3591</v>
      </c>
      <c r="CO326" s="37"/>
      <c r="CP326" s="37"/>
      <c r="CQ326" s="37"/>
      <c r="CR326" s="37"/>
      <c r="CS326" s="37"/>
      <c r="CT326" s="37"/>
      <c r="CU326" s="37"/>
      <c r="CV326" s="37"/>
      <c r="CW326" s="37"/>
      <c r="CX326" s="37"/>
      <c r="CY326" s="37"/>
      <c r="CZ326" s="37"/>
      <c r="DA326" s="37"/>
      <c r="DB326" s="37"/>
      <c r="DC326" s="37"/>
      <c r="DD326" s="37"/>
      <c r="DE326" s="37"/>
      <c r="DF326" s="37"/>
      <c r="DG326" s="37"/>
      <c r="DH326" s="37"/>
      <c r="DI326" s="37"/>
      <c r="DJ326" s="37"/>
      <c r="DK326" s="37"/>
      <c r="DL326" s="37"/>
      <c r="DM326" s="37"/>
      <c r="DN326" s="37"/>
      <c r="DO326" s="32" t="s">
        <v>3600</v>
      </c>
      <c r="DP326" s="38" t="s">
        <v>7914</v>
      </c>
      <c r="DQ326" s="32">
        <v>56.0</v>
      </c>
      <c r="DR326" s="32">
        <v>7.0</v>
      </c>
      <c r="DS326" s="32">
        <v>35.0</v>
      </c>
      <c r="DT326" s="32">
        <v>11.0</v>
      </c>
      <c r="DU326" s="37"/>
      <c r="DV326" s="32">
        <v>10.0</v>
      </c>
      <c r="DW326" s="35" t="s">
        <v>9317</v>
      </c>
      <c r="DX326" s="37"/>
      <c r="DY326" s="34"/>
      <c r="DZ326" s="37"/>
      <c r="EA326" s="37"/>
      <c r="EB326" s="34"/>
      <c r="EC326" s="37"/>
      <c r="ED326" s="37"/>
      <c r="EE326" s="32">
        <v>43.54</v>
      </c>
      <c r="EF326" s="38" t="s">
        <v>9318</v>
      </c>
      <c r="EG326" s="35" t="s">
        <v>3698</v>
      </c>
      <c r="EH326" s="37"/>
      <c r="EI326" s="37"/>
      <c r="EJ326" s="37"/>
      <c r="EK326" s="34"/>
      <c r="EL326" s="37"/>
      <c r="EM326" s="37"/>
      <c r="EN326" s="37"/>
      <c r="EO326" s="37"/>
      <c r="EP326" s="40" t="s">
        <v>3559</v>
      </c>
    </row>
    <row r="327">
      <c r="A327" s="45"/>
      <c r="B327" s="42" t="s">
        <v>9319</v>
      </c>
      <c r="C327" s="43"/>
      <c r="D327" s="43"/>
      <c r="E327" s="42" t="s">
        <v>9320</v>
      </c>
      <c r="F327" s="43"/>
      <c r="G327" s="42" t="s">
        <v>9321</v>
      </c>
      <c r="H327" s="42" t="s">
        <v>3563</v>
      </c>
      <c r="I327" s="42" t="s">
        <v>3564</v>
      </c>
      <c r="J327" s="42" t="s">
        <v>3565</v>
      </c>
      <c r="K327" s="42" t="s">
        <v>5114</v>
      </c>
      <c r="L327" s="42" t="s">
        <v>9322</v>
      </c>
      <c r="M327" s="42" t="s">
        <v>9323</v>
      </c>
      <c r="N327" s="42" t="s">
        <v>3569</v>
      </c>
      <c r="O327" s="42" t="s">
        <v>9324</v>
      </c>
      <c r="P327" s="42"/>
      <c r="R327" s="42" t="s">
        <v>3571</v>
      </c>
      <c r="S327" s="42" t="s">
        <v>3572</v>
      </c>
      <c r="T327" s="42" t="s">
        <v>3573</v>
      </c>
      <c r="U327" s="44" t="s">
        <v>9325</v>
      </c>
      <c r="V327" s="44" t="s">
        <v>9326</v>
      </c>
      <c r="W327" s="45"/>
      <c r="X327" s="43"/>
      <c r="Y327" s="43"/>
      <c r="Z327" s="43"/>
      <c r="AA327" s="41">
        <v>2019.0</v>
      </c>
      <c r="AB327" s="43"/>
      <c r="AC327" s="43"/>
      <c r="AD327" s="43"/>
      <c r="AE327" s="45"/>
      <c r="AF327" s="45"/>
      <c r="AG327" s="45"/>
      <c r="AH327" s="45"/>
      <c r="AI327" s="45"/>
      <c r="AJ327" s="45"/>
      <c r="AK327" s="45"/>
      <c r="AL327" s="45"/>
      <c r="AM327" s="45"/>
      <c r="AN327" s="45"/>
      <c r="AO327" s="42" t="s">
        <v>9327</v>
      </c>
      <c r="AP327" s="42" t="s">
        <v>9328</v>
      </c>
      <c r="AQ327" s="42" t="s">
        <v>265</v>
      </c>
      <c r="AR327" s="42" t="s">
        <v>9329</v>
      </c>
      <c r="AS327" s="43" t="str">
        <f>+972 (0)53 230 8588</f>
        <v>#ERROR!</v>
      </c>
      <c r="AT327" s="42" t="s">
        <v>3581</v>
      </c>
      <c r="AU327" s="43"/>
      <c r="AV327" s="43"/>
      <c r="AW327" s="42" t="s">
        <v>75</v>
      </c>
      <c r="AX327" s="43"/>
      <c r="AY327" s="45"/>
      <c r="AZ327" s="42" t="s">
        <v>41</v>
      </c>
      <c r="BA327" s="45" t="str">
        <f>+972 (0)53 230 8588</f>
        <v>#ERROR!</v>
      </c>
      <c r="BB327" s="45"/>
      <c r="BC327" s="42" t="s">
        <v>9330</v>
      </c>
      <c r="BD327" s="42" t="s">
        <v>3584</v>
      </c>
      <c r="BE327" s="42" t="s">
        <v>3584</v>
      </c>
      <c r="BF327" s="42" t="s">
        <v>9331</v>
      </c>
      <c r="BG327" s="42" t="s">
        <v>9332</v>
      </c>
      <c r="BH327" s="41">
        <v>3.0</v>
      </c>
      <c r="BI327" s="43"/>
      <c r="BJ327" s="43"/>
      <c r="BK327" s="43"/>
      <c r="BL327" s="42" t="s">
        <v>9333</v>
      </c>
      <c r="BM327" s="43"/>
      <c r="BN327" s="43"/>
      <c r="BO327" s="43"/>
      <c r="BP327" s="43"/>
      <c r="BQ327" s="46" t="s">
        <v>8078</v>
      </c>
      <c r="BR327" s="45"/>
      <c r="BS327" s="43"/>
      <c r="BT327" s="45"/>
      <c r="BU327" s="43"/>
      <c r="BV327" s="42" t="s">
        <v>3669</v>
      </c>
      <c r="BW327" s="43"/>
      <c r="BX327" s="43"/>
      <c r="BY327" s="42" t="s">
        <v>3573</v>
      </c>
      <c r="BZ327" s="43"/>
      <c r="CA327" s="42" t="s">
        <v>3591</v>
      </c>
      <c r="CB327" s="46" t="s">
        <v>7861</v>
      </c>
      <c r="CC327" s="45"/>
      <c r="CD327" s="43"/>
      <c r="CE327" s="45"/>
      <c r="CF327" s="43"/>
      <c r="CG327" s="42" t="s">
        <v>3589</v>
      </c>
      <c r="CH327" s="43"/>
      <c r="CI327" s="43"/>
      <c r="CJ327" s="42" t="s">
        <v>3590</v>
      </c>
      <c r="CK327" s="45"/>
      <c r="CL327" s="45"/>
      <c r="CM327" s="43"/>
      <c r="CN327" s="42" t="s">
        <v>3591</v>
      </c>
      <c r="CO327" s="47">
        <v>0.0</v>
      </c>
      <c r="CP327" s="41">
        <v>14.0</v>
      </c>
      <c r="CQ327" s="47">
        <v>0.0</v>
      </c>
      <c r="CR327" s="47">
        <v>0.0</v>
      </c>
      <c r="CS327" s="47">
        <v>0.0</v>
      </c>
      <c r="CT327" s="41">
        <v>12.0</v>
      </c>
      <c r="CU327" s="45"/>
      <c r="CV327" s="45"/>
      <c r="CW327" s="47">
        <v>0.0</v>
      </c>
      <c r="CX327" s="41">
        <v>12.0</v>
      </c>
      <c r="CY327" s="41" t="s">
        <v>7482</v>
      </c>
      <c r="CZ327" s="41">
        <v>4.0</v>
      </c>
      <c r="DA327" s="41" t="s">
        <v>3598</v>
      </c>
      <c r="DB327" s="47">
        <v>0.0</v>
      </c>
      <c r="DC327" s="41" t="s">
        <v>7482</v>
      </c>
      <c r="DD327" s="41">
        <v>5.0</v>
      </c>
      <c r="DE327" s="45"/>
      <c r="DF327" s="45"/>
      <c r="DG327" s="41" t="s">
        <v>7482</v>
      </c>
      <c r="DH327" s="41">
        <v>4.0</v>
      </c>
      <c r="DI327" s="41">
        <v>0.0</v>
      </c>
      <c r="DJ327" s="41">
        <v>0.0</v>
      </c>
      <c r="DK327" s="47">
        <v>0.0</v>
      </c>
      <c r="DL327" s="41">
        <v>4.0</v>
      </c>
      <c r="DM327" s="41">
        <v>0.0</v>
      </c>
      <c r="DN327" s="47">
        <v>0.0</v>
      </c>
      <c r="DO327" s="41" t="s">
        <v>3600</v>
      </c>
      <c r="DP327" s="46" t="s">
        <v>9255</v>
      </c>
      <c r="DQ327" s="41">
        <v>1.0</v>
      </c>
      <c r="DR327" s="41">
        <v>1.0</v>
      </c>
      <c r="DS327" s="45"/>
      <c r="DT327" s="41">
        <v>1.0</v>
      </c>
      <c r="DU327" s="45"/>
      <c r="DV327" s="45"/>
      <c r="DW327" s="42" t="s">
        <v>9334</v>
      </c>
      <c r="DX327" s="45"/>
      <c r="DY327" s="43"/>
      <c r="DZ327" s="45"/>
      <c r="EA327" s="45"/>
      <c r="EB327" s="43"/>
      <c r="EC327" s="45"/>
      <c r="ED327" s="45"/>
      <c r="EE327" s="45"/>
      <c r="EF327" s="45"/>
      <c r="EG327" s="43"/>
      <c r="EH327" s="45"/>
      <c r="EI327" s="45"/>
      <c r="EJ327" s="45"/>
      <c r="EK327" s="43"/>
      <c r="EL327" s="45"/>
      <c r="EM327" s="45"/>
      <c r="EN327" s="45"/>
      <c r="EO327" s="45"/>
      <c r="EP327" s="48" t="s">
        <v>3559</v>
      </c>
    </row>
    <row r="328">
      <c r="A328" s="37"/>
      <c r="B328" s="35" t="s">
        <v>9335</v>
      </c>
      <c r="C328" s="34"/>
      <c r="D328" s="34"/>
      <c r="E328" s="35" t="s">
        <v>9336</v>
      </c>
      <c r="F328" s="34"/>
      <c r="G328" s="35" t="s">
        <v>9337</v>
      </c>
      <c r="H328" s="35" t="s">
        <v>3563</v>
      </c>
      <c r="I328" s="35" t="s">
        <v>3564</v>
      </c>
      <c r="J328" s="35" t="s">
        <v>3565</v>
      </c>
      <c r="K328" s="35" t="s">
        <v>9338</v>
      </c>
      <c r="L328" s="35" t="s">
        <v>9339</v>
      </c>
      <c r="M328" s="35" t="s">
        <v>9340</v>
      </c>
      <c r="N328" s="35" t="s">
        <v>4923</v>
      </c>
      <c r="O328" s="35" t="s">
        <v>9341</v>
      </c>
      <c r="P328" s="35"/>
      <c r="R328" s="35" t="s">
        <v>3571</v>
      </c>
      <c r="S328" s="35" t="s">
        <v>4925</v>
      </c>
      <c r="T328" s="35" t="s">
        <v>4926</v>
      </c>
      <c r="U328" s="36" t="s">
        <v>9342</v>
      </c>
      <c r="V328" s="36" t="s">
        <v>9343</v>
      </c>
      <c r="W328" s="37"/>
      <c r="X328" s="34"/>
      <c r="Y328" s="34"/>
      <c r="Z328" s="34"/>
      <c r="AA328" s="32">
        <v>2017.0</v>
      </c>
      <c r="AB328" s="34"/>
      <c r="AC328" s="34"/>
      <c r="AD328" s="34"/>
      <c r="AE328" s="37"/>
      <c r="AF328" s="37"/>
      <c r="AG328" s="37"/>
      <c r="AH328" s="37"/>
      <c r="AI328" s="37"/>
      <c r="AJ328" s="37"/>
      <c r="AK328" s="37"/>
      <c r="AL328" s="37"/>
      <c r="AM328" s="37"/>
      <c r="AN328" s="37"/>
      <c r="AO328" s="35" t="s">
        <v>9344</v>
      </c>
      <c r="AP328" s="35" t="s">
        <v>9345</v>
      </c>
      <c r="AQ328" s="35" t="s">
        <v>9346</v>
      </c>
      <c r="AR328" s="34"/>
      <c r="AS328" s="34"/>
      <c r="AT328" s="35" t="s">
        <v>3581</v>
      </c>
      <c r="AU328" s="35" t="s">
        <v>9347</v>
      </c>
      <c r="AV328" s="34"/>
      <c r="AW328" s="35" t="s">
        <v>75</v>
      </c>
      <c r="AX328" s="34"/>
      <c r="AY328" s="37"/>
      <c r="AZ328" s="35" t="s">
        <v>41</v>
      </c>
      <c r="BA328" s="37"/>
      <c r="BB328" s="37"/>
      <c r="BC328" s="35" t="s">
        <v>9348</v>
      </c>
      <c r="BD328" s="35" t="s">
        <v>3584</v>
      </c>
      <c r="BE328" s="35" t="s">
        <v>3584</v>
      </c>
      <c r="BF328" s="34"/>
      <c r="BG328" s="34"/>
      <c r="BH328" s="37"/>
      <c r="BI328" s="34"/>
      <c r="BJ328" s="34"/>
      <c r="BK328" s="34"/>
      <c r="BL328" s="34"/>
      <c r="BM328" s="34"/>
      <c r="BN328" s="34"/>
      <c r="BO328" s="34"/>
      <c r="BP328" s="34"/>
      <c r="BQ328" s="37"/>
      <c r="BR328" s="37"/>
      <c r="BS328" s="34"/>
      <c r="BT328" s="37"/>
      <c r="BU328" s="34"/>
      <c r="BV328" s="34"/>
      <c r="BW328" s="34"/>
      <c r="BX328" s="34"/>
      <c r="BY328" s="34"/>
      <c r="BZ328" s="34"/>
      <c r="CA328" s="34"/>
      <c r="CB328" s="37"/>
      <c r="CC328" s="37"/>
      <c r="CD328" s="34"/>
      <c r="CE328" s="37"/>
      <c r="CF328" s="34"/>
      <c r="CG328" s="34"/>
      <c r="CH328" s="34"/>
      <c r="CI328" s="34"/>
      <c r="CJ328" s="34"/>
      <c r="CK328" s="37"/>
      <c r="CL328" s="37"/>
      <c r="CM328" s="34"/>
      <c r="CN328" s="34"/>
      <c r="CO328" s="39">
        <v>0.0</v>
      </c>
      <c r="CP328" s="32">
        <v>14.0</v>
      </c>
      <c r="CQ328" s="39">
        <v>0.0</v>
      </c>
      <c r="CR328" s="39">
        <v>0.0</v>
      </c>
      <c r="CS328" s="39">
        <v>0.0</v>
      </c>
      <c r="CT328" s="32">
        <v>12.0</v>
      </c>
      <c r="CU328" s="37"/>
      <c r="CV328" s="37"/>
      <c r="CW328" s="39">
        <v>0.0</v>
      </c>
      <c r="CX328" s="32">
        <v>12.0</v>
      </c>
      <c r="CY328" s="32" t="s">
        <v>7482</v>
      </c>
      <c r="CZ328" s="32">
        <v>4.0</v>
      </c>
      <c r="DA328" s="32" t="s">
        <v>3598</v>
      </c>
      <c r="DB328" s="39">
        <v>0.0</v>
      </c>
      <c r="DC328" s="32" t="s">
        <v>7482</v>
      </c>
      <c r="DD328" s="32">
        <v>5.0</v>
      </c>
      <c r="DE328" s="37"/>
      <c r="DF328" s="37"/>
      <c r="DG328" s="32" t="s">
        <v>7482</v>
      </c>
      <c r="DH328" s="32">
        <v>4.0</v>
      </c>
      <c r="DI328" s="37"/>
      <c r="DJ328" s="37"/>
      <c r="DK328" s="37"/>
      <c r="DL328" s="32">
        <v>4.0</v>
      </c>
      <c r="DM328" s="32">
        <v>0.0</v>
      </c>
      <c r="DN328" s="39">
        <v>0.0</v>
      </c>
      <c r="DO328" s="32" t="s">
        <v>3600</v>
      </c>
      <c r="DP328" s="38" t="s">
        <v>9349</v>
      </c>
      <c r="DQ328" s="37"/>
      <c r="DR328" s="37"/>
      <c r="DS328" s="37"/>
      <c r="DT328" s="37"/>
      <c r="DU328" s="37"/>
      <c r="DV328" s="37"/>
      <c r="DW328" s="34"/>
      <c r="DX328" s="37"/>
      <c r="DY328" s="34"/>
      <c r="DZ328" s="37"/>
      <c r="EA328" s="37"/>
      <c r="EB328" s="34"/>
      <c r="EC328" s="37"/>
      <c r="ED328" s="37"/>
      <c r="EE328" s="37"/>
      <c r="EF328" s="37"/>
      <c r="EG328" s="34"/>
      <c r="EH328" s="37"/>
      <c r="EI328" s="37"/>
      <c r="EJ328" s="37"/>
      <c r="EK328" s="34"/>
      <c r="EL328" s="37"/>
      <c r="EM328" s="37"/>
      <c r="EN328" s="37"/>
      <c r="EO328" s="37"/>
      <c r="EP328" s="40" t="s">
        <v>3559</v>
      </c>
    </row>
    <row r="329">
      <c r="A329" s="45"/>
      <c r="B329" s="42" t="s">
        <v>9350</v>
      </c>
      <c r="C329" s="43"/>
      <c r="D329" s="43"/>
      <c r="E329" s="43"/>
      <c r="F329" s="43"/>
      <c r="G329" s="42" t="s">
        <v>9351</v>
      </c>
      <c r="H329" s="42" t="s">
        <v>4560</v>
      </c>
      <c r="I329" s="42" t="s">
        <v>4561</v>
      </c>
      <c r="J329" s="42" t="s">
        <v>66</v>
      </c>
      <c r="K329" s="42" t="s">
        <v>9352</v>
      </c>
      <c r="L329" s="42" t="s">
        <v>8573</v>
      </c>
      <c r="M329" s="42" t="s">
        <v>9353</v>
      </c>
      <c r="N329" s="42" t="s">
        <v>4923</v>
      </c>
      <c r="O329" s="42" t="s">
        <v>9354</v>
      </c>
      <c r="P329" s="42"/>
      <c r="R329" s="42" t="s">
        <v>6041</v>
      </c>
      <c r="S329" s="42" t="s">
        <v>4925</v>
      </c>
      <c r="T329" s="42" t="s">
        <v>4926</v>
      </c>
      <c r="U329" s="44" t="s">
        <v>9355</v>
      </c>
      <c r="V329" s="44" t="s">
        <v>9356</v>
      </c>
      <c r="W329" s="41">
        <v>3.0</v>
      </c>
      <c r="X329" s="42" t="s">
        <v>9357</v>
      </c>
      <c r="Y329" s="43"/>
      <c r="Z329" s="43"/>
      <c r="AA329" s="41">
        <v>2023.0</v>
      </c>
      <c r="AB329" s="43"/>
      <c r="AC329" s="43"/>
      <c r="AD329" s="43"/>
      <c r="AE329" s="45"/>
      <c r="AF329" s="45"/>
      <c r="AG329" s="45"/>
      <c r="AH329" s="45"/>
      <c r="AI329" s="45"/>
      <c r="AJ329" s="45"/>
      <c r="AK329" s="45"/>
      <c r="AL329" s="45"/>
      <c r="AM329" s="45"/>
      <c r="AN329" s="45"/>
      <c r="AO329" s="42" t="s">
        <v>9358</v>
      </c>
      <c r="AP329" s="42" t="s">
        <v>9359</v>
      </c>
      <c r="AQ329" s="42" t="s">
        <v>3579</v>
      </c>
      <c r="AR329" s="42" t="s">
        <v>9360</v>
      </c>
      <c r="AS329" s="43" t="str">
        <f>+972 (0)52 834 9559</f>
        <v>#ERROR!</v>
      </c>
      <c r="AT329" s="42" t="s">
        <v>3581</v>
      </c>
      <c r="AU329" s="43"/>
      <c r="AV329" s="43"/>
      <c r="AW329" s="42" t="s">
        <v>75</v>
      </c>
      <c r="AX329" s="43"/>
      <c r="AY329" s="45"/>
      <c r="AZ329" s="42" t="s">
        <v>41</v>
      </c>
      <c r="BA329" s="45"/>
      <c r="BB329" s="45"/>
      <c r="BC329" s="42" t="s">
        <v>9361</v>
      </c>
      <c r="BD329" s="42" t="s">
        <v>3584</v>
      </c>
      <c r="BE329" s="42" t="s">
        <v>3584</v>
      </c>
      <c r="BF329" s="43"/>
      <c r="BG329" s="43"/>
      <c r="BH329" s="45"/>
      <c r="BI329" s="43"/>
      <c r="BJ329" s="43"/>
      <c r="BK329" s="43"/>
      <c r="BL329" s="43"/>
      <c r="BM329" s="43"/>
      <c r="BN329" s="43"/>
      <c r="BO329" s="43"/>
      <c r="BP329" s="43"/>
      <c r="BQ329" s="45"/>
      <c r="BR329" s="45"/>
      <c r="BS329" s="43"/>
      <c r="BT329" s="45"/>
      <c r="BU329" s="43"/>
      <c r="BV329" s="43"/>
      <c r="BW329" s="43"/>
      <c r="BX329" s="43"/>
      <c r="BY329" s="43"/>
      <c r="BZ329" s="43"/>
      <c r="CA329" s="43"/>
      <c r="CB329" s="45"/>
      <c r="CC329" s="45"/>
      <c r="CD329" s="43"/>
      <c r="CE329" s="45"/>
      <c r="CF329" s="43"/>
      <c r="CG329" s="43"/>
      <c r="CH329" s="43"/>
      <c r="CI329" s="43"/>
      <c r="CJ329" s="43"/>
      <c r="CK329" s="45"/>
      <c r="CL329" s="45"/>
      <c r="CM329" s="43"/>
      <c r="CN329" s="43"/>
      <c r="CO329" s="47">
        <v>0.0</v>
      </c>
      <c r="CP329" s="41">
        <v>14.0</v>
      </c>
      <c r="CQ329" s="47">
        <v>0.0</v>
      </c>
      <c r="CR329" s="47">
        <v>0.0</v>
      </c>
      <c r="CS329" s="47">
        <v>0.0</v>
      </c>
      <c r="CT329" s="41">
        <v>12.0</v>
      </c>
      <c r="CU329" s="47">
        <v>0.0</v>
      </c>
      <c r="CV329" s="41">
        <v>10.0</v>
      </c>
      <c r="CW329" s="45"/>
      <c r="CX329" s="45"/>
      <c r="CY329" s="41" t="s">
        <v>3598</v>
      </c>
      <c r="CZ329" s="41">
        <v>1.0</v>
      </c>
      <c r="DA329" s="41" t="s">
        <v>3598</v>
      </c>
      <c r="DB329" s="47">
        <v>0.0</v>
      </c>
      <c r="DC329" s="41" t="s">
        <v>3598</v>
      </c>
      <c r="DD329" s="41">
        <v>1.0</v>
      </c>
      <c r="DE329" s="41" t="s">
        <v>3598</v>
      </c>
      <c r="DF329" s="41">
        <v>1.0</v>
      </c>
      <c r="DG329" s="45"/>
      <c r="DH329" s="45"/>
      <c r="DI329" s="41">
        <v>0.0</v>
      </c>
      <c r="DJ329" s="41">
        <v>0.0</v>
      </c>
      <c r="DK329" s="47">
        <v>0.0</v>
      </c>
      <c r="DL329" s="45"/>
      <c r="DM329" s="45"/>
      <c r="DN329" s="45"/>
      <c r="DO329" s="41" t="s">
        <v>3600</v>
      </c>
      <c r="DP329" s="46" t="s">
        <v>9362</v>
      </c>
      <c r="DQ329" s="45"/>
      <c r="DR329" s="45"/>
      <c r="DS329" s="45"/>
      <c r="DT329" s="45"/>
      <c r="DU329" s="45"/>
      <c r="DV329" s="45"/>
      <c r="DW329" s="43"/>
      <c r="DX329" s="45"/>
      <c r="DY329" s="43"/>
      <c r="DZ329" s="45"/>
      <c r="EA329" s="45"/>
      <c r="EB329" s="43"/>
      <c r="EC329" s="45"/>
      <c r="ED329" s="45"/>
      <c r="EE329" s="45"/>
      <c r="EF329" s="45"/>
      <c r="EG329" s="43"/>
      <c r="EH329" s="45"/>
      <c r="EI329" s="45"/>
      <c r="EJ329" s="45"/>
      <c r="EK329" s="43"/>
      <c r="EL329" s="45"/>
      <c r="EM329" s="45"/>
      <c r="EN329" s="45"/>
      <c r="EO329" s="45"/>
      <c r="EP329" s="48" t="s">
        <v>3559</v>
      </c>
    </row>
    <row r="330">
      <c r="A330" s="32">
        <v>1.2</v>
      </c>
      <c r="B330" s="35" t="s">
        <v>9363</v>
      </c>
      <c r="C330" s="34"/>
      <c r="D330" s="34"/>
      <c r="E330" s="35" t="s">
        <v>9364</v>
      </c>
      <c r="F330" s="34"/>
      <c r="G330" s="35" t="s">
        <v>9365</v>
      </c>
      <c r="H330" s="35" t="s">
        <v>3867</v>
      </c>
      <c r="I330" s="35" t="s">
        <v>3897</v>
      </c>
      <c r="J330" s="35" t="s">
        <v>4689</v>
      </c>
      <c r="K330" s="35" t="s">
        <v>9366</v>
      </c>
      <c r="L330" s="35" t="s">
        <v>9367</v>
      </c>
      <c r="M330" s="35" t="s">
        <v>9368</v>
      </c>
      <c r="N330" s="35" t="s">
        <v>3569</v>
      </c>
      <c r="O330" s="35" t="s">
        <v>9369</v>
      </c>
      <c r="P330" s="35"/>
      <c r="R330" s="35" t="s">
        <v>3571</v>
      </c>
      <c r="S330" s="35" t="s">
        <v>3572</v>
      </c>
      <c r="T330" s="35" t="s">
        <v>3573</v>
      </c>
      <c r="U330" s="36" t="s">
        <v>9370</v>
      </c>
      <c r="V330" s="36" t="s">
        <v>9371</v>
      </c>
      <c r="W330" s="32">
        <v>2.0</v>
      </c>
      <c r="X330" s="35" t="s">
        <v>9372</v>
      </c>
      <c r="Y330" s="34"/>
      <c r="Z330" s="34"/>
      <c r="AA330" s="32">
        <v>2019.0</v>
      </c>
      <c r="AB330" s="34"/>
      <c r="AC330" s="34"/>
      <c r="AD330" s="34"/>
      <c r="AE330" s="37"/>
      <c r="AF330" s="37"/>
      <c r="AG330" s="37"/>
      <c r="AH330" s="37"/>
      <c r="AI330" s="37"/>
      <c r="AJ330" s="37"/>
      <c r="AK330" s="37"/>
      <c r="AL330" s="37"/>
      <c r="AM330" s="37"/>
      <c r="AN330" s="37"/>
      <c r="AO330" s="35" t="s">
        <v>9373</v>
      </c>
      <c r="AP330" s="35" t="s">
        <v>2829</v>
      </c>
      <c r="AQ330" s="35" t="s">
        <v>4930</v>
      </c>
      <c r="AR330" s="35" t="s">
        <v>9374</v>
      </c>
      <c r="AS330" s="34" t="str">
        <f>+972 (0)53 565 9168</f>
        <v>#ERROR!</v>
      </c>
      <c r="AT330" s="35" t="s">
        <v>3654</v>
      </c>
      <c r="AU330" s="35" t="s">
        <v>9375</v>
      </c>
      <c r="AV330" s="34"/>
      <c r="AW330" s="35" t="s">
        <v>147</v>
      </c>
      <c r="AX330" s="34"/>
      <c r="AY330" s="37"/>
      <c r="AZ330" s="35" t="s">
        <v>41</v>
      </c>
      <c r="BA330" s="37" t="str">
        <f>+972 (0)53 565 9168</f>
        <v>#ERROR!</v>
      </c>
      <c r="BB330" s="37"/>
      <c r="BC330" s="35" t="s">
        <v>2833</v>
      </c>
      <c r="BD330" s="35" t="s">
        <v>3584</v>
      </c>
      <c r="BE330" s="35" t="s">
        <v>3584</v>
      </c>
      <c r="BF330" s="35" t="s">
        <v>9376</v>
      </c>
      <c r="BG330" s="35" t="s">
        <v>9377</v>
      </c>
      <c r="BH330" s="32">
        <v>5.0</v>
      </c>
      <c r="BI330" s="34"/>
      <c r="BJ330" s="34"/>
      <c r="BK330" s="34"/>
      <c r="BL330" s="35" t="s">
        <v>9378</v>
      </c>
      <c r="BM330" s="34"/>
      <c r="BN330" s="34"/>
      <c r="BO330" s="34"/>
      <c r="BP330" s="34"/>
      <c r="BQ330" s="38" t="s">
        <v>5030</v>
      </c>
      <c r="BR330" s="32">
        <v>1.2</v>
      </c>
      <c r="BS330" s="35" t="s">
        <v>3593</v>
      </c>
      <c r="BT330" s="37"/>
      <c r="BU330" s="34"/>
      <c r="BV330" s="35" t="s">
        <v>3698</v>
      </c>
      <c r="BW330" s="35" t="s">
        <v>3698</v>
      </c>
      <c r="BX330" s="34"/>
      <c r="BY330" s="35" t="s">
        <v>3573</v>
      </c>
      <c r="BZ330" s="34"/>
      <c r="CA330" s="35" t="s">
        <v>3591</v>
      </c>
      <c r="CB330" s="38" t="s">
        <v>4479</v>
      </c>
      <c r="CC330" s="37"/>
      <c r="CD330" s="34"/>
      <c r="CE330" s="37"/>
      <c r="CF330" s="34"/>
      <c r="CG330" s="35" t="s">
        <v>3589</v>
      </c>
      <c r="CH330" s="34"/>
      <c r="CI330" s="34"/>
      <c r="CJ330" s="35" t="s">
        <v>3590</v>
      </c>
      <c r="CK330" s="37"/>
      <c r="CL330" s="37"/>
      <c r="CM330" s="34"/>
      <c r="CN330" s="35" t="s">
        <v>3591</v>
      </c>
      <c r="CO330" s="39">
        <v>0.0</v>
      </c>
      <c r="CP330" s="32">
        <v>14.0</v>
      </c>
      <c r="CQ330" s="39">
        <v>0.0</v>
      </c>
      <c r="CR330" s="39">
        <v>0.0</v>
      </c>
      <c r="CS330" s="39">
        <v>0.0</v>
      </c>
      <c r="CT330" s="32">
        <v>12.0</v>
      </c>
      <c r="CU330" s="37"/>
      <c r="CV330" s="37"/>
      <c r="CW330" s="39">
        <v>0.0</v>
      </c>
      <c r="CX330" s="32">
        <v>12.0</v>
      </c>
      <c r="CY330" s="32" t="s">
        <v>6409</v>
      </c>
      <c r="CZ330" s="32">
        <v>42.0</v>
      </c>
      <c r="DA330" s="32" t="s">
        <v>3598</v>
      </c>
      <c r="DB330" s="39">
        <v>0.0</v>
      </c>
      <c r="DC330" s="32" t="s">
        <v>3859</v>
      </c>
      <c r="DD330" s="32">
        <v>62.0</v>
      </c>
      <c r="DE330" s="37"/>
      <c r="DF330" s="37"/>
      <c r="DG330" s="32" t="s">
        <v>3859</v>
      </c>
      <c r="DH330" s="32">
        <v>61.0</v>
      </c>
      <c r="DI330" s="37"/>
      <c r="DJ330" s="37"/>
      <c r="DK330" s="37"/>
      <c r="DL330" s="32">
        <v>32.0</v>
      </c>
      <c r="DM330" s="32">
        <v>1.0</v>
      </c>
      <c r="DN330" s="39">
        <v>0.0323</v>
      </c>
      <c r="DO330" s="32" t="s">
        <v>3600</v>
      </c>
      <c r="DP330" s="38" t="s">
        <v>6466</v>
      </c>
      <c r="DQ330" s="37"/>
      <c r="DR330" s="37"/>
      <c r="DS330" s="37"/>
      <c r="DT330" s="37"/>
      <c r="DU330" s="37"/>
      <c r="DV330" s="37"/>
      <c r="DW330" s="34"/>
      <c r="DX330" s="37"/>
      <c r="DY330" s="34"/>
      <c r="DZ330" s="37"/>
      <c r="EA330" s="37"/>
      <c r="EB330" s="34"/>
      <c r="EC330" s="37"/>
      <c r="ED330" s="37"/>
      <c r="EE330" s="37"/>
      <c r="EF330" s="37"/>
      <c r="EG330" s="34"/>
      <c r="EH330" s="37"/>
      <c r="EI330" s="37"/>
      <c r="EJ330" s="37"/>
      <c r="EK330" s="34"/>
      <c r="EL330" s="37"/>
      <c r="EM330" s="37"/>
      <c r="EN330" s="37"/>
      <c r="EO330" s="37"/>
      <c r="EP330" s="40" t="s">
        <v>3559</v>
      </c>
    </row>
    <row r="331">
      <c r="A331" s="45"/>
      <c r="B331" s="42" t="s">
        <v>9379</v>
      </c>
      <c r="C331" s="42" t="s">
        <v>9380</v>
      </c>
      <c r="D331" s="42" t="s">
        <v>9381</v>
      </c>
      <c r="E331" s="42" t="s">
        <v>9382</v>
      </c>
      <c r="F331" s="42" t="s">
        <v>9383</v>
      </c>
      <c r="G331" s="42" t="s">
        <v>9384</v>
      </c>
      <c r="H331" s="42" t="s">
        <v>4560</v>
      </c>
      <c r="I331" s="42" t="s">
        <v>4561</v>
      </c>
      <c r="J331" s="42" t="s">
        <v>66</v>
      </c>
      <c r="K331" s="42" t="s">
        <v>7475</v>
      </c>
      <c r="L331" s="42" t="s">
        <v>4986</v>
      </c>
      <c r="M331" s="42" t="s">
        <v>9385</v>
      </c>
      <c r="N331" s="42" t="s">
        <v>5075</v>
      </c>
      <c r="O331" s="42" t="s">
        <v>9386</v>
      </c>
      <c r="P331" s="42"/>
      <c r="R331" s="42" t="s">
        <v>3571</v>
      </c>
      <c r="S331" s="42" t="s">
        <v>5020</v>
      </c>
      <c r="T331" s="42" t="s">
        <v>4989</v>
      </c>
      <c r="U331" s="44" t="s">
        <v>9387</v>
      </c>
      <c r="V331" s="44" t="s">
        <v>9388</v>
      </c>
      <c r="W331" s="45"/>
      <c r="X331" s="43"/>
      <c r="Y331" s="43"/>
      <c r="Z331" s="43"/>
      <c r="AA331" s="41">
        <v>1954.0</v>
      </c>
      <c r="AB331" s="43"/>
      <c r="AC331" s="43"/>
      <c r="AD331" s="43"/>
      <c r="AE331" s="45"/>
      <c r="AF331" s="45"/>
      <c r="AG331" s="45"/>
      <c r="AH331" s="45"/>
      <c r="AI331" s="45"/>
      <c r="AJ331" s="45"/>
      <c r="AK331" s="45"/>
      <c r="AL331" s="45"/>
      <c r="AM331" s="45"/>
      <c r="AN331" s="45"/>
      <c r="AO331" s="42" t="s">
        <v>9389</v>
      </c>
      <c r="AP331" s="42" t="s">
        <v>9390</v>
      </c>
      <c r="AQ331" s="42" t="s">
        <v>4971</v>
      </c>
      <c r="AR331" s="42" t="s">
        <v>9391</v>
      </c>
      <c r="AS331" s="43" t="str">
        <f>+972 (0)8 862 8800</f>
        <v>#ERROR!</v>
      </c>
      <c r="AT331" s="42" t="s">
        <v>4473</v>
      </c>
      <c r="AU331" s="42" t="s">
        <v>9392</v>
      </c>
      <c r="AV331" s="42" t="s">
        <v>9393</v>
      </c>
      <c r="AW331" s="42" t="s">
        <v>530</v>
      </c>
      <c r="AX331" s="42" t="s">
        <v>4475</v>
      </c>
      <c r="AY331" s="41">
        <v>24959.0</v>
      </c>
      <c r="AZ331" s="42" t="s">
        <v>41</v>
      </c>
      <c r="BA331" s="45" t="str">
        <f>+972 (0)8 862 8800</f>
        <v>#ERROR!</v>
      </c>
      <c r="BB331" s="45" t="str">
        <f>+972 (0)8 859 6662</f>
        <v>#ERROR!</v>
      </c>
      <c r="BC331" s="43"/>
      <c r="BD331" s="42" t="s">
        <v>3584</v>
      </c>
      <c r="BE331" s="42" t="s">
        <v>3584</v>
      </c>
      <c r="BF331" s="42" t="s">
        <v>9394</v>
      </c>
      <c r="BG331" s="42" t="s">
        <v>9395</v>
      </c>
      <c r="BH331" s="41">
        <v>1.0</v>
      </c>
      <c r="BI331" s="43"/>
      <c r="BJ331" s="42" t="s">
        <v>6566</v>
      </c>
      <c r="BK331" s="43"/>
      <c r="BL331" s="43"/>
      <c r="BM331" s="42" t="s">
        <v>6567</v>
      </c>
      <c r="BN331" s="43"/>
      <c r="BO331" s="43"/>
      <c r="BP331" s="43"/>
      <c r="BQ331" s="46" t="s">
        <v>9396</v>
      </c>
      <c r="BR331" s="41">
        <v>10.0</v>
      </c>
      <c r="BS331" s="42" t="s">
        <v>3593</v>
      </c>
      <c r="BT331" s="41">
        <v>10.0</v>
      </c>
      <c r="BU331" s="43"/>
      <c r="BV331" s="42" t="s">
        <v>5005</v>
      </c>
      <c r="BW331" s="43"/>
      <c r="BX331" s="43"/>
      <c r="BY331" s="42" t="s">
        <v>4989</v>
      </c>
      <c r="BZ331" s="43"/>
      <c r="CA331" s="42" t="s">
        <v>3591</v>
      </c>
      <c r="CB331" s="46" t="s">
        <v>9397</v>
      </c>
      <c r="CC331" s="41">
        <v>0.05</v>
      </c>
      <c r="CD331" s="42" t="s">
        <v>3593</v>
      </c>
      <c r="CE331" s="45"/>
      <c r="CF331" s="43"/>
      <c r="CG331" s="42" t="s">
        <v>4102</v>
      </c>
      <c r="CH331" s="43"/>
      <c r="CI331" s="43"/>
      <c r="CJ331" s="42" t="s">
        <v>3590</v>
      </c>
      <c r="CK331" s="45"/>
      <c r="CL331" s="45"/>
      <c r="CM331" s="43"/>
      <c r="CN331" s="42" t="s">
        <v>3591</v>
      </c>
      <c r="CO331" s="45"/>
      <c r="CP331" s="45"/>
      <c r="CQ331" s="45"/>
      <c r="CR331" s="45"/>
      <c r="CS331" s="45"/>
      <c r="CT331" s="45"/>
      <c r="CU331" s="45"/>
      <c r="CV331" s="45"/>
      <c r="CW331" s="45"/>
      <c r="CX331" s="45"/>
      <c r="CY331" s="45"/>
      <c r="CZ331" s="45"/>
      <c r="DA331" s="45"/>
      <c r="DB331" s="45"/>
      <c r="DC331" s="45"/>
      <c r="DD331" s="45"/>
      <c r="DE331" s="45"/>
      <c r="DF331" s="45"/>
      <c r="DG331" s="45"/>
      <c r="DH331" s="45"/>
      <c r="DI331" s="45"/>
      <c r="DJ331" s="45"/>
      <c r="DK331" s="45"/>
      <c r="DL331" s="45"/>
      <c r="DM331" s="45"/>
      <c r="DN331" s="45"/>
      <c r="DO331" s="41" t="s">
        <v>3600</v>
      </c>
      <c r="DP331" s="46" t="s">
        <v>6569</v>
      </c>
      <c r="DQ331" s="45"/>
      <c r="DR331" s="45"/>
      <c r="DS331" s="45"/>
      <c r="DT331" s="45"/>
      <c r="DU331" s="45"/>
      <c r="DV331" s="45"/>
      <c r="DW331" s="43"/>
      <c r="DX331" s="45"/>
      <c r="DY331" s="43"/>
      <c r="DZ331" s="45"/>
      <c r="EA331" s="45"/>
      <c r="EB331" s="43"/>
      <c r="EC331" s="45"/>
      <c r="ED331" s="45"/>
      <c r="EE331" s="41">
        <v>4.84</v>
      </c>
      <c r="EF331" s="46" t="s">
        <v>7052</v>
      </c>
      <c r="EG331" s="42" t="s">
        <v>4977</v>
      </c>
      <c r="EH331" s="45"/>
      <c r="EI331" s="45"/>
      <c r="EJ331" s="45"/>
      <c r="EK331" s="43"/>
      <c r="EL331" s="45"/>
      <c r="EM331" s="45"/>
      <c r="EN331" s="45"/>
      <c r="EO331" s="45"/>
      <c r="EP331" s="48" t="s">
        <v>3559</v>
      </c>
    </row>
    <row r="332">
      <c r="A332" s="37"/>
      <c r="B332" s="35" t="s">
        <v>9398</v>
      </c>
      <c r="C332" s="34"/>
      <c r="D332" s="34"/>
      <c r="E332" s="35" t="s">
        <v>9399</v>
      </c>
      <c r="F332" s="34"/>
      <c r="G332" s="35" t="s">
        <v>9400</v>
      </c>
      <c r="H332" s="35" t="s">
        <v>4560</v>
      </c>
      <c r="I332" s="35" t="s">
        <v>4561</v>
      </c>
      <c r="J332" s="35" t="s">
        <v>66</v>
      </c>
      <c r="K332" s="35" t="s">
        <v>4562</v>
      </c>
      <c r="L332" s="34"/>
      <c r="M332" s="35" t="s">
        <v>9401</v>
      </c>
      <c r="N332" s="35" t="s">
        <v>4923</v>
      </c>
      <c r="O332" s="35" t="s">
        <v>9402</v>
      </c>
      <c r="P332" s="35"/>
      <c r="R332" s="34"/>
      <c r="S332" s="35" t="s">
        <v>4925</v>
      </c>
      <c r="T332" s="35" t="s">
        <v>4926</v>
      </c>
      <c r="U332" s="36" t="s">
        <v>9403</v>
      </c>
      <c r="V332" s="36" t="s">
        <v>9404</v>
      </c>
      <c r="W332" s="32">
        <v>4.0</v>
      </c>
      <c r="X332" s="35" t="s">
        <v>8413</v>
      </c>
      <c r="Y332" s="34"/>
      <c r="Z332" s="34"/>
      <c r="AA332" s="32">
        <v>2018.0</v>
      </c>
      <c r="AB332" s="34"/>
      <c r="AC332" s="34"/>
      <c r="AD332" s="34"/>
      <c r="AE332" s="37"/>
      <c r="AF332" s="37"/>
      <c r="AG332" s="37"/>
      <c r="AH332" s="37"/>
      <c r="AI332" s="37"/>
      <c r="AJ332" s="37"/>
      <c r="AK332" s="37"/>
      <c r="AL332" s="37"/>
      <c r="AM332" s="37"/>
      <c r="AN332" s="37"/>
      <c r="AO332" s="34"/>
      <c r="AP332" s="34"/>
      <c r="AQ332" s="34"/>
      <c r="AR332" s="34"/>
      <c r="AS332" s="34"/>
      <c r="AT332" s="35" t="s">
        <v>3581</v>
      </c>
      <c r="AU332" s="35" t="s">
        <v>9405</v>
      </c>
      <c r="AV332" s="34"/>
      <c r="AW332" s="35" t="s">
        <v>75</v>
      </c>
      <c r="AX332" s="34"/>
      <c r="AY332" s="32">
        <v>63111.0</v>
      </c>
      <c r="AZ332" s="35" t="s">
        <v>41</v>
      </c>
      <c r="BA332" s="37"/>
      <c r="BB332" s="37"/>
      <c r="BC332" s="34"/>
      <c r="BD332" s="35" t="s">
        <v>3584</v>
      </c>
      <c r="BE332" s="35" t="s">
        <v>3584</v>
      </c>
      <c r="BF332" s="34"/>
      <c r="BG332" s="34"/>
      <c r="BH332" s="37"/>
      <c r="BI332" s="34"/>
      <c r="BJ332" s="34"/>
      <c r="BK332" s="34"/>
      <c r="BL332" s="34"/>
      <c r="BM332" s="34"/>
      <c r="BN332" s="34"/>
      <c r="BO332" s="34"/>
      <c r="BP332" s="34"/>
      <c r="BQ332" s="37"/>
      <c r="BR332" s="37"/>
      <c r="BS332" s="34"/>
      <c r="BT332" s="37"/>
      <c r="BU332" s="34"/>
      <c r="BV332" s="34"/>
      <c r="BW332" s="34"/>
      <c r="BX332" s="34"/>
      <c r="BY332" s="34"/>
      <c r="BZ332" s="34"/>
      <c r="CA332" s="34"/>
      <c r="CB332" s="37"/>
      <c r="CC332" s="37"/>
      <c r="CD332" s="34"/>
      <c r="CE332" s="37"/>
      <c r="CF332" s="34"/>
      <c r="CG332" s="34"/>
      <c r="CH332" s="34"/>
      <c r="CI332" s="34"/>
      <c r="CJ332" s="34"/>
      <c r="CK332" s="37"/>
      <c r="CL332" s="37"/>
      <c r="CM332" s="34"/>
      <c r="CN332" s="34"/>
      <c r="CO332" s="39">
        <v>0.0</v>
      </c>
      <c r="CP332" s="32">
        <v>14.0</v>
      </c>
      <c r="CQ332" s="39">
        <v>0.0</v>
      </c>
      <c r="CR332" s="39">
        <v>0.0</v>
      </c>
      <c r="CS332" s="39">
        <v>0.0</v>
      </c>
      <c r="CT332" s="32">
        <v>12.0</v>
      </c>
      <c r="CU332" s="37"/>
      <c r="CV332" s="37"/>
      <c r="CW332" s="39">
        <v>0.0</v>
      </c>
      <c r="CX332" s="32">
        <v>12.0</v>
      </c>
      <c r="CY332" s="32" t="s">
        <v>9406</v>
      </c>
      <c r="CZ332" s="32">
        <v>18.0</v>
      </c>
      <c r="DA332" s="32" t="s">
        <v>3598</v>
      </c>
      <c r="DB332" s="39">
        <v>0.0</v>
      </c>
      <c r="DC332" s="32" t="s">
        <v>5403</v>
      </c>
      <c r="DD332" s="32">
        <v>14.0</v>
      </c>
      <c r="DE332" s="37"/>
      <c r="DF332" s="37"/>
      <c r="DG332" s="32" t="s">
        <v>5403</v>
      </c>
      <c r="DH332" s="32">
        <v>12.0</v>
      </c>
      <c r="DI332" s="37"/>
      <c r="DJ332" s="37"/>
      <c r="DK332" s="37"/>
      <c r="DL332" s="32">
        <v>8.0</v>
      </c>
      <c r="DM332" s="32">
        <v>0.0</v>
      </c>
      <c r="DN332" s="39">
        <v>0.0</v>
      </c>
      <c r="DO332" s="32" t="s">
        <v>5066</v>
      </c>
      <c r="DP332" s="38" t="s">
        <v>9407</v>
      </c>
      <c r="DQ332" s="37"/>
      <c r="DR332" s="37"/>
      <c r="DS332" s="37"/>
      <c r="DT332" s="37"/>
      <c r="DU332" s="37"/>
      <c r="DV332" s="37"/>
      <c r="DW332" s="34"/>
      <c r="DX332" s="37"/>
      <c r="DY332" s="34"/>
      <c r="DZ332" s="37"/>
      <c r="EA332" s="37"/>
      <c r="EB332" s="34"/>
      <c r="EC332" s="37"/>
      <c r="ED332" s="37"/>
      <c r="EE332" s="37"/>
      <c r="EF332" s="37"/>
      <c r="EG332" s="34"/>
      <c r="EH332" s="37"/>
      <c r="EI332" s="37"/>
      <c r="EJ332" s="37"/>
      <c r="EK332" s="34"/>
      <c r="EL332" s="37"/>
      <c r="EM332" s="37"/>
      <c r="EN332" s="37"/>
      <c r="EO332" s="37"/>
      <c r="EP332" s="40" t="s">
        <v>3559</v>
      </c>
    </row>
    <row r="333">
      <c r="A333" s="45"/>
      <c r="B333" s="42" t="s">
        <v>9408</v>
      </c>
      <c r="C333" s="43"/>
      <c r="D333" s="43"/>
      <c r="E333" s="42" t="s">
        <v>9409</v>
      </c>
      <c r="F333" s="43"/>
      <c r="G333" s="42" t="s">
        <v>9410</v>
      </c>
      <c r="H333" s="42" t="s">
        <v>3563</v>
      </c>
      <c r="I333" s="42" t="s">
        <v>3564</v>
      </c>
      <c r="J333" s="42" t="s">
        <v>7458</v>
      </c>
      <c r="K333" s="42" t="s">
        <v>9411</v>
      </c>
      <c r="L333" s="42" t="s">
        <v>9412</v>
      </c>
      <c r="M333" s="42" t="s">
        <v>9413</v>
      </c>
      <c r="N333" s="42" t="s">
        <v>5481</v>
      </c>
      <c r="O333" s="42" t="s">
        <v>9414</v>
      </c>
      <c r="P333" s="42"/>
      <c r="R333" s="42" t="s">
        <v>5222</v>
      </c>
      <c r="S333" s="42" t="s">
        <v>5222</v>
      </c>
      <c r="T333" s="42" t="s">
        <v>5147</v>
      </c>
      <c r="U333" s="43"/>
      <c r="V333" s="43"/>
      <c r="W333" s="45"/>
      <c r="X333" s="43"/>
      <c r="Y333" s="43"/>
      <c r="Z333" s="43"/>
      <c r="AA333" s="41">
        <v>2010.0</v>
      </c>
      <c r="AB333" s="43"/>
      <c r="AC333" s="43"/>
      <c r="AD333" s="43"/>
      <c r="AE333" s="45"/>
      <c r="AF333" s="45"/>
      <c r="AG333" s="45"/>
      <c r="AH333" s="45"/>
      <c r="AI333" s="45"/>
      <c r="AJ333" s="45"/>
      <c r="AK333" s="45"/>
      <c r="AL333" s="45"/>
      <c r="AM333" s="45"/>
      <c r="AN333" s="45"/>
      <c r="AO333" s="43"/>
      <c r="AP333" s="43"/>
      <c r="AQ333" s="43"/>
      <c r="AR333" s="43"/>
      <c r="AS333" s="43"/>
      <c r="AT333" s="42" t="s">
        <v>3581</v>
      </c>
      <c r="AU333" s="43"/>
      <c r="AV333" s="43"/>
      <c r="AW333" s="42" t="s">
        <v>75</v>
      </c>
      <c r="AX333" s="43"/>
      <c r="AY333" s="45"/>
      <c r="AZ333" s="42" t="s">
        <v>41</v>
      </c>
      <c r="BA333" s="45"/>
      <c r="BB333" s="45"/>
      <c r="BC333" s="43"/>
      <c r="BD333" s="42" t="s">
        <v>3584</v>
      </c>
      <c r="BE333" s="42" t="s">
        <v>3584</v>
      </c>
      <c r="BF333" s="42" t="s">
        <v>9415</v>
      </c>
      <c r="BG333" s="43"/>
      <c r="BH333" s="45"/>
      <c r="BI333" s="43"/>
      <c r="BJ333" s="42" t="s">
        <v>9416</v>
      </c>
      <c r="BK333" s="43"/>
      <c r="BL333" s="43"/>
      <c r="BM333" s="42" t="s">
        <v>9417</v>
      </c>
      <c r="BN333" s="43"/>
      <c r="BO333" s="43"/>
      <c r="BP333" s="43"/>
      <c r="BQ333" s="45"/>
      <c r="BR333" s="45"/>
      <c r="BS333" s="43"/>
      <c r="BT333" s="45"/>
      <c r="BU333" s="43"/>
      <c r="BV333" s="42" t="s">
        <v>3589</v>
      </c>
      <c r="BW333" s="43"/>
      <c r="BX333" s="43"/>
      <c r="BY333" s="42" t="s">
        <v>3590</v>
      </c>
      <c r="BZ333" s="43"/>
      <c r="CA333" s="42" t="s">
        <v>3591</v>
      </c>
      <c r="CB333" s="45"/>
      <c r="CC333" s="45"/>
      <c r="CD333" s="43"/>
      <c r="CE333" s="45"/>
      <c r="CF333" s="43"/>
      <c r="CG333" s="42" t="s">
        <v>5222</v>
      </c>
      <c r="CH333" s="43"/>
      <c r="CI333" s="43"/>
      <c r="CJ333" s="42" t="s">
        <v>5222</v>
      </c>
      <c r="CK333" s="45"/>
      <c r="CL333" s="45"/>
      <c r="CM333" s="43"/>
      <c r="CN333" s="42" t="s">
        <v>3591</v>
      </c>
      <c r="CO333" s="45"/>
      <c r="CP333" s="45"/>
      <c r="CQ333" s="45"/>
      <c r="CR333" s="45"/>
      <c r="CS333" s="45"/>
      <c r="CT333" s="45"/>
      <c r="CU333" s="45"/>
      <c r="CV333" s="45"/>
      <c r="CW333" s="45"/>
      <c r="CX333" s="45"/>
      <c r="CY333" s="45"/>
      <c r="CZ333" s="45"/>
      <c r="DA333" s="45"/>
      <c r="DB333" s="45"/>
      <c r="DC333" s="45"/>
      <c r="DD333" s="45"/>
      <c r="DE333" s="45"/>
      <c r="DF333" s="45"/>
      <c r="DG333" s="45"/>
      <c r="DH333" s="45"/>
      <c r="DI333" s="45"/>
      <c r="DJ333" s="45"/>
      <c r="DK333" s="45"/>
      <c r="DL333" s="45"/>
      <c r="DM333" s="45"/>
      <c r="DN333" s="45"/>
      <c r="DO333" s="41" t="s">
        <v>3600</v>
      </c>
      <c r="DP333" s="46" t="s">
        <v>5177</v>
      </c>
      <c r="DQ333" s="41">
        <v>4.0</v>
      </c>
      <c r="DR333" s="41">
        <v>2.0</v>
      </c>
      <c r="DS333" s="45"/>
      <c r="DT333" s="45"/>
      <c r="DU333" s="45"/>
      <c r="DV333" s="41">
        <v>4.0</v>
      </c>
      <c r="DW333" s="43"/>
      <c r="DX333" s="45"/>
      <c r="DY333" s="43"/>
      <c r="DZ333" s="45"/>
      <c r="EA333" s="45"/>
      <c r="EB333" s="43"/>
      <c r="EC333" s="45"/>
      <c r="ED333" s="45"/>
      <c r="EE333" s="45"/>
      <c r="EF333" s="45"/>
      <c r="EG333" s="43"/>
      <c r="EH333" s="45"/>
      <c r="EI333" s="45"/>
      <c r="EJ333" s="45"/>
      <c r="EK333" s="43"/>
      <c r="EL333" s="45"/>
      <c r="EM333" s="45"/>
      <c r="EN333" s="45"/>
      <c r="EO333" s="45"/>
      <c r="EP333" s="48" t="s">
        <v>3559</v>
      </c>
    </row>
    <row r="334">
      <c r="A334" s="37"/>
      <c r="B334" s="35" t="s">
        <v>9418</v>
      </c>
      <c r="C334" s="34"/>
      <c r="D334" s="34"/>
      <c r="E334" s="34"/>
      <c r="F334" s="34"/>
      <c r="G334" s="35" t="s">
        <v>9419</v>
      </c>
      <c r="H334" s="35" t="s">
        <v>4560</v>
      </c>
      <c r="I334" s="35" t="s">
        <v>4561</v>
      </c>
      <c r="J334" s="35" t="s">
        <v>66</v>
      </c>
      <c r="K334" s="35" t="s">
        <v>6997</v>
      </c>
      <c r="L334" s="34"/>
      <c r="M334" s="35" t="s">
        <v>9420</v>
      </c>
      <c r="N334" s="35" t="s">
        <v>4923</v>
      </c>
      <c r="O334" s="35" t="s">
        <v>9421</v>
      </c>
      <c r="P334" s="35"/>
      <c r="R334" s="35" t="s">
        <v>5222</v>
      </c>
      <c r="S334" s="35" t="s">
        <v>5222</v>
      </c>
      <c r="T334" s="35" t="s">
        <v>4926</v>
      </c>
      <c r="U334" s="36" t="s">
        <v>9422</v>
      </c>
      <c r="V334" s="34"/>
      <c r="W334" s="37"/>
      <c r="X334" s="34"/>
      <c r="Y334" s="34"/>
      <c r="Z334" s="34"/>
      <c r="AA334" s="32">
        <v>2017.0</v>
      </c>
      <c r="AB334" s="34"/>
      <c r="AC334" s="34"/>
      <c r="AD334" s="34"/>
      <c r="AE334" s="37"/>
      <c r="AF334" s="37"/>
      <c r="AG334" s="37"/>
      <c r="AH334" s="37"/>
      <c r="AI334" s="37"/>
      <c r="AJ334" s="37"/>
      <c r="AK334" s="37"/>
      <c r="AL334" s="37"/>
      <c r="AM334" s="37"/>
      <c r="AN334" s="37"/>
      <c r="AO334" s="34"/>
      <c r="AP334" s="34"/>
      <c r="AQ334" s="34"/>
      <c r="AR334" s="34"/>
      <c r="AS334" s="34"/>
      <c r="AT334" s="35" t="s">
        <v>3581</v>
      </c>
      <c r="AU334" s="35" t="s">
        <v>9423</v>
      </c>
      <c r="AV334" s="34"/>
      <c r="AW334" s="35" t="s">
        <v>75</v>
      </c>
      <c r="AX334" s="34"/>
      <c r="AY334" s="37"/>
      <c r="AZ334" s="35" t="s">
        <v>41</v>
      </c>
      <c r="BA334" s="37"/>
      <c r="BB334" s="37"/>
      <c r="BC334" s="34"/>
      <c r="BD334" s="35" t="s">
        <v>3584</v>
      </c>
      <c r="BE334" s="35" t="s">
        <v>3584</v>
      </c>
      <c r="BF334" s="35" t="s">
        <v>9424</v>
      </c>
      <c r="BG334" s="34"/>
      <c r="BH334" s="37"/>
      <c r="BI334" s="34"/>
      <c r="BJ334" s="34"/>
      <c r="BK334" s="34"/>
      <c r="BL334" s="34"/>
      <c r="BM334" s="34"/>
      <c r="BN334" s="34"/>
      <c r="BO334" s="34"/>
      <c r="BP334" s="34"/>
      <c r="BQ334" s="38" t="s">
        <v>9425</v>
      </c>
      <c r="BR334" s="37"/>
      <c r="BS334" s="34"/>
      <c r="BT334" s="37"/>
      <c r="BU334" s="34"/>
      <c r="BV334" s="35" t="s">
        <v>5222</v>
      </c>
      <c r="BW334" s="34"/>
      <c r="BX334" s="34"/>
      <c r="BY334" s="35" t="s">
        <v>5222</v>
      </c>
      <c r="BZ334" s="34"/>
      <c r="CA334" s="35" t="s">
        <v>3591</v>
      </c>
      <c r="CB334" s="38" t="s">
        <v>9425</v>
      </c>
      <c r="CC334" s="37"/>
      <c r="CD334" s="34"/>
      <c r="CE334" s="37"/>
      <c r="CF334" s="34"/>
      <c r="CG334" s="35" t="s">
        <v>5222</v>
      </c>
      <c r="CH334" s="34"/>
      <c r="CI334" s="34"/>
      <c r="CJ334" s="35" t="s">
        <v>5222</v>
      </c>
      <c r="CK334" s="37"/>
      <c r="CL334" s="37"/>
      <c r="CM334" s="34"/>
      <c r="CN334" s="35" t="s">
        <v>3591</v>
      </c>
      <c r="CO334" s="37"/>
      <c r="CP334" s="37"/>
      <c r="CQ334" s="37"/>
      <c r="CR334" s="37"/>
      <c r="CS334" s="37"/>
      <c r="CT334" s="37"/>
      <c r="CU334" s="37"/>
      <c r="CV334" s="37"/>
      <c r="CW334" s="37"/>
      <c r="CX334" s="37"/>
      <c r="CY334" s="37"/>
      <c r="CZ334" s="37"/>
      <c r="DA334" s="37"/>
      <c r="DB334" s="37"/>
      <c r="DC334" s="37"/>
      <c r="DD334" s="37"/>
      <c r="DE334" s="37"/>
      <c r="DF334" s="37"/>
      <c r="DG334" s="37"/>
      <c r="DH334" s="37"/>
      <c r="DI334" s="37"/>
      <c r="DJ334" s="37"/>
      <c r="DK334" s="37"/>
      <c r="DL334" s="37"/>
      <c r="DM334" s="37"/>
      <c r="DN334" s="37"/>
      <c r="DO334" s="32" t="s">
        <v>3600</v>
      </c>
      <c r="DP334" s="38" t="s">
        <v>6920</v>
      </c>
      <c r="DQ334" s="37"/>
      <c r="DR334" s="37"/>
      <c r="DS334" s="37"/>
      <c r="DT334" s="37"/>
      <c r="DU334" s="37"/>
      <c r="DV334" s="37"/>
      <c r="DW334" s="34"/>
      <c r="DX334" s="37"/>
      <c r="DY334" s="34"/>
      <c r="DZ334" s="37"/>
      <c r="EA334" s="37"/>
      <c r="EB334" s="34"/>
      <c r="EC334" s="37"/>
      <c r="ED334" s="37"/>
      <c r="EE334" s="37"/>
      <c r="EF334" s="37"/>
      <c r="EG334" s="34"/>
      <c r="EH334" s="37"/>
      <c r="EI334" s="37"/>
      <c r="EJ334" s="37"/>
      <c r="EK334" s="34"/>
      <c r="EL334" s="37"/>
      <c r="EM334" s="37"/>
      <c r="EN334" s="37"/>
      <c r="EO334" s="37"/>
      <c r="EP334" s="40" t="s">
        <v>3559</v>
      </c>
    </row>
    <row r="335">
      <c r="A335" s="45"/>
      <c r="B335" s="42" t="s">
        <v>9426</v>
      </c>
      <c r="C335" s="43"/>
      <c r="D335" s="43"/>
      <c r="E335" s="42" t="s">
        <v>9427</v>
      </c>
      <c r="F335" s="43"/>
      <c r="G335" s="42" t="s">
        <v>9428</v>
      </c>
      <c r="H335" s="42" t="s">
        <v>3867</v>
      </c>
      <c r="I335" s="42" t="s">
        <v>3897</v>
      </c>
      <c r="J335" s="42" t="s">
        <v>5092</v>
      </c>
      <c r="K335" s="42" t="s">
        <v>7046</v>
      </c>
      <c r="L335" s="43"/>
      <c r="M335" s="42" t="s">
        <v>9429</v>
      </c>
      <c r="N335" s="42" t="s">
        <v>5018</v>
      </c>
      <c r="O335" s="42" t="s">
        <v>9430</v>
      </c>
      <c r="P335" s="42"/>
      <c r="R335" s="42" t="s">
        <v>5222</v>
      </c>
      <c r="S335" s="42" t="s">
        <v>5222</v>
      </c>
      <c r="T335" s="42" t="s">
        <v>3573</v>
      </c>
      <c r="U335" s="44" t="s">
        <v>9431</v>
      </c>
      <c r="V335" s="43"/>
      <c r="W335" s="45"/>
      <c r="X335" s="43"/>
      <c r="Y335" s="43"/>
      <c r="Z335" s="43"/>
      <c r="AA335" s="41">
        <v>2010.0</v>
      </c>
      <c r="AB335" s="43"/>
      <c r="AC335" s="43"/>
      <c r="AD335" s="43"/>
      <c r="AE335" s="45"/>
      <c r="AF335" s="45"/>
      <c r="AG335" s="45"/>
      <c r="AH335" s="45"/>
      <c r="AI335" s="45"/>
      <c r="AJ335" s="45"/>
      <c r="AK335" s="45"/>
      <c r="AL335" s="45"/>
      <c r="AM335" s="45"/>
      <c r="AN335" s="45"/>
      <c r="AO335" s="43"/>
      <c r="AP335" s="43"/>
      <c r="AQ335" s="43"/>
      <c r="AR335" s="43"/>
      <c r="AS335" s="43"/>
      <c r="AT335" s="42" t="s">
        <v>6220</v>
      </c>
      <c r="AU335" s="42" t="s">
        <v>9432</v>
      </c>
      <c r="AV335" s="43"/>
      <c r="AW335" s="42" t="s">
        <v>6222</v>
      </c>
      <c r="AX335" s="43"/>
      <c r="AY335" s="41">
        <v>45236.0</v>
      </c>
      <c r="AZ335" s="42" t="s">
        <v>41</v>
      </c>
      <c r="BA335" s="45" t="str">
        <f>+972 (0)3 975 4455</f>
        <v>#ERROR!</v>
      </c>
      <c r="BB335" s="45"/>
      <c r="BC335" s="43"/>
      <c r="BD335" s="42" t="s">
        <v>3584</v>
      </c>
      <c r="BE335" s="42" t="s">
        <v>3584</v>
      </c>
      <c r="BF335" s="42" t="s">
        <v>9433</v>
      </c>
      <c r="BG335" s="43"/>
      <c r="BH335" s="45"/>
      <c r="BI335" s="43"/>
      <c r="BJ335" s="42" t="s">
        <v>9434</v>
      </c>
      <c r="BK335" s="43"/>
      <c r="BL335" s="43"/>
      <c r="BM335" s="42" t="s">
        <v>9435</v>
      </c>
      <c r="BN335" s="43"/>
      <c r="BO335" s="43"/>
      <c r="BP335" s="43"/>
      <c r="BQ335" s="45"/>
      <c r="BR335" s="45"/>
      <c r="BS335" s="43"/>
      <c r="BT335" s="45"/>
      <c r="BU335" s="43"/>
      <c r="BV335" s="42" t="s">
        <v>3594</v>
      </c>
      <c r="BW335" s="43"/>
      <c r="BX335" s="43"/>
      <c r="BY335" s="42" t="s">
        <v>3573</v>
      </c>
      <c r="BZ335" s="43"/>
      <c r="CA335" s="42" t="s">
        <v>3591</v>
      </c>
      <c r="CB335" s="46" t="s">
        <v>9436</v>
      </c>
      <c r="CC335" s="45"/>
      <c r="CD335" s="43"/>
      <c r="CE335" s="45"/>
      <c r="CF335" s="43"/>
      <c r="CG335" s="42" t="s">
        <v>5222</v>
      </c>
      <c r="CH335" s="43"/>
      <c r="CI335" s="43"/>
      <c r="CJ335" s="42" t="s">
        <v>5222</v>
      </c>
      <c r="CK335" s="45"/>
      <c r="CL335" s="45"/>
      <c r="CM335" s="43"/>
      <c r="CN335" s="42" t="s">
        <v>3591</v>
      </c>
      <c r="CO335" s="45"/>
      <c r="CP335" s="45"/>
      <c r="CQ335" s="45"/>
      <c r="CR335" s="45"/>
      <c r="CS335" s="45"/>
      <c r="CT335" s="45"/>
      <c r="CU335" s="45"/>
      <c r="CV335" s="45"/>
      <c r="CW335" s="45"/>
      <c r="CX335" s="45"/>
      <c r="CY335" s="45"/>
      <c r="CZ335" s="45"/>
      <c r="DA335" s="45"/>
      <c r="DB335" s="45"/>
      <c r="DC335" s="45"/>
      <c r="DD335" s="45"/>
      <c r="DE335" s="45"/>
      <c r="DF335" s="45"/>
      <c r="DG335" s="45"/>
      <c r="DH335" s="45"/>
      <c r="DI335" s="45"/>
      <c r="DJ335" s="45"/>
      <c r="DK335" s="45"/>
      <c r="DL335" s="45"/>
      <c r="DM335" s="45"/>
      <c r="DN335" s="45"/>
      <c r="DO335" s="41" t="s">
        <v>3600</v>
      </c>
      <c r="DP335" s="46" t="s">
        <v>9437</v>
      </c>
      <c r="DQ335" s="45"/>
      <c r="DR335" s="45"/>
      <c r="DS335" s="45"/>
      <c r="DT335" s="45"/>
      <c r="DU335" s="45"/>
      <c r="DV335" s="45"/>
      <c r="DW335" s="43"/>
      <c r="DX335" s="45"/>
      <c r="DY335" s="43"/>
      <c r="DZ335" s="45"/>
      <c r="EA335" s="45"/>
      <c r="EB335" s="43"/>
      <c r="EC335" s="45"/>
      <c r="ED335" s="45"/>
      <c r="EE335" s="45"/>
      <c r="EF335" s="45"/>
      <c r="EG335" s="43"/>
      <c r="EH335" s="45"/>
      <c r="EI335" s="45"/>
      <c r="EJ335" s="45"/>
      <c r="EK335" s="43"/>
      <c r="EL335" s="45"/>
      <c r="EM335" s="45"/>
      <c r="EN335" s="45"/>
      <c r="EO335" s="45"/>
      <c r="EP335" s="48" t="s">
        <v>3559</v>
      </c>
    </row>
    <row r="336">
      <c r="A336" s="37"/>
      <c r="B336" s="35" t="s">
        <v>9438</v>
      </c>
      <c r="C336" s="34"/>
      <c r="D336" s="34"/>
      <c r="E336" s="35" t="s">
        <v>9439</v>
      </c>
      <c r="F336" s="34"/>
      <c r="G336" s="35" t="s">
        <v>9440</v>
      </c>
      <c r="H336" s="35" t="s">
        <v>3563</v>
      </c>
      <c r="I336" s="35" t="s">
        <v>3564</v>
      </c>
      <c r="J336" s="35" t="s">
        <v>7458</v>
      </c>
      <c r="K336" s="35" t="s">
        <v>9441</v>
      </c>
      <c r="L336" s="35" t="s">
        <v>9442</v>
      </c>
      <c r="M336" s="35" t="s">
        <v>9443</v>
      </c>
      <c r="N336" s="35" t="s">
        <v>4962</v>
      </c>
      <c r="O336" s="35" t="s">
        <v>9444</v>
      </c>
      <c r="P336" s="35"/>
      <c r="R336" s="35" t="s">
        <v>3571</v>
      </c>
      <c r="S336" s="35" t="s">
        <v>4964</v>
      </c>
      <c r="T336" s="35" t="s">
        <v>3603</v>
      </c>
      <c r="U336" s="36" t="s">
        <v>9445</v>
      </c>
      <c r="V336" s="36" t="s">
        <v>9446</v>
      </c>
      <c r="W336" s="32">
        <v>30.0</v>
      </c>
      <c r="X336" s="35" t="s">
        <v>9447</v>
      </c>
      <c r="Y336" s="34"/>
      <c r="Z336" s="34"/>
      <c r="AA336" s="32">
        <v>2021.0</v>
      </c>
      <c r="AB336" s="35" t="s">
        <v>9448</v>
      </c>
      <c r="AC336" s="34"/>
      <c r="AD336" s="34"/>
      <c r="AE336" s="37"/>
      <c r="AF336" s="37"/>
      <c r="AG336" s="37"/>
      <c r="AH336" s="37"/>
      <c r="AI336" s="37"/>
      <c r="AJ336" s="37"/>
      <c r="AK336" s="37"/>
      <c r="AL336" s="37"/>
      <c r="AM336" s="37"/>
      <c r="AN336" s="37"/>
      <c r="AO336" s="35" t="s">
        <v>9449</v>
      </c>
      <c r="AP336" s="35" t="s">
        <v>9450</v>
      </c>
      <c r="AQ336" s="35" t="s">
        <v>3579</v>
      </c>
      <c r="AR336" s="35" t="s">
        <v>9451</v>
      </c>
      <c r="AS336" s="34" t="str">
        <f>+972 (0)54 776 9449</f>
        <v>#ERROR!</v>
      </c>
      <c r="AT336" s="35" t="s">
        <v>9452</v>
      </c>
      <c r="AU336" s="35" t="s">
        <v>9453</v>
      </c>
      <c r="AV336" s="34"/>
      <c r="AW336" s="35" t="s">
        <v>9454</v>
      </c>
      <c r="AX336" s="34"/>
      <c r="AY336" s="32">
        <v>40696.0</v>
      </c>
      <c r="AZ336" s="35" t="s">
        <v>41</v>
      </c>
      <c r="BA336" s="37" t="str">
        <f>+972 (0)54 776 9449</f>
        <v>#ERROR!</v>
      </c>
      <c r="BB336" s="37"/>
      <c r="BC336" s="35" t="s">
        <v>9455</v>
      </c>
      <c r="BD336" s="35" t="s">
        <v>3584</v>
      </c>
      <c r="BE336" s="35" t="s">
        <v>3584</v>
      </c>
      <c r="BF336" s="35" t="s">
        <v>9456</v>
      </c>
      <c r="BG336" s="34"/>
      <c r="BH336" s="37"/>
      <c r="BI336" s="35" t="s">
        <v>9448</v>
      </c>
      <c r="BJ336" s="34"/>
      <c r="BK336" s="34"/>
      <c r="BL336" s="34"/>
      <c r="BM336" s="34"/>
      <c r="BN336" s="34"/>
      <c r="BO336" s="34"/>
      <c r="BP336" s="35" t="s">
        <v>9457</v>
      </c>
      <c r="BQ336" s="38" t="s">
        <v>6426</v>
      </c>
      <c r="BR336" s="32">
        <v>13.33</v>
      </c>
      <c r="BS336" s="35" t="s">
        <v>3697</v>
      </c>
      <c r="BT336" s="32">
        <v>13.33</v>
      </c>
      <c r="BU336" s="35" t="s">
        <v>3697</v>
      </c>
      <c r="BV336" s="35" t="s">
        <v>4977</v>
      </c>
      <c r="BW336" s="34"/>
      <c r="BX336" s="34"/>
      <c r="BY336" s="35" t="s">
        <v>3663</v>
      </c>
      <c r="BZ336" s="34"/>
      <c r="CA336" s="35" t="s">
        <v>3591</v>
      </c>
      <c r="CB336" s="38" t="s">
        <v>6426</v>
      </c>
      <c r="CC336" s="32">
        <v>13.33</v>
      </c>
      <c r="CD336" s="35" t="s">
        <v>3697</v>
      </c>
      <c r="CE336" s="32">
        <v>13.33</v>
      </c>
      <c r="CF336" s="35" t="s">
        <v>3697</v>
      </c>
      <c r="CG336" s="35" t="s">
        <v>4977</v>
      </c>
      <c r="CH336" s="34"/>
      <c r="CI336" s="34"/>
      <c r="CJ336" s="35" t="s">
        <v>3663</v>
      </c>
      <c r="CK336" s="37"/>
      <c r="CL336" s="37"/>
      <c r="CM336" s="34"/>
      <c r="CN336" s="35" t="s">
        <v>3591</v>
      </c>
      <c r="CO336" s="39">
        <v>0.0</v>
      </c>
      <c r="CP336" s="32">
        <v>14.0</v>
      </c>
      <c r="CQ336" s="39">
        <v>0.0</v>
      </c>
      <c r="CR336" s="39">
        <v>0.0</v>
      </c>
      <c r="CS336" s="39">
        <v>0.0</v>
      </c>
      <c r="CT336" s="32">
        <v>12.0</v>
      </c>
      <c r="CU336" s="39">
        <v>0.0</v>
      </c>
      <c r="CV336" s="32">
        <v>10.0</v>
      </c>
      <c r="CW336" s="37"/>
      <c r="CX336" s="37"/>
      <c r="CY336" s="32" t="s">
        <v>9458</v>
      </c>
      <c r="CZ336" s="32">
        <v>72.0</v>
      </c>
      <c r="DA336" s="32" t="s">
        <v>3598</v>
      </c>
      <c r="DB336" s="39">
        <v>0.0</v>
      </c>
      <c r="DC336" s="32" t="s">
        <v>9458</v>
      </c>
      <c r="DD336" s="32">
        <v>73.0</v>
      </c>
      <c r="DE336" s="32" t="s">
        <v>9458</v>
      </c>
      <c r="DF336" s="32">
        <v>73.0</v>
      </c>
      <c r="DG336" s="37"/>
      <c r="DH336" s="37"/>
      <c r="DI336" s="32">
        <v>349.0</v>
      </c>
      <c r="DJ336" s="32">
        <v>-35.0</v>
      </c>
      <c r="DK336" s="39">
        <v>-0.0911</v>
      </c>
      <c r="DL336" s="37"/>
      <c r="DM336" s="37"/>
      <c r="DN336" s="37"/>
      <c r="DO336" s="32" t="s">
        <v>3600</v>
      </c>
      <c r="DP336" s="38" t="s">
        <v>9459</v>
      </c>
      <c r="DQ336" s="37"/>
      <c r="DR336" s="37"/>
      <c r="DS336" s="37"/>
      <c r="DT336" s="37"/>
      <c r="DU336" s="37"/>
      <c r="DV336" s="37"/>
      <c r="DW336" s="34"/>
      <c r="DX336" s="37"/>
      <c r="DY336" s="34"/>
      <c r="DZ336" s="37"/>
      <c r="EA336" s="37"/>
      <c r="EB336" s="34"/>
      <c r="EC336" s="37"/>
      <c r="ED336" s="37"/>
      <c r="EE336" s="32">
        <v>13.33</v>
      </c>
      <c r="EF336" s="38" t="s">
        <v>6426</v>
      </c>
      <c r="EG336" s="35" t="s">
        <v>4977</v>
      </c>
      <c r="EH336" s="37"/>
      <c r="EI336" s="37"/>
      <c r="EJ336" s="37"/>
      <c r="EK336" s="35" t="s">
        <v>4248</v>
      </c>
      <c r="EL336" s="37"/>
      <c r="EM336" s="37"/>
      <c r="EN336" s="37"/>
      <c r="EO336" s="37"/>
      <c r="EP336" s="40" t="s">
        <v>3559</v>
      </c>
    </row>
    <row r="337">
      <c r="A337" s="41">
        <v>0.43</v>
      </c>
      <c r="B337" s="42" t="s">
        <v>2438</v>
      </c>
      <c r="C337" s="43"/>
      <c r="D337" s="43"/>
      <c r="E337" s="42" t="s">
        <v>9460</v>
      </c>
      <c r="F337" s="43"/>
      <c r="G337" s="42" t="s">
        <v>9461</v>
      </c>
      <c r="H337" s="42" t="s">
        <v>4560</v>
      </c>
      <c r="I337" s="42" t="s">
        <v>4561</v>
      </c>
      <c r="J337" s="42" t="s">
        <v>66</v>
      </c>
      <c r="K337" s="42" t="s">
        <v>9462</v>
      </c>
      <c r="L337" s="42" t="s">
        <v>9463</v>
      </c>
      <c r="M337" s="42" t="s">
        <v>9464</v>
      </c>
      <c r="N337" s="42" t="s">
        <v>3569</v>
      </c>
      <c r="O337" s="42" t="s">
        <v>9465</v>
      </c>
      <c r="P337" s="42"/>
      <c r="R337" s="42" t="s">
        <v>6041</v>
      </c>
      <c r="S337" s="42" t="s">
        <v>3572</v>
      </c>
      <c r="T337" s="42" t="s">
        <v>3573</v>
      </c>
      <c r="U337" s="44" t="s">
        <v>9466</v>
      </c>
      <c r="V337" s="44" t="s">
        <v>9467</v>
      </c>
      <c r="W337" s="41">
        <v>5.0</v>
      </c>
      <c r="X337" s="42" t="s">
        <v>9468</v>
      </c>
      <c r="Y337" s="43"/>
      <c r="Z337" s="43"/>
      <c r="AA337" s="41">
        <v>2024.0</v>
      </c>
      <c r="AB337" s="43"/>
      <c r="AC337" s="43"/>
      <c r="AD337" s="43"/>
      <c r="AE337" s="45"/>
      <c r="AF337" s="45"/>
      <c r="AG337" s="45"/>
      <c r="AH337" s="45"/>
      <c r="AI337" s="45"/>
      <c r="AJ337" s="45"/>
      <c r="AK337" s="45"/>
      <c r="AL337" s="45"/>
      <c r="AM337" s="45"/>
      <c r="AN337" s="45"/>
      <c r="AO337" s="42" t="s">
        <v>9469</v>
      </c>
      <c r="AP337" s="42" t="s">
        <v>9470</v>
      </c>
      <c r="AQ337" s="42" t="s">
        <v>6137</v>
      </c>
      <c r="AR337" s="42" t="s">
        <v>9471</v>
      </c>
      <c r="AS337" s="43" t="str">
        <f>+972 (0)54 568 8888</f>
        <v>#ERROR!</v>
      </c>
      <c r="AT337" s="42" t="s">
        <v>5344</v>
      </c>
      <c r="AU337" s="42" t="s">
        <v>9472</v>
      </c>
      <c r="AV337" s="43"/>
      <c r="AW337" s="42" t="s">
        <v>2444</v>
      </c>
      <c r="AX337" s="42" t="s">
        <v>41</v>
      </c>
      <c r="AY337" s="41">
        <v>5126112.0</v>
      </c>
      <c r="AZ337" s="42" t="s">
        <v>41</v>
      </c>
      <c r="BA337" s="45" t="str">
        <f>+972 (0)54 818 5100</f>
        <v>#ERROR!</v>
      </c>
      <c r="BB337" s="45"/>
      <c r="BC337" s="42" t="s">
        <v>2441</v>
      </c>
      <c r="BD337" s="42" t="s">
        <v>3584</v>
      </c>
      <c r="BE337" s="42" t="s">
        <v>3584</v>
      </c>
      <c r="BF337" s="42" t="s">
        <v>9473</v>
      </c>
      <c r="BG337" s="42" t="s">
        <v>9474</v>
      </c>
      <c r="BH337" s="41">
        <v>9.0</v>
      </c>
      <c r="BI337" s="43"/>
      <c r="BJ337" s="43"/>
      <c r="BK337" s="43"/>
      <c r="BL337" s="42" t="s">
        <v>9475</v>
      </c>
      <c r="BM337" s="43"/>
      <c r="BN337" s="43"/>
      <c r="BO337" s="43"/>
      <c r="BP337" s="42" t="s">
        <v>9476</v>
      </c>
      <c r="BQ337" s="45"/>
      <c r="BR337" s="45"/>
      <c r="BS337" s="43"/>
      <c r="BT337" s="45"/>
      <c r="BU337" s="43"/>
      <c r="BV337" s="42" t="s">
        <v>3589</v>
      </c>
      <c r="BW337" s="43"/>
      <c r="BX337" s="43"/>
      <c r="BY337" s="42" t="s">
        <v>3590</v>
      </c>
      <c r="BZ337" s="43"/>
      <c r="CA337" s="42" t="s">
        <v>3591</v>
      </c>
      <c r="CB337" s="46" t="s">
        <v>9477</v>
      </c>
      <c r="CC337" s="45"/>
      <c r="CD337" s="43"/>
      <c r="CE337" s="45"/>
      <c r="CF337" s="43"/>
      <c r="CG337" s="42" t="s">
        <v>3669</v>
      </c>
      <c r="CH337" s="42" t="s">
        <v>7593</v>
      </c>
      <c r="CI337" s="43"/>
      <c r="CJ337" s="42" t="s">
        <v>3573</v>
      </c>
      <c r="CK337" s="45"/>
      <c r="CL337" s="45"/>
      <c r="CM337" s="43"/>
      <c r="CN337" s="42" t="s">
        <v>3591</v>
      </c>
      <c r="CO337" s="47">
        <v>0.0</v>
      </c>
      <c r="CP337" s="41">
        <v>14.0</v>
      </c>
      <c r="CQ337" s="47">
        <v>0.0</v>
      </c>
      <c r="CR337" s="47">
        <v>0.0</v>
      </c>
      <c r="CS337" s="45"/>
      <c r="CT337" s="45"/>
      <c r="CU337" s="45"/>
      <c r="CV337" s="45"/>
      <c r="CW337" s="45"/>
      <c r="CX337" s="45"/>
      <c r="CY337" s="41" t="s">
        <v>9478</v>
      </c>
      <c r="CZ337" s="41">
        <v>32.0</v>
      </c>
      <c r="DA337" s="41" t="s">
        <v>3598</v>
      </c>
      <c r="DB337" s="47">
        <v>0.0</v>
      </c>
      <c r="DC337" s="45"/>
      <c r="DD337" s="45"/>
      <c r="DE337" s="45"/>
      <c r="DF337" s="45"/>
      <c r="DG337" s="45"/>
      <c r="DH337" s="45"/>
      <c r="DI337" s="45"/>
      <c r="DJ337" s="45"/>
      <c r="DK337" s="45"/>
      <c r="DL337" s="45"/>
      <c r="DM337" s="45"/>
      <c r="DN337" s="45"/>
      <c r="DO337" s="41" t="s">
        <v>3600</v>
      </c>
      <c r="DP337" s="46" t="s">
        <v>6466</v>
      </c>
      <c r="DQ337" s="41">
        <v>1.0</v>
      </c>
      <c r="DR337" s="41">
        <v>1.0</v>
      </c>
      <c r="DS337" s="45"/>
      <c r="DT337" s="41">
        <v>1.0</v>
      </c>
      <c r="DU337" s="45"/>
      <c r="DV337" s="45"/>
      <c r="DW337" s="42" t="s">
        <v>9479</v>
      </c>
      <c r="DX337" s="45"/>
      <c r="DY337" s="43"/>
      <c r="DZ337" s="45"/>
      <c r="EA337" s="45"/>
      <c r="EB337" s="43"/>
      <c r="EC337" s="45"/>
      <c r="ED337" s="45"/>
      <c r="EE337" s="45"/>
      <c r="EF337" s="45"/>
      <c r="EG337" s="43"/>
      <c r="EH337" s="45"/>
      <c r="EI337" s="45"/>
      <c r="EJ337" s="45"/>
      <c r="EK337" s="43"/>
      <c r="EL337" s="45"/>
      <c r="EM337" s="45"/>
      <c r="EN337" s="45"/>
      <c r="EO337" s="45"/>
      <c r="EP337" s="48" t="s">
        <v>3559</v>
      </c>
    </row>
    <row r="338">
      <c r="A338" s="37"/>
      <c r="B338" s="35" t="s">
        <v>9480</v>
      </c>
      <c r="C338" s="34"/>
      <c r="D338" s="34"/>
      <c r="E338" s="34"/>
      <c r="F338" s="34"/>
      <c r="G338" s="35" t="s">
        <v>9481</v>
      </c>
      <c r="H338" s="35" t="s">
        <v>4560</v>
      </c>
      <c r="I338" s="35" t="s">
        <v>4561</v>
      </c>
      <c r="J338" s="35" t="s">
        <v>66</v>
      </c>
      <c r="K338" s="35" t="s">
        <v>5565</v>
      </c>
      <c r="L338" s="34"/>
      <c r="M338" s="35" t="s">
        <v>9482</v>
      </c>
      <c r="N338" s="35" t="s">
        <v>4962</v>
      </c>
      <c r="O338" s="35" t="s">
        <v>9483</v>
      </c>
      <c r="P338" s="35"/>
      <c r="R338" s="35" t="s">
        <v>3571</v>
      </c>
      <c r="S338" s="35" t="s">
        <v>5020</v>
      </c>
      <c r="T338" s="35" t="s">
        <v>3603</v>
      </c>
      <c r="U338" s="34"/>
      <c r="V338" s="34"/>
      <c r="W338" s="37"/>
      <c r="X338" s="34"/>
      <c r="Y338" s="34"/>
      <c r="Z338" s="34"/>
      <c r="AA338" s="37"/>
      <c r="AB338" s="34"/>
      <c r="AC338" s="34"/>
      <c r="AD338" s="34"/>
      <c r="AE338" s="37"/>
      <c r="AF338" s="37"/>
      <c r="AG338" s="37"/>
      <c r="AH338" s="37"/>
      <c r="AI338" s="37"/>
      <c r="AJ338" s="37"/>
      <c r="AK338" s="37"/>
      <c r="AL338" s="37"/>
      <c r="AM338" s="37"/>
      <c r="AN338" s="37"/>
      <c r="AO338" s="34"/>
      <c r="AP338" s="34"/>
      <c r="AQ338" s="34"/>
      <c r="AR338" s="34"/>
      <c r="AS338" s="34"/>
      <c r="AT338" s="35" t="s">
        <v>3581</v>
      </c>
      <c r="AU338" s="34"/>
      <c r="AV338" s="34"/>
      <c r="AW338" s="35" t="s">
        <v>75</v>
      </c>
      <c r="AX338" s="34"/>
      <c r="AY338" s="37"/>
      <c r="AZ338" s="35" t="s">
        <v>41</v>
      </c>
      <c r="BA338" s="37"/>
      <c r="BB338" s="37"/>
      <c r="BC338" s="34"/>
      <c r="BD338" s="35" t="s">
        <v>3584</v>
      </c>
      <c r="BE338" s="35" t="s">
        <v>3584</v>
      </c>
      <c r="BF338" s="35" t="s">
        <v>9484</v>
      </c>
      <c r="BG338" s="34"/>
      <c r="BH338" s="37"/>
      <c r="BI338" s="35" t="s">
        <v>9485</v>
      </c>
      <c r="BJ338" s="35" t="s">
        <v>9486</v>
      </c>
      <c r="BK338" s="34"/>
      <c r="BL338" s="34"/>
      <c r="BM338" s="35" t="s">
        <v>9487</v>
      </c>
      <c r="BN338" s="34"/>
      <c r="BO338" s="34"/>
      <c r="BP338" s="34"/>
      <c r="BQ338" s="38" t="s">
        <v>9488</v>
      </c>
      <c r="BR338" s="37"/>
      <c r="BS338" s="34"/>
      <c r="BT338" s="37"/>
      <c r="BU338" s="34"/>
      <c r="BV338" s="35" t="s">
        <v>4977</v>
      </c>
      <c r="BW338" s="35" t="s">
        <v>5708</v>
      </c>
      <c r="BX338" s="34"/>
      <c r="BY338" s="35" t="s">
        <v>3663</v>
      </c>
      <c r="BZ338" s="34"/>
      <c r="CA338" s="35" t="s">
        <v>3591</v>
      </c>
      <c r="CB338" s="38" t="s">
        <v>9488</v>
      </c>
      <c r="CC338" s="37"/>
      <c r="CD338" s="34"/>
      <c r="CE338" s="37"/>
      <c r="CF338" s="34"/>
      <c r="CG338" s="35" t="s">
        <v>4977</v>
      </c>
      <c r="CH338" s="35" t="s">
        <v>5708</v>
      </c>
      <c r="CI338" s="34"/>
      <c r="CJ338" s="35" t="s">
        <v>3663</v>
      </c>
      <c r="CK338" s="37"/>
      <c r="CL338" s="37"/>
      <c r="CM338" s="34"/>
      <c r="CN338" s="35" t="s">
        <v>3591</v>
      </c>
      <c r="CO338" s="37"/>
      <c r="CP338" s="37"/>
      <c r="CQ338" s="37"/>
      <c r="CR338" s="37"/>
      <c r="CS338" s="37"/>
      <c r="CT338" s="37"/>
      <c r="CU338" s="37"/>
      <c r="CV338" s="37"/>
      <c r="CW338" s="37"/>
      <c r="CX338" s="37"/>
      <c r="CY338" s="37"/>
      <c r="CZ338" s="37"/>
      <c r="DA338" s="37"/>
      <c r="DB338" s="37"/>
      <c r="DC338" s="37"/>
      <c r="DD338" s="37"/>
      <c r="DE338" s="37"/>
      <c r="DF338" s="37"/>
      <c r="DG338" s="37"/>
      <c r="DH338" s="37"/>
      <c r="DI338" s="37"/>
      <c r="DJ338" s="37"/>
      <c r="DK338" s="37"/>
      <c r="DL338" s="37"/>
      <c r="DM338" s="37"/>
      <c r="DN338" s="37"/>
      <c r="DO338" s="32" t="s">
        <v>3600</v>
      </c>
      <c r="DP338" s="38" t="s">
        <v>9489</v>
      </c>
      <c r="DQ338" s="37"/>
      <c r="DR338" s="37"/>
      <c r="DS338" s="37"/>
      <c r="DT338" s="37"/>
      <c r="DU338" s="37"/>
      <c r="DV338" s="37"/>
      <c r="DW338" s="34"/>
      <c r="DX338" s="37"/>
      <c r="DY338" s="34"/>
      <c r="DZ338" s="37"/>
      <c r="EA338" s="37"/>
      <c r="EB338" s="34"/>
      <c r="EC338" s="37"/>
      <c r="ED338" s="37"/>
      <c r="EE338" s="37"/>
      <c r="EF338" s="37"/>
      <c r="EG338" s="34"/>
      <c r="EH338" s="37"/>
      <c r="EI338" s="37"/>
      <c r="EJ338" s="37"/>
      <c r="EK338" s="34"/>
      <c r="EL338" s="37"/>
      <c r="EM338" s="37"/>
      <c r="EN338" s="37"/>
      <c r="EO338" s="37"/>
      <c r="EP338" s="40" t="s">
        <v>3559</v>
      </c>
    </row>
    <row r="339">
      <c r="A339" s="41">
        <v>0.14</v>
      </c>
      <c r="B339" s="42" t="s">
        <v>9490</v>
      </c>
      <c r="C339" s="43"/>
      <c r="D339" s="43"/>
      <c r="E339" s="42" t="s">
        <v>9491</v>
      </c>
      <c r="F339" s="43"/>
      <c r="G339" s="42" t="s">
        <v>9492</v>
      </c>
      <c r="H339" s="42" t="s">
        <v>3563</v>
      </c>
      <c r="I339" s="42" t="s">
        <v>3564</v>
      </c>
      <c r="J339" s="42" t="s">
        <v>7458</v>
      </c>
      <c r="K339" s="42" t="s">
        <v>9493</v>
      </c>
      <c r="L339" s="42" t="s">
        <v>5513</v>
      </c>
      <c r="M339" s="42" t="s">
        <v>9494</v>
      </c>
      <c r="N339" s="42" t="s">
        <v>5018</v>
      </c>
      <c r="O339" s="42" t="s">
        <v>9495</v>
      </c>
      <c r="P339" s="42"/>
      <c r="R339" s="42" t="s">
        <v>5222</v>
      </c>
      <c r="S339" s="42" t="s">
        <v>5222</v>
      </c>
      <c r="T339" s="42" t="s">
        <v>3573</v>
      </c>
      <c r="U339" s="44" t="s">
        <v>9496</v>
      </c>
      <c r="V339" s="43"/>
      <c r="W339" s="45"/>
      <c r="X339" s="43"/>
      <c r="Y339" s="43"/>
      <c r="Z339" s="43"/>
      <c r="AA339" s="41">
        <v>2013.0</v>
      </c>
      <c r="AB339" s="43"/>
      <c r="AC339" s="43"/>
      <c r="AD339" s="43"/>
      <c r="AE339" s="45"/>
      <c r="AF339" s="45"/>
      <c r="AG339" s="45"/>
      <c r="AH339" s="45"/>
      <c r="AI339" s="45"/>
      <c r="AJ339" s="45"/>
      <c r="AK339" s="45"/>
      <c r="AL339" s="45"/>
      <c r="AM339" s="45"/>
      <c r="AN339" s="45"/>
      <c r="AO339" s="43"/>
      <c r="AP339" s="43"/>
      <c r="AQ339" s="43"/>
      <c r="AR339" s="43"/>
      <c r="AS339" s="43"/>
      <c r="AT339" s="42" t="s">
        <v>3851</v>
      </c>
      <c r="AU339" s="42" t="s">
        <v>9497</v>
      </c>
      <c r="AV339" s="43"/>
      <c r="AW339" s="42" t="s">
        <v>616</v>
      </c>
      <c r="AX339" s="43"/>
      <c r="AY339" s="41">
        <v>69719.0</v>
      </c>
      <c r="AZ339" s="42" t="s">
        <v>41</v>
      </c>
      <c r="BA339" s="45"/>
      <c r="BB339" s="45"/>
      <c r="BC339" s="43"/>
      <c r="BD339" s="42" t="s">
        <v>3584</v>
      </c>
      <c r="BE339" s="42" t="s">
        <v>3584</v>
      </c>
      <c r="BF339" s="42" t="s">
        <v>9498</v>
      </c>
      <c r="BG339" s="43"/>
      <c r="BH339" s="45"/>
      <c r="BI339" s="43"/>
      <c r="BJ339" s="42" t="s">
        <v>9499</v>
      </c>
      <c r="BK339" s="43"/>
      <c r="BL339" s="43"/>
      <c r="BM339" s="42" t="s">
        <v>9500</v>
      </c>
      <c r="BN339" s="43"/>
      <c r="BO339" s="42" t="s">
        <v>9501</v>
      </c>
      <c r="BP339" s="43"/>
      <c r="BQ339" s="45"/>
      <c r="BR339" s="41">
        <v>0.1</v>
      </c>
      <c r="BS339" s="42" t="s">
        <v>3593</v>
      </c>
      <c r="BT339" s="45"/>
      <c r="BU339" s="43"/>
      <c r="BV339" s="42" t="s">
        <v>4102</v>
      </c>
      <c r="BW339" s="43"/>
      <c r="BX339" s="43"/>
      <c r="BY339" s="42" t="s">
        <v>3590</v>
      </c>
      <c r="BZ339" s="43"/>
      <c r="CA339" s="42" t="s">
        <v>3591</v>
      </c>
      <c r="CB339" s="46" t="s">
        <v>5907</v>
      </c>
      <c r="CC339" s="45"/>
      <c r="CD339" s="43"/>
      <c r="CE339" s="45"/>
      <c r="CF339" s="43"/>
      <c r="CG339" s="42" t="s">
        <v>5222</v>
      </c>
      <c r="CH339" s="43"/>
      <c r="CI339" s="43"/>
      <c r="CJ339" s="42" t="s">
        <v>5222</v>
      </c>
      <c r="CK339" s="45"/>
      <c r="CL339" s="45"/>
      <c r="CM339" s="43"/>
      <c r="CN339" s="42" t="s">
        <v>3591</v>
      </c>
      <c r="CO339" s="45"/>
      <c r="CP339" s="45"/>
      <c r="CQ339" s="45"/>
      <c r="CR339" s="45"/>
      <c r="CS339" s="45"/>
      <c r="CT339" s="45"/>
      <c r="CU339" s="45"/>
      <c r="CV339" s="45"/>
      <c r="CW339" s="45"/>
      <c r="CX339" s="45"/>
      <c r="CY339" s="45"/>
      <c r="CZ339" s="45"/>
      <c r="DA339" s="45"/>
      <c r="DB339" s="45"/>
      <c r="DC339" s="45"/>
      <c r="DD339" s="45"/>
      <c r="DE339" s="45"/>
      <c r="DF339" s="45"/>
      <c r="DG339" s="45"/>
      <c r="DH339" s="45"/>
      <c r="DI339" s="45"/>
      <c r="DJ339" s="45"/>
      <c r="DK339" s="45"/>
      <c r="DL339" s="45"/>
      <c r="DM339" s="45"/>
      <c r="DN339" s="45"/>
      <c r="DO339" s="41" t="s">
        <v>3600</v>
      </c>
      <c r="DP339" s="46" t="s">
        <v>4530</v>
      </c>
      <c r="DQ339" s="41">
        <v>5.0</v>
      </c>
      <c r="DR339" s="41">
        <v>1.0</v>
      </c>
      <c r="DS339" s="41">
        <v>1.0</v>
      </c>
      <c r="DT339" s="45"/>
      <c r="DU339" s="45"/>
      <c r="DV339" s="41">
        <v>4.0</v>
      </c>
      <c r="DW339" s="42" t="s">
        <v>9502</v>
      </c>
      <c r="DX339" s="45"/>
      <c r="DY339" s="43"/>
      <c r="DZ339" s="45"/>
      <c r="EA339" s="45"/>
      <c r="EB339" s="43"/>
      <c r="EC339" s="45"/>
      <c r="ED339" s="45"/>
      <c r="EE339" s="45"/>
      <c r="EF339" s="45"/>
      <c r="EG339" s="43"/>
      <c r="EH339" s="45"/>
      <c r="EI339" s="45"/>
      <c r="EJ339" s="45"/>
      <c r="EK339" s="43"/>
      <c r="EL339" s="45"/>
      <c r="EM339" s="45"/>
      <c r="EN339" s="45"/>
      <c r="EO339" s="45"/>
      <c r="EP339" s="48" t="s">
        <v>3559</v>
      </c>
    </row>
    <row r="340">
      <c r="A340" s="37"/>
      <c r="B340" s="35" t="s">
        <v>9503</v>
      </c>
      <c r="C340" s="34"/>
      <c r="D340" s="34"/>
      <c r="E340" s="34"/>
      <c r="F340" s="34"/>
      <c r="G340" s="35" t="s">
        <v>9504</v>
      </c>
      <c r="H340" s="35" t="s">
        <v>4560</v>
      </c>
      <c r="I340" s="35" t="s">
        <v>4561</v>
      </c>
      <c r="J340" s="35" t="s">
        <v>66</v>
      </c>
      <c r="K340" s="35" t="s">
        <v>4562</v>
      </c>
      <c r="L340" s="35" t="s">
        <v>7545</v>
      </c>
      <c r="M340" s="35" t="s">
        <v>9505</v>
      </c>
      <c r="N340" s="35" t="s">
        <v>5145</v>
      </c>
      <c r="O340" s="35" t="s">
        <v>9506</v>
      </c>
      <c r="P340" s="35"/>
      <c r="R340" s="35" t="s">
        <v>6041</v>
      </c>
      <c r="S340" s="35" t="s">
        <v>3572</v>
      </c>
      <c r="T340" s="35" t="s">
        <v>5147</v>
      </c>
      <c r="U340" s="34"/>
      <c r="V340" s="34"/>
      <c r="W340" s="37"/>
      <c r="X340" s="34"/>
      <c r="Y340" s="34"/>
      <c r="Z340" s="34"/>
      <c r="AA340" s="32">
        <v>2018.0</v>
      </c>
      <c r="AB340" s="34"/>
      <c r="AC340" s="34"/>
      <c r="AD340" s="34"/>
      <c r="AE340" s="37"/>
      <c r="AF340" s="37"/>
      <c r="AG340" s="37"/>
      <c r="AH340" s="37"/>
      <c r="AI340" s="37"/>
      <c r="AJ340" s="37"/>
      <c r="AK340" s="37"/>
      <c r="AL340" s="37"/>
      <c r="AM340" s="37"/>
      <c r="AN340" s="37"/>
      <c r="AO340" s="35" t="s">
        <v>9507</v>
      </c>
      <c r="AP340" s="35" t="s">
        <v>9508</v>
      </c>
      <c r="AQ340" s="35" t="s">
        <v>910</v>
      </c>
      <c r="AR340" s="34"/>
      <c r="AS340" s="34"/>
      <c r="AT340" s="35" t="s">
        <v>6317</v>
      </c>
      <c r="AU340" s="34"/>
      <c r="AV340" s="34"/>
      <c r="AW340" s="35" t="s">
        <v>246</v>
      </c>
      <c r="AX340" s="34"/>
      <c r="AY340" s="37"/>
      <c r="AZ340" s="35" t="s">
        <v>41</v>
      </c>
      <c r="BA340" s="37"/>
      <c r="BB340" s="37"/>
      <c r="BC340" s="34"/>
      <c r="BD340" s="35" t="s">
        <v>3584</v>
      </c>
      <c r="BE340" s="35" t="s">
        <v>3584</v>
      </c>
      <c r="BF340" s="35" t="s">
        <v>9509</v>
      </c>
      <c r="BG340" s="34"/>
      <c r="BH340" s="37"/>
      <c r="BI340" s="34"/>
      <c r="BJ340" s="35" t="s">
        <v>9510</v>
      </c>
      <c r="BK340" s="34"/>
      <c r="BL340" s="34"/>
      <c r="BM340" s="35" t="s">
        <v>9511</v>
      </c>
      <c r="BN340" s="34"/>
      <c r="BO340" s="34"/>
      <c r="BP340" s="34"/>
      <c r="BQ340" s="37"/>
      <c r="BR340" s="37"/>
      <c r="BS340" s="34"/>
      <c r="BT340" s="37"/>
      <c r="BU340" s="34"/>
      <c r="BV340" s="35" t="s">
        <v>3589</v>
      </c>
      <c r="BW340" s="34"/>
      <c r="BX340" s="34"/>
      <c r="BY340" s="35" t="s">
        <v>3590</v>
      </c>
      <c r="BZ340" s="34"/>
      <c r="CA340" s="35" t="s">
        <v>3591</v>
      </c>
      <c r="CB340" s="37"/>
      <c r="CC340" s="37"/>
      <c r="CD340" s="34"/>
      <c r="CE340" s="37"/>
      <c r="CF340" s="34"/>
      <c r="CG340" s="35" t="s">
        <v>3589</v>
      </c>
      <c r="CH340" s="34"/>
      <c r="CI340" s="34"/>
      <c r="CJ340" s="35" t="s">
        <v>3590</v>
      </c>
      <c r="CK340" s="37"/>
      <c r="CL340" s="37"/>
      <c r="CM340" s="34"/>
      <c r="CN340" s="35" t="s">
        <v>3591</v>
      </c>
      <c r="CO340" s="39">
        <v>0.0</v>
      </c>
      <c r="CP340" s="32">
        <v>14.0</v>
      </c>
      <c r="CQ340" s="39">
        <v>0.0</v>
      </c>
      <c r="CR340" s="39">
        <v>0.0</v>
      </c>
      <c r="CS340" s="39">
        <v>0.0</v>
      </c>
      <c r="CT340" s="32">
        <v>12.0</v>
      </c>
      <c r="CU340" s="39">
        <v>0.0</v>
      </c>
      <c r="CV340" s="32">
        <v>10.0</v>
      </c>
      <c r="CW340" s="37"/>
      <c r="CX340" s="37"/>
      <c r="CY340" s="32" t="s">
        <v>9512</v>
      </c>
      <c r="CZ340" s="32">
        <v>24.0</v>
      </c>
      <c r="DA340" s="32" t="s">
        <v>3598</v>
      </c>
      <c r="DB340" s="39">
        <v>0.0</v>
      </c>
      <c r="DC340" s="32" t="s">
        <v>9512</v>
      </c>
      <c r="DD340" s="32">
        <v>26.0</v>
      </c>
      <c r="DE340" s="32" t="s">
        <v>9512</v>
      </c>
      <c r="DF340" s="32">
        <v>49.0</v>
      </c>
      <c r="DG340" s="37"/>
      <c r="DH340" s="37"/>
      <c r="DI340" s="32">
        <v>59.0</v>
      </c>
      <c r="DJ340" s="32">
        <v>3.0</v>
      </c>
      <c r="DK340" s="39">
        <v>0.0536</v>
      </c>
      <c r="DL340" s="37"/>
      <c r="DM340" s="37"/>
      <c r="DN340" s="37"/>
      <c r="DO340" s="32" t="s">
        <v>3600</v>
      </c>
      <c r="DP340" s="38" t="s">
        <v>9513</v>
      </c>
      <c r="DQ340" s="37"/>
      <c r="DR340" s="37"/>
      <c r="DS340" s="37"/>
      <c r="DT340" s="37"/>
      <c r="DU340" s="37"/>
      <c r="DV340" s="37"/>
      <c r="DW340" s="34"/>
      <c r="DX340" s="37"/>
      <c r="DY340" s="34"/>
      <c r="DZ340" s="37"/>
      <c r="EA340" s="37"/>
      <c r="EB340" s="34"/>
      <c r="EC340" s="37"/>
      <c r="ED340" s="37"/>
      <c r="EE340" s="37"/>
      <c r="EF340" s="37"/>
      <c r="EG340" s="34"/>
      <c r="EH340" s="37"/>
      <c r="EI340" s="37"/>
      <c r="EJ340" s="37"/>
      <c r="EK340" s="34"/>
      <c r="EL340" s="37"/>
      <c r="EM340" s="37"/>
      <c r="EN340" s="37"/>
      <c r="EO340" s="37"/>
      <c r="EP340" s="40" t="s">
        <v>3559</v>
      </c>
    </row>
    <row r="341">
      <c r="A341" s="45"/>
      <c r="B341" s="42" t="s">
        <v>9514</v>
      </c>
      <c r="C341" s="43"/>
      <c r="D341" s="43"/>
      <c r="E341" s="43"/>
      <c r="F341" s="43"/>
      <c r="G341" s="42" t="s">
        <v>9515</v>
      </c>
      <c r="H341" s="42" t="s">
        <v>4560</v>
      </c>
      <c r="I341" s="42" t="s">
        <v>4561</v>
      </c>
      <c r="J341" s="42" t="s">
        <v>5057</v>
      </c>
      <c r="K341" s="42" t="s">
        <v>5058</v>
      </c>
      <c r="L341" s="43"/>
      <c r="M341" s="42" t="s">
        <v>9516</v>
      </c>
      <c r="N341" s="42" t="s">
        <v>4923</v>
      </c>
      <c r="O341" s="42" t="s">
        <v>9517</v>
      </c>
      <c r="P341" s="42"/>
      <c r="R341" s="43"/>
      <c r="S341" s="42" t="s">
        <v>4925</v>
      </c>
      <c r="T341" s="42" t="s">
        <v>4926</v>
      </c>
      <c r="U341" s="44" t="s">
        <v>9518</v>
      </c>
      <c r="V341" s="44" t="s">
        <v>9519</v>
      </c>
      <c r="W341" s="41">
        <v>7.0</v>
      </c>
      <c r="X341" s="42" t="s">
        <v>5598</v>
      </c>
      <c r="Y341" s="43"/>
      <c r="Z341" s="43"/>
      <c r="AA341" s="41">
        <v>2021.0</v>
      </c>
      <c r="AB341" s="43"/>
      <c r="AC341" s="43"/>
      <c r="AD341" s="43"/>
      <c r="AE341" s="45"/>
      <c r="AF341" s="45"/>
      <c r="AG341" s="45"/>
      <c r="AH341" s="45"/>
      <c r="AI341" s="45"/>
      <c r="AJ341" s="45"/>
      <c r="AK341" s="45"/>
      <c r="AL341" s="45"/>
      <c r="AM341" s="45"/>
      <c r="AN341" s="45"/>
      <c r="AO341" s="43"/>
      <c r="AP341" s="43"/>
      <c r="AQ341" s="43"/>
      <c r="AR341" s="43"/>
      <c r="AS341" s="43"/>
      <c r="AT341" s="42" t="s">
        <v>3581</v>
      </c>
      <c r="AU341" s="43"/>
      <c r="AV341" s="43"/>
      <c r="AW341" s="42" t="s">
        <v>75</v>
      </c>
      <c r="AX341" s="43"/>
      <c r="AY341" s="45"/>
      <c r="AZ341" s="42" t="s">
        <v>41</v>
      </c>
      <c r="BA341" s="45"/>
      <c r="BB341" s="45"/>
      <c r="BC341" s="43"/>
      <c r="BD341" s="42" t="s">
        <v>3584</v>
      </c>
      <c r="BE341" s="42" t="s">
        <v>3584</v>
      </c>
      <c r="BF341" s="43"/>
      <c r="BG341" s="43"/>
      <c r="BH341" s="45"/>
      <c r="BI341" s="43"/>
      <c r="BJ341" s="43"/>
      <c r="BK341" s="43"/>
      <c r="BL341" s="43"/>
      <c r="BM341" s="43"/>
      <c r="BN341" s="43"/>
      <c r="BO341" s="43"/>
      <c r="BP341" s="43"/>
      <c r="BQ341" s="45"/>
      <c r="BR341" s="45"/>
      <c r="BS341" s="43"/>
      <c r="BT341" s="45"/>
      <c r="BU341" s="43"/>
      <c r="BV341" s="43"/>
      <c r="BW341" s="43"/>
      <c r="BX341" s="43"/>
      <c r="BY341" s="43"/>
      <c r="BZ341" s="43"/>
      <c r="CA341" s="43"/>
      <c r="CB341" s="45"/>
      <c r="CC341" s="45"/>
      <c r="CD341" s="43"/>
      <c r="CE341" s="45"/>
      <c r="CF341" s="43"/>
      <c r="CG341" s="43"/>
      <c r="CH341" s="43"/>
      <c r="CI341" s="43"/>
      <c r="CJ341" s="43"/>
      <c r="CK341" s="45"/>
      <c r="CL341" s="45"/>
      <c r="CM341" s="43"/>
      <c r="CN341" s="43"/>
      <c r="CO341" s="47">
        <v>0.0104</v>
      </c>
      <c r="CP341" s="41">
        <v>97.0</v>
      </c>
      <c r="CQ341" s="47">
        <v>0.0</v>
      </c>
      <c r="CR341" s="47">
        <v>0.0</v>
      </c>
      <c r="CS341" s="47">
        <v>0.0</v>
      </c>
      <c r="CT341" s="41">
        <v>12.0</v>
      </c>
      <c r="CU341" s="45"/>
      <c r="CV341" s="45"/>
      <c r="CW341" s="47">
        <v>0.0</v>
      </c>
      <c r="CX341" s="41">
        <v>12.0</v>
      </c>
      <c r="CY341" s="41" t="s">
        <v>9520</v>
      </c>
      <c r="CZ341" s="41">
        <v>26.0</v>
      </c>
      <c r="DA341" s="41" t="s">
        <v>3598</v>
      </c>
      <c r="DB341" s="47">
        <v>0.0</v>
      </c>
      <c r="DC341" s="41" t="s">
        <v>8341</v>
      </c>
      <c r="DD341" s="41">
        <v>7.0</v>
      </c>
      <c r="DE341" s="45"/>
      <c r="DF341" s="45"/>
      <c r="DG341" s="41" t="s">
        <v>8341</v>
      </c>
      <c r="DH341" s="41">
        <v>5.0</v>
      </c>
      <c r="DI341" s="45"/>
      <c r="DJ341" s="45"/>
      <c r="DK341" s="45"/>
      <c r="DL341" s="41">
        <v>5.0</v>
      </c>
      <c r="DM341" s="41">
        <v>0.0</v>
      </c>
      <c r="DN341" s="47">
        <v>0.0</v>
      </c>
      <c r="DO341" s="41" t="s">
        <v>5066</v>
      </c>
      <c r="DP341" s="46" t="s">
        <v>4664</v>
      </c>
      <c r="DQ341" s="45"/>
      <c r="DR341" s="45"/>
      <c r="DS341" s="45"/>
      <c r="DT341" s="45"/>
      <c r="DU341" s="45"/>
      <c r="DV341" s="45"/>
      <c r="DW341" s="43"/>
      <c r="DX341" s="45"/>
      <c r="DY341" s="43"/>
      <c r="DZ341" s="45"/>
      <c r="EA341" s="45"/>
      <c r="EB341" s="43"/>
      <c r="EC341" s="45"/>
      <c r="ED341" s="45"/>
      <c r="EE341" s="45"/>
      <c r="EF341" s="45"/>
      <c r="EG341" s="43"/>
      <c r="EH341" s="45"/>
      <c r="EI341" s="45"/>
      <c r="EJ341" s="45"/>
      <c r="EK341" s="43"/>
      <c r="EL341" s="45"/>
      <c r="EM341" s="45"/>
      <c r="EN341" s="45"/>
      <c r="EO341" s="45"/>
      <c r="EP341" s="48" t="s">
        <v>3559</v>
      </c>
    </row>
    <row r="342">
      <c r="A342" s="37"/>
      <c r="B342" s="35" t="s">
        <v>9521</v>
      </c>
      <c r="C342" s="34"/>
      <c r="D342" s="34"/>
      <c r="E342" s="35" t="s">
        <v>9522</v>
      </c>
      <c r="F342" s="34"/>
      <c r="G342" s="35" t="s">
        <v>9523</v>
      </c>
      <c r="H342" s="35" t="s">
        <v>4560</v>
      </c>
      <c r="I342" s="35" t="s">
        <v>4561</v>
      </c>
      <c r="J342" s="35" t="s">
        <v>66</v>
      </c>
      <c r="K342" s="35" t="s">
        <v>9524</v>
      </c>
      <c r="L342" s="35" t="s">
        <v>5736</v>
      </c>
      <c r="M342" s="35" t="s">
        <v>9525</v>
      </c>
      <c r="N342" s="35" t="s">
        <v>5481</v>
      </c>
      <c r="O342" s="35" t="s">
        <v>9526</v>
      </c>
      <c r="P342" s="35"/>
      <c r="R342" s="35" t="s">
        <v>5222</v>
      </c>
      <c r="S342" s="35" t="s">
        <v>5222</v>
      </c>
      <c r="T342" s="35" t="s">
        <v>5147</v>
      </c>
      <c r="U342" s="36" t="s">
        <v>9527</v>
      </c>
      <c r="V342" s="34"/>
      <c r="W342" s="37"/>
      <c r="X342" s="34"/>
      <c r="Y342" s="34"/>
      <c r="Z342" s="34"/>
      <c r="AA342" s="37"/>
      <c r="AB342" s="34"/>
      <c r="AC342" s="34"/>
      <c r="AD342" s="35" t="s">
        <v>9528</v>
      </c>
      <c r="AE342" s="37"/>
      <c r="AF342" s="37"/>
      <c r="AG342" s="37"/>
      <c r="AH342" s="37"/>
      <c r="AI342" s="37"/>
      <c r="AJ342" s="37"/>
      <c r="AK342" s="37"/>
      <c r="AL342" s="37"/>
      <c r="AM342" s="37"/>
      <c r="AN342" s="37"/>
      <c r="AO342" s="34"/>
      <c r="AP342" s="34"/>
      <c r="AQ342" s="34"/>
      <c r="AR342" s="34"/>
      <c r="AS342" s="34"/>
      <c r="AT342" s="35" t="s">
        <v>9529</v>
      </c>
      <c r="AU342" s="35" t="s">
        <v>9530</v>
      </c>
      <c r="AV342" s="34"/>
      <c r="AW342" s="35" t="s">
        <v>9531</v>
      </c>
      <c r="AX342" s="35" t="s">
        <v>9532</v>
      </c>
      <c r="AY342" s="37"/>
      <c r="AZ342" s="35" t="s">
        <v>41</v>
      </c>
      <c r="BA342" s="37"/>
      <c r="BB342" s="37"/>
      <c r="BC342" s="35" t="s">
        <v>9533</v>
      </c>
      <c r="BD342" s="35" t="s">
        <v>3584</v>
      </c>
      <c r="BE342" s="35" t="s">
        <v>3584</v>
      </c>
      <c r="BF342" s="35" t="s">
        <v>9534</v>
      </c>
      <c r="BG342" s="34"/>
      <c r="BH342" s="37"/>
      <c r="BI342" s="34"/>
      <c r="BJ342" s="35" t="s">
        <v>9535</v>
      </c>
      <c r="BK342" s="34"/>
      <c r="BL342" s="34"/>
      <c r="BM342" s="35" t="s">
        <v>9536</v>
      </c>
      <c r="BN342" s="34"/>
      <c r="BO342" s="34"/>
      <c r="BP342" s="34"/>
      <c r="BQ342" s="38" t="s">
        <v>9537</v>
      </c>
      <c r="BR342" s="37"/>
      <c r="BS342" s="34"/>
      <c r="BT342" s="37"/>
      <c r="BU342" s="34"/>
      <c r="BV342" s="35" t="s">
        <v>3589</v>
      </c>
      <c r="BW342" s="34"/>
      <c r="BX342" s="34"/>
      <c r="BY342" s="35" t="s">
        <v>3590</v>
      </c>
      <c r="BZ342" s="34"/>
      <c r="CA342" s="35" t="s">
        <v>3591</v>
      </c>
      <c r="CB342" s="38" t="s">
        <v>3636</v>
      </c>
      <c r="CC342" s="37"/>
      <c r="CD342" s="34"/>
      <c r="CE342" s="37"/>
      <c r="CF342" s="34"/>
      <c r="CG342" s="35" t="s">
        <v>5222</v>
      </c>
      <c r="CH342" s="34"/>
      <c r="CI342" s="34"/>
      <c r="CJ342" s="35" t="s">
        <v>5222</v>
      </c>
      <c r="CK342" s="37"/>
      <c r="CL342" s="37"/>
      <c r="CM342" s="34"/>
      <c r="CN342" s="35" t="s">
        <v>3591</v>
      </c>
      <c r="CO342" s="37"/>
      <c r="CP342" s="37"/>
      <c r="CQ342" s="37"/>
      <c r="CR342" s="37"/>
      <c r="CS342" s="37"/>
      <c r="CT342" s="37"/>
      <c r="CU342" s="37"/>
      <c r="CV342" s="37"/>
      <c r="CW342" s="37"/>
      <c r="CX342" s="37"/>
      <c r="CY342" s="37"/>
      <c r="CZ342" s="37"/>
      <c r="DA342" s="37"/>
      <c r="DB342" s="37"/>
      <c r="DC342" s="37"/>
      <c r="DD342" s="37"/>
      <c r="DE342" s="37"/>
      <c r="DF342" s="37"/>
      <c r="DG342" s="37"/>
      <c r="DH342" s="37"/>
      <c r="DI342" s="37"/>
      <c r="DJ342" s="37"/>
      <c r="DK342" s="37"/>
      <c r="DL342" s="37"/>
      <c r="DM342" s="37"/>
      <c r="DN342" s="37"/>
      <c r="DO342" s="32" t="s">
        <v>3600</v>
      </c>
      <c r="DP342" s="38" t="s">
        <v>5256</v>
      </c>
      <c r="DQ342" s="37"/>
      <c r="DR342" s="37"/>
      <c r="DS342" s="37"/>
      <c r="DT342" s="37"/>
      <c r="DU342" s="37"/>
      <c r="DV342" s="37"/>
      <c r="DW342" s="34"/>
      <c r="DX342" s="37"/>
      <c r="DY342" s="34"/>
      <c r="DZ342" s="37"/>
      <c r="EA342" s="37"/>
      <c r="EB342" s="34"/>
      <c r="EC342" s="37"/>
      <c r="ED342" s="37"/>
      <c r="EE342" s="37"/>
      <c r="EF342" s="37"/>
      <c r="EG342" s="34"/>
      <c r="EH342" s="37"/>
      <c r="EI342" s="37"/>
      <c r="EJ342" s="37"/>
      <c r="EK342" s="34"/>
      <c r="EL342" s="37"/>
      <c r="EM342" s="37"/>
      <c r="EN342" s="37"/>
      <c r="EO342" s="37"/>
      <c r="EP342" s="40" t="s">
        <v>3559</v>
      </c>
    </row>
    <row r="343">
      <c r="A343" s="45"/>
      <c r="B343" s="42" t="s">
        <v>9538</v>
      </c>
      <c r="C343" s="43"/>
      <c r="D343" s="43"/>
      <c r="E343" s="43"/>
      <c r="F343" s="43"/>
      <c r="G343" s="42" t="s">
        <v>9539</v>
      </c>
      <c r="H343" s="42" t="s">
        <v>4560</v>
      </c>
      <c r="I343" s="42" t="s">
        <v>4561</v>
      </c>
      <c r="J343" s="42" t="s">
        <v>66</v>
      </c>
      <c r="K343" s="42" t="s">
        <v>6997</v>
      </c>
      <c r="L343" s="42" t="s">
        <v>8447</v>
      </c>
      <c r="M343" s="42" t="s">
        <v>9540</v>
      </c>
      <c r="N343" s="42" t="s">
        <v>5481</v>
      </c>
      <c r="O343" s="42" t="s">
        <v>9541</v>
      </c>
      <c r="P343" s="42"/>
      <c r="R343" s="42" t="s">
        <v>5222</v>
      </c>
      <c r="S343" s="42" t="s">
        <v>3572</v>
      </c>
      <c r="T343" s="42" t="s">
        <v>5147</v>
      </c>
      <c r="U343" s="44" t="s">
        <v>9542</v>
      </c>
      <c r="V343" s="43"/>
      <c r="W343" s="45"/>
      <c r="X343" s="43"/>
      <c r="Y343" s="43"/>
      <c r="Z343" s="43"/>
      <c r="AA343" s="41">
        <v>2010.0</v>
      </c>
      <c r="AB343" s="43"/>
      <c r="AC343" s="43"/>
      <c r="AD343" s="43"/>
      <c r="AE343" s="45"/>
      <c r="AF343" s="45"/>
      <c r="AG343" s="45"/>
      <c r="AH343" s="45"/>
      <c r="AI343" s="45"/>
      <c r="AJ343" s="45"/>
      <c r="AK343" s="45"/>
      <c r="AL343" s="45"/>
      <c r="AM343" s="45"/>
      <c r="AN343" s="45"/>
      <c r="AO343" s="42" t="s">
        <v>9543</v>
      </c>
      <c r="AP343" s="42" t="s">
        <v>9544</v>
      </c>
      <c r="AQ343" s="42" t="s">
        <v>265</v>
      </c>
      <c r="AR343" s="43"/>
      <c r="AS343" s="43"/>
      <c r="AT343" s="42" t="s">
        <v>3581</v>
      </c>
      <c r="AU343" s="43"/>
      <c r="AV343" s="43"/>
      <c r="AW343" s="42" t="s">
        <v>75</v>
      </c>
      <c r="AX343" s="43"/>
      <c r="AY343" s="45"/>
      <c r="AZ343" s="42" t="s">
        <v>41</v>
      </c>
      <c r="BA343" s="45"/>
      <c r="BB343" s="45"/>
      <c r="BC343" s="43"/>
      <c r="BD343" s="42" t="s">
        <v>3584</v>
      </c>
      <c r="BE343" s="42" t="s">
        <v>3584</v>
      </c>
      <c r="BF343" s="42" t="s">
        <v>9545</v>
      </c>
      <c r="BG343" s="43"/>
      <c r="BH343" s="45"/>
      <c r="BI343" s="43"/>
      <c r="BJ343" s="42" t="s">
        <v>9546</v>
      </c>
      <c r="BK343" s="43"/>
      <c r="BL343" s="43"/>
      <c r="BM343" s="42" t="s">
        <v>9547</v>
      </c>
      <c r="BN343" s="43"/>
      <c r="BO343" s="43"/>
      <c r="BP343" s="43"/>
      <c r="BQ343" s="45"/>
      <c r="BR343" s="45"/>
      <c r="BS343" s="43"/>
      <c r="BT343" s="45"/>
      <c r="BU343" s="43"/>
      <c r="BV343" s="42" t="s">
        <v>3589</v>
      </c>
      <c r="BW343" s="43"/>
      <c r="BX343" s="43"/>
      <c r="BY343" s="42" t="s">
        <v>3590</v>
      </c>
      <c r="BZ343" s="43"/>
      <c r="CA343" s="42" t="s">
        <v>3591</v>
      </c>
      <c r="CB343" s="46" t="s">
        <v>9548</v>
      </c>
      <c r="CC343" s="45"/>
      <c r="CD343" s="43"/>
      <c r="CE343" s="45"/>
      <c r="CF343" s="43"/>
      <c r="CG343" s="42" t="s">
        <v>5222</v>
      </c>
      <c r="CH343" s="43"/>
      <c r="CI343" s="43"/>
      <c r="CJ343" s="42" t="s">
        <v>5222</v>
      </c>
      <c r="CK343" s="45"/>
      <c r="CL343" s="45"/>
      <c r="CM343" s="43"/>
      <c r="CN343" s="42" t="s">
        <v>3591</v>
      </c>
      <c r="CO343" s="45"/>
      <c r="CP343" s="45"/>
      <c r="CQ343" s="45"/>
      <c r="CR343" s="45"/>
      <c r="CS343" s="45"/>
      <c r="CT343" s="45"/>
      <c r="CU343" s="45"/>
      <c r="CV343" s="45"/>
      <c r="CW343" s="45"/>
      <c r="CX343" s="45"/>
      <c r="CY343" s="45"/>
      <c r="CZ343" s="45"/>
      <c r="DA343" s="45"/>
      <c r="DB343" s="45"/>
      <c r="DC343" s="45"/>
      <c r="DD343" s="45"/>
      <c r="DE343" s="45"/>
      <c r="DF343" s="45"/>
      <c r="DG343" s="45"/>
      <c r="DH343" s="45"/>
      <c r="DI343" s="45"/>
      <c r="DJ343" s="45"/>
      <c r="DK343" s="45"/>
      <c r="DL343" s="45"/>
      <c r="DM343" s="45"/>
      <c r="DN343" s="45"/>
      <c r="DO343" s="41" t="s">
        <v>3600</v>
      </c>
      <c r="DP343" s="46" t="s">
        <v>9549</v>
      </c>
      <c r="DQ343" s="45"/>
      <c r="DR343" s="45"/>
      <c r="DS343" s="45"/>
      <c r="DT343" s="45"/>
      <c r="DU343" s="45"/>
      <c r="DV343" s="45"/>
      <c r="DW343" s="43"/>
      <c r="DX343" s="45"/>
      <c r="DY343" s="43"/>
      <c r="DZ343" s="45"/>
      <c r="EA343" s="45"/>
      <c r="EB343" s="43"/>
      <c r="EC343" s="45"/>
      <c r="ED343" s="45"/>
      <c r="EE343" s="45"/>
      <c r="EF343" s="45"/>
      <c r="EG343" s="43"/>
      <c r="EH343" s="45"/>
      <c r="EI343" s="45"/>
      <c r="EJ343" s="45"/>
      <c r="EK343" s="43"/>
      <c r="EL343" s="45"/>
      <c r="EM343" s="45"/>
      <c r="EN343" s="45"/>
      <c r="EO343" s="45"/>
      <c r="EP343" s="48" t="s">
        <v>3559</v>
      </c>
    </row>
    <row r="344">
      <c r="A344" s="37"/>
      <c r="B344" s="35" t="s">
        <v>9550</v>
      </c>
      <c r="C344" s="34"/>
      <c r="D344" s="34"/>
      <c r="E344" s="35" t="s">
        <v>9551</v>
      </c>
      <c r="F344" s="34"/>
      <c r="G344" s="35" t="s">
        <v>9552</v>
      </c>
      <c r="H344" s="35" t="s">
        <v>3563</v>
      </c>
      <c r="I344" s="35" t="s">
        <v>3564</v>
      </c>
      <c r="J344" s="35" t="s">
        <v>3565</v>
      </c>
      <c r="K344" s="35" t="s">
        <v>9553</v>
      </c>
      <c r="L344" s="35" t="s">
        <v>9554</v>
      </c>
      <c r="M344" s="35" t="s">
        <v>9555</v>
      </c>
      <c r="N344" s="35" t="s">
        <v>4923</v>
      </c>
      <c r="O344" s="35" t="s">
        <v>9556</v>
      </c>
      <c r="P344" s="35"/>
      <c r="R344" s="35" t="s">
        <v>3571</v>
      </c>
      <c r="S344" s="35" t="s">
        <v>4925</v>
      </c>
      <c r="T344" s="35" t="s">
        <v>4926</v>
      </c>
      <c r="U344" s="36" t="s">
        <v>9557</v>
      </c>
      <c r="V344" s="36" t="s">
        <v>9558</v>
      </c>
      <c r="W344" s="37"/>
      <c r="X344" s="34"/>
      <c r="Y344" s="34"/>
      <c r="Z344" s="34"/>
      <c r="AA344" s="32">
        <v>2007.0</v>
      </c>
      <c r="AB344" s="34"/>
      <c r="AC344" s="34"/>
      <c r="AD344" s="34"/>
      <c r="AE344" s="37"/>
      <c r="AF344" s="37"/>
      <c r="AG344" s="37"/>
      <c r="AH344" s="37"/>
      <c r="AI344" s="37"/>
      <c r="AJ344" s="37"/>
      <c r="AK344" s="37"/>
      <c r="AL344" s="37"/>
      <c r="AM344" s="37"/>
      <c r="AN344" s="37"/>
      <c r="AO344" s="34"/>
      <c r="AP344" s="34"/>
      <c r="AQ344" s="34"/>
      <c r="AR344" s="34"/>
      <c r="AS344" s="34"/>
      <c r="AT344" s="35" t="s">
        <v>3744</v>
      </c>
      <c r="AU344" s="35" t="s">
        <v>9559</v>
      </c>
      <c r="AV344" s="34"/>
      <c r="AW344" s="35" t="s">
        <v>183</v>
      </c>
      <c r="AX344" s="34"/>
      <c r="AY344" s="37"/>
      <c r="AZ344" s="35" t="s">
        <v>41</v>
      </c>
      <c r="BA344" s="37" t="str">
        <f>+972 (0)8 946 4288</f>
        <v>#ERROR!</v>
      </c>
      <c r="BB344" s="37"/>
      <c r="BC344" s="34"/>
      <c r="BD344" s="35" t="s">
        <v>3584</v>
      </c>
      <c r="BE344" s="35" t="s">
        <v>3584</v>
      </c>
      <c r="BF344" s="34"/>
      <c r="BG344" s="34"/>
      <c r="BH344" s="37"/>
      <c r="BI344" s="34"/>
      <c r="BJ344" s="34"/>
      <c r="BK344" s="34"/>
      <c r="BL344" s="34"/>
      <c r="BM344" s="34"/>
      <c r="BN344" s="34"/>
      <c r="BO344" s="34"/>
      <c r="BP344" s="34"/>
      <c r="BQ344" s="37"/>
      <c r="BR344" s="37"/>
      <c r="BS344" s="34"/>
      <c r="BT344" s="37"/>
      <c r="BU344" s="34"/>
      <c r="BV344" s="34"/>
      <c r="BW344" s="34"/>
      <c r="BX344" s="34"/>
      <c r="BY344" s="34"/>
      <c r="BZ344" s="34"/>
      <c r="CA344" s="34"/>
      <c r="CB344" s="37"/>
      <c r="CC344" s="37"/>
      <c r="CD344" s="34"/>
      <c r="CE344" s="37"/>
      <c r="CF344" s="34"/>
      <c r="CG344" s="34"/>
      <c r="CH344" s="34"/>
      <c r="CI344" s="34"/>
      <c r="CJ344" s="34"/>
      <c r="CK344" s="37"/>
      <c r="CL344" s="37"/>
      <c r="CM344" s="34"/>
      <c r="CN344" s="34"/>
      <c r="CO344" s="39">
        <v>0.0024</v>
      </c>
      <c r="CP344" s="32">
        <v>89.0</v>
      </c>
      <c r="CQ344" s="39">
        <v>0.0</v>
      </c>
      <c r="CR344" s="39">
        <v>0.0</v>
      </c>
      <c r="CS344" s="39">
        <v>0.0024</v>
      </c>
      <c r="CT344" s="32">
        <v>90.0</v>
      </c>
      <c r="CU344" s="39">
        <v>0.0</v>
      </c>
      <c r="CV344" s="32">
        <v>10.0</v>
      </c>
      <c r="CW344" s="39">
        <v>0.0048</v>
      </c>
      <c r="CX344" s="32">
        <v>93.0</v>
      </c>
      <c r="CY344" s="32" t="s">
        <v>9560</v>
      </c>
      <c r="CZ344" s="32">
        <v>79.0</v>
      </c>
      <c r="DA344" s="32" t="s">
        <v>3598</v>
      </c>
      <c r="DB344" s="39">
        <v>0.0</v>
      </c>
      <c r="DC344" s="32" t="s">
        <v>9560</v>
      </c>
      <c r="DD344" s="32">
        <v>78.0</v>
      </c>
      <c r="DE344" s="32" t="s">
        <v>5064</v>
      </c>
      <c r="DF344" s="32">
        <v>54.0</v>
      </c>
      <c r="DG344" s="32" t="s">
        <v>9561</v>
      </c>
      <c r="DH344" s="32">
        <v>87.0</v>
      </c>
      <c r="DI344" s="32">
        <v>126.0</v>
      </c>
      <c r="DJ344" s="32">
        <v>9.0</v>
      </c>
      <c r="DK344" s="39">
        <v>0.0769</v>
      </c>
      <c r="DL344" s="32">
        <v>188.0</v>
      </c>
      <c r="DM344" s="32">
        <v>2.0</v>
      </c>
      <c r="DN344" s="39">
        <v>0.0108</v>
      </c>
      <c r="DO344" s="32" t="s">
        <v>3600</v>
      </c>
      <c r="DP344" s="38" t="s">
        <v>9562</v>
      </c>
      <c r="DQ344" s="37"/>
      <c r="DR344" s="37"/>
      <c r="DS344" s="37"/>
      <c r="DT344" s="37"/>
      <c r="DU344" s="37"/>
      <c r="DV344" s="37"/>
      <c r="DW344" s="34"/>
      <c r="DX344" s="37"/>
      <c r="DY344" s="34"/>
      <c r="DZ344" s="37"/>
      <c r="EA344" s="37"/>
      <c r="EB344" s="34"/>
      <c r="EC344" s="37"/>
      <c r="ED344" s="37"/>
      <c r="EE344" s="37"/>
      <c r="EF344" s="37"/>
      <c r="EG344" s="34"/>
      <c r="EH344" s="37"/>
      <c r="EI344" s="37"/>
      <c r="EJ344" s="37"/>
      <c r="EK344" s="34"/>
      <c r="EL344" s="37"/>
      <c r="EM344" s="37"/>
      <c r="EN344" s="37"/>
      <c r="EO344" s="37"/>
      <c r="EP344" s="40" t="s">
        <v>3559</v>
      </c>
    </row>
    <row r="345">
      <c r="A345" s="41">
        <v>234.42</v>
      </c>
      <c r="B345" s="42" t="s">
        <v>9563</v>
      </c>
      <c r="C345" s="42" t="s">
        <v>9564</v>
      </c>
      <c r="D345" s="42" t="s">
        <v>9565</v>
      </c>
      <c r="E345" s="42" t="s">
        <v>9566</v>
      </c>
      <c r="F345" s="42" t="s">
        <v>9567</v>
      </c>
      <c r="G345" s="42" t="s">
        <v>9568</v>
      </c>
      <c r="H345" s="42" t="s">
        <v>3867</v>
      </c>
      <c r="I345" s="42" t="s">
        <v>4199</v>
      </c>
      <c r="J345" s="42" t="s">
        <v>4200</v>
      </c>
      <c r="K345" s="42" t="s">
        <v>9569</v>
      </c>
      <c r="L345" s="42" t="s">
        <v>9570</v>
      </c>
      <c r="M345" s="42" t="s">
        <v>9571</v>
      </c>
      <c r="N345" s="42" t="s">
        <v>5018</v>
      </c>
      <c r="O345" s="42" t="s">
        <v>9572</v>
      </c>
      <c r="P345" s="42"/>
      <c r="R345" s="42" t="s">
        <v>5412</v>
      </c>
      <c r="S345" s="42" t="s">
        <v>5236</v>
      </c>
      <c r="T345" s="42" t="s">
        <v>5413</v>
      </c>
      <c r="U345" s="44" t="s">
        <v>9573</v>
      </c>
      <c r="V345" s="44" t="s">
        <v>9574</v>
      </c>
      <c r="W345" s="41">
        <v>38.0</v>
      </c>
      <c r="X345" s="42" t="s">
        <v>9575</v>
      </c>
      <c r="Y345" s="42" t="s">
        <v>5417</v>
      </c>
      <c r="Z345" s="42" t="s">
        <v>9565</v>
      </c>
      <c r="AA345" s="41">
        <v>2013.0</v>
      </c>
      <c r="AB345" s="43"/>
      <c r="AC345" s="43"/>
      <c r="AD345" s="43"/>
      <c r="AE345" s="41">
        <v>0.75</v>
      </c>
      <c r="AF345" s="41">
        <v>-1.82</v>
      </c>
      <c r="AG345" s="41">
        <v>-12.8</v>
      </c>
      <c r="AH345" s="41">
        <v>7.81</v>
      </c>
      <c r="AI345" s="41">
        <v>-12.25</v>
      </c>
      <c r="AJ345" s="41">
        <v>-12.61</v>
      </c>
      <c r="AK345" s="41">
        <v>70.98</v>
      </c>
      <c r="AL345" s="41">
        <v>1.47</v>
      </c>
      <c r="AM345" s="47">
        <v>0.372</v>
      </c>
      <c r="AN345" s="41" t="s">
        <v>5419</v>
      </c>
      <c r="AO345" s="42" t="s">
        <v>9576</v>
      </c>
      <c r="AP345" s="42" t="s">
        <v>9577</v>
      </c>
      <c r="AQ345" s="42" t="s">
        <v>9578</v>
      </c>
      <c r="AR345" s="42" t="s">
        <v>9579</v>
      </c>
      <c r="AS345" s="43" t="str">
        <f>+972 (0)8 680 5566</f>
        <v>#ERROR!</v>
      </c>
      <c r="AT345" s="42" t="s">
        <v>6317</v>
      </c>
      <c r="AU345" s="42" t="s">
        <v>9580</v>
      </c>
      <c r="AV345" s="43"/>
      <c r="AW345" s="42" t="s">
        <v>246</v>
      </c>
      <c r="AX345" s="42" t="s">
        <v>9581</v>
      </c>
      <c r="AY345" s="41">
        <v>7152008.0</v>
      </c>
      <c r="AZ345" s="42" t="s">
        <v>41</v>
      </c>
      <c r="BA345" s="45" t="str">
        <f>+972 (0)8 680 5566</f>
        <v>#ERROR!</v>
      </c>
      <c r="BB345" s="45"/>
      <c r="BC345" s="42" t="s">
        <v>9582</v>
      </c>
      <c r="BD345" s="42" t="s">
        <v>3584</v>
      </c>
      <c r="BE345" s="42" t="s">
        <v>3584</v>
      </c>
      <c r="BF345" s="42" t="s">
        <v>9583</v>
      </c>
      <c r="BG345" s="42" t="s">
        <v>9584</v>
      </c>
      <c r="BH345" s="41">
        <v>12.0</v>
      </c>
      <c r="BI345" s="43"/>
      <c r="BJ345" s="42" t="s">
        <v>9585</v>
      </c>
      <c r="BK345" s="43"/>
      <c r="BL345" s="42" t="s">
        <v>9586</v>
      </c>
      <c r="BM345" s="42" t="s">
        <v>9587</v>
      </c>
      <c r="BN345" s="43"/>
      <c r="BO345" s="42" t="s">
        <v>9588</v>
      </c>
      <c r="BP345" s="42" t="s">
        <v>9589</v>
      </c>
      <c r="BQ345" s="46" t="s">
        <v>5520</v>
      </c>
      <c r="BR345" s="45"/>
      <c r="BS345" s="43"/>
      <c r="BT345" s="45"/>
      <c r="BU345" s="43"/>
      <c r="BV345" s="42" t="s">
        <v>3589</v>
      </c>
      <c r="BW345" s="43"/>
      <c r="BX345" s="43"/>
      <c r="BY345" s="42" t="s">
        <v>3590</v>
      </c>
      <c r="BZ345" s="43"/>
      <c r="CA345" s="42" t="s">
        <v>3591</v>
      </c>
      <c r="CB345" s="46" t="s">
        <v>4979</v>
      </c>
      <c r="CC345" s="41">
        <v>180.0</v>
      </c>
      <c r="CD345" s="42" t="s">
        <v>3593</v>
      </c>
      <c r="CE345" s="45"/>
      <c r="CF345" s="43"/>
      <c r="CG345" s="42" t="s">
        <v>5257</v>
      </c>
      <c r="CH345" s="43"/>
      <c r="CI345" s="43"/>
      <c r="CJ345" s="42" t="s">
        <v>3663</v>
      </c>
      <c r="CK345" s="46" t="s">
        <v>9590</v>
      </c>
      <c r="CL345" s="41">
        <v>0.4</v>
      </c>
      <c r="CM345" s="43"/>
      <c r="CN345" s="42" t="s">
        <v>3591</v>
      </c>
      <c r="CO345" s="47">
        <v>-0.0017</v>
      </c>
      <c r="CP345" s="41">
        <v>11.0</v>
      </c>
      <c r="CQ345" s="47">
        <v>0.0</v>
      </c>
      <c r="CR345" s="47">
        <v>0.0</v>
      </c>
      <c r="CS345" s="47">
        <v>-0.0017</v>
      </c>
      <c r="CT345" s="41">
        <v>10.0</v>
      </c>
      <c r="CU345" s="45"/>
      <c r="CV345" s="45"/>
      <c r="CW345" s="47">
        <v>-0.0017</v>
      </c>
      <c r="CX345" s="41">
        <v>10.0</v>
      </c>
      <c r="CY345" s="41" t="s">
        <v>3635</v>
      </c>
      <c r="CZ345" s="41">
        <v>84.0</v>
      </c>
      <c r="DA345" s="41" t="s">
        <v>3598</v>
      </c>
      <c r="DB345" s="47">
        <v>0.0</v>
      </c>
      <c r="DC345" s="41" t="s">
        <v>3635</v>
      </c>
      <c r="DD345" s="41">
        <v>83.0</v>
      </c>
      <c r="DE345" s="45"/>
      <c r="DF345" s="45"/>
      <c r="DG345" s="41" t="s">
        <v>3635</v>
      </c>
      <c r="DH345" s="41">
        <v>80.0</v>
      </c>
      <c r="DI345" s="41">
        <v>626.0</v>
      </c>
      <c r="DJ345" s="41">
        <v>16.0</v>
      </c>
      <c r="DK345" s="47">
        <v>0.0262</v>
      </c>
      <c r="DL345" s="41">
        <v>146.0</v>
      </c>
      <c r="DM345" s="41">
        <v>0.0</v>
      </c>
      <c r="DN345" s="47">
        <v>0.0</v>
      </c>
      <c r="DO345" s="41" t="s">
        <v>3600</v>
      </c>
      <c r="DP345" s="46" t="s">
        <v>9591</v>
      </c>
      <c r="DQ345" s="41">
        <v>30.0</v>
      </c>
      <c r="DR345" s="41">
        <v>3.0</v>
      </c>
      <c r="DS345" s="41">
        <v>20.0</v>
      </c>
      <c r="DT345" s="41">
        <v>3.0</v>
      </c>
      <c r="DU345" s="45"/>
      <c r="DV345" s="41">
        <v>7.0</v>
      </c>
      <c r="DW345" s="42" t="s">
        <v>9592</v>
      </c>
      <c r="DX345" s="45"/>
      <c r="DY345" s="43"/>
      <c r="DZ345" s="45"/>
      <c r="EA345" s="45"/>
      <c r="EB345" s="43"/>
      <c r="EC345" s="45"/>
      <c r="ED345" s="45"/>
      <c r="EE345" s="41">
        <v>58.11</v>
      </c>
      <c r="EF345" s="46" t="s">
        <v>6919</v>
      </c>
      <c r="EG345" s="42" t="s">
        <v>4532</v>
      </c>
      <c r="EH345" s="45"/>
      <c r="EI345" s="45"/>
      <c r="EJ345" s="45"/>
      <c r="EK345" s="42" t="s">
        <v>4248</v>
      </c>
      <c r="EL345" s="45"/>
      <c r="EM345" s="45"/>
      <c r="EN345" s="41">
        <v>4.71</v>
      </c>
      <c r="EO345" s="41">
        <v>4.71</v>
      </c>
      <c r="EP345" s="48" t="s">
        <v>3559</v>
      </c>
    </row>
  </sheetData>
  <autoFilter ref="$A$2:$EP$345"/>
  <hyperlinks>
    <hyperlink r:id="rId1" ref="B4"/>
    <hyperlink r:id="rId2" ref="U4"/>
    <hyperlink r:id="rId3" ref="V4"/>
    <hyperlink r:id="rId4" ref="U5"/>
    <hyperlink r:id="rId5" ref="V5"/>
    <hyperlink r:id="rId6" ref="U6"/>
    <hyperlink r:id="rId7" ref="V6"/>
    <hyperlink r:id="rId8" ref="U7"/>
    <hyperlink r:id="rId9" ref="V7"/>
    <hyperlink r:id="rId10" ref="U8"/>
    <hyperlink r:id="rId11" ref="V8"/>
    <hyperlink r:id="rId12" ref="U9"/>
    <hyperlink r:id="rId13" ref="V9"/>
    <hyperlink r:id="rId14" ref="U10"/>
    <hyperlink r:id="rId15" ref="V10"/>
    <hyperlink r:id="rId16" ref="U11"/>
    <hyperlink r:id="rId17" ref="V11"/>
    <hyperlink r:id="rId18" ref="U12"/>
    <hyperlink r:id="rId19" ref="V12"/>
    <hyperlink r:id="rId20" ref="U13"/>
    <hyperlink r:id="rId21" ref="V13"/>
    <hyperlink r:id="rId22" ref="U14"/>
    <hyperlink r:id="rId23" ref="V14"/>
    <hyperlink r:id="rId24" ref="U15"/>
    <hyperlink r:id="rId25" ref="V15"/>
    <hyperlink r:id="rId26" ref="U16"/>
    <hyperlink r:id="rId27" ref="V16"/>
    <hyperlink r:id="rId28" ref="U17"/>
    <hyperlink r:id="rId29" ref="V17"/>
    <hyperlink r:id="rId30" ref="U18"/>
    <hyperlink r:id="rId31" ref="V18"/>
    <hyperlink r:id="rId32" ref="U19"/>
    <hyperlink r:id="rId33" ref="V19"/>
    <hyperlink r:id="rId34" ref="U20"/>
    <hyperlink r:id="rId35" ref="V20"/>
    <hyperlink r:id="rId36" ref="U21"/>
    <hyperlink r:id="rId37" ref="V21"/>
    <hyperlink r:id="rId38" ref="U22"/>
    <hyperlink r:id="rId39" ref="V22"/>
    <hyperlink r:id="rId40" ref="U23"/>
    <hyperlink r:id="rId41" ref="V23"/>
    <hyperlink r:id="rId42" ref="U24"/>
    <hyperlink r:id="rId43" ref="V24"/>
    <hyperlink r:id="rId44" ref="U25"/>
    <hyperlink r:id="rId45" ref="V25"/>
    <hyperlink r:id="rId46" ref="U26"/>
    <hyperlink r:id="rId47" ref="V26"/>
    <hyperlink r:id="rId48" ref="U27"/>
    <hyperlink r:id="rId49" ref="V27"/>
    <hyperlink r:id="rId50" ref="U28"/>
    <hyperlink r:id="rId51" ref="V28"/>
    <hyperlink r:id="rId52" ref="U29"/>
    <hyperlink r:id="rId53" ref="V29"/>
    <hyperlink r:id="rId54" ref="U30"/>
    <hyperlink r:id="rId55" ref="V30"/>
    <hyperlink r:id="rId56" ref="U31"/>
    <hyperlink r:id="rId57" ref="V31"/>
    <hyperlink r:id="rId58" ref="U32"/>
    <hyperlink r:id="rId59" ref="V32"/>
    <hyperlink r:id="rId60" ref="U33"/>
    <hyperlink r:id="rId61" ref="V33"/>
    <hyperlink r:id="rId62" ref="U34"/>
    <hyperlink r:id="rId63" ref="V34"/>
    <hyperlink r:id="rId64" ref="U35"/>
    <hyperlink r:id="rId65" ref="V35"/>
    <hyperlink r:id="rId66" ref="U36"/>
    <hyperlink r:id="rId67" ref="V36"/>
    <hyperlink r:id="rId68" ref="U37"/>
    <hyperlink r:id="rId69" ref="V37"/>
    <hyperlink r:id="rId70" ref="U38"/>
    <hyperlink r:id="rId71" ref="V38"/>
    <hyperlink r:id="rId72" ref="U39"/>
    <hyperlink r:id="rId73" ref="V39"/>
    <hyperlink r:id="rId74" ref="U40"/>
    <hyperlink r:id="rId75" ref="V40"/>
    <hyperlink r:id="rId76" ref="U41"/>
    <hyperlink r:id="rId77" ref="V41"/>
    <hyperlink r:id="rId78" ref="U42"/>
    <hyperlink r:id="rId79" ref="V42"/>
    <hyperlink r:id="rId80" ref="U43"/>
    <hyperlink r:id="rId81" ref="V43"/>
    <hyperlink r:id="rId82" ref="U44"/>
    <hyperlink r:id="rId83" ref="V44"/>
    <hyperlink r:id="rId84" ref="U45"/>
    <hyperlink r:id="rId85" ref="V45"/>
    <hyperlink r:id="rId86" ref="U46"/>
    <hyperlink r:id="rId87" ref="V46"/>
    <hyperlink r:id="rId88" ref="U47"/>
    <hyperlink r:id="rId89" ref="V47"/>
    <hyperlink r:id="rId90" ref="U48"/>
    <hyperlink r:id="rId91" ref="V48"/>
    <hyperlink r:id="rId92" ref="U49"/>
    <hyperlink r:id="rId93" ref="V49"/>
    <hyperlink r:id="rId94" ref="U50"/>
    <hyperlink r:id="rId95" ref="V50"/>
    <hyperlink r:id="rId96" ref="U51"/>
    <hyperlink r:id="rId97" ref="V51"/>
    <hyperlink r:id="rId98" ref="U52"/>
    <hyperlink r:id="rId99" ref="V52"/>
    <hyperlink r:id="rId100" ref="U53"/>
    <hyperlink r:id="rId101" ref="V53"/>
    <hyperlink r:id="rId102" ref="U54"/>
    <hyperlink r:id="rId103" ref="V54"/>
    <hyperlink r:id="rId104" ref="U55"/>
    <hyperlink r:id="rId105" ref="V55"/>
    <hyperlink r:id="rId106" ref="U56"/>
    <hyperlink r:id="rId107" ref="U57"/>
    <hyperlink r:id="rId108" ref="V57"/>
    <hyperlink r:id="rId109" ref="U58"/>
    <hyperlink r:id="rId110" ref="V58"/>
    <hyperlink r:id="rId111" ref="U59"/>
    <hyperlink r:id="rId112" ref="V59"/>
    <hyperlink r:id="rId113" ref="U60"/>
    <hyperlink r:id="rId114" ref="U61"/>
    <hyperlink r:id="rId115" ref="V61"/>
    <hyperlink r:id="rId116" ref="U62"/>
    <hyperlink r:id="rId117" ref="V62"/>
    <hyperlink r:id="rId118" ref="U63"/>
    <hyperlink r:id="rId119" ref="U64"/>
    <hyperlink r:id="rId120" ref="V64"/>
    <hyperlink r:id="rId121" ref="U65"/>
    <hyperlink r:id="rId122" ref="V65"/>
    <hyperlink r:id="rId123" ref="U66"/>
    <hyperlink r:id="rId124" ref="V66"/>
    <hyperlink r:id="rId125" ref="U67"/>
    <hyperlink r:id="rId126" ref="V67"/>
    <hyperlink r:id="rId127" ref="U68"/>
    <hyperlink r:id="rId128" ref="U69"/>
    <hyperlink r:id="rId129" ref="U70"/>
    <hyperlink r:id="rId130" ref="V70"/>
    <hyperlink r:id="rId131" ref="U71"/>
    <hyperlink r:id="rId132" ref="U72"/>
    <hyperlink r:id="rId133" ref="V72"/>
    <hyperlink r:id="rId134" ref="U73"/>
    <hyperlink r:id="rId135" ref="V73"/>
    <hyperlink r:id="rId136" ref="U74"/>
    <hyperlink r:id="rId137" ref="V74"/>
    <hyperlink r:id="rId138" ref="U75"/>
    <hyperlink r:id="rId139" ref="V76"/>
    <hyperlink r:id="rId140" ref="U77"/>
    <hyperlink r:id="rId141" ref="U78"/>
    <hyperlink r:id="rId142" ref="V78"/>
    <hyperlink r:id="rId143" ref="U79"/>
    <hyperlink r:id="rId144" ref="V80"/>
    <hyperlink r:id="rId145" ref="U81"/>
    <hyperlink r:id="rId146" ref="V81"/>
    <hyperlink r:id="rId147" ref="U82"/>
    <hyperlink r:id="rId148" ref="V82"/>
    <hyperlink r:id="rId149" ref="U83"/>
    <hyperlink r:id="rId150" ref="U84"/>
    <hyperlink r:id="rId151" ref="U85"/>
    <hyperlink r:id="rId152" ref="U86"/>
    <hyperlink r:id="rId153" ref="U87"/>
    <hyperlink r:id="rId154" ref="U88"/>
    <hyperlink r:id="rId155" ref="U89"/>
    <hyperlink r:id="rId156" ref="U90"/>
    <hyperlink r:id="rId157" ref="V90"/>
    <hyperlink r:id="rId158" ref="U91"/>
    <hyperlink r:id="rId159" ref="V91"/>
    <hyperlink r:id="rId160" ref="U92"/>
    <hyperlink r:id="rId161" ref="V92"/>
    <hyperlink r:id="rId162" ref="U93"/>
    <hyperlink r:id="rId163" ref="V93"/>
    <hyperlink r:id="rId164" ref="U94"/>
    <hyperlink r:id="rId165" ref="V94"/>
    <hyperlink r:id="rId166" ref="U95"/>
    <hyperlink r:id="rId167" ref="V95"/>
    <hyperlink r:id="rId168" ref="U96"/>
    <hyperlink r:id="rId169" ref="U97"/>
    <hyperlink r:id="rId170" ref="U98"/>
    <hyperlink r:id="rId171" ref="U99"/>
    <hyperlink r:id="rId172" ref="V99"/>
    <hyperlink r:id="rId173" ref="U100"/>
    <hyperlink r:id="rId174" ref="V100"/>
    <hyperlink r:id="rId175" ref="U101"/>
    <hyperlink r:id="rId176" ref="U102"/>
    <hyperlink r:id="rId177" ref="V102"/>
    <hyperlink r:id="rId178" ref="U103"/>
    <hyperlink r:id="rId179" ref="U104"/>
    <hyperlink r:id="rId180" ref="V104"/>
    <hyperlink r:id="rId181" ref="U105"/>
    <hyperlink r:id="rId182" ref="U106"/>
    <hyperlink r:id="rId183" ref="U107"/>
    <hyperlink r:id="rId184" ref="V107"/>
    <hyperlink r:id="rId185" ref="U108"/>
    <hyperlink r:id="rId186" ref="U109"/>
    <hyperlink r:id="rId187" ref="U110"/>
    <hyperlink r:id="rId188" ref="U111"/>
    <hyperlink r:id="rId189" ref="U112"/>
    <hyperlink r:id="rId190" ref="V112"/>
    <hyperlink r:id="rId191" ref="U113"/>
    <hyperlink r:id="rId192" ref="U114"/>
    <hyperlink r:id="rId193" ref="U115"/>
    <hyperlink r:id="rId194" ref="V115"/>
    <hyperlink r:id="rId195" ref="V116"/>
    <hyperlink r:id="rId196" ref="U117"/>
    <hyperlink r:id="rId197" ref="V117"/>
    <hyperlink r:id="rId198" ref="U118"/>
    <hyperlink r:id="rId199" ref="U120"/>
    <hyperlink r:id="rId200" ref="V120"/>
    <hyperlink r:id="rId201" ref="U121"/>
    <hyperlink r:id="rId202" ref="V121"/>
    <hyperlink r:id="rId203" ref="U122"/>
    <hyperlink r:id="rId204" ref="U123"/>
    <hyperlink r:id="rId205" ref="U125"/>
    <hyperlink r:id="rId206" ref="V125"/>
    <hyperlink r:id="rId207" ref="U126"/>
    <hyperlink r:id="rId208" ref="U127"/>
    <hyperlink r:id="rId209" ref="V127"/>
    <hyperlink r:id="rId210" ref="U128"/>
    <hyperlink r:id="rId211" ref="V128"/>
    <hyperlink r:id="rId212" ref="U129"/>
    <hyperlink r:id="rId213" ref="V129"/>
    <hyperlink r:id="rId214" ref="U130"/>
    <hyperlink r:id="rId215" ref="V130"/>
    <hyperlink r:id="rId216" ref="U131"/>
    <hyperlink r:id="rId217" ref="V131"/>
    <hyperlink r:id="rId218" ref="U132"/>
    <hyperlink r:id="rId219" ref="U133"/>
    <hyperlink r:id="rId220" ref="V133"/>
    <hyperlink r:id="rId221" ref="U135"/>
    <hyperlink r:id="rId222" ref="V135"/>
    <hyperlink r:id="rId223" ref="U136"/>
    <hyperlink r:id="rId224" ref="V136"/>
    <hyperlink r:id="rId225" ref="U137"/>
    <hyperlink r:id="rId226" ref="U138"/>
    <hyperlink r:id="rId227" ref="V138"/>
    <hyperlink r:id="rId228" ref="U139"/>
    <hyperlink r:id="rId229" ref="V139"/>
    <hyperlink r:id="rId230" ref="U140"/>
    <hyperlink r:id="rId231" ref="V140"/>
    <hyperlink r:id="rId232" ref="U141"/>
    <hyperlink r:id="rId233" ref="V141"/>
    <hyperlink r:id="rId234" ref="U142"/>
    <hyperlink r:id="rId235" ref="V142"/>
    <hyperlink r:id="rId236" ref="U143"/>
    <hyperlink r:id="rId237" ref="U144"/>
    <hyperlink r:id="rId238" ref="V144"/>
    <hyperlink r:id="rId239" ref="U145"/>
    <hyperlink r:id="rId240" ref="V145"/>
    <hyperlink r:id="rId241" ref="U146"/>
    <hyperlink r:id="rId242" ref="V146"/>
    <hyperlink r:id="rId243" ref="U147"/>
    <hyperlink r:id="rId244" ref="U148"/>
    <hyperlink r:id="rId245" ref="U149"/>
    <hyperlink r:id="rId246" ref="V149"/>
    <hyperlink r:id="rId247" ref="U151"/>
    <hyperlink r:id="rId248" ref="V151"/>
    <hyperlink r:id="rId249" ref="U152"/>
    <hyperlink r:id="rId250" ref="U153"/>
    <hyperlink r:id="rId251" ref="B154"/>
    <hyperlink r:id="rId252" ref="U154"/>
    <hyperlink r:id="rId253" ref="V154"/>
    <hyperlink r:id="rId254" ref="U155"/>
    <hyperlink r:id="rId255" ref="V155"/>
    <hyperlink r:id="rId256" ref="U156"/>
    <hyperlink r:id="rId257" ref="B158"/>
    <hyperlink r:id="rId258" ref="U158"/>
    <hyperlink r:id="rId259" ref="V158"/>
    <hyperlink r:id="rId260" ref="V159"/>
    <hyperlink r:id="rId261" ref="U160"/>
    <hyperlink r:id="rId262" ref="V160"/>
    <hyperlink r:id="rId263" ref="U161"/>
    <hyperlink r:id="rId264" ref="V161"/>
    <hyperlink r:id="rId265" ref="U163"/>
    <hyperlink r:id="rId266" ref="U164"/>
    <hyperlink r:id="rId267" ref="V164"/>
    <hyperlink r:id="rId268" ref="U165"/>
    <hyperlink r:id="rId269" ref="V165"/>
    <hyperlink r:id="rId270" ref="U166"/>
    <hyperlink r:id="rId271" ref="V166"/>
    <hyperlink r:id="rId272" ref="U167"/>
    <hyperlink r:id="rId273" ref="V167"/>
    <hyperlink r:id="rId274" ref="U168"/>
    <hyperlink r:id="rId275" ref="V168"/>
    <hyperlink r:id="rId276" ref="U169"/>
    <hyperlink r:id="rId277" ref="U170"/>
    <hyperlink r:id="rId278" ref="V170"/>
    <hyperlink r:id="rId279" ref="U171"/>
    <hyperlink r:id="rId280" ref="V171"/>
    <hyperlink r:id="rId281" ref="U172"/>
    <hyperlink r:id="rId282" ref="V172"/>
    <hyperlink r:id="rId283" ref="U173"/>
    <hyperlink r:id="rId284" ref="V173"/>
    <hyperlink r:id="rId285" ref="U174"/>
    <hyperlink r:id="rId286" ref="V174"/>
    <hyperlink r:id="rId287" ref="U175"/>
    <hyperlink r:id="rId288" ref="V175"/>
    <hyperlink r:id="rId289" ref="V176"/>
    <hyperlink r:id="rId290" ref="U178"/>
    <hyperlink r:id="rId291" ref="V178"/>
    <hyperlink r:id="rId292" ref="U179"/>
    <hyperlink r:id="rId293" ref="U180"/>
    <hyperlink r:id="rId294" ref="U182"/>
    <hyperlink r:id="rId295" ref="V182"/>
    <hyperlink r:id="rId296" ref="U183"/>
    <hyperlink r:id="rId297" ref="U184"/>
    <hyperlink r:id="rId298" ref="U185"/>
    <hyperlink r:id="rId299" ref="V185"/>
    <hyperlink r:id="rId300" ref="U187"/>
    <hyperlink r:id="rId301" ref="U189"/>
    <hyperlink r:id="rId302" ref="V189"/>
    <hyperlink r:id="rId303" ref="U190"/>
    <hyperlink r:id="rId304" ref="U191"/>
    <hyperlink r:id="rId305" ref="V191"/>
    <hyperlink r:id="rId306" ref="U192"/>
    <hyperlink r:id="rId307" ref="U194"/>
    <hyperlink r:id="rId308" ref="V194"/>
    <hyperlink r:id="rId309" ref="U195"/>
    <hyperlink r:id="rId310" ref="U196"/>
    <hyperlink r:id="rId311" ref="V196"/>
    <hyperlink r:id="rId312" ref="U197"/>
    <hyperlink r:id="rId313" ref="U198"/>
    <hyperlink r:id="rId314" ref="U199"/>
    <hyperlink r:id="rId315" ref="U200"/>
    <hyperlink r:id="rId316" ref="B202"/>
    <hyperlink r:id="rId317" ref="U202"/>
    <hyperlink r:id="rId318" ref="U203"/>
    <hyperlink r:id="rId319" ref="V203"/>
    <hyperlink r:id="rId320" ref="U204"/>
    <hyperlink r:id="rId321" ref="U205"/>
    <hyperlink r:id="rId322" ref="V205"/>
    <hyperlink r:id="rId323" ref="U206"/>
    <hyperlink r:id="rId324" ref="U207"/>
    <hyperlink r:id="rId325" ref="V207"/>
    <hyperlink r:id="rId326" ref="U208"/>
    <hyperlink r:id="rId327" ref="V208"/>
    <hyperlink r:id="rId328" ref="U210"/>
    <hyperlink r:id="rId329" ref="V210"/>
    <hyperlink r:id="rId330" ref="U211"/>
    <hyperlink r:id="rId331" ref="U212"/>
    <hyperlink r:id="rId332" ref="V212"/>
    <hyperlink r:id="rId333" ref="U213"/>
    <hyperlink r:id="rId334" ref="V213"/>
    <hyperlink r:id="rId335" ref="U214"/>
    <hyperlink r:id="rId336" ref="V214"/>
    <hyperlink r:id="rId337" ref="U215"/>
    <hyperlink r:id="rId338" ref="V215"/>
    <hyperlink r:id="rId339" ref="U216"/>
    <hyperlink r:id="rId340" ref="U217"/>
    <hyperlink r:id="rId341" ref="V217"/>
    <hyperlink r:id="rId342" ref="U218"/>
    <hyperlink r:id="rId343" ref="V218"/>
    <hyperlink r:id="rId344" ref="U219"/>
    <hyperlink r:id="rId345" ref="V219"/>
    <hyperlink r:id="rId346" ref="U220"/>
    <hyperlink r:id="rId347" ref="V220"/>
    <hyperlink r:id="rId348" ref="U221"/>
    <hyperlink r:id="rId349" ref="U222"/>
    <hyperlink r:id="rId350" ref="U223"/>
    <hyperlink r:id="rId351" ref="V223"/>
    <hyperlink r:id="rId352" ref="U224"/>
    <hyperlink r:id="rId353" ref="V224"/>
    <hyperlink r:id="rId354" ref="U225"/>
    <hyperlink r:id="rId355" ref="U226"/>
    <hyperlink r:id="rId356" ref="U228"/>
    <hyperlink r:id="rId357" ref="V228"/>
    <hyperlink r:id="rId358" ref="U229"/>
    <hyperlink r:id="rId359" ref="V229"/>
    <hyperlink r:id="rId360" ref="U230"/>
    <hyperlink r:id="rId361" ref="U231"/>
    <hyperlink r:id="rId362" ref="V231"/>
    <hyperlink r:id="rId363" ref="U232"/>
    <hyperlink r:id="rId364" ref="V232"/>
    <hyperlink r:id="rId365" ref="U233"/>
    <hyperlink r:id="rId366" ref="V233"/>
    <hyperlink r:id="rId367" ref="U234"/>
    <hyperlink r:id="rId368" ref="V234"/>
    <hyperlink r:id="rId369" ref="U235"/>
    <hyperlink r:id="rId370" ref="V235"/>
    <hyperlink r:id="rId371" ref="U236"/>
    <hyperlink r:id="rId372" ref="V236"/>
    <hyperlink r:id="rId373" ref="U237"/>
    <hyperlink r:id="rId374" ref="U238"/>
    <hyperlink r:id="rId375" ref="V238"/>
    <hyperlink r:id="rId376" ref="U239"/>
    <hyperlink r:id="rId377" ref="U240"/>
    <hyperlink r:id="rId378" ref="V240"/>
    <hyperlink r:id="rId379" ref="U241"/>
    <hyperlink r:id="rId380" ref="V241"/>
    <hyperlink r:id="rId381" ref="U242"/>
    <hyperlink r:id="rId382" ref="U244"/>
    <hyperlink r:id="rId383" ref="V244"/>
    <hyperlink r:id="rId384" ref="U245"/>
    <hyperlink r:id="rId385" ref="V245"/>
    <hyperlink r:id="rId386" ref="U246"/>
    <hyperlink r:id="rId387" ref="V246"/>
    <hyperlink r:id="rId388" ref="U248"/>
    <hyperlink r:id="rId389" ref="V248"/>
    <hyperlink r:id="rId390" ref="U249"/>
    <hyperlink r:id="rId391" ref="U250"/>
    <hyperlink r:id="rId392" ref="V250"/>
    <hyperlink r:id="rId393" ref="U251"/>
    <hyperlink r:id="rId394" ref="V251"/>
    <hyperlink r:id="rId395" ref="U252"/>
    <hyperlink r:id="rId396" ref="U253"/>
    <hyperlink r:id="rId397" ref="U254"/>
    <hyperlink r:id="rId398" ref="U255"/>
    <hyperlink r:id="rId399" ref="U256"/>
    <hyperlink r:id="rId400" ref="U257"/>
    <hyperlink r:id="rId401" ref="V257"/>
    <hyperlink r:id="rId402" ref="U258"/>
    <hyperlink r:id="rId403" ref="BI258"/>
    <hyperlink r:id="rId404" ref="U259"/>
    <hyperlink r:id="rId405" ref="U261"/>
    <hyperlink r:id="rId406" ref="V261"/>
    <hyperlink r:id="rId407" ref="U262"/>
    <hyperlink r:id="rId408" ref="U263"/>
    <hyperlink r:id="rId409" ref="V263"/>
    <hyperlink r:id="rId410" ref="U264"/>
    <hyperlink r:id="rId411" ref="V264"/>
    <hyperlink r:id="rId412" ref="U265"/>
    <hyperlink r:id="rId413" ref="V265"/>
    <hyperlink r:id="rId414" ref="U266"/>
    <hyperlink r:id="rId415" ref="V266"/>
    <hyperlink r:id="rId416" ref="U267"/>
    <hyperlink r:id="rId417" ref="V267"/>
    <hyperlink r:id="rId418" ref="U268"/>
    <hyperlink r:id="rId419" ref="V268"/>
    <hyperlink r:id="rId420" ref="U269"/>
    <hyperlink r:id="rId421" ref="V269"/>
    <hyperlink r:id="rId422" ref="U270"/>
    <hyperlink r:id="rId423" ref="V270"/>
    <hyperlink r:id="rId424" ref="U271"/>
    <hyperlink r:id="rId425" ref="U272"/>
    <hyperlink r:id="rId426" ref="V272"/>
    <hyperlink r:id="rId427" ref="U273"/>
    <hyperlink r:id="rId428" ref="U274"/>
    <hyperlink r:id="rId429" ref="V274"/>
    <hyperlink r:id="rId430" ref="U275"/>
    <hyperlink r:id="rId431" ref="V275"/>
    <hyperlink r:id="rId432" ref="U276"/>
    <hyperlink r:id="rId433" ref="V276"/>
    <hyperlink r:id="rId434" ref="U277"/>
    <hyperlink r:id="rId435" ref="V277"/>
    <hyperlink r:id="rId436" ref="U278"/>
    <hyperlink r:id="rId437" ref="U279"/>
    <hyperlink r:id="rId438" ref="V279"/>
    <hyperlink r:id="rId439" ref="U280"/>
    <hyperlink r:id="rId440" ref="V280"/>
    <hyperlink r:id="rId441" ref="U281"/>
    <hyperlink r:id="rId442" ref="V281"/>
    <hyperlink r:id="rId443" ref="U282"/>
    <hyperlink r:id="rId444" ref="V282"/>
    <hyperlink r:id="rId445" ref="U283"/>
    <hyperlink r:id="rId446" ref="U284"/>
    <hyperlink r:id="rId447" ref="B285"/>
    <hyperlink r:id="rId448" ref="U285"/>
    <hyperlink r:id="rId449" ref="U286"/>
    <hyperlink r:id="rId450" ref="V286"/>
    <hyperlink r:id="rId451" ref="U287"/>
    <hyperlink r:id="rId452" ref="B288"/>
    <hyperlink r:id="rId453" ref="U288"/>
    <hyperlink r:id="rId454" ref="V288"/>
    <hyperlink r:id="rId455" ref="U289"/>
    <hyperlink r:id="rId456" ref="V289"/>
    <hyperlink r:id="rId457" ref="U290"/>
    <hyperlink r:id="rId458" ref="V290"/>
    <hyperlink r:id="rId459" ref="U292"/>
    <hyperlink r:id="rId460" ref="V292"/>
    <hyperlink r:id="rId461" ref="U293"/>
    <hyperlink r:id="rId462" ref="U294"/>
    <hyperlink r:id="rId463" ref="V294"/>
    <hyperlink r:id="rId464" ref="U295"/>
    <hyperlink r:id="rId465" ref="V295"/>
    <hyperlink r:id="rId466" ref="U296"/>
    <hyperlink r:id="rId467" ref="V296"/>
    <hyperlink r:id="rId468" ref="U297"/>
    <hyperlink r:id="rId469" ref="V297"/>
    <hyperlink r:id="rId470" ref="U299"/>
    <hyperlink r:id="rId471" ref="V299"/>
    <hyperlink r:id="rId472" ref="U301"/>
    <hyperlink r:id="rId473" ref="U302"/>
    <hyperlink r:id="rId474" ref="V302"/>
    <hyperlink r:id="rId475" ref="U304"/>
    <hyperlink r:id="rId476" ref="V304"/>
    <hyperlink r:id="rId477" ref="U305"/>
    <hyperlink r:id="rId478" ref="U306"/>
    <hyperlink r:id="rId479" ref="V306"/>
    <hyperlink r:id="rId480" ref="U307"/>
    <hyperlink r:id="rId481" ref="V307"/>
    <hyperlink r:id="rId482" ref="U308"/>
    <hyperlink r:id="rId483" ref="U309"/>
    <hyperlink r:id="rId484" ref="U310"/>
    <hyperlink r:id="rId485" ref="V310"/>
    <hyperlink r:id="rId486" ref="U311"/>
    <hyperlink r:id="rId487" ref="U312"/>
    <hyperlink r:id="rId488" ref="U313"/>
    <hyperlink r:id="rId489" ref="V313"/>
    <hyperlink r:id="rId490" ref="U314"/>
    <hyperlink r:id="rId491" ref="U315"/>
    <hyperlink r:id="rId492" ref="U316"/>
    <hyperlink r:id="rId493" ref="V316"/>
    <hyperlink r:id="rId494" ref="U317"/>
    <hyperlink r:id="rId495" ref="U318"/>
    <hyperlink r:id="rId496" ref="U319"/>
    <hyperlink r:id="rId497" ref="V319"/>
    <hyperlink r:id="rId498" ref="U320"/>
    <hyperlink r:id="rId499" ref="V320"/>
    <hyperlink r:id="rId500" ref="U321"/>
    <hyperlink r:id="rId501" ref="U322"/>
    <hyperlink r:id="rId502" ref="U323"/>
    <hyperlink r:id="rId503" ref="V323"/>
    <hyperlink r:id="rId504" ref="U324"/>
    <hyperlink r:id="rId505" ref="V324"/>
    <hyperlink r:id="rId506" ref="U325"/>
    <hyperlink r:id="rId507" ref="V325"/>
    <hyperlink r:id="rId508" ref="U326"/>
    <hyperlink r:id="rId509" ref="U327"/>
    <hyperlink r:id="rId510" ref="V327"/>
    <hyperlink r:id="rId511" ref="U328"/>
    <hyperlink r:id="rId512" ref="V328"/>
    <hyperlink r:id="rId513" ref="U329"/>
    <hyperlink r:id="rId514" ref="V329"/>
    <hyperlink r:id="rId515" ref="U330"/>
    <hyperlink r:id="rId516" ref="V330"/>
    <hyperlink r:id="rId517" ref="U331"/>
    <hyperlink r:id="rId518" ref="V331"/>
    <hyperlink r:id="rId519" ref="U332"/>
    <hyperlink r:id="rId520" ref="V332"/>
    <hyperlink r:id="rId521" ref="U334"/>
    <hyperlink r:id="rId522" ref="U335"/>
    <hyperlink r:id="rId523" ref="U336"/>
    <hyperlink r:id="rId524" ref="V336"/>
    <hyperlink r:id="rId525" ref="U337"/>
    <hyperlink r:id="rId526" ref="V337"/>
    <hyperlink r:id="rId527" ref="U339"/>
    <hyperlink r:id="rId528" ref="U341"/>
    <hyperlink r:id="rId529" ref="V341"/>
    <hyperlink r:id="rId530" ref="U342"/>
    <hyperlink r:id="rId531" ref="U343"/>
    <hyperlink r:id="rId532" ref="U344"/>
    <hyperlink r:id="rId533" ref="V344"/>
    <hyperlink r:id="rId534" ref="U345"/>
    <hyperlink r:id="rId535" ref="V345"/>
  </hyperlinks>
  <drawing r:id="rId5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13.75"/>
    <col customWidth="1" min="4" max="4" width="5.75"/>
    <col customWidth="1" min="5" max="13" width="25.25"/>
    <col customWidth="1" min="15" max="15" width="27.25"/>
    <col customWidth="1" min="16" max="16" width="11.5"/>
    <col customWidth="1" min="17" max="17" width="15.75"/>
    <col customWidth="1" min="18" max="18" width="12.38"/>
    <col customWidth="1" min="19" max="19" width="16.25"/>
    <col customWidth="1" min="20" max="20" width="15.88"/>
    <col customWidth="1" min="21" max="21" width="16.25"/>
    <col customWidth="1" min="22" max="22" width="13.5"/>
    <col customWidth="1" min="23" max="23" width="14.38"/>
    <col customWidth="1" min="27" max="27" width="30.5"/>
    <col customWidth="1" min="41" max="41" width="33.5"/>
    <col customWidth="1" min="79" max="79" width="22.38"/>
    <col customWidth="1" min="146" max="146" width="8.5"/>
  </cols>
  <sheetData>
    <row r="1">
      <c r="BD1" s="56"/>
    </row>
    <row r="2">
      <c r="A2" s="29" t="s">
        <v>3417</v>
      </c>
      <c r="B2" s="30" t="s">
        <v>9593</v>
      </c>
      <c r="C2" s="30"/>
      <c r="D2" s="30"/>
      <c r="BD2" s="56"/>
    </row>
    <row r="3">
      <c r="B3" s="31" t="s">
        <v>3420</v>
      </c>
      <c r="C3" s="31" t="s">
        <v>3438</v>
      </c>
      <c r="D3" s="31" t="s">
        <v>3439</v>
      </c>
      <c r="E3" s="31" t="s">
        <v>3426</v>
      </c>
      <c r="F3" s="31" t="s">
        <v>3427</v>
      </c>
      <c r="G3" s="31" t="s">
        <v>3428</v>
      </c>
      <c r="H3" s="31" t="s">
        <v>9594</v>
      </c>
      <c r="I3" s="57" t="s">
        <v>3533</v>
      </c>
      <c r="J3" s="31" t="s">
        <v>3429</v>
      </c>
      <c r="K3" s="31" t="s">
        <v>3430</v>
      </c>
      <c r="L3" s="31" t="s">
        <v>3431</v>
      </c>
      <c r="M3" s="31" t="s">
        <v>3421</v>
      </c>
      <c r="N3" s="31" t="s">
        <v>3422</v>
      </c>
      <c r="O3" s="31" t="s">
        <v>3423</v>
      </c>
      <c r="P3" s="31" t="s">
        <v>3433</v>
      </c>
      <c r="Q3" s="31" t="s">
        <v>3541</v>
      </c>
      <c r="R3" s="31" t="s">
        <v>3542</v>
      </c>
      <c r="S3" s="31" t="s">
        <v>3543</v>
      </c>
      <c r="T3" s="31" t="s">
        <v>3544</v>
      </c>
      <c r="U3" s="31" t="s">
        <v>3545</v>
      </c>
      <c r="V3" s="31" t="s">
        <v>3546</v>
      </c>
      <c r="W3" s="31" t="s">
        <v>3547</v>
      </c>
      <c r="X3" s="31" t="s">
        <v>3424</v>
      </c>
      <c r="Y3" s="31" t="s">
        <v>9595</v>
      </c>
      <c r="Z3" s="31" t="s">
        <v>3425</v>
      </c>
      <c r="AA3" s="31" t="s">
        <v>3432</v>
      </c>
      <c r="AB3" s="31" t="s">
        <v>3419</v>
      </c>
      <c r="AC3" s="31" t="s">
        <v>3434</v>
      </c>
      <c r="AD3" s="31" t="s">
        <v>3435</v>
      </c>
      <c r="AE3" s="31" t="s">
        <v>3436</v>
      </c>
      <c r="AF3" s="31" t="s">
        <v>11</v>
      </c>
      <c r="AG3" s="31" t="s">
        <v>3437</v>
      </c>
      <c r="AH3" s="31" t="s">
        <v>3438</v>
      </c>
      <c r="AI3" s="31" t="s">
        <v>3439</v>
      </c>
      <c r="AJ3" s="31" t="s">
        <v>3440</v>
      </c>
      <c r="AK3" s="31" t="s">
        <v>3441</v>
      </c>
      <c r="AL3" s="31" t="s">
        <v>3442</v>
      </c>
      <c r="AM3" s="31" t="s">
        <v>3443</v>
      </c>
      <c r="AN3" s="58" t="s">
        <v>3457</v>
      </c>
      <c r="AO3" s="58" t="s">
        <v>3458</v>
      </c>
      <c r="AP3" s="58" t="s">
        <v>3459</v>
      </c>
      <c r="AQ3" s="31" t="s">
        <v>3444</v>
      </c>
      <c r="AR3" s="31" t="s">
        <v>3445</v>
      </c>
      <c r="AS3" s="31" t="s">
        <v>3446</v>
      </c>
      <c r="AT3" s="31" t="s">
        <v>3447</v>
      </c>
      <c r="AU3" s="31" t="s">
        <v>3448</v>
      </c>
      <c r="AV3" s="31" t="s">
        <v>3449</v>
      </c>
      <c r="AW3" s="31" t="s">
        <v>3450</v>
      </c>
      <c r="AX3" s="31" t="s">
        <v>3451</v>
      </c>
      <c r="AY3" s="31" t="s">
        <v>3452</v>
      </c>
      <c r="AZ3" s="31" t="s">
        <v>3453</v>
      </c>
      <c r="BA3" s="31" t="s">
        <v>3454</v>
      </c>
      <c r="BB3" s="31" t="s">
        <v>3455</v>
      </c>
      <c r="BC3" s="31" t="s">
        <v>3456</v>
      </c>
      <c r="BD3" s="59" t="s">
        <v>3460</v>
      </c>
      <c r="BE3" s="31" t="s">
        <v>3461</v>
      </c>
      <c r="BF3" s="31" t="s">
        <v>3462</v>
      </c>
      <c r="BG3" s="31" t="s">
        <v>3463</v>
      </c>
      <c r="BH3" s="31" t="s">
        <v>13</v>
      </c>
      <c r="BI3" s="31" t="s">
        <v>3464</v>
      </c>
      <c r="BJ3" s="31" t="s">
        <v>3465</v>
      </c>
      <c r="BK3" s="31" t="s">
        <v>3466</v>
      </c>
      <c r="BL3" s="31" t="s">
        <v>20</v>
      </c>
      <c r="BM3" s="31" t="s">
        <v>3467</v>
      </c>
      <c r="BN3" s="31" t="s">
        <v>3468</v>
      </c>
      <c r="BO3" s="31" t="s">
        <v>3469</v>
      </c>
      <c r="BP3" s="31" t="s">
        <v>3470</v>
      </c>
      <c r="BQ3" s="31" t="s">
        <v>3471</v>
      </c>
      <c r="BR3" s="31" t="s">
        <v>3472</v>
      </c>
      <c r="BS3" s="31" t="s">
        <v>3473</v>
      </c>
      <c r="BT3" s="31" t="s">
        <v>3474</v>
      </c>
      <c r="BU3" s="31" t="s">
        <v>3475</v>
      </c>
      <c r="BV3" s="31" t="s">
        <v>3476</v>
      </c>
      <c r="BW3" s="31" t="s">
        <v>3477</v>
      </c>
      <c r="BX3" s="31" t="s">
        <v>3478</v>
      </c>
      <c r="BY3" s="31" t="s">
        <v>3479</v>
      </c>
      <c r="BZ3" s="31" t="s">
        <v>3480</v>
      </c>
      <c r="CA3" s="31" t="s">
        <v>3481</v>
      </c>
      <c r="CB3" s="31" t="s">
        <v>3482</v>
      </c>
      <c r="CC3" s="31" t="s">
        <v>3483</v>
      </c>
      <c r="CD3" s="31" t="s">
        <v>3484</v>
      </c>
      <c r="CE3" s="31" t="s">
        <v>3485</v>
      </c>
      <c r="CF3" s="31" t="s">
        <v>3486</v>
      </c>
      <c r="CG3" s="31" t="s">
        <v>3487</v>
      </c>
      <c r="CH3" s="31" t="s">
        <v>3488</v>
      </c>
      <c r="CI3" s="31" t="s">
        <v>3489</v>
      </c>
      <c r="CJ3" s="31" t="s">
        <v>3490</v>
      </c>
      <c r="CK3" s="31" t="s">
        <v>3491</v>
      </c>
      <c r="CL3" s="31" t="s">
        <v>3492</v>
      </c>
      <c r="CM3" s="31" t="s">
        <v>3493</v>
      </c>
      <c r="CN3" s="31" t="s">
        <v>3494</v>
      </c>
      <c r="CO3" s="31" t="s">
        <v>3495</v>
      </c>
      <c r="CP3" s="31" t="s">
        <v>3496</v>
      </c>
      <c r="CQ3" s="31" t="s">
        <v>3497</v>
      </c>
      <c r="CR3" s="31" t="s">
        <v>3498</v>
      </c>
      <c r="CS3" s="31" t="s">
        <v>3499</v>
      </c>
      <c r="CT3" s="31" t="s">
        <v>3500</v>
      </c>
      <c r="CU3" s="31" t="s">
        <v>3501</v>
      </c>
      <c r="CV3" s="31" t="s">
        <v>3502</v>
      </c>
      <c r="CW3" s="31" t="s">
        <v>3503</v>
      </c>
      <c r="CX3" s="31" t="s">
        <v>3504</v>
      </c>
      <c r="CY3" s="31" t="s">
        <v>3505</v>
      </c>
      <c r="CZ3" s="31" t="s">
        <v>3506</v>
      </c>
      <c r="DA3" s="31" t="s">
        <v>3507</v>
      </c>
      <c r="DB3" s="31" t="s">
        <v>3508</v>
      </c>
      <c r="DC3" s="31" t="s">
        <v>3509</v>
      </c>
      <c r="DD3" s="31" t="s">
        <v>3510</v>
      </c>
      <c r="DE3" s="31" t="s">
        <v>3511</v>
      </c>
      <c r="DF3" s="31" t="s">
        <v>3512</v>
      </c>
      <c r="DG3" s="31" t="s">
        <v>3513</v>
      </c>
      <c r="DH3" s="31" t="s">
        <v>3514</v>
      </c>
      <c r="DI3" s="31" t="s">
        <v>3515</v>
      </c>
      <c r="DJ3" s="31" t="s">
        <v>3516</v>
      </c>
      <c r="DK3" s="31" t="s">
        <v>3517</v>
      </c>
      <c r="DL3" s="31" t="s">
        <v>3518</v>
      </c>
      <c r="DM3" s="31" t="s">
        <v>3519</v>
      </c>
      <c r="DN3" s="31" t="s">
        <v>3520</v>
      </c>
      <c r="DO3" s="31" t="s">
        <v>3521</v>
      </c>
      <c r="DP3" s="31" t="s">
        <v>3522</v>
      </c>
      <c r="DQ3" s="31" t="s">
        <v>3523</v>
      </c>
      <c r="DR3" s="31" t="s">
        <v>3524</v>
      </c>
      <c r="DS3" s="31" t="s">
        <v>3525</v>
      </c>
      <c r="DT3" s="31" t="s">
        <v>3526</v>
      </c>
      <c r="DU3" s="31" t="s">
        <v>3527</v>
      </c>
      <c r="DV3" s="31" t="s">
        <v>3528</v>
      </c>
      <c r="DW3" s="31" t="s">
        <v>3529</v>
      </c>
      <c r="DX3" s="31" t="s">
        <v>3530</v>
      </c>
      <c r="DY3" s="31" t="s">
        <v>3531</v>
      </c>
      <c r="DZ3" s="31" t="s">
        <v>3534</v>
      </c>
      <c r="EA3" s="31" t="s">
        <v>3535</v>
      </c>
      <c r="EB3" s="31" t="s">
        <v>3536</v>
      </c>
      <c r="EC3" s="31" t="s">
        <v>3537</v>
      </c>
      <c r="ED3" s="31" t="s">
        <v>3538</v>
      </c>
      <c r="EE3" s="31" t="s">
        <v>3539</v>
      </c>
      <c r="EF3" s="31" t="s">
        <v>3540</v>
      </c>
      <c r="EG3" s="31" t="s">
        <v>3548</v>
      </c>
      <c r="EH3" s="31" t="s">
        <v>3549</v>
      </c>
      <c r="EI3" s="31" t="s">
        <v>3550</v>
      </c>
      <c r="EJ3" s="31" t="s">
        <v>3551</v>
      </c>
      <c r="EK3" s="31" t="s">
        <v>3552</v>
      </c>
      <c r="EL3" s="31" t="s">
        <v>3553</v>
      </c>
      <c r="EM3" s="31" t="s">
        <v>3554</v>
      </c>
      <c r="EN3" s="31" t="s">
        <v>3555</v>
      </c>
      <c r="EO3" s="31" t="s">
        <v>3556</v>
      </c>
      <c r="EP3" s="31" t="s">
        <v>3557</v>
      </c>
      <c r="EQ3" s="31" t="s">
        <v>3558</v>
      </c>
      <c r="ER3" s="31" t="s">
        <v>9594</v>
      </c>
      <c r="ES3" s="31" t="s">
        <v>9596</v>
      </c>
      <c r="ET3" s="31" t="s">
        <v>9597</v>
      </c>
      <c r="EU3" s="31" t="s">
        <v>9598</v>
      </c>
      <c r="EV3" s="31" t="s">
        <v>3559</v>
      </c>
    </row>
    <row r="4">
      <c r="B4" s="35" t="s">
        <v>3946</v>
      </c>
      <c r="C4" s="32">
        <v>20.0</v>
      </c>
      <c r="D4" s="35" t="s">
        <v>9599</v>
      </c>
      <c r="E4" s="35" t="s">
        <v>3563</v>
      </c>
      <c r="F4" s="35" t="s">
        <v>3564</v>
      </c>
      <c r="G4" s="35" t="s">
        <v>3565</v>
      </c>
      <c r="H4" s="35" t="s">
        <v>6037</v>
      </c>
      <c r="I4" s="60">
        <v>45973.0</v>
      </c>
      <c r="J4" s="35" t="s">
        <v>3950</v>
      </c>
      <c r="K4" s="35" t="s">
        <v>3567</v>
      </c>
      <c r="L4" s="35" t="s">
        <v>3951</v>
      </c>
      <c r="M4" s="34"/>
      <c r="N4" s="35" t="s">
        <v>92</v>
      </c>
      <c r="O4" s="35" t="s">
        <v>3947</v>
      </c>
      <c r="P4" s="35" t="s">
        <v>3952</v>
      </c>
      <c r="Q4" s="32">
        <v>86.0</v>
      </c>
      <c r="R4" s="35" t="s">
        <v>3602</v>
      </c>
      <c r="S4" s="39">
        <v>0.77</v>
      </c>
      <c r="T4" s="39">
        <v>0.23</v>
      </c>
      <c r="U4" s="35" t="s">
        <v>3603</v>
      </c>
      <c r="V4" s="39">
        <v>0.01</v>
      </c>
      <c r="W4" s="39">
        <v>0.76</v>
      </c>
      <c r="X4" s="35" t="s">
        <v>9600</v>
      </c>
      <c r="Y4" s="35" t="s">
        <v>3952</v>
      </c>
      <c r="Z4" s="35" t="s">
        <v>3949</v>
      </c>
      <c r="AA4" s="35" t="s">
        <v>3569</v>
      </c>
      <c r="AB4" s="32">
        <v>3.0</v>
      </c>
      <c r="AC4" s="35" t="s">
        <v>3571</v>
      </c>
      <c r="AD4" s="35" t="s">
        <v>3572</v>
      </c>
      <c r="AE4" s="35" t="s">
        <v>3573</v>
      </c>
      <c r="AF4" s="36" t="s">
        <v>3953</v>
      </c>
      <c r="AG4" s="36" t="s">
        <v>3954</v>
      </c>
      <c r="AH4" s="32">
        <v>20.0</v>
      </c>
      <c r="AI4" s="35" t="s">
        <v>9599</v>
      </c>
      <c r="AJ4" s="34"/>
      <c r="AK4" s="34"/>
      <c r="AL4" s="32">
        <v>2013.0</v>
      </c>
      <c r="AM4" s="34"/>
      <c r="AN4" s="35" t="s">
        <v>94</v>
      </c>
      <c r="AO4" s="35" t="s">
        <v>3579</v>
      </c>
      <c r="AP4" s="35" t="s">
        <v>95</v>
      </c>
      <c r="AQ4" s="34"/>
      <c r="AR4" s="34"/>
      <c r="AS4" s="32">
        <v>2.0</v>
      </c>
      <c r="AT4" s="37"/>
      <c r="AU4" s="37"/>
      <c r="AV4" s="37"/>
      <c r="AW4" s="37"/>
      <c r="AX4" s="37"/>
      <c r="AY4" s="37"/>
      <c r="AZ4" s="37"/>
      <c r="BA4" s="39">
        <v>1.0</v>
      </c>
      <c r="BB4" s="32" t="s">
        <v>3716</v>
      </c>
      <c r="BC4" s="35" t="s">
        <v>3956</v>
      </c>
      <c r="BD4" s="61">
        <f>+ 571-5448299</f>
        <v>-5447728</v>
      </c>
      <c r="BE4" s="35" t="s">
        <v>3957</v>
      </c>
      <c r="BF4" s="35" t="s">
        <v>3958</v>
      </c>
      <c r="BG4" s="34"/>
      <c r="BH4" s="35" t="s">
        <v>137</v>
      </c>
      <c r="BI4" s="34"/>
      <c r="BJ4" s="32">
        <v>4453001.0</v>
      </c>
      <c r="BK4" s="35" t="s">
        <v>41</v>
      </c>
      <c r="BL4" s="37" t="str">
        <f>+972 (0)4 689 1247</f>
        <v>#ERROR!</v>
      </c>
      <c r="BM4" s="37"/>
      <c r="BN4" s="35" t="s">
        <v>99</v>
      </c>
      <c r="BO4" s="35" t="s">
        <v>3584</v>
      </c>
      <c r="BP4" s="35" t="s">
        <v>3584</v>
      </c>
      <c r="BQ4" s="35" t="s">
        <v>3959</v>
      </c>
      <c r="BR4" s="35" t="s">
        <v>3960</v>
      </c>
      <c r="BS4" s="32">
        <v>7.0</v>
      </c>
      <c r="BT4" s="34"/>
      <c r="BU4" s="35" t="s">
        <v>3961</v>
      </c>
      <c r="BV4" s="34"/>
      <c r="BW4" s="35" t="s">
        <v>3962</v>
      </c>
      <c r="BX4" s="35" t="s">
        <v>3963</v>
      </c>
      <c r="BY4" s="34"/>
      <c r="BZ4" s="34"/>
      <c r="CA4" s="35" t="s">
        <v>3964</v>
      </c>
      <c r="CB4" s="62">
        <v>42736.0</v>
      </c>
      <c r="CC4" s="37"/>
      <c r="CD4" s="34"/>
      <c r="CE4" s="37"/>
      <c r="CF4" s="34"/>
      <c r="CG4" s="35" t="s">
        <v>3589</v>
      </c>
      <c r="CH4" s="34"/>
      <c r="CI4" s="34"/>
      <c r="CJ4" s="35" t="s">
        <v>3590</v>
      </c>
      <c r="CK4" s="34"/>
      <c r="CL4" s="35" t="s">
        <v>3591</v>
      </c>
      <c r="CM4" s="37"/>
      <c r="CN4" s="37"/>
      <c r="CO4" s="34"/>
      <c r="CP4" s="37"/>
      <c r="CQ4" s="34"/>
      <c r="CR4" s="35" t="s">
        <v>3594</v>
      </c>
      <c r="CS4" s="35" t="s">
        <v>3595</v>
      </c>
      <c r="CT4" s="34"/>
      <c r="CU4" s="35" t="s">
        <v>3573</v>
      </c>
      <c r="CV4" s="37"/>
      <c r="CW4" s="37"/>
      <c r="CX4" s="34"/>
      <c r="CY4" s="35" t="s">
        <v>3966</v>
      </c>
      <c r="CZ4" s="39">
        <v>-0.0038</v>
      </c>
      <c r="DA4" s="32">
        <v>14.0</v>
      </c>
      <c r="DB4" s="39">
        <v>0.0</v>
      </c>
      <c r="DC4" s="39">
        <v>0.0</v>
      </c>
      <c r="DD4" s="39">
        <v>-0.0038</v>
      </c>
      <c r="DE4" s="32">
        <v>13.0</v>
      </c>
      <c r="DF4" s="37"/>
      <c r="DG4" s="37"/>
      <c r="DH4" s="39">
        <v>-0.0038</v>
      </c>
      <c r="DI4" s="32">
        <v>14.0</v>
      </c>
      <c r="DJ4" s="32" t="s">
        <v>9601</v>
      </c>
      <c r="DK4" s="32">
        <v>89.0</v>
      </c>
      <c r="DL4" s="32" t="s">
        <v>3598</v>
      </c>
      <c r="DM4" s="39">
        <v>0.0</v>
      </c>
      <c r="DN4" s="32" t="s">
        <v>9601</v>
      </c>
      <c r="DO4" s="32">
        <v>87.0</v>
      </c>
      <c r="DP4" s="37"/>
      <c r="DQ4" s="37"/>
      <c r="DR4" s="32" t="s">
        <v>9601</v>
      </c>
      <c r="DS4" s="32">
        <v>85.0</v>
      </c>
      <c r="DT4" s="37"/>
      <c r="DU4" s="37"/>
      <c r="DV4" s="37"/>
      <c r="DW4" s="32">
        <v>188.0</v>
      </c>
      <c r="DX4" s="32">
        <v>-1.0</v>
      </c>
      <c r="DY4" s="39">
        <v>-0.0053</v>
      </c>
      <c r="DZ4" s="32">
        <v>1.0</v>
      </c>
      <c r="EA4" s="32">
        <v>1.0</v>
      </c>
      <c r="EB4" s="32">
        <v>1.0</v>
      </c>
      <c r="EC4" s="37"/>
      <c r="ED4" s="37"/>
      <c r="EE4" s="37"/>
      <c r="EF4" s="34"/>
      <c r="EG4" s="37"/>
      <c r="EH4" s="37"/>
      <c r="EI4" s="34"/>
      <c r="EJ4" s="37"/>
      <c r="EK4" s="37"/>
      <c r="EL4" s="37"/>
      <c r="EM4" s="34"/>
      <c r="EN4" s="37"/>
      <c r="EO4" s="37"/>
      <c r="EP4" s="37"/>
      <c r="EQ4" s="37"/>
      <c r="ER4" s="35" t="s">
        <v>6037</v>
      </c>
      <c r="ES4" s="34"/>
      <c r="ET4" s="35" t="s">
        <v>47</v>
      </c>
      <c r="EU4" s="32">
        <v>6.0</v>
      </c>
      <c r="EV4" s="40" t="s">
        <v>3559</v>
      </c>
    </row>
    <row r="5">
      <c r="B5" s="35" t="s">
        <v>7753</v>
      </c>
      <c r="C5" s="49">
        <v>3900.0</v>
      </c>
      <c r="D5" s="35" t="s">
        <v>9602</v>
      </c>
      <c r="E5" s="35" t="s">
        <v>3563</v>
      </c>
      <c r="F5" s="35" t="s">
        <v>3564</v>
      </c>
      <c r="G5" s="35" t="s">
        <v>3565</v>
      </c>
      <c r="H5" s="35" t="s">
        <v>8495</v>
      </c>
      <c r="I5" s="60">
        <v>45983.0</v>
      </c>
      <c r="J5" s="35" t="s">
        <v>7758</v>
      </c>
      <c r="K5" s="35" t="s">
        <v>7759</v>
      </c>
      <c r="L5" s="35" t="s">
        <v>7760</v>
      </c>
      <c r="M5" s="35" t="s">
        <v>7754</v>
      </c>
      <c r="N5" s="35" t="s">
        <v>2108</v>
      </c>
      <c r="O5" s="35" t="s">
        <v>7755</v>
      </c>
      <c r="P5" s="35" t="s">
        <v>7761</v>
      </c>
      <c r="Q5" s="37"/>
      <c r="R5" s="34"/>
      <c r="S5" s="37"/>
      <c r="T5" s="37"/>
      <c r="U5" s="34"/>
      <c r="V5" s="37"/>
      <c r="W5" s="37"/>
      <c r="X5" s="35" t="s">
        <v>9603</v>
      </c>
      <c r="Y5" s="35" t="s">
        <v>7761</v>
      </c>
      <c r="Z5" s="35" t="s">
        <v>7757</v>
      </c>
      <c r="AA5" s="35" t="s">
        <v>5075</v>
      </c>
      <c r="AB5" s="32">
        <v>961.0</v>
      </c>
      <c r="AC5" s="35" t="s">
        <v>5412</v>
      </c>
      <c r="AD5" s="35" t="s">
        <v>5236</v>
      </c>
      <c r="AE5" s="35" t="s">
        <v>6680</v>
      </c>
      <c r="AF5" s="36" t="s">
        <v>7762</v>
      </c>
      <c r="AG5" s="36" t="s">
        <v>7763</v>
      </c>
      <c r="AH5" s="49">
        <v>3900.0</v>
      </c>
      <c r="AI5" s="35" t="s">
        <v>9602</v>
      </c>
      <c r="AJ5" s="35" t="s">
        <v>5241</v>
      </c>
      <c r="AK5" s="35" t="s">
        <v>7765</v>
      </c>
      <c r="AL5" s="32">
        <v>1999.0</v>
      </c>
      <c r="AM5" s="35" t="s">
        <v>7766</v>
      </c>
      <c r="AN5" s="35" t="s">
        <v>7769</v>
      </c>
      <c r="AO5" s="35" t="s">
        <v>7770</v>
      </c>
      <c r="AP5" s="35" t="s">
        <v>7771</v>
      </c>
      <c r="AQ5" s="35" t="s">
        <v>5243</v>
      </c>
      <c r="AR5" s="35" t="s">
        <v>9604</v>
      </c>
      <c r="AS5" s="50">
        <v>1938.0</v>
      </c>
      <c r="AT5" s="32">
        <v>943.0</v>
      </c>
      <c r="AU5" s="32">
        <v>-336.0</v>
      </c>
      <c r="AV5" s="50">
        <v>9781.49</v>
      </c>
      <c r="AW5" s="32">
        <v>190.0</v>
      </c>
      <c r="AX5" s="32">
        <v>-324.0</v>
      </c>
      <c r="AY5" s="50">
        <v>9626.95</v>
      </c>
      <c r="AZ5" s="50">
        <v>-1749.0</v>
      </c>
      <c r="BA5" s="39">
        <v>0.0761</v>
      </c>
      <c r="BB5" s="32" t="s">
        <v>5245</v>
      </c>
      <c r="BC5" s="35" t="s">
        <v>7768</v>
      </c>
      <c r="BD5" s="61" t="str">
        <f>+972 (0)2 541 7333</f>
        <v>#ERROR!</v>
      </c>
      <c r="BE5" s="35" t="s">
        <v>3654</v>
      </c>
      <c r="BF5" s="35" t="s">
        <v>7772</v>
      </c>
      <c r="BG5" s="35" t="s">
        <v>7773</v>
      </c>
      <c r="BH5" s="35" t="s">
        <v>147</v>
      </c>
      <c r="BI5" s="34"/>
      <c r="BJ5" s="32">
        <v>9777019.0</v>
      </c>
      <c r="BK5" s="35" t="s">
        <v>41</v>
      </c>
      <c r="BL5" s="37" t="str">
        <f>+972 (0)2 541 7333</f>
        <v>#ERROR!</v>
      </c>
      <c r="BM5" s="37" t="str">
        <f>+972 (0)2 541 7300</f>
        <v>#ERROR!</v>
      </c>
      <c r="BN5" s="35" t="s">
        <v>2117</v>
      </c>
      <c r="BO5" s="35" t="s">
        <v>3584</v>
      </c>
      <c r="BP5" s="35" t="s">
        <v>3584</v>
      </c>
      <c r="BQ5" s="35" t="s">
        <v>7774</v>
      </c>
      <c r="BR5" s="35" t="s">
        <v>7775</v>
      </c>
      <c r="BS5" s="32">
        <v>2.0</v>
      </c>
      <c r="BT5" s="34"/>
      <c r="BU5" s="35" t="s">
        <v>7776</v>
      </c>
      <c r="BV5" s="34"/>
      <c r="BW5" s="35" t="s">
        <v>7777</v>
      </c>
      <c r="BX5" s="35" t="s">
        <v>9605</v>
      </c>
      <c r="BY5" s="34"/>
      <c r="BZ5" s="35" t="s">
        <v>7779</v>
      </c>
      <c r="CA5" s="35" t="s">
        <v>9606</v>
      </c>
      <c r="CB5" s="37"/>
      <c r="CC5" s="37"/>
      <c r="CD5" s="34"/>
      <c r="CE5" s="37"/>
      <c r="CF5" s="34"/>
      <c r="CG5" s="35" t="s">
        <v>3669</v>
      </c>
      <c r="CH5" s="34"/>
      <c r="CI5" s="34"/>
      <c r="CJ5" s="35" t="s">
        <v>3573</v>
      </c>
      <c r="CK5" s="34"/>
      <c r="CL5" s="35" t="s">
        <v>3591</v>
      </c>
      <c r="CM5" s="60">
        <v>45848.0</v>
      </c>
      <c r="CN5" s="32">
        <v>825.0</v>
      </c>
      <c r="CO5" s="35" t="s">
        <v>3593</v>
      </c>
      <c r="CP5" s="37"/>
      <c r="CQ5" s="34"/>
      <c r="CR5" s="35" t="s">
        <v>7782</v>
      </c>
      <c r="CS5" s="34"/>
      <c r="CT5" s="34"/>
      <c r="CU5" s="34"/>
      <c r="CV5" s="62">
        <v>41463.0</v>
      </c>
      <c r="CW5" s="37"/>
      <c r="CX5" s="34"/>
      <c r="CY5" s="35" t="s">
        <v>3591</v>
      </c>
      <c r="CZ5" s="39">
        <v>-0.0181</v>
      </c>
      <c r="DA5" s="32">
        <v>4.0</v>
      </c>
      <c r="DB5" s="39">
        <v>0.0</v>
      </c>
      <c r="DC5" s="39">
        <v>0.0</v>
      </c>
      <c r="DD5" s="39">
        <v>-0.0181</v>
      </c>
      <c r="DE5" s="32">
        <v>5.0</v>
      </c>
      <c r="DF5" s="37"/>
      <c r="DG5" s="37"/>
      <c r="DH5" s="39">
        <v>-0.0181</v>
      </c>
      <c r="DI5" s="32">
        <v>5.0</v>
      </c>
      <c r="DJ5" s="32" t="s">
        <v>9607</v>
      </c>
      <c r="DK5" s="32">
        <v>100.0</v>
      </c>
      <c r="DL5" s="32" t="s">
        <v>3598</v>
      </c>
      <c r="DM5" s="39">
        <v>0.0</v>
      </c>
      <c r="DN5" s="32" t="s">
        <v>9607</v>
      </c>
      <c r="DO5" s="32">
        <v>100.0</v>
      </c>
      <c r="DP5" s="37"/>
      <c r="DQ5" s="37"/>
      <c r="DR5" s="32" t="s">
        <v>9607</v>
      </c>
      <c r="DS5" s="32">
        <v>100.0</v>
      </c>
      <c r="DT5" s="49">
        <v>7416.0</v>
      </c>
      <c r="DU5" s="32">
        <v>267.0</v>
      </c>
      <c r="DV5" s="39">
        <v>0.0373</v>
      </c>
      <c r="DW5" s="49">
        <v>3439.0</v>
      </c>
      <c r="DX5" s="32">
        <v>-44.0</v>
      </c>
      <c r="DY5" s="39">
        <v>-0.0126</v>
      </c>
      <c r="DZ5" s="49">
        <v>2021.0</v>
      </c>
      <c r="EA5" s="32">
        <v>334.0</v>
      </c>
      <c r="EB5" s="49">
        <v>1253.0</v>
      </c>
      <c r="EC5" s="32">
        <v>436.0</v>
      </c>
      <c r="ED5" s="32">
        <v>28.0</v>
      </c>
      <c r="EE5" s="32">
        <v>332.0</v>
      </c>
      <c r="EF5" s="35" t="s">
        <v>7787</v>
      </c>
      <c r="EG5" s="50">
        <v>16711.0</v>
      </c>
      <c r="EH5" s="60">
        <v>44860.0</v>
      </c>
      <c r="EI5" s="35" t="s">
        <v>4532</v>
      </c>
      <c r="EJ5" s="37"/>
      <c r="EK5" s="37"/>
      <c r="EL5" s="37"/>
      <c r="EM5" s="34"/>
      <c r="EN5" s="37"/>
      <c r="EO5" s="37"/>
      <c r="EP5" s="37"/>
      <c r="EQ5" s="37"/>
      <c r="ER5" s="35" t="s">
        <v>8495</v>
      </c>
      <c r="ES5" s="34"/>
      <c r="ET5" s="35" t="s">
        <v>47</v>
      </c>
      <c r="EU5" s="32">
        <v>1.0</v>
      </c>
      <c r="EV5" s="40" t="s">
        <v>3559</v>
      </c>
    </row>
    <row r="6">
      <c r="B6" s="42" t="s">
        <v>5229</v>
      </c>
      <c r="C6" s="41">
        <v>180.0</v>
      </c>
      <c r="D6" s="42" t="s">
        <v>9608</v>
      </c>
      <c r="E6" s="42" t="s">
        <v>3563</v>
      </c>
      <c r="F6" s="42" t="s">
        <v>3564</v>
      </c>
      <c r="G6" s="42" t="s">
        <v>3565</v>
      </c>
      <c r="H6" s="42" t="s">
        <v>3612</v>
      </c>
      <c r="I6" s="63">
        <v>45983.0</v>
      </c>
      <c r="J6" s="42" t="s">
        <v>9609</v>
      </c>
      <c r="K6" s="42" t="s">
        <v>4000</v>
      </c>
      <c r="L6" s="42" t="s">
        <v>5234</v>
      </c>
      <c r="M6" s="43"/>
      <c r="N6" s="42" t="s">
        <v>748</v>
      </c>
      <c r="O6" s="42" t="s">
        <v>5230</v>
      </c>
      <c r="P6" s="42" t="s">
        <v>5235</v>
      </c>
      <c r="Q6" s="45"/>
      <c r="R6" s="43"/>
      <c r="S6" s="45"/>
      <c r="T6" s="45"/>
      <c r="U6" s="43"/>
      <c r="V6" s="45"/>
      <c r="W6" s="45"/>
      <c r="X6" s="42" t="s">
        <v>9610</v>
      </c>
      <c r="Y6" s="42" t="s">
        <v>5235</v>
      </c>
      <c r="Z6" s="42" t="s">
        <v>5232</v>
      </c>
      <c r="AA6" s="42" t="s">
        <v>5018</v>
      </c>
      <c r="AB6" s="41">
        <v>186.33</v>
      </c>
      <c r="AC6" s="42" t="s">
        <v>5412</v>
      </c>
      <c r="AD6" s="42" t="s">
        <v>5236</v>
      </c>
      <c r="AE6" s="42" t="s">
        <v>9611</v>
      </c>
      <c r="AF6" s="44" t="s">
        <v>5238</v>
      </c>
      <c r="AG6" s="44" t="s">
        <v>5239</v>
      </c>
      <c r="AH6" s="41">
        <v>180.0</v>
      </c>
      <c r="AI6" s="42" t="s">
        <v>9608</v>
      </c>
      <c r="AJ6" s="42" t="s">
        <v>5241</v>
      </c>
      <c r="AK6" s="42" t="s">
        <v>5242</v>
      </c>
      <c r="AL6" s="41">
        <v>2015.0</v>
      </c>
      <c r="AM6" s="43"/>
      <c r="AN6" s="42" t="s">
        <v>5247</v>
      </c>
      <c r="AO6" s="42" t="s">
        <v>5248</v>
      </c>
      <c r="AP6" s="42" t="s">
        <v>5249</v>
      </c>
      <c r="AQ6" s="43"/>
      <c r="AR6" s="42" t="s">
        <v>8600</v>
      </c>
      <c r="AS6" s="41">
        <v>0.67</v>
      </c>
      <c r="AT6" s="41">
        <v>-0.93</v>
      </c>
      <c r="AU6" s="41">
        <v>-47.21</v>
      </c>
      <c r="AV6" s="41">
        <v>164.69</v>
      </c>
      <c r="AW6" s="41">
        <v>-48.63</v>
      </c>
      <c r="AX6" s="41">
        <v>-49.19</v>
      </c>
      <c r="AY6" s="41">
        <v>176.35</v>
      </c>
      <c r="AZ6" s="41">
        <v>-40.9</v>
      </c>
      <c r="BA6" s="47">
        <v>-0.3435</v>
      </c>
      <c r="BB6" s="41" t="s">
        <v>5245</v>
      </c>
      <c r="BC6" s="42" t="s">
        <v>5246</v>
      </c>
      <c r="BD6" s="64" t="str">
        <f>+972 (0)73 796 9804</f>
        <v>#ERROR!</v>
      </c>
      <c r="BE6" s="42" t="s">
        <v>3581</v>
      </c>
      <c r="BF6" s="42" t="s">
        <v>5250</v>
      </c>
      <c r="BG6" s="43"/>
      <c r="BH6" s="42" t="s">
        <v>75</v>
      </c>
      <c r="BI6" s="42" t="s">
        <v>3797</v>
      </c>
      <c r="BJ6" s="45"/>
      <c r="BK6" s="42" t="s">
        <v>41</v>
      </c>
      <c r="BL6" s="45" t="str">
        <f>+972 (0)73 796 9804</f>
        <v>#ERROR!</v>
      </c>
      <c r="BM6" s="45"/>
      <c r="BN6" s="42" t="s">
        <v>754</v>
      </c>
      <c r="BO6" s="42" t="s">
        <v>3584</v>
      </c>
      <c r="BP6" s="42" t="s">
        <v>3584</v>
      </c>
      <c r="BQ6" s="42" t="s">
        <v>9612</v>
      </c>
      <c r="BR6" s="43"/>
      <c r="BS6" s="45"/>
      <c r="BT6" s="43"/>
      <c r="BU6" s="42" t="s">
        <v>5252</v>
      </c>
      <c r="BV6" s="43"/>
      <c r="BW6" s="43"/>
      <c r="BX6" s="42" t="s">
        <v>5253</v>
      </c>
      <c r="BY6" s="43"/>
      <c r="BZ6" s="43"/>
      <c r="CA6" s="42" t="s">
        <v>9613</v>
      </c>
      <c r="CB6" s="65">
        <v>42461.0</v>
      </c>
      <c r="CC6" s="41">
        <v>0.65</v>
      </c>
      <c r="CD6" s="42" t="s">
        <v>3593</v>
      </c>
      <c r="CE6" s="41">
        <v>1.65</v>
      </c>
      <c r="CF6" s="42" t="s">
        <v>3593</v>
      </c>
      <c r="CG6" s="42" t="s">
        <v>3698</v>
      </c>
      <c r="CH6" s="42" t="s">
        <v>3698</v>
      </c>
      <c r="CI6" s="43"/>
      <c r="CJ6" s="42" t="s">
        <v>3573</v>
      </c>
      <c r="CK6" s="43"/>
      <c r="CL6" s="42" t="s">
        <v>3591</v>
      </c>
      <c r="CM6" s="65">
        <v>45664.0</v>
      </c>
      <c r="CN6" s="41">
        <v>28.75</v>
      </c>
      <c r="CO6" s="42" t="s">
        <v>3593</v>
      </c>
      <c r="CP6" s="45"/>
      <c r="CQ6" s="43"/>
      <c r="CR6" s="42" t="s">
        <v>5257</v>
      </c>
      <c r="CS6" s="43"/>
      <c r="CT6" s="43"/>
      <c r="CU6" s="42" t="s">
        <v>3663</v>
      </c>
      <c r="CV6" s="63">
        <v>44423.0</v>
      </c>
      <c r="CW6" s="45"/>
      <c r="CX6" s="43"/>
      <c r="CY6" s="42" t="s">
        <v>4321</v>
      </c>
      <c r="CZ6" s="47">
        <v>0.0263</v>
      </c>
      <c r="DA6" s="41">
        <v>98.0</v>
      </c>
      <c r="DB6" s="47">
        <v>0.0</v>
      </c>
      <c r="DC6" s="47">
        <v>0.0</v>
      </c>
      <c r="DD6" s="47">
        <v>0.0263</v>
      </c>
      <c r="DE6" s="41">
        <v>99.0</v>
      </c>
      <c r="DF6" s="47">
        <v>0.0721</v>
      </c>
      <c r="DG6" s="41">
        <v>99.0</v>
      </c>
      <c r="DH6" s="47">
        <v>-0.0195</v>
      </c>
      <c r="DI6" s="41">
        <v>4.0</v>
      </c>
      <c r="DJ6" s="41" t="s">
        <v>9614</v>
      </c>
      <c r="DK6" s="41">
        <v>96.0</v>
      </c>
      <c r="DL6" s="41" t="s">
        <v>3598</v>
      </c>
      <c r="DM6" s="47">
        <v>0.0</v>
      </c>
      <c r="DN6" s="41" t="s">
        <v>9614</v>
      </c>
      <c r="DO6" s="41">
        <v>96.0</v>
      </c>
      <c r="DP6" s="41" t="s">
        <v>9615</v>
      </c>
      <c r="DQ6" s="41">
        <v>90.0</v>
      </c>
      <c r="DR6" s="41" t="s">
        <v>9616</v>
      </c>
      <c r="DS6" s="41">
        <v>97.0</v>
      </c>
      <c r="DT6" s="52">
        <v>2415.0</v>
      </c>
      <c r="DU6" s="41">
        <v>172.0</v>
      </c>
      <c r="DV6" s="47">
        <v>0.0767</v>
      </c>
      <c r="DW6" s="41">
        <v>695.0</v>
      </c>
      <c r="DX6" s="41">
        <v>-11.0</v>
      </c>
      <c r="DY6" s="47">
        <v>-0.0156</v>
      </c>
      <c r="DZ6" s="41">
        <v>65.0</v>
      </c>
      <c r="EA6" s="41">
        <v>14.0</v>
      </c>
      <c r="EB6" s="41">
        <v>35.0</v>
      </c>
      <c r="EC6" s="41">
        <v>13.0</v>
      </c>
      <c r="ED6" s="45"/>
      <c r="EE6" s="41">
        <v>17.0</v>
      </c>
      <c r="EF6" s="42" t="s">
        <v>9617</v>
      </c>
      <c r="EG6" s="41">
        <v>631.0</v>
      </c>
      <c r="EH6" s="65">
        <v>44476.0</v>
      </c>
      <c r="EI6" s="42" t="s">
        <v>4775</v>
      </c>
      <c r="EJ6" s="45"/>
      <c r="EK6" s="45"/>
      <c r="EL6" s="45"/>
      <c r="EM6" s="43"/>
      <c r="EN6" s="45"/>
      <c r="EO6" s="45"/>
      <c r="EP6" s="41">
        <v>1.82</v>
      </c>
      <c r="EQ6" s="41">
        <v>1.82</v>
      </c>
      <c r="ER6" s="42" t="s">
        <v>3612</v>
      </c>
      <c r="ES6" s="43"/>
      <c r="ET6" s="42" t="s">
        <v>47</v>
      </c>
      <c r="EU6" s="41">
        <v>3.0</v>
      </c>
      <c r="EV6" s="48" t="s">
        <v>3559</v>
      </c>
    </row>
    <row r="7">
      <c r="B7" s="42" t="s">
        <v>7137</v>
      </c>
      <c r="C7" s="41">
        <v>415.0</v>
      </c>
      <c r="D7" s="42" t="s">
        <v>9618</v>
      </c>
      <c r="E7" s="42" t="s">
        <v>3563</v>
      </c>
      <c r="F7" s="42" t="s">
        <v>3609</v>
      </c>
      <c r="G7" s="42" t="s">
        <v>3610</v>
      </c>
      <c r="H7" s="42" t="s">
        <v>8495</v>
      </c>
      <c r="I7" s="65">
        <v>45996.0</v>
      </c>
      <c r="J7" s="42" t="s">
        <v>7141</v>
      </c>
      <c r="K7" s="42" t="s">
        <v>7142</v>
      </c>
      <c r="L7" s="42" t="s">
        <v>7143</v>
      </c>
      <c r="M7" s="43"/>
      <c r="N7" s="42" t="s">
        <v>1922</v>
      </c>
      <c r="O7" s="42" t="s">
        <v>7138</v>
      </c>
      <c r="P7" s="42" t="s">
        <v>7144</v>
      </c>
      <c r="Q7" s="45"/>
      <c r="R7" s="43"/>
      <c r="S7" s="45"/>
      <c r="T7" s="45"/>
      <c r="U7" s="43"/>
      <c r="V7" s="45"/>
      <c r="W7" s="45"/>
      <c r="X7" s="42" t="s">
        <v>7139</v>
      </c>
      <c r="Y7" s="42" t="s">
        <v>7144</v>
      </c>
      <c r="Z7" s="42" t="s">
        <v>7140</v>
      </c>
      <c r="AA7" s="42" t="s">
        <v>5018</v>
      </c>
      <c r="AB7" s="41">
        <v>598.98</v>
      </c>
      <c r="AC7" s="42" t="s">
        <v>5412</v>
      </c>
      <c r="AD7" s="42" t="s">
        <v>5236</v>
      </c>
      <c r="AE7" s="42" t="s">
        <v>5867</v>
      </c>
      <c r="AF7" s="44" t="s">
        <v>7145</v>
      </c>
      <c r="AG7" s="44" t="s">
        <v>7146</v>
      </c>
      <c r="AH7" s="41">
        <v>415.0</v>
      </c>
      <c r="AI7" s="42" t="s">
        <v>9618</v>
      </c>
      <c r="AJ7" s="42" t="s">
        <v>5241</v>
      </c>
      <c r="AK7" s="42" t="s">
        <v>7148</v>
      </c>
      <c r="AL7" s="41">
        <v>2016.0</v>
      </c>
      <c r="AM7" s="43"/>
      <c r="AN7" s="42" t="s">
        <v>7150</v>
      </c>
      <c r="AO7" s="42" t="s">
        <v>7151</v>
      </c>
      <c r="AP7" s="42" t="s">
        <v>7152</v>
      </c>
      <c r="AQ7" s="43"/>
      <c r="AR7" s="42" t="s">
        <v>9604</v>
      </c>
      <c r="AS7" s="41">
        <v>48.44</v>
      </c>
      <c r="AT7" s="41">
        <v>11.38</v>
      </c>
      <c r="AU7" s="41">
        <v>-65.14</v>
      </c>
      <c r="AV7" s="41">
        <v>365.46</v>
      </c>
      <c r="AW7" s="41">
        <v>-60.39</v>
      </c>
      <c r="AX7" s="41">
        <v>-66.06</v>
      </c>
      <c r="AY7" s="41">
        <v>275.59</v>
      </c>
      <c r="AZ7" s="41">
        <v>-39.38</v>
      </c>
      <c r="BA7" s="47">
        <v>0.4609</v>
      </c>
      <c r="BB7" s="41" t="s">
        <v>5245</v>
      </c>
      <c r="BC7" s="42" t="s">
        <v>7149</v>
      </c>
      <c r="BD7" s="64" t="str">
        <f>+972 (0)74 700 3692</f>
        <v>#ERROR!</v>
      </c>
      <c r="BE7" s="42" t="s">
        <v>5952</v>
      </c>
      <c r="BF7" s="42" t="s">
        <v>7153</v>
      </c>
      <c r="BG7" s="42" t="s">
        <v>7154</v>
      </c>
      <c r="BH7" s="42" t="s">
        <v>1928</v>
      </c>
      <c r="BI7" s="43"/>
      <c r="BJ7" s="41">
        <v>4809202.0</v>
      </c>
      <c r="BK7" s="42" t="s">
        <v>41</v>
      </c>
      <c r="BL7" s="45" t="str">
        <f>+972 (0)74 700 3692</f>
        <v>#ERROR!</v>
      </c>
      <c r="BM7" s="45"/>
      <c r="BN7" s="42" t="s">
        <v>7155</v>
      </c>
      <c r="BO7" s="42" t="s">
        <v>3584</v>
      </c>
      <c r="BP7" s="42" t="s">
        <v>3584</v>
      </c>
      <c r="BQ7" s="42" t="s">
        <v>7156</v>
      </c>
      <c r="BR7" s="43"/>
      <c r="BS7" s="45"/>
      <c r="BT7" s="43"/>
      <c r="BU7" s="42" t="s">
        <v>7157</v>
      </c>
      <c r="BV7" s="43"/>
      <c r="BW7" s="43"/>
      <c r="BX7" s="42" t="s">
        <v>7158</v>
      </c>
      <c r="BY7" s="43"/>
      <c r="BZ7" s="43"/>
      <c r="CA7" s="42" t="s">
        <v>7159</v>
      </c>
      <c r="CB7" s="63">
        <v>42460.0</v>
      </c>
      <c r="CC7" s="41">
        <v>8.99</v>
      </c>
      <c r="CD7" s="42" t="s">
        <v>3593</v>
      </c>
      <c r="CE7" s="41">
        <v>16.75</v>
      </c>
      <c r="CF7" s="42" t="s">
        <v>3697</v>
      </c>
      <c r="CG7" s="42" t="s">
        <v>3669</v>
      </c>
      <c r="CH7" s="42" t="s">
        <v>3595</v>
      </c>
      <c r="CI7" s="43"/>
      <c r="CJ7" s="42" t="s">
        <v>3573</v>
      </c>
      <c r="CK7" s="43"/>
      <c r="CL7" s="42" t="s">
        <v>3591</v>
      </c>
      <c r="CM7" s="63">
        <v>45698.0</v>
      </c>
      <c r="CN7" s="41">
        <v>40.0</v>
      </c>
      <c r="CO7" s="42" t="s">
        <v>3697</v>
      </c>
      <c r="CP7" s="45"/>
      <c r="CQ7" s="43"/>
      <c r="CR7" s="42" t="s">
        <v>5257</v>
      </c>
      <c r="CS7" s="43"/>
      <c r="CT7" s="43"/>
      <c r="CU7" s="42" t="s">
        <v>3663</v>
      </c>
      <c r="CV7" s="45"/>
      <c r="CW7" s="45"/>
      <c r="CX7" s="43"/>
      <c r="CY7" s="42" t="s">
        <v>4321</v>
      </c>
      <c r="CZ7" s="47">
        <v>-0.0169</v>
      </c>
      <c r="DA7" s="41">
        <v>5.0</v>
      </c>
      <c r="DB7" s="47">
        <v>0.0</v>
      </c>
      <c r="DC7" s="47">
        <v>0.0</v>
      </c>
      <c r="DD7" s="47">
        <v>-0.0169</v>
      </c>
      <c r="DE7" s="41">
        <v>5.0</v>
      </c>
      <c r="DF7" s="45"/>
      <c r="DG7" s="45"/>
      <c r="DH7" s="47">
        <v>-0.0169</v>
      </c>
      <c r="DI7" s="41">
        <v>5.0</v>
      </c>
      <c r="DJ7" s="41" t="s">
        <v>9619</v>
      </c>
      <c r="DK7" s="41">
        <v>98.0</v>
      </c>
      <c r="DL7" s="41" t="s">
        <v>3598</v>
      </c>
      <c r="DM7" s="47">
        <v>0.0</v>
      </c>
      <c r="DN7" s="41" t="s">
        <v>9619</v>
      </c>
      <c r="DO7" s="41">
        <v>98.0</v>
      </c>
      <c r="DP7" s="45"/>
      <c r="DQ7" s="45"/>
      <c r="DR7" s="41" t="s">
        <v>9619</v>
      </c>
      <c r="DS7" s="41">
        <v>98.0</v>
      </c>
      <c r="DT7" s="45"/>
      <c r="DU7" s="45"/>
      <c r="DV7" s="45"/>
      <c r="DW7" s="41">
        <v>930.0</v>
      </c>
      <c r="DX7" s="41">
        <v>-10.0</v>
      </c>
      <c r="DY7" s="47">
        <v>-0.0106</v>
      </c>
      <c r="DZ7" s="41">
        <v>257.0</v>
      </c>
      <c r="EA7" s="41">
        <v>61.0</v>
      </c>
      <c r="EB7" s="41">
        <v>114.0</v>
      </c>
      <c r="EC7" s="41">
        <v>79.0</v>
      </c>
      <c r="ED7" s="41">
        <v>4.0</v>
      </c>
      <c r="EE7" s="41">
        <v>64.0</v>
      </c>
      <c r="EF7" s="42" t="s">
        <v>7163</v>
      </c>
      <c r="EG7" s="51">
        <v>1298.0</v>
      </c>
      <c r="EH7" s="65">
        <v>44292.0</v>
      </c>
      <c r="EI7" s="42" t="s">
        <v>4775</v>
      </c>
      <c r="EJ7" s="45"/>
      <c r="EK7" s="45"/>
      <c r="EL7" s="45"/>
      <c r="EM7" s="42" t="s">
        <v>4108</v>
      </c>
      <c r="EN7" s="45"/>
      <c r="EO7" s="45"/>
      <c r="EP7" s="41">
        <v>1.41</v>
      </c>
      <c r="EQ7" s="41">
        <v>1.41</v>
      </c>
      <c r="ER7" s="42" t="s">
        <v>8495</v>
      </c>
      <c r="ES7" s="43"/>
      <c r="ET7" s="42" t="s">
        <v>47</v>
      </c>
      <c r="EU7" s="41">
        <v>2.0</v>
      </c>
      <c r="EV7" s="48" t="s">
        <v>3559</v>
      </c>
    </row>
    <row r="8">
      <c r="B8" s="42" t="s">
        <v>7996</v>
      </c>
      <c r="C8" s="41">
        <v>47.0</v>
      </c>
      <c r="D8" s="42" t="s">
        <v>9620</v>
      </c>
      <c r="E8" s="42" t="s">
        <v>3563</v>
      </c>
      <c r="F8" s="42" t="s">
        <v>3609</v>
      </c>
      <c r="G8" s="42" t="s">
        <v>3610</v>
      </c>
      <c r="H8" s="42" t="s">
        <v>9621</v>
      </c>
      <c r="I8" s="65">
        <v>45997.0</v>
      </c>
      <c r="J8" s="42" t="s">
        <v>8000</v>
      </c>
      <c r="K8" s="42" t="s">
        <v>8001</v>
      </c>
      <c r="L8" s="42" t="s">
        <v>8002</v>
      </c>
      <c r="M8" s="43"/>
      <c r="N8" s="42" t="s">
        <v>7997</v>
      </c>
      <c r="O8" s="42" t="s">
        <v>7998</v>
      </c>
      <c r="P8" s="42" t="s">
        <v>8003</v>
      </c>
      <c r="Q8" s="45"/>
      <c r="R8" s="43"/>
      <c r="S8" s="45"/>
      <c r="T8" s="45"/>
      <c r="U8" s="43"/>
      <c r="V8" s="45"/>
      <c r="W8" s="45"/>
      <c r="X8" s="43"/>
      <c r="Y8" s="42" t="s">
        <v>8003</v>
      </c>
      <c r="Z8" s="42" t="s">
        <v>7999</v>
      </c>
      <c r="AA8" s="42" t="s">
        <v>5018</v>
      </c>
      <c r="AB8" s="41">
        <v>13.2</v>
      </c>
      <c r="AC8" s="42" t="s">
        <v>3571</v>
      </c>
      <c r="AD8" s="42" t="s">
        <v>5236</v>
      </c>
      <c r="AE8" s="42" t="s">
        <v>5413</v>
      </c>
      <c r="AF8" s="44" t="s">
        <v>8004</v>
      </c>
      <c r="AG8" s="44" t="s">
        <v>8005</v>
      </c>
      <c r="AH8" s="41">
        <v>47.0</v>
      </c>
      <c r="AI8" s="42" t="s">
        <v>9620</v>
      </c>
      <c r="AJ8" s="42" t="s">
        <v>5241</v>
      </c>
      <c r="AK8" s="42" t="s">
        <v>8007</v>
      </c>
      <c r="AL8" s="41">
        <v>2016.0</v>
      </c>
      <c r="AM8" s="43"/>
      <c r="AN8" s="42" t="s">
        <v>8010</v>
      </c>
      <c r="AO8" s="42" t="s">
        <v>8011</v>
      </c>
      <c r="AP8" s="42" t="s">
        <v>1034</v>
      </c>
      <c r="AQ8" s="43"/>
      <c r="AR8" s="43"/>
      <c r="AS8" s="41">
        <v>1.05</v>
      </c>
      <c r="AT8" s="41">
        <v>0.53</v>
      </c>
      <c r="AU8" s="41">
        <v>-9.57</v>
      </c>
      <c r="AV8" s="45"/>
      <c r="AW8" s="41">
        <v>-10.52</v>
      </c>
      <c r="AX8" s="41">
        <v>-10.57</v>
      </c>
      <c r="AY8" s="45"/>
      <c r="AZ8" s="41">
        <v>3.87</v>
      </c>
      <c r="BA8" s="45"/>
      <c r="BB8" s="41" t="s">
        <v>8008</v>
      </c>
      <c r="BC8" s="42" t="s">
        <v>8009</v>
      </c>
      <c r="BD8" s="64" t="str">
        <f>+972 (0)8 379 2388</f>
        <v>#ERROR!</v>
      </c>
      <c r="BE8" s="42" t="s">
        <v>4368</v>
      </c>
      <c r="BF8" s="42" t="s">
        <v>8012</v>
      </c>
      <c r="BG8" s="42" t="s">
        <v>8013</v>
      </c>
      <c r="BH8" s="42" t="s">
        <v>1037</v>
      </c>
      <c r="BI8" s="43"/>
      <c r="BJ8" s="41">
        <v>7414002.0</v>
      </c>
      <c r="BK8" s="42" t="s">
        <v>41</v>
      </c>
      <c r="BL8" s="45" t="str">
        <f>+972 (0)8 379 2388</f>
        <v>#ERROR!</v>
      </c>
      <c r="BM8" s="45"/>
      <c r="BN8" s="42" t="s">
        <v>1038</v>
      </c>
      <c r="BO8" s="42" t="s">
        <v>3584</v>
      </c>
      <c r="BP8" s="42" t="s">
        <v>3584</v>
      </c>
      <c r="BQ8" s="42" t="s">
        <v>8014</v>
      </c>
      <c r="BR8" s="42" t="s">
        <v>8015</v>
      </c>
      <c r="BS8" s="41">
        <v>1.0</v>
      </c>
      <c r="BT8" s="43"/>
      <c r="BU8" s="42" t="s">
        <v>8016</v>
      </c>
      <c r="BV8" s="43"/>
      <c r="BW8" s="42" t="s">
        <v>8017</v>
      </c>
      <c r="BX8" s="42" t="s">
        <v>8018</v>
      </c>
      <c r="BY8" s="43"/>
      <c r="BZ8" s="43"/>
      <c r="CA8" s="42" t="s">
        <v>8019</v>
      </c>
      <c r="CB8" s="63">
        <v>42639.0</v>
      </c>
      <c r="CC8" s="41">
        <v>3.2</v>
      </c>
      <c r="CD8" s="42" t="s">
        <v>3593</v>
      </c>
      <c r="CE8" s="41">
        <v>8.75</v>
      </c>
      <c r="CF8" s="42" t="s">
        <v>3697</v>
      </c>
      <c r="CG8" s="42" t="s">
        <v>3698</v>
      </c>
      <c r="CH8" s="42" t="s">
        <v>3698</v>
      </c>
      <c r="CI8" s="43"/>
      <c r="CJ8" s="42" t="s">
        <v>3803</v>
      </c>
      <c r="CK8" s="43"/>
      <c r="CL8" s="42" t="s">
        <v>3591</v>
      </c>
      <c r="CM8" s="65">
        <v>44811.0</v>
      </c>
      <c r="CN8" s="45"/>
      <c r="CO8" s="43"/>
      <c r="CP8" s="45"/>
      <c r="CQ8" s="43"/>
      <c r="CR8" s="42" t="s">
        <v>4775</v>
      </c>
      <c r="CS8" s="43"/>
      <c r="CT8" s="43"/>
      <c r="CU8" s="42" t="s">
        <v>3663</v>
      </c>
      <c r="CV8" s="45"/>
      <c r="CW8" s="45"/>
      <c r="CX8" s="43"/>
      <c r="CY8" s="42" t="s">
        <v>3591</v>
      </c>
      <c r="CZ8" s="47">
        <v>0.0</v>
      </c>
      <c r="DA8" s="41">
        <v>19.0</v>
      </c>
      <c r="DB8" s="47">
        <v>0.0</v>
      </c>
      <c r="DC8" s="47">
        <v>0.0</v>
      </c>
      <c r="DD8" s="47">
        <v>0.0</v>
      </c>
      <c r="DE8" s="41">
        <v>17.0</v>
      </c>
      <c r="DF8" s="47">
        <v>0.0</v>
      </c>
      <c r="DG8" s="41">
        <v>11.0</v>
      </c>
      <c r="DH8" s="47">
        <v>0.0</v>
      </c>
      <c r="DI8" s="41">
        <v>17.0</v>
      </c>
      <c r="DJ8" s="41" t="s">
        <v>9622</v>
      </c>
      <c r="DK8" s="41">
        <v>67.0</v>
      </c>
      <c r="DL8" s="41" t="s">
        <v>3598</v>
      </c>
      <c r="DM8" s="47">
        <v>0.0</v>
      </c>
      <c r="DN8" s="41" t="s">
        <v>9622</v>
      </c>
      <c r="DO8" s="41">
        <v>68.0</v>
      </c>
      <c r="DP8" s="41" t="s">
        <v>4725</v>
      </c>
      <c r="DQ8" s="41">
        <v>46.0</v>
      </c>
      <c r="DR8" s="41" t="s">
        <v>9623</v>
      </c>
      <c r="DS8" s="41">
        <v>72.0</v>
      </c>
      <c r="DT8" s="41">
        <v>85.0</v>
      </c>
      <c r="DU8" s="41">
        <v>16.0</v>
      </c>
      <c r="DV8" s="47">
        <v>0.2319</v>
      </c>
      <c r="DW8" s="41">
        <v>70.0</v>
      </c>
      <c r="DX8" s="41">
        <v>0.0</v>
      </c>
      <c r="DY8" s="47">
        <v>0.0</v>
      </c>
      <c r="DZ8" s="41">
        <v>24.0</v>
      </c>
      <c r="EA8" s="41">
        <v>10.0</v>
      </c>
      <c r="EB8" s="41">
        <v>14.0</v>
      </c>
      <c r="EC8" s="41">
        <v>1.0</v>
      </c>
      <c r="ED8" s="45"/>
      <c r="EE8" s="41">
        <v>9.0</v>
      </c>
      <c r="EF8" s="42" t="s">
        <v>8026</v>
      </c>
      <c r="EG8" s="41">
        <v>21.07</v>
      </c>
      <c r="EH8" s="65">
        <v>43009.0</v>
      </c>
      <c r="EI8" s="42" t="s">
        <v>3698</v>
      </c>
      <c r="EJ8" s="45"/>
      <c r="EK8" s="45"/>
      <c r="EL8" s="45"/>
      <c r="EM8" s="42" t="s">
        <v>4108</v>
      </c>
      <c r="EN8" s="45"/>
      <c r="EO8" s="45"/>
      <c r="EP8" s="45"/>
      <c r="EQ8" s="41">
        <v>2.06</v>
      </c>
      <c r="ER8" s="42" t="s">
        <v>9621</v>
      </c>
      <c r="ES8" s="43"/>
      <c r="ET8" s="42" t="s">
        <v>47</v>
      </c>
      <c r="EU8" s="41">
        <v>3.0</v>
      </c>
      <c r="EV8" s="48" t="s">
        <v>3559</v>
      </c>
    </row>
    <row r="9">
      <c r="B9" s="42" t="s">
        <v>8509</v>
      </c>
      <c r="C9" s="41">
        <v>47.0</v>
      </c>
      <c r="D9" s="42" t="s">
        <v>9624</v>
      </c>
      <c r="E9" s="42" t="s">
        <v>3563</v>
      </c>
      <c r="F9" s="42" t="s">
        <v>3609</v>
      </c>
      <c r="G9" s="42" t="s">
        <v>3610</v>
      </c>
      <c r="H9" s="42" t="s">
        <v>3612</v>
      </c>
      <c r="I9" s="65">
        <v>45993.0</v>
      </c>
      <c r="J9" s="42" t="s">
        <v>8513</v>
      </c>
      <c r="K9" s="42" t="s">
        <v>5451</v>
      </c>
      <c r="L9" s="42" t="s">
        <v>8514</v>
      </c>
      <c r="M9" s="43"/>
      <c r="N9" s="43"/>
      <c r="O9" s="42" t="s">
        <v>8510</v>
      </c>
      <c r="P9" s="42" t="s">
        <v>8515</v>
      </c>
      <c r="Q9" s="45"/>
      <c r="R9" s="43"/>
      <c r="S9" s="45"/>
      <c r="T9" s="45"/>
      <c r="U9" s="43"/>
      <c r="V9" s="45"/>
      <c r="W9" s="45"/>
      <c r="X9" s="42" t="s">
        <v>8511</v>
      </c>
      <c r="Y9" s="42" t="s">
        <v>8515</v>
      </c>
      <c r="Z9" s="42" t="s">
        <v>8512</v>
      </c>
      <c r="AA9" s="42" t="s">
        <v>5018</v>
      </c>
      <c r="AB9" s="41">
        <v>56.5</v>
      </c>
      <c r="AC9" s="42" t="s">
        <v>5412</v>
      </c>
      <c r="AD9" s="42" t="s">
        <v>5236</v>
      </c>
      <c r="AE9" s="42" t="s">
        <v>5867</v>
      </c>
      <c r="AF9" s="44" t="s">
        <v>8516</v>
      </c>
      <c r="AG9" s="44" t="s">
        <v>8517</v>
      </c>
      <c r="AH9" s="41">
        <v>47.0</v>
      </c>
      <c r="AI9" s="42" t="s">
        <v>9624</v>
      </c>
      <c r="AJ9" s="42" t="s">
        <v>5241</v>
      </c>
      <c r="AK9" s="42" t="s">
        <v>8519</v>
      </c>
      <c r="AL9" s="41">
        <v>2016.0</v>
      </c>
      <c r="AM9" s="43"/>
      <c r="AN9" s="42" t="s">
        <v>8522</v>
      </c>
      <c r="AO9" s="42" t="s">
        <v>7151</v>
      </c>
      <c r="AP9" s="42" t="s">
        <v>8523</v>
      </c>
      <c r="AQ9" s="43"/>
      <c r="AR9" s="42" t="s">
        <v>6769</v>
      </c>
      <c r="AS9" s="41">
        <v>0.78</v>
      </c>
      <c r="AT9" s="41">
        <v>0.11</v>
      </c>
      <c r="AU9" s="41">
        <v>-12.06</v>
      </c>
      <c r="AV9" s="41">
        <v>0.45</v>
      </c>
      <c r="AW9" s="41">
        <v>-12.13</v>
      </c>
      <c r="AX9" s="41">
        <v>-12.25</v>
      </c>
      <c r="AY9" s="41">
        <v>23.55</v>
      </c>
      <c r="AZ9" s="41">
        <v>-22.03</v>
      </c>
      <c r="BA9" s="47">
        <v>-0.1406</v>
      </c>
      <c r="BB9" s="41" t="s">
        <v>5419</v>
      </c>
      <c r="BC9" s="42" t="s">
        <v>8521</v>
      </c>
      <c r="BD9" s="64" t="str">
        <f>+972 (0)9 957 7706</f>
        <v>#ERROR!</v>
      </c>
      <c r="BE9" s="42" t="s">
        <v>5716</v>
      </c>
      <c r="BF9" s="42" t="s">
        <v>8524</v>
      </c>
      <c r="BG9" s="42" t="s">
        <v>9625</v>
      </c>
      <c r="BH9" s="42" t="s">
        <v>828</v>
      </c>
      <c r="BI9" s="43"/>
      <c r="BJ9" s="41">
        <v>4366517.0</v>
      </c>
      <c r="BK9" s="42" t="s">
        <v>41</v>
      </c>
      <c r="BL9" s="45" t="str">
        <f>+972 (0)9 957 7706</f>
        <v>#ERROR!</v>
      </c>
      <c r="BM9" s="45"/>
      <c r="BN9" s="42" t="s">
        <v>2967</v>
      </c>
      <c r="BO9" s="42" t="s">
        <v>3584</v>
      </c>
      <c r="BP9" s="42" t="s">
        <v>3584</v>
      </c>
      <c r="BQ9" s="42" t="s">
        <v>8525</v>
      </c>
      <c r="BR9" s="42" t="s">
        <v>8526</v>
      </c>
      <c r="BS9" s="41">
        <v>2.0</v>
      </c>
      <c r="BT9" s="43"/>
      <c r="BU9" s="42" t="s">
        <v>8527</v>
      </c>
      <c r="BV9" s="43"/>
      <c r="BW9" s="42" t="s">
        <v>8528</v>
      </c>
      <c r="BX9" s="42" t="s">
        <v>8529</v>
      </c>
      <c r="BY9" s="43"/>
      <c r="BZ9" s="43"/>
      <c r="CA9" s="42" t="s">
        <v>8530</v>
      </c>
      <c r="CB9" s="66">
        <v>42491.0</v>
      </c>
      <c r="CC9" s="41">
        <v>2.0</v>
      </c>
      <c r="CD9" s="42" t="s">
        <v>3593</v>
      </c>
      <c r="CE9" s="41">
        <v>14.82</v>
      </c>
      <c r="CF9" s="42" t="s">
        <v>3697</v>
      </c>
      <c r="CG9" s="42" t="s">
        <v>3698</v>
      </c>
      <c r="CH9" s="42" t="s">
        <v>3698</v>
      </c>
      <c r="CI9" s="43"/>
      <c r="CJ9" s="42" t="s">
        <v>3573</v>
      </c>
      <c r="CK9" s="43"/>
      <c r="CL9" s="42" t="s">
        <v>3591</v>
      </c>
      <c r="CM9" s="65">
        <v>45292.0</v>
      </c>
      <c r="CN9" s="41">
        <v>3.5</v>
      </c>
      <c r="CO9" s="42" t="s">
        <v>3593</v>
      </c>
      <c r="CP9" s="45"/>
      <c r="CQ9" s="43"/>
      <c r="CR9" s="42" t="s">
        <v>5257</v>
      </c>
      <c r="CS9" s="43"/>
      <c r="CT9" s="43"/>
      <c r="CU9" s="42" t="s">
        <v>3663</v>
      </c>
      <c r="CV9" s="45"/>
      <c r="CW9" s="45"/>
      <c r="CX9" s="43"/>
      <c r="CY9" s="42" t="s">
        <v>3591</v>
      </c>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1">
        <v>82.0</v>
      </c>
      <c r="EA9" s="41">
        <v>11.0</v>
      </c>
      <c r="EB9" s="41">
        <v>55.0</v>
      </c>
      <c r="EC9" s="41">
        <v>10.0</v>
      </c>
      <c r="ED9" s="45"/>
      <c r="EE9" s="41">
        <v>17.0</v>
      </c>
      <c r="EF9" s="42" t="s">
        <v>8532</v>
      </c>
      <c r="EG9" s="41">
        <v>65.65</v>
      </c>
      <c r="EH9" s="63">
        <v>44651.0</v>
      </c>
      <c r="EI9" s="42" t="s">
        <v>4532</v>
      </c>
      <c r="EJ9" s="45"/>
      <c r="EK9" s="45"/>
      <c r="EL9" s="45"/>
      <c r="EM9" s="43"/>
      <c r="EN9" s="45"/>
      <c r="EO9" s="45"/>
      <c r="EP9" s="45"/>
      <c r="EQ9" s="45"/>
      <c r="ER9" s="42" t="s">
        <v>3612</v>
      </c>
      <c r="ES9" s="43"/>
      <c r="ET9" s="42" t="s">
        <v>47</v>
      </c>
      <c r="EU9" s="41">
        <v>9.0</v>
      </c>
      <c r="EV9" s="48" t="s">
        <v>3559</v>
      </c>
    </row>
    <row r="10">
      <c r="B10" s="42" t="s">
        <v>9269</v>
      </c>
      <c r="C10" s="41">
        <v>256.0</v>
      </c>
      <c r="D10" s="42" t="s">
        <v>9626</v>
      </c>
      <c r="E10" s="42" t="s">
        <v>3563</v>
      </c>
      <c r="F10" s="42" t="s">
        <v>351</v>
      </c>
      <c r="G10" s="42" t="s">
        <v>4111</v>
      </c>
      <c r="H10" s="42" t="s">
        <v>9627</v>
      </c>
      <c r="I10" s="63">
        <v>45983.0</v>
      </c>
      <c r="J10" s="42" t="s">
        <v>9273</v>
      </c>
      <c r="K10" s="42" t="s">
        <v>9274</v>
      </c>
      <c r="L10" s="42" t="s">
        <v>9275</v>
      </c>
      <c r="M10" s="43"/>
      <c r="N10" s="42" t="s">
        <v>1241</v>
      </c>
      <c r="O10" s="42" t="s">
        <v>9270</v>
      </c>
      <c r="P10" s="42" t="s">
        <v>9276</v>
      </c>
      <c r="Q10" s="45"/>
      <c r="R10" s="43"/>
      <c r="S10" s="45"/>
      <c r="T10" s="45"/>
      <c r="U10" s="43"/>
      <c r="V10" s="45"/>
      <c r="W10" s="45"/>
      <c r="X10" s="42" t="s">
        <v>9628</v>
      </c>
      <c r="Y10" s="42" t="s">
        <v>9276</v>
      </c>
      <c r="Z10" s="42" t="s">
        <v>9272</v>
      </c>
      <c r="AA10" s="42" t="s">
        <v>5075</v>
      </c>
      <c r="AB10" s="41">
        <v>289.0</v>
      </c>
      <c r="AC10" s="42" t="s">
        <v>5412</v>
      </c>
      <c r="AD10" s="42" t="s">
        <v>5236</v>
      </c>
      <c r="AE10" s="42" t="s">
        <v>6680</v>
      </c>
      <c r="AF10" s="44" t="s">
        <v>9277</v>
      </c>
      <c r="AG10" s="44" t="s">
        <v>9278</v>
      </c>
      <c r="AH10" s="41">
        <v>256.0</v>
      </c>
      <c r="AI10" s="42" t="s">
        <v>9626</v>
      </c>
      <c r="AJ10" s="42" t="s">
        <v>9280</v>
      </c>
      <c r="AK10" s="42" t="s">
        <v>9281</v>
      </c>
      <c r="AL10" s="41">
        <v>2006.0</v>
      </c>
      <c r="AM10" s="43"/>
      <c r="AN10" s="42" t="s">
        <v>9284</v>
      </c>
      <c r="AO10" s="42" t="s">
        <v>9285</v>
      </c>
      <c r="AP10" s="42" t="s">
        <v>9286</v>
      </c>
      <c r="AQ10" s="43"/>
      <c r="AR10" s="42" t="s">
        <v>8600</v>
      </c>
      <c r="AS10" s="41">
        <v>67.89</v>
      </c>
      <c r="AT10" s="41">
        <v>42.41</v>
      </c>
      <c r="AU10" s="41">
        <v>-30.13</v>
      </c>
      <c r="AV10" s="41">
        <v>88.24</v>
      </c>
      <c r="AW10" s="41">
        <v>-31.55</v>
      </c>
      <c r="AX10" s="41">
        <v>-34.61</v>
      </c>
      <c r="AY10" s="41">
        <v>171.97</v>
      </c>
      <c r="AZ10" s="41">
        <v>-85.36</v>
      </c>
      <c r="BA10" s="47">
        <v>0.0753</v>
      </c>
      <c r="BB10" s="41" t="s">
        <v>5245</v>
      </c>
      <c r="BC10" s="42" t="s">
        <v>9283</v>
      </c>
      <c r="BD10" s="64" t="str">
        <f>+972 (0)9 762 6900</f>
        <v>#ERROR!</v>
      </c>
      <c r="BE10" s="42" t="s">
        <v>6220</v>
      </c>
      <c r="BF10" s="42" t="s">
        <v>9287</v>
      </c>
      <c r="BG10" s="42" t="s">
        <v>9288</v>
      </c>
      <c r="BH10" s="42" t="s">
        <v>6222</v>
      </c>
      <c r="BI10" s="43"/>
      <c r="BJ10" s="41">
        <v>4501309.0</v>
      </c>
      <c r="BK10" s="42" t="s">
        <v>41</v>
      </c>
      <c r="BL10" s="45" t="str">
        <f>+972 (0)9 762 6900</f>
        <v>#ERROR!</v>
      </c>
      <c r="BM10" s="45"/>
      <c r="BN10" s="42" t="s">
        <v>1250</v>
      </c>
      <c r="BO10" s="42" t="s">
        <v>3584</v>
      </c>
      <c r="BP10" s="42" t="s">
        <v>3584</v>
      </c>
      <c r="BQ10" s="42" t="s">
        <v>9289</v>
      </c>
      <c r="BR10" s="42" t="s">
        <v>9290</v>
      </c>
      <c r="BS10" s="41">
        <v>1.0</v>
      </c>
      <c r="BT10" s="43"/>
      <c r="BU10" s="42" t="s">
        <v>9291</v>
      </c>
      <c r="BV10" s="43"/>
      <c r="BW10" s="42" t="s">
        <v>9292</v>
      </c>
      <c r="BX10" s="42" t="s">
        <v>9629</v>
      </c>
      <c r="BY10" s="43"/>
      <c r="BZ10" s="43"/>
      <c r="CA10" s="42" t="s">
        <v>9294</v>
      </c>
      <c r="CB10" s="63">
        <v>39279.0</v>
      </c>
      <c r="CC10" s="41">
        <v>7.0</v>
      </c>
      <c r="CD10" s="42" t="s">
        <v>3593</v>
      </c>
      <c r="CE10" s="41">
        <v>10.26</v>
      </c>
      <c r="CF10" s="42" t="s">
        <v>3697</v>
      </c>
      <c r="CG10" s="42" t="s">
        <v>3669</v>
      </c>
      <c r="CH10" s="42" t="s">
        <v>3595</v>
      </c>
      <c r="CI10" s="43"/>
      <c r="CJ10" s="42" t="s">
        <v>3573</v>
      </c>
      <c r="CK10" s="42" t="s">
        <v>9296</v>
      </c>
      <c r="CL10" s="42" t="s">
        <v>3591</v>
      </c>
      <c r="CM10" s="63">
        <v>44468.0</v>
      </c>
      <c r="CN10" s="41">
        <v>125.0</v>
      </c>
      <c r="CO10" s="42" t="s">
        <v>3593</v>
      </c>
      <c r="CP10" s="51">
        <v>1160.0</v>
      </c>
      <c r="CQ10" s="42" t="s">
        <v>3697</v>
      </c>
      <c r="CR10" s="42" t="s">
        <v>5257</v>
      </c>
      <c r="CS10" s="43"/>
      <c r="CT10" s="43"/>
      <c r="CU10" s="42" t="s">
        <v>4989</v>
      </c>
      <c r="CV10" s="63">
        <v>39279.0</v>
      </c>
      <c r="CW10" s="45"/>
      <c r="CX10" s="43"/>
      <c r="CY10" s="42" t="s">
        <v>3591</v>
      </c>
      <c r="CZ10" s="47">
        <v>-0.0049</v>
      </c>
      <c r="DA10" s="41">
        <v>13.0</v>
      </c>
      <c r="DB10" s="47">
        <v>0.0</v>
      </c>
      <c r="DC10" s="47">
        <v>0.0</v>
      </c>
      <c r="DD10" s="47">
        <v>-0.0049</v>
      </c>
      <c r="DE10" s="41">
        <v>12.0</v>
      </c>
      <c r="DF10" s="45"/>
      <c r="DG10" s="45"/>
      <c r="DH10" s="47">
        <v>-0.0049</v>
      </c>
      <c r="DI10" s="41">
        <v>13.0</v>
      </c>
      <c r="DJ10" s="41" t="s">
        <v>9630</v>
      </c>
      <c r="DK10" s="41">
        <v>97.0</v>
      </c>
      <c r="DL10" s="41" t="s">
        <v>3598</v>
      </c>
      <c r="DM10" s="47">
        <v>0.0</v>
      </c>
      <c r="DN10" s="41" t="s">
        <v>9630</v>
      </c>
      <c r="DO10" s="41">
        <v>97.0</v>
      </c>
      <c r="DP10" s="45"/>
      <c r="DQ10" s="45"/>
      <c r="DR10" s="41" t="s">
        <v>9630</v>
      </c>
      <c r="DS10" s="41">
        <v>97.0</v>
      </c>
      <c r="DT10" s="45"/>
      <c r="DU10" s="45"/>
      <c r="DV10" s="45"/>
      <c r="DW10" s="41">
        <v>719.0</v>
      </c>
      <c r="DX10" s="41">
        <v>-3.0</v>
      </c>
      <c r="DY10" s="47">
        <v>-0.0042</v>
      </c>
      <c r="DZ10" s="41">
        <v>226.0</v>
      </c>
      <c r="EA10" s="41">
        <v>57.0</v>
      </c>
      <c r="EB10" s="41">
        <v>197.0</v>
      </c>
      <c r="EC10" s="41">
        <v>1.0</v>
      </c>
      <c r="ED10" s="45"/>
      <c r="EE10" s="41">
        <v>28.0</v>
      </c>
      <c r="EF10" s="42" t="s">
        <v>9299</v>
      </c>
      <c r="EG10" s="51">
        <v>1160.0</v>
      </c>
      <c r="EH10" s="63">
        <v>44468.0</v>
      </c>
      <c r="EI10" s="42" t="s">
        <v>5257</v>
      </c>
      <c r="EJ10" s="45"/>
      <c r="EK10" s="45"/>
      <c r="EL10" s="45"/>
      <c r="EM10" s="42" t="s">
        <v>4381</v>
      </c>
      <c r="EN10" s="45"/>
      <c r="EO10" s="45"/>
      <c r="EP10" s="41">
        <v>1.83</v>
      </c>
      <c r="EQ10" s="41">
        <v>1.83</v>
      </c>
      <c r="ER10" s="42" t="s">
        <v>9627</v>
      </c>
      <c r="ES10" s="43"/>
      <c r="ET10" s="42" t="s">
        <v>47</v>
      </c>
      <c r="EU10" s="41">
        <v>1.0</v>
      </c>
      <c r="EV10" s="48" t="s">
        <v>3559</v>
      </c>
    </row>
    <row r="11">
      <c r="B11" s="35" t="s">
        <v>6674</v>
      </c>
      <c r="C11" s="32">
        <v>6.0</v>
      </c>
      <c r="D11" s="35" t="s">
        <v>9631</v>
      </c>
      <c r="E11" s="35" t="s">
        <v>4560</v>
      </c>
      <c r="F11" s="35" t="s">
        <v>4561</v>
      </c>
      <c r="G11" s="35" t="s">
        <v>66</v>
      </c>
      <c r="H11" s="35" t="s">
        <v>3612</v>
      </c>
      <c r="I11" s="60">
        <v>45825.0</v>
      </c>
      <c r="J11" s="35" t="s">
        <v>4562</v>
      </c>
      <c r="K11" s="35" t="s">
        <v>6677</v>
      </c>
      <c r="L11" s="35" t="s">
        <v>6678</v>
      </c>
      <c r="M11" s="34"/>
      <c r="N11" s="35" t="s">
        <v>131</v>
      </c>
      <c r="O11" s="35" t="s">
        <v>6675</v>
      </c>
      <c r="P11" s="35" t="s">
        <v>6679</v>
      </c>
      <c r="Q11" s="37"/>
      <c r="R11" s="34"/>
      <c r="S11" s="37"/>
      <c r="T11" s="37"/>
      <c r="U11" s="34"/>
      <c r="V11" s="37"/>
      <c r="W11" s="37"/>
      <c r="X11" s="34"/>
      <c r="Y11" s="35" t="s">
        <v>6679</v>
      </c>
      <c r="Z11" s="35" t="s">
        <v>6676</v>
      </c>
      <c r="AA11" s="35" t="s">
        <v>5075</v>
      </c>
      <c r="AB11" s="32">
        <v>57.7</v>
      </c>
      <c r="AC11" s="35" t="s">
        <v>3571</v>
      </c>
      <c r="AD11" s="35" t="s">
        <v>5236</v>
      </c>
      <c r="AE11" s="35" t="s">
        <v>6680</v>
      </c>
      <c r="AF11" s="36" t="s">
        <v>6681</v>
      </c>
      <c r="AG11" s="36" t="s">
        <v>6682</v>
      </c>
      <c r="AH11" s="32">
        <v>6.0</v>
      </c>
      <c r="AI11" s="35" t="s">
        <v>9631</v>
      </c>
      <c r="AJ11" s="35" t="s">
        <v>6684</v>
      </c>
      <c r="AK11" s="35" t="s">
        <v>6685</v>
      </c>
      <c r="AL11" s="32">
        <v>2017.0</v>
      </c>
      <c r="AM11" s="34"/>
      <c r="AN11" s="35" t="s">
        <v>133</v>
      </c>
      <c r="AO11" s="35" t="s">
        <v>4614</v>
      </c>
      <c r="AP11" s="35" t="s">
        <v>134</v>
      </c>
      <c r="AQ11" s="34"/>
      <c r="AR11" s="34"/>
      <c r="AS11" s="32">
        <v>0.42</v>
      </c>
      <c r="AT11" s="32">
        <v>0.13</v>
      </c>
      <c r="AU11" s="32">
        <v>-1.63</v>
      </c>
      <c r="AV11" s="32">
        <v>455.88</v>
      </c>
      <c r="AW11" s="32">
        <v>-1.47</v>
      </c>
      <c r="AX11" s="32">
        <v>-1.52</v>
      </c>
      <c r="AY11" s="32">
        <v>41.99</v>
      </c>
      <c r="AZ11" s="32">
        <v>0.85</v>
      </c>
      <c r="BA11" s="37"/>
      <c r="BB11" s="32" t="s">
        <v>8008</v>
      </c>
      <c r="BC11" s="35" t="s">
        <v>6687</v>
      </c>
      <c r="BD11" s="61" t="str">
        <f>+972 (0)58 480 0964</f>
        <v>#ERROR!</v>
      </c>
      <c r="BE11" s="35" t="s">
        <v>3957</v>
      </c>
      <c r="BF11" s="35" t="s">
        <v>6688</v>
      </c>
      <c r="BG11" s="34"/>
      <c r="BH11" s="35" t="s">
        <v>137</v>
      </c>
      <c r="BI11" s="34"/>
      <c r="BJ11" s="32">
        <v>4464312.0</v>
      </c>
      <c r="BK11" s="35" t="s">
        <v>41</v>
      </c>
      <c r="BL11" s="37" t="str">
        <f>+972 (0)58 480 0964</f>
        <v>#ERROR!</v>
      </c>
      <c r="BM11" s="37"/>
      <c r="BN11" s="35" t="s">
        <v>6689</v>
      </c>
      <c r="BO11" s="35" t="s">
        <v>3584</v>
      </c>
      <c r="BP11" s="35" t="s">
        <v>3584</v>
      </c>
      <c r="BQ11" s="35" t="s">
        <v>6690</v>
      </c>
      <c r="BR11" s="35" t="s">
        <v>6691</v>
      </c>
      <c r="BS11" s="32">
        <v>2.0</v>
      </c>
      <c r="BT11" s="34"/>
      <c r="BU11" s="34"/>
      <c r="BV11" s="34"/>
      <c r="BW11" s="35" t="s">
        <v>6692</v>
      </c>
      <c r="BX11" s="34"/>
      <c r="BY11" s="34"/>
      <c r="BZ11" s="34"/>
      <c r="CA11" s="35" t="s">
        <v>6693</v>
      </c>
      <c r="CB11" s="60">
        <v>44207.0</v>
      </c>
      <c r="CC11" s="32">
        <v>15.0</v>
      </c>
      <c r="CD11" s="35" t="s">
        <v>3593</v>
      </c>
      <c r="CE11" s="37"/>
      <c r="CF11" s="34"/>
      <c r="CG11" s="35" t="s">
        <v>3802</v>
      </c>
      <c r="CH11" s="35" t="s">
        <v>3802</v>
      </c>
      <c r="CI11" s="34"/>
      <c r="CJ11" s="35" t="s">
        <v>3803</v>
      </c>
      <c r="CK11" s="34"/>
      <c r="CL11" s="35" t="s">
        <v>3966</v>
      </c>
      <c r="CM11" s="60">
        <v>44722.0</v>
      </c>
      <c r="CN11" s="32">
        <v>0.88</v>
      </c>
      <c r="CO11" s="35" t="s">
        <v>3593</v>
      </c>
      <c r="CP11" s="37"/>
      <c r="CQ11" s="34"/>
      <c r="CR11" s="35" t="s">
        <v>5257</v>
      </c>
      <c r="CS11" s="34"/>
      <c r="CT11" s="34"/>
      <c r="CU11" s="35" t="s">
        <v>3663</v>
      </c>
      <c r="CV11" s="37"/>
      <c r="CW11" s="37"/>
      <c r="CX11" s="34"/>
      <c r="CY11" s="35" t="s">
        <v>3591</v>
      </c>
      <c r="CZ11" s="39">
        <v>-0.0096</v>
      </c>
      <c r="DA11" s="32">
        <v>8.0</v>
      </c>
      <c r="DB11" s="39">
        <v>0.0</v>
      </c>
      <c r="DC11" s="39">
        <v>0.0</v>
      </c>
      <c r="DD11" s="39">
        <v>-0.0096</v>
      </c>
      <c r="DE11" s="32">
        <v>8.0</v>
      </c>
      <c r="DF11" s="37"/>
      <c r="DG11" s="37"/>
      <c r="DH11" s="39">
        <v>-0.0096</v>
      </c>
      <c r="DI11" s="32">
        <v>9.0</v>
      </c>
      <c r="DJ11" s="32" t="s">
        <v>9632</v>
      </c>
      <c r="DK11" s="32">
        <v>88.0</v>
      </c>
      <c r="DL11" s="32" t="s">
        <v>3598</v>
      </c>
      <c r="DM11" s="39">
        <v>0.0</v>
      </c>
      <c r="DN11" s="32" t="s">
        <v>9632</v>
      </c>
      <c r="DO11" s="32">
        <v>87.0</v>
      </c>
      <c r="DP11" s="37"/>
      <c r="DQ11" s="37"/>
      <c r="DR11" s="32" t="s">
        <v>9632</v>
      </c>
      <c r="DS11" s="32">
        <v>85.0</v>
      </c>
      <c r="DT11" s="32">
        <v>267.0</v>
      </c>
      <c r="DU11" s="32">
        <v>4.0</v>
      </c>
      <c r="DV11" s="39">
        <v>0.0152</v>
      </c>
      <c r="DW11" s="32">
        <v>183.0</v>
      </c>
      <c r="DX11" s="32">
        <v>-2.0</v>
      </c>
      <c r="DY11" s="39">
        <v>-0.0108</v>
      </c>
      <c r="DZ11" s="32">
        <v>30.0</v>
      </c>
      <c r="EA11" s="32">
        <v>7.0</v>
      </c>
      <c r="EB11" s="32">
        <v>15.0</v>
      </c>
      <c r="EC11" s="32">
        <v>12.0</v>
      </c>
      <c r="ED11" s="37"/>
      <c r="EE11" s="32">
        <v>3.0</v>
      </c>
      <c r="EF11" s="35" t="s">
        <v>6697</v>
      </c>
      <c r="EG11" s="37"/>
      <c r="EH11" s="37"/>
      <c r="EI11" s="34"/>
      <c r="EJ11" s="37"/>
      <c r="EK11" s="37"/>
      <c r="EL11" s="37"/>
      <c r="EM11" s="35" t="s">
        <v>4108</v>
      </c>
      <c r="EN11" s="37"/>
      <c r="EO11" s="37"/>
      <c r="EP11" s="37"/>
      <c r="EQ11" s="37"/>
      <c r="ER11" s="35" t="s">
        <v>3612</v>
      </c>
      <c r="ES11" s="34"/>
      <c r="ET11" s="35" t="s">
        <v>47</v>
      </c>
      <c r="EU11" s="32">
        <v>7.0</v>
      </c>
      <c r="EV11" s="40" t="s">
        <v>3559</v>
      </c>
    </row>
    <row r="12">
      <c r="B12" s="42" t="s">
        <v>5405</v>
      </c>
      <c r="C12" s="41">
        <v>43.0</v>
      </c>
      <c r="D12" s="42" t="s">
        <v>5416</v>
      </c>
      <c r="E12" s="42" t="s">
        <v>3563</v>
      </c>
      <c r="F12" s="42" t="s">
        <v>3564</v>
      </c>
      <c r="G12" s="42" t="s">
        <v>3565</v>
      </c>
      <c r="H12" s="42" t="s">
        <v>8127</v>
      </c>
      <c r="I12" s="63">
        <v>45925.0</v>
      </c>
      <c r="J12" s="42" t="s">
        <v>5408</v>
      </c>
      <c r="K12" s="42" t="s">
        <v>5409</v>
      </c>
      <c r="L12" s="42" t="s">
        <v>5410</v>
      </c>
      <c r="M12" s="43"/>
      <c r="N12" s="43"/>
      <c r="O12" s="42" t="s">
        <v>5406</v>
      </c>
      <c r="P12" s="42" t="s">
        <v>5411</v>
      </c>
      <c r="Q12" s="45"/>
      <c r="R12" s="43"/>
      <c r="S12" s="45"/>
      <c r="T12" s="45"/>
      <c r="U12" s="43"/>
      <c r="V12" s="45"/>
      <c r="W12" s="45"/>
      <c r="X12" s="43"/>
      <c r="Y12" s="42" t="s">
        <v>5411</v>
      </c>
      <c r="Z12" s="42" t="s">
        <v>5407</v>
      </c>
      <c r="AA12" s="42" t="s">
        <v>5018</v>
      </c>
      <c r="AB12" s="41">
        <v>24.86</v>
      </c>
      <c r="AC12" s="42" t="s">
        <v>5412</v>
      </c>
      <c r="AD12" s="42" t="s">
        <v>5236</v>
      </c>
      <c r="AE12" s="42" t="s">
        <v>5413</v>
      </c>
      <c r="AF12" s="44" t="s">
        <v>5414</v>
      </c>
      <c r="AG12" s="44" t="s">
        <v>5415</v>
      </c>
      <c r="AH12" s="41">
        <v>43.0</v>
      </c>
      <c r="AI12" s="42" t="s">
        <v>5416</v>
      </c>
      <c r="AJ12" s="42" t="s">
        <v>5417</v>
      </c>
      <c r="AK12" s="42" t="s">
        <v>5418</v>
      </c>
      <c r="AL12" s="41">
        <v>2009.0</v>
      </c>
      <c r="AM12" s="43"/>
      <c r="AN12" s="42" t="s">
        <v>5421</v>
      </c>
      <c r="AO12" s="42" t="s">
        <v>4093</v>
      </c>
      <c r="AP12" s="42" t="s">
        <v>5422</v>
      </c>
      <c r="AQ12" s="43"/>
      <c r="AR12" s="43"/>
      <c r="AS12" s="41">
        <v>0.49</v>
      </c>
      <c r="AT12" s="45"/>
      <c r="AU12" s="41">
        <v>-4.65</v>
      </c>
      <c r="AV12" s="41">
        <v>0.03</v>
      </c>
      <c r="AW12" s="41">
        <v>-4.45</v>
      </c>
      <c r="AX12" s="41">
        <v>-4.7</v>
      </c>
      <c r="AY12" s="41">
        <v>3.45</v>
      </c>
      <c r="AZ12" s="41">
        <v>-2.91</v>
      </c>
      <c r="BA12" s="47">
        <v>-0.2194</v>
      </c>
      <c r="BB12" s="41" t="s">
        <v>5419</v>
      </c>
      <c r="BC12" s="42" t="s">
        <v>5420</v>
      </c>
      <c r="BD12" s="64" t="str">
        <f>+972 (0)4 834 2360</f>
        <v>#ERROR!</v>
      </c>
      <c r="BE12" s="42" t="s">
        <v>3581</v>
      </c>
      <c r="BF12" s="42" t="s">
        <v>5423</v>
      </c>
      <c r="BG12" s="42" t="s">
        <v>5424</v>
      </c>
      <c r="BH12" s="42" t="s">
        <v>75</v>
      </c>
      <c r="BI12" s="43"/>
      <c r="BJ12" s="41">
        <v>6107439.0</v>
      </c>
      <c r="BK12" s="42" t="s">
        <v>41</v>
      </c>
      <c r="BL12" s="45" t="str">
        <f>+972 (0)4 834 2360</f>
        <v>#ERROR!</v>
      </c>
      <c r="BM12" s="45"/>
      <c r="BN12" s="42" t="s">
        <v>126</v>
      </c>
      <c r="BO12" s="42" t="s">
        <v>3584</v>
      </c>
      <c r="BP12" s="42" t="s">
        <v>3584</v>
      </c>
      <c r="BQ12" s="42" t="s">
        <v>5425</v>
      </c>
      <c r="BR12" s="42" t="s">
        <v>5426</v>
      </c>
      <c r="BS12" s="41">
        <v>2.0</v>
      </c>
      <c r="BT12" s="43"/>
      <c r="BU12" s="42" t="s">
        <v>5427</v>
      </c>
      <c r="BV12" s="43"/>
      <c r="BW12" s="42" t="s">
        <v>5428</v>
      </c>
      <c r="BX12" s="42" t="s">
        <v>5429</v>
      </c>
      <c r="BY12" s="43"/>
      <c r="BZ12" s="43"/>
      <c r="CA12" s="42" t="s">
        <v>3695</v>
      </c>
      <c r="CB12" s="65">
        <v>39814.0</v>
      </c>
      <c r="CC12" s="45"/>
      <c r="CD12" s="43"/>
      <c r="CE12" s="45"/>
      <c r="CF12" s="43"/>
      <c r="CG12" s="42" t="s">
        <v>3662</v>
      </c>
      <c r="CH12" s="43"/>
      <c r="CI12" s="43"/>
      <c r="CJ12" s="42" t="s">
        <v>3663</v>
      </c>
      <c r="CK12" s="43"/>
      <c r="CL12" s="42" t="s">
        <v>3591</v>
      </c>
      <c r="CM12" s="65">
        <v>44202.0</v>
      </c>
      <c r="CN12" s="41">
        <v>18.86</v>
      </c>
      <c r="CO12" s="42" t="s">
        <v>3593</v>
      </c>
      <c r="CP12" s="45"/>
      <c r="CQ12" s="43"/>
      <c r="CR12" s="42" t="s">
        <v>5257</v>
      </c>
      <c r="CS12" s="43"/>
      <c r="CT12" s="43"/>
      <c r="CU12" s="42" t="s">
        <v>3803</v>
      </c>
      <c r="CV12" s="45"/>
      <c r="CW12" s="45"/>
      <c r="CX12" s="43"/>
      <c r="CY12" s="42" t="s">
        <v>3591</v>
      </c>
      <c r="CZ12" s="47">
        <v>-0.0064</v>
      </c>
      <c r="DA12" s="41">
        <v>11.0</v>
      </c>
      <c r="DB12" s="47">
        <v>-6.0E-4</v>
      </c>
      <c r="DC12" s="47">
        <v>-0.1028</v>
      </c>
      <c r="DD12" s="47">
        <v>-0.0064</v>
      </c>
      <c r="DE12" s="41">
        <v>11.0</v>
      </c>
      <c r="DF12" s="45"/>
      <c r="DG12" s="45"/>
      <c r="DH12" s="47">
        <v>-0.0064</v>
      </c>
      <c r="DI12" s="41">
        <v>12.0</v>
      </c>
      <c r="DJ12" s="41" t="s">
        <v>9633</v>
      </c>
      <c r="DK12" s="41">
        <v>90.0</v>
      </c>
      <c r="DL12" s="41" t="s">
        <v>3598</v>
      </c>
      <c r="DM12" s="47">
        <v>0.0</v>
      </c>
      <c r="DN12" s="41" t="s">
        <v>9633</v>
      </c>
      <c r="DO12" s="41">
        <v>89.0</v>
      </c>
      <c r="DP12" s="45"/>
      <c r="DQ12" s="45"/>
      <c r="DR12" s="41" t="s">
        <v>9633</v>
      </c>
      <c r="DS12" s="41">
        <v>87.0</v>
      </c>
      <c r="DT12" s="45"/>
      <c r="DU12" s="45"/>
      <c r="DV12" s="45"/>
      <c r="DW12" s="41">
        <v>207.0</v>
      </c>
      <c r="DX12" s="41">
        <v>-1.0</v>
      </c>
      <c r="DY12" s="47">
        <v>-0.0048</v>
      </c>
      <c r="DZ12" s="41">
        <v>8.0</v>
      </c>
      <c r="EA12" s="41">
        <v>2.0</v>
      </c>
      <c r="EB12" s="45"/>
      <c r="EC12" s="45"/>
      <c r="ED12" s="45"/>
      <c r="EE12" s="41">
        <v>8.0</v>
      </c>
      <c r="EF12" s="43"/>
      <c r="EG12" s="41">
        <v>386.6</v>
      </c>
      <c r="EH12" s="65">
        <v>44167.0</v>
      </c>
      <c r="EI12" s="42" t="s">
        <v>4775</v>
      </c>
      <c r="EJ12" s="45"/>
      <c r="EK12" s="45"/>
      <c r="EL12" s="45"/>
      <c r="EM12" s="43"/>
      <c r="EN12" s="45"/>
      <c r="EO12" s="45"/>
      <c r="EP12" s="45"/>
      <c r="EQ12" s="45"/>
      <c r="ER12" s="42" t="s">
        <v>8127</v>
      </c>
      <c r="ES12" s="43"/>
      <c r="ET12" s="42" t="s">
        <v>47</v>
      </c>
      <c r="EU12" s="41">
        <v>2.0</v>
      </c>
      <c r="EV12" s="48" t="s">
        <v>3559</v>
      </c>
    </row>
    <row r="13">
      <c r="B13" s="42" t="s">
        <v>6301</v>
      </c>
      <c r="C13" s="52">
        <v>0.0</v>
      </c>
      <c r="D13" s="42" t="s">
        <v>9634</v>
      </c>
      <c r="E13" s="42" t="s">
        <v>4560</v>
      </c>
      <c r="F13" s="42" t="s">
        <v>4561</v>
      </c>
      <c r="G13" s="42" t="s">
        <v>5057</v>
      </c>
      <c r="H13" s="42" t="s">
        <v>5736</v>
      </c>
      <c r="I13" s="63">
        <v>45983.0</v>
      </c>
      <c r="J13" s="42" t="s">
        <v>6306</v>
      </c>
      <c r="K13" s="42" t="s">
        <v>6307</v>
      </c>
      <c r="L13" s="42" t="s">
        <v>6308</v>
      </c>
      <c r="M13" s="43"/>
      <c r="N13" s="42" t="s">
        <v>6302</v>
      </c>
      <c r="O13" s="42" t="s">
        <v>6303</v>
      </c>
      <c r="P13" s="42" t="s">
        <v>6309</v>
      </c>
      <c r="Q13" s="45"/>
      <c r="R13" s="43"/>
      <c r="S13" s="45"/>
      <c r="T13" s="45"/>
      <c r="U13" s="43"/>
      <c r="V13" s="45"/>
      <c r="W13" s="45"/>
      <c r="X13" s="42" t="s">
        <v>9635</v>
      </c>
      <c r="Y13" s="42" t="s">
        <v>6309</v>
      </c>
      <c r="Z13" s="42" t="s">
        <v>6305</v>
      </c>
      <c r="AA13" s="42" t="s">
        <v>4962</v>
      </c>
      <c r="AB13" s="45"/>
      <c r="AC13" s="42" t="s">
        <v>5412</v>
      </c>
      <c r="AD13" s="42" t="s">
        <v>5236</v>
      </c>
      <c r="AE13" s="42" t="s">
        <v>6132</v>
      </c>
      <c r="AF13" s="44" t="s">
        <v>6310</v>
      </c>
      <c r="AG13" s="44" t="s">
        <v>6311</v>
      </c>
      <c r="AH13" s="52">
        <v>5540.0</v>
      </c>
      <c r="AI13" s="42" t="s">
        <v>9634</v>
      </c>
      <c r="AJ13" s="42" t="s">
        <v>5417</v>
      </c>
      <c r="AK13" s="42" t="s">
        <v>6313</v>
      </c>
      <c r="AL13" s="41">
        <v>1948.0</v>
      </c>
      <c r="AM13" s="43"/>
      <c r="AN13" s="42" t="s">
        <v>6315</v>
      </c>
      <c r="AO13" s="42" t="s">
        <v>3982</v>
      </c>
      <c r="AP13" s="42" t="s">
        <v>6316</v>
      </c>
      <c r="AQ13" s="43"/>
      <c r="AR13" s="43"/>
      <c r="AS13" s="51">
        <v>3475.5</v>
      </c>
      <c r="AT13" s="41">
        <v>846.0</v>
      </c>
      <c r="AU13" s="41">
        <v>483.6</v>
      </c>
      <c r="AV13" s="51">
        <v>2068.36</v>
      </c>
      <c r="AW13" s="41">
        <v>895.2</v>
      </c>
      <c r="AX13" s="41">
        <v>621.7</v>
      </c>
      <c r="AY13" s="51">
        <v>2309.81</v>
      </c>
      <c r="AZ13" s="41">
        <v>-464.9</v>
      </c>
      <c r="BA13" s="47">
        <v>0.0666</v>
      </c>
      <c r="BB13" s="41" t="s">
        <v>5245</v>
      </c>
      <c r="BC13" s="42" t="s">
        <v>6314</v>
      </c>
      <c r="BD13" s="64" t="str">
        <f>+972 (0)3 977 1111</f>
        <v>#ERROR!</v>
      </c>
      <c r="BE13" s="42" t="s">
        <v>6317</v>
      </c>
      <c r="BF13" s="42" t="s">
        <v>6318</v>
      </c>
      <c r="BG13" s="43"/>
      <c r="BH13" s="42" t="s">
        <v>246</v>
      </c>
      <c r="BI13" s="43"/>
      <c r="BJ13" s="41">
        <v>7015001.0</v>
      </c>
      <c r="BK13" s="42" t="s">
        <v>41</v>
      </c>
      <c r="BL13" s="45" t="str">
        <f>+972 (0)3 977 1111</f>
        <v>#ERROR!</v>
      </c>
      <c r="BM13" s="45" t="str">
        <f>+972 (0)3 971 7334</f>
        <v>#ERROR!</v>
      </c>
      <c r="BN13" s="43"/>
      <c r="BO13" s="42" t="s">
        <v>3584</v>
      </c>
      <c r="BP13" s="42" t="s">
        <v>3584</v>
      </c>
      <c r="BQ13" s="42" t="s">
        <v>6319</v>
      </c>
      <c r="BR13" s="42" t="s">
        <v>6320</v>
      </c>
      <c r="BS13" s="41">
        <v>3.0</v>
      </c>
      <c r="BT13" s="43"/>
      <c r="BU13" s="43"/>
      <c r="BV13" s="43"/>
      <c r="BW13" s="42" t="s">
        <v>6321</v>
      </c>
      <c r="BX13" s="43"/>
      <c r="BY13" s="43"/>
      <c r="BZ13" s="42" t="s">
        <v>6322</v>
      </c>
      <c r="CA13" s="43"/>
      <c r="CB13" s="63">
        <v>37784.0</v>
      </c>
      <c r="CC13" s="45"/>
      <c r="CD13" s="43"/>
      <c r="CE13" s="45"/>
      <c r="CF13" s="43"/>
      <c r="CG13" s="42" t="s">
        <v>4532</v>
      </c>
      <c r="CH13" s="43"/>
      <c r="CI13" s="43"/>
      <c r="CJ13" s="42" t="s">
        <v>5764</v>
      </c>
      <c r="CK13" s="43"/>
      <c r="CL13" s="42" t="s">
        <v>3591</v>
      </c>
      <c r="CM13" s="63">
        <v>44091.0</v>
      </c>
      <c r="CN13" s="41">
        <v>180.0</v>
      </c>
      <c r="CO13" s="42" t="s">
        <v>3593</v>
      </c>
      <c r="CP13" s="41">
        <v>319.43</v>
      </c>
      <c r="CQ13" s="42" t="s">
        <v>3697</v>
      </c>
      <c r="CR13" s="42" t="s">
        <v>4977</v>
      </c>
      <c r="CS13" s="43"/>
      <c r="CT13" s="43"/>
      <c r="CU13" s="42" t="s">
        <v>3663</v>
      </c>
      <c r="CV13" s="45"/>
      <c r="CW13" s="45"/>
      <c r="CX13" s="43"/>
      <c r="CY13" s="42" t="s">
        <v>3591</v>
      </c>
      <c r="CZ13" s="47">
        <v>-0.0031</v>
      </c>
      <c r="DA13" s="41">
        <v>15.0</v>
      </c>
      <c r="DB13" s="47">
        <v>-1.0E-4</v>
      </c>
      <c r="DC13" s="47">
        <v>-0.035</v>
      </c>
      <c r="DD13" s="47">
        <v>-0.0097</v>
      </c>
      <c r="DE13" s="41">
        <v>8.0</v>
      </c>
      <c r="DF13" s="47">
        <v>-0.0084</v>
      </c>
      <c r="DG13" s="41">
        <v>9.0</v>
      </c>
      <c r="DH13" s="47">
        <v>-0.0111</v>
      </c>
      <c r="DI13" s="41">
        <v>8.0</v>
      </c>
      <c r="DJ13" s="41" t="s">
        <v>9636</v>
      </c>
      <c r="DK13" s="41">
        <v>100.0</v>
      </c>
      <c r="DL13" s="41" t="s">
        <v>9637</v>
      </c>
      <c r="DM13" s="47">
        <v>-2.0E-4</v>
      </c>
      <c r="DN13" s="41" t="s">
        <v>9638</v>
      </c>
      <c r="DO13" s="41">
        <v>100.0</v>
      </c>
      <c r="DP13" s="41" t="s">
        <v>9639</v>
      </c>
      <c r="DQ13" s="41">
        <v>100.0</v>
      </c>
      <c r="DR13" s="41" t="s">
        <v>9640</v>
      </c>
      <c r="DS13" s="41">
        <v>100.0</v>
      </c>
      <c r="DT13" s="52">
        <v>414841.0</v>
      </c>
      <c r="DU13" s="52">
        <v>-4272.0</v>
      </c>
      <c r="DV13" s="47">
        <v>-0.0102</v>
      </c>
      <c r="DW13" s="52">
        <v>10155.0</v>
      </c>
      <c r="DX13" s="41">
        <v>-71.0</v>
      </c>
      <c r="DY13" s="47">
        <v>-0.0069</v>
      </c>
      <c r="DZ13" s="45"/>
      <c r="EA13" s="45"/>
      <c r="EB13" s="45"/>
      <c r="EC13" s="45"/>
      <c r="ED13" s="45"/>
      <c r="EE13" s="45"/>
      <c r="EF13" s="43"/>
      <c r="EG13" s="41">
        <v>319.43</v>
      </c>
      <c r="EH13" s="63">
        <v>44091.0</v>
      </c>
      <c r="EI13" s="42" t="s">
        <v>4977</v>
      </c>
      <c r="EJ13" s="45"/>
      <c r="EK13" s="45"/>
      <c r="EL13" s="45"/>
      <c r="EM13" s="43"/>
      <c r="EN13" s="45"/>
      <c r="EO13" s="45"/>
      <c r="EP13" s="45"/>
      <c r="EQ13" s="45"/>
      <c r="ER13" s="42" t="s">
        <v>5736</v>
      </c>
      <c r="ES13" s="43"/>
      <c r="ET13" s="43"/>
      <c r="EU13" s="45"/>
      <c r="EV13" s="48" t="s">
        <v>3559</v>
      </c>
    </row>
    <row r="14">
      <c r="B14" s="42" t="s">
        <v>9641</v>
      </c>
      <c r="C14" s="41">
        <v>77.0</v>
      </c>
      <c r="D14" s="42" t="s">
        <v>9642</v>
      </c>
      <c r="E14" s="42" t="s">
        <v>3563</v>
      </c>
      <c r="F14" s="42" t="s">
        <v>3609</v>
      </c>
      <c r="G14" s="42" t="s">
        <v>3610</v>
      </c>
      <c r="H14" s="42" t="s">
        <v>6037</v>
      </c>
      <c r="I14" s="65">
        <v>45992.0</v>
      </c>
      <c r="J14" s="42" t="s">
        <v>5863</v>
      </c>
      <c r="K14" s="42" t="s">
        <v>5864</v>
      </c>
      <c r="L14" s="42" t="s">
        <v>5865</v>
      </c>
      <c r="M14" s="42" t="s">
        <v>5859</v>
      </c>
      <c r="N14" s="43"/>
      <c r="O14" s="42" t="s">
        <v>5860</v>
      </c>
      <c r="P14" s="42" t="s">
        <v>5866</v>
      </c>
      <c r="Q14" s="45"/>
      <c r="R14" s="43"/>
      <c r="S14" s="45"/>
      <c r="T14" s="45"/>
      <c r="U14" s="43"/>
      <c r="V14" s="45"/>
      <c r="W14" s="45"/>
      <c r="X14" s="42" t="s">
        <v>9643</v>
      </c>
      <c r="Y14" s="42" t="s">
        <v>5866</v>
      </c>
      <c r="Z14" s="42" t="s">
        <v>5862</v>
      </c>
      <c r="AA14" s="42" t="s">
        <v>4962</v>
      </c>
      <c r="AB14" s="41">
        <v>77.39</v>
      </c>
      <c r="AC14" s="42" t="s">
        <v>3571</v>
      </c>
      <c r="AD14" s="42" t="s">
        <v>5236</v>
      </c>
      <c r="AE14" s="42" t="s">
        <v>5867</v>
      </c>
      <c r="AF14" s="44" t="s">
        <v>5868</v>
      </c>
      <c r="AG14" s="44" t="s">
        <v>9644</v>
      </c>
      <c r="AH14" s="41">
        <v>77.0</v>
      </c>
      <c r="AI14" s="42" t="s">
        <v>9642</v>
      </c>
      <c r="AJ14" s="42" t="s">
        <v>5417</v>
      </c>
      <c r="AK14" s="42" t="s">
        <v>9645</v>
      </c>
      <c r="AL14" s="41">
        <v>2006.0</v>
      </c>
      <c r="AM14" s="42" t="s">
        <v>5692</v>
      </c>
      <c r="AN14" s="42" t="s">
        <v>9646</v>
      </c>
      <c r="AO14" s="42" t="s">
        <v>3982</v>
      </c>
      <c r="AP14" s="42" t="s">
        <v>9647</v>
      </c>
      <c r="AQ14" s="43"/>
      <c r="AR14" s="43"/>
      <c r="AS14" s="45"/>
      <c r="AT14" s="45"/>
      <c r="AU14" s="45"/>
      <c r="AV14" s="45"/>
      <c r="AW14" s="45"/>
      <c r="AX14" s="45"/>
      <c r="AY14" s="41">
        <v>4.79</v>
      </c>
      <c r="AZ14" s="45"/>
      <c r="BA14" s="45"/>
      <c r="BB14" s="45"/>
      <c r="BC14" s="42" t="s">
        <v>9648</v>
      </c>
      <c r="BD14" s="64" t="str">
        <f>+972 (0)54 660 7120</f>
        <v>#ERROR!</v>
      </c>
      <c r="BE14" s="42" t="s">
        <v>3718</v>
      </c>
      <c r="BF14" s="42" t="s">
        <v>5870</v>
      </c>
      <c r="BG14" s="42" t="s">
        <v>5871</v>
      </c>
      <c r="BH14" s="42" t="s">
        <v>552</v>
      </c>
      <c r="BI14" s="43"/>
      <c r="BJ14" s="41">
        <v>4673308.0</v>
      </c>
      <c r="BK14" s="42" t="s">
        <v>41</v>
      </c>
      <c r="BL14" s="45"/>
      <c r="BM14" s="45"/>
      <c r="BN14" s="42" t="s">
        <v>9649</v>
      </c>
      <c r="BO14" s="42" t="s">
        <v>3584</v>
      </c>
      <c r="BP14" s="42" t="s">
        <v>3584</v>
      </c>
      <c r="BQ14" s="42" t="s">
        <v>9650</v>
      </c>
      <c r="BR14" s="42" t="s">
        <v>9651</v>
      </c>
      <c r="BS14" s="41">
        <v>1.0</v>
      </c>
      <c r="BT14" s="42" t="s">
        <v>5692</v>
      </c>
      <c r="BU14" s="42" t="s">
        <v>9652</v>
      </c>
      <c r="BV14" s="43"/>
      <c r="BW14" s="43"/>
      <c r="BX14" s="42" t="s">
        <v>9653</v>
      </c>
      <c r="BY14" s="43"/>
      <c r="BZ14" s="42" t="s">
        <v>5875</v>
      </c>
      <c r="CA14" s="42" t="s">
        <v>5876</v>
      </c>
      <c r="CB14" s="45"/>
      <c r="CC14" s="45"/>
      <c r="CD14" s="43"/>
      <c r="CE14" s="45"/>
      <c r="CF14" s="43"/>
      <c r="CG14" s="42" t="s">
        <v>3589</v>
      </c>
      <c r="CH14" s="43"/>
      <c r="CI14" s="43"/>
      <c r="CJ14" s="42" t="s">
        <v>3590</v>
      </c>
      <c r="CK14" s="43"/>
      <c r="CL14" s="42" t="s">
        <v>3591</v>
      </c>
      <c r="CM14" s="63">
        <v>45825.0</v>
      </c>
      <c r="CN14" s="45"/>
      <c r="CO14" s="43"/>
      <c r="CP14" s="45"/>
      <c r="CQ14" s="43"/>
      <c r="CR14" s="42" t="s">
        <v>4977</v>
      </c>
      <c r="CS14" s="43"/>
      <c r="CT14" s="43"/>
      <c r="CU14" s="42" t="s">
        <v>3663</v>
      </c>
      <c r="CV14" s="45"/>
      <c r="CW14" s="45"/>
      <c r="CX14" s="43"/>
      <c r="CY14" s="42" t="s">
        <v>3591</v>
      </c>
      <c r="CZ14" s="45"/>
      <c r="DA14" s="45"/>
      <c r="DB14" s="45"/>
      <c r="DC14" s="45"/>
      <c r="DD14" s="45"/>
      <c r="DE14" s="45"/>
      <c r="DF14" s="45"/>
      <c r="DG14" s="45"/>
      <c r="DH14" s="45"/>
      <c r="DI14" s="45"/>
      <c r="DJ14" s="45"/>
      <c r="DK14" s="45"/>
      <c r="DL14" s="45"/>
      <c r="DM14" s="45"/>
      <c r="DN14" s="45"/>
      <c r="DO14" s="45"/>
      <c r="DP14" s="45"/>
      <c r="DQ14" s="45"/>
      <c r="DR14" s="45"/>
      <c r="DS14" s="45"/>
      <c r="DT14" s="45"/>
      <c r="DU14" s="45"/>
      <c r="DV14" s="45"/>
      <c r="DW14" s="45"/>
      <c r="DX14" s="45"/>
      <c r="DY14" s="45"/>
      <c r="DZ14" s="41">
        <v>5.0</v>
      </c>
      <c r="EA14" s="41">
        <v>3.0</v>
      </c>
      <c r="EB14" s="45"/>
      <c r="EC14" s="41">
        <v>2.0</v>
      </c>
      <c r="ED14" s="45"/>
      <c r="EE14" s="41">
        <v>3.0</v>
      </c>
      <c r="EF14" s="42" t="s">
        <v>9654</v>
      </c>
      <c r="EG14" s="41">
        <v>101.58</v>
      </c>
      <c r="EH14" s="63">
        <v>44524.0</v>
      </c>
      <c r="EI14" s="42" t="s">
        <v>4532</v>
      </c>
      <c r="EJ14" s="45"/>
      <c r="EK14" s="45"/>
      <c r="EL14" s="45"/>
      <c r="EM14" s="43"/>
      <c r="EN14" s="45"/>
      <c r="EO14" s="45"/>
      <c r="EP14" s="41">
        <v>0.51</v>
      </c>
      <c r="EQ14" s="41">
        <v>0.51</v>
      </c>
      <c r="ER14" s="42" t="s">
        <v>6037</v>
      </c>
      <c r="ES14" s="43"/>
      <c r="ET14" s="42" t="s">
        <v>47</v>
      </c>
      <c r="EU14" s="41">
        <v>3.0</v>
      </c>
      <c r="EV14" s="48" t="s">
        <v>3559</v>
      </c>
    </row>
    <row r="15">
      <c r="B15" s="35" t="s">
        <v>6754</v>
      </c>
      <c r="C15" s="32">
        <v>72.0</v>
      </c>
      <c r="D15" s="35" t="s">
        <v>9655</v>
      </c>
      <c r="E15" s="35" t="s">
        <v>3563</v>
      </c>
      <c r="F15" s="35" t="s">
        <v>3564</v>
      </c>
      <c r="G15" s="35" t="s">
        <v>6760</v>
      </c>
      <c r="H15" s="35" t="s">
        <v>8495</v>
      </c>
      <c r="I15" s="60">
        <v>45983.0</v>
      </c>
      <c r="J15" s="35" t="s">
        <v>6761</v>
      </c>
      <c r="K15" s="35" t="s">
        <v>6762</v>
      </c>
      <c r="L15" s="35" t="s">
        <v>6763</v>
      </c>
      <c r="M15" s="35" t="s">
        <v>6755</v>
      </c>
      <c r="N15" s="35" t="s">
        <v>6756</v>
      </c>
      <c r="O15" s="35" t="s">
        <v>6757</v>
      </c>
      <c r="P15" s="35" t="s">
        <v>6764</v>
      </c>
      <c r="Q15" s="37"/>
      <c r="R15" s="34"/>
      <c r="S15" s="37"/>
      <c r="T15" s="37"/>
      <c r="U15" s="34"/>
      <c r="V15" s="37"/>
      <c r="W15" s="37"/>
      <c r="X15" s="35" t="s">
        <v>6758</v>
      </c>
      <c r="Y15" s="35" t="s">
        <v>6764</v>
      </c>
      <c r="Z15" s="35" t="s">
        <v>6759</v>
      </c>
      <c r="AA15" s="35" t="s">
        <v>4923</v>
      </c>
      <c r="AB15" s="32">
        <v>44.73</v>
      </c>
      <c r="AC15" s="35" t="s">
        <v>5412</v>
      </c>
      <c r="AD15" s="35" t="s">
        <v>5236</v>
      </c>
      <c r="AE15" s="35" t="s">
        <v>5568</v>
      </c>
      <c r="AF15" s="36" t="s">
        <v>6765</v>
      </c>
      <c r="AG15" s="36" t="s">
        <v>6766</v>
      </c>
      <c r="AH15" s="32">
        <v>72.0</v>
      </c>
      <c r="AI15" s="35" t="s">
        <v>9655</v>
      </c>
      <c r="AJ15" s="35" t="s">
        <v>5417</v>
      </c>
      <c r="AK15" s="35" t="s">
        <v>6768</v>
      </c>
      <c r="AL15" s="32">
        <v>1977.0</v>
      </c>
      <c r="AM15" s="34"/>
      <c r="AN15" s="35" t="s">
        <v>4365</v>
      </c>
      <c r="AO15" s="35" t="s">
        <v>6770</v>
      </c>
      <c r="AP15" s="35" t="s">
        <v>4367</v>
      </c>
      <c r="AQ15" s="34"/>
      <c r="AR15" s="35" t="s">
        <v>8600</v>
      </c>
      <c r="AS15" s="32">
        <v>0.45</v>
      </c>
      <c r="AT15" s="32">
        <v>0.27</v>
      </c>
      <c r="AU15" s="32">
        <v>-12.45</v>
      </c>
      <c r="AV15" s="32">
        <v>5.58</v>
      </c>
      <c r="AW15" s="32">
        <v>-11.45</v>
      </c>
      <c r="AX15" s="32">
        <v>-11.65</v>
      </c>
      <c r="AY15" s="32">
        <v>6.42</v>
      </c>
      <c r="AZ15" s="32">
        <v>-4.8</v>
      </c>
      <c r="BA15" s="39">
        <v>-0.3213</v>
      </c>
      <c r="BB15" s="32" t="s">
        <v>5419</v>
      </c>
      <c r="BC15" s="35" t="s">
        <v>4364</v>
      </c>
      <c r="BD15" s="61" t="str">
        <f>+972 (0)5 282 0911 9</f>
        <v>#ERROR!</v>
      </c>
      <c r="BE15" s="35" t="s">
        <v>4368</v>
      </c>
      <c r="BF15" s="35" t="s">
        <v>6771</v>
      </c>
      <c r="BG15" s="35" t="s">
        <v>4370</v>
      </c>
      <c r="BH15" s="35" t="s">
        <v>1037</v>
      </c>
      <c r="BI15" s="34"/>
      <c r="BJ15" s="32">
        <v>52520.0</v>
      </c>
      <c r="BK15" s="35" t="s">
        <v>41</v>
      </c>
      <c r="BL15" s="37" t="str">
        <f>+972 (0)77 970 9030</f>
        <v>#ERROR!</v>
      </c>
      <c r="BM15" s="37" t="str">
        <f>+972 (0)77 970 9031</f>
        <v>#ERROR!</v>
      </c>
      <c r="BN15" s="35" t="s">
        <v>3152</v>
      </c>
      <c r="BO15" s="35" t="s">
        <v>3584</v>
      </c>
      <c r="BP15" s="35" t="s">
        <v>3584</v>
      </c>
      <c r="BQ15" s="35" t="s">
        <v>6772</v>
      </c>
      <c r="BR15" s="35" t="s">
        <v>6773</v>
      </c>
      <c r="BS15" s="32">
        <v>5.0</v>
      </c>
      <c r="BT15" s="34"/>
      <c r="BU15" s="35" t="s">
        <v>6774</v>
      </c>
      <c r="BV15" s="34"/>
      <c r="BW15" s="35" t="s">
        <v>6775</v>
      </c>
      <c r="BX15" s="35" t="s">
        <v>6776</v>
      </c>
      <c r="BY15" s="34"/>
      <c r="BZ15" s="34"/>
      <c r="CA15" s="34"/>
      <c r="CB15" s="67">
        <v>31911.0</v>
      </c>
      <c r="CC15" s="37"/>
      <c r="CD15" s="34"/>
      <c r="CE15" s="37"/>
      <c r="CF15" s="34"/>
      <c r="CG15" s="35" t="s">
        <v>4532</v>
      </c>
      <c r="CH15" s="34"/>
      <c r="CI15" s="34"/>
      <c r="CJ15" s="35" t="s">
        <v>5764</v>
      </c>
      <c r="CK15" s="34"/>
      <c r="CL15" s="35" t="s">
        <v>3591</v>
      </c>
      <c r="CM15" s="60">
        <v>45271.0</v>
      </c>
      <c r="CN15" s="32">
        <v>4.5</v>
      </c>
      <c r="CO15" s="35" t="s">
        <v>3697</v>
      </c>
      <c r="CP15" s="37"/>
      <c r="CQ15" s="34"/>
      <c r="CR15" s="35" t="s">
        <v>5257</v>
      </c>
      <c r="CS15" s="34"/>
      <c r="CT15" s="34"/>
      <c r="CU15" s="35" t="s">
        <v>3663</v>
      </c>
      <c r="CV15" s="37"/>
      <c r="CW15" s="37"/>
      <c r="CX15" s="34"/>
      <c r="CY15" s="35" t="s">
        <v>3591</v>
      </c>
      <c r="CZ15" s="39">
        <v>-0.0103</v>
      </c>
      <c r="DA15" s="32">
        <v>8.0</v>
      </c>
      <c r="DB15" s="39">
        <v>0.0</v>
      </c>
      <c r="DC15" s="39">
        <v>0.0</v>
      </c>
      <c r="DD15" s="39">
        <v>-0.0103</v>
      </c>
      <c r="DE15" s="32">
        <v>8.0</v>
      </c>
      <c r="DF15" s="37"/>
      <c r="DG15" s="37"/>
      <c r="DH15" s="39">
        <v>-0.0103</v>
      </c>
      <c r="DI15" s="32">
        <v>9.0</v>
      </c>
      <c r="DJ15" s="32" t="s">
        <v>9656</v>
      </c>
      <c r="DK15" s="32">
        <v>97.0</v>
      </c>
      <c r="DL15" s="32" t="s">
        <v>3598</v>
      </c>
      <c r="DM15" s="39">
        <v>0.0</v>
      </c>
      <c r="DN15" s="32" t="s">
        <v>9656</v>
      </c>
      <c r="DO15" s="32">
        <v>97.0</v>
      </c>
      <c r="DP15" s="37"/>
      <c r="DQ15" s="37"/>
      <c r="DR15" s="32" t="s">
        <v>9656</v>
      </c>
      <c r="DS15" s="32">
        <v>96.0</v>
      </c>
      <c r="DT15" s="37"/>
      <c r="DU15" s="37"/>
      <c r="DV15" s="37"/>
      <c r="DW15" s="32">
        <v>621.0</v>
      </c>
      <c r="DX15" s="32">
        <v>-6.0</v>
      </c>
      <c r="DY15" s="39">
        <v>-0.0096</v>
      </c>
      <c r="DZ15" s="32">
        <v>35.0</v>
      </c>
      <c r="EA15" s="32">
        <v>10.0</v>
      </c>
      <c r="EB15" s="32">
        <v>10.0</v>
      </c>
      <c r="EC15" s="32">
        <v>4.0</v>
      </c>
      <c r="ED15" s="37"/>
      <c r="EE15" s="32">
        <v>21.0</v>
      </c>
      <c r="EF15" s="35" t="s">
        <v>6780</v>
      </c>
      <c r="EG15" s="37"/>
      <c r="EH15" s="37"/>
      <c r="EI15" s="34"/>
      <c r="EJ15" s="37"/>
      <c r="EK15" s="37"/>
      <c r="EL15" s="37"/>
      <c r="EM15" s="35" t="s">
        <v>4381</v>
      </c>
      <c r="EN15" s="37"/>
      <c r="EO15" s="37"/>
      <c r="EP15" s="37"/>
      <c r="EQ15" s="37"/>
      <c r="ER15" s="35" t="s">
        <v>8495</v>
      </c>
      <c r="ES15" s="34"/>
      <c r="ET15" s="35" t="s">
        <v>47</v>
      </c>
      <c r="EU15" s="32">
        <v>9.0</v>
      </c>
      <c r="EV15" s="40" t="s">
        <v>3559</v>
      </c>
    </row>
    <row r="16">
      <c r="B16" s="42" t="s">
        <v>9657</v>
      </c>
      <c r="C16" s="41">
        <v>38.0</v>
      </c>
      <c r="D16" s="42" t="s">
        <v>9658</v>
      </c>
      <c r="E16" s="42" t="s">
        <v>3867</v>
      </c>
      <c r="F16" s="42" t="s">
        <v>4199</v>
      </c>
      <c r="G16" s="42" t="s">
        <v>4200</v>
      </c>
      <c r="H16" s="42" t="s">
        <v>7279</v>
      </c>
      <c r="I16" s="63">
        <v>45983.0</v>
      </c>
      <c r="J16" s="42" t="s">
        <v>9569</v>
      </c>
      <c r="K16" s="42" t="s">
        <v>9570</v>
      </c>
      <c r="L16" s="42" t="s">
        <v>9571</v>
      </c>
      <c r="M16" s="42" t="s">
        <v>9659</v>
      </c>
      <c r="N16" s="42" t="s">
        <v>9565</v>
      </c>
      <c r="O16" s="42" t="s">
        <v>9660</v>
      </c>
      <c r="P16" s="42" t="s">
        <v>9572</v>
      </c>
      <c r="Q16" s="45"/>
      <c r="R16" s="43"/>
      <c r="S16" s="45"/>
      <c r="T16" s="45"/>
      <c r="U16" s="43"/>
      <c r="V16" s="45"/>
      <c r="W16" s="45"/>
      <c r="X16" s="42" t="s">
        <v>9567</v>
      </c>
      <c r="Y16" s="42" t="s">
        <v>9572</v>
      </c>
      <c r="Z16" s="42" t="s">
        <v>9568</v>
      </c>
      <c r="AA16" s="42" t="s">
        <v>5018</v>
      </c>
      <c r="AB16" s="41">
        <v>234.44</v>
      </c>
      <c r="AC16" s="42" t="s">
        <v>5412</v>
      </c>
      <c r="AD16" s="42" t="s">
        <v>5236</v>
      </c>
      <c r="AE16" s="42" t="s">
        <v>5413</v>
      </c>
      <c r="AF16" s="44" t="s">
        <v>9573</v>
      </c>
      <c r="AG16" s="44" t="s">
        <v>9574</v>
      </c>
      <c r="AH16" s="41">
        <v>38.0</v>
      </c>
      <c r="AI16" s="42" t="s">
        <v>9658</v>
      </c>
      <c r="AJ16" s="42" t="s">
        <v>5417</v>
      </c>
      <c r="AK16" s="42" t="s">
        <v>9565</v>
      </c>
      <c r="AL16" s="41">
        <v>2013.0</v>
      </c>
      <c r="AM16" s="43"/>
      <c r="AN16" s="42" t="s">
        <v>9577</v>
      </c>
      <c r="AO16" s="42" t="s">
        <v>9661</v>
      </c>
      <c r="AP16" s="42" t="s">
        <v>9579</v>
      </c>
      <c r="AQ16" s="43"/>
      <c r="AR16" s="43"/>
      <c r="AS16" s="41">
        <v>0.75</v>
      </c>
      <c r="AT16" s="41">
        <v>-1.82</v>
      </c>
      <c r="AU16" s="41">
        <v>-12.8</v>
      </c>
      <c r="AV16" s="41">
        <v>7.81</v>
      </c>
      <c r="AW16" s="41">
        <v>-12.25</v>
      </c>
      <c r="AX16" s="41">
        <v>-12.61</v>
      </c>
      <c r="AY16" s="41">
        <v>89.28</v>
      </c>
      <c r="AZ16" s="41">
        <v>1.47</v>
      </c>
      <c r="BA16" s="47">
        <v>0.372</v>
      </c>
      <c r="BB16" s="41" t="s">
        <v>5419</v>
      </c>
      <c r="BC16" s="42" t="s">
        <v>9576</v>
      </c>
      <c r="BD16" s="64" t="str">
        <f>+972 (0)8 680 5566</f>
        <v>#ERROR!</v>
      </c>
      <c r="BE16" s="42" t="s">
        <v>6317</v>
      </c>
      <c r="BF16" s="42" t="s">
        <v>9580</v>
      </c>
      <c r="BG16" s="43"/>
      <c r="BH16" s="42" t="s">
        <v>246</v>
      </c>
      <c r="BI16" s="42" t="s">
        <v>9581</v>
      </c>
      <c r="BJ16" s="41">
        <v>7152008.0</v>
      </c>
      <c r="BK16" s="42" t="s">
        <v>41</v>
      </c>
      <c r="BL16" s="45" t="str">
        <f>+972 (0)8 680 5566</f>
        <v>#ERROR!</v>
      </c>
      <c r="BM16" s="45"/>
      <c r="BN16" s="42" t="s">
        <v>9582</v>
      </c>
      <c r="BO16" s="42" t="s">
        <v>3584</v>
      </c>
      <c r="BP16" s="42" t="s">
        <v>3584</v>
      </c>
      <c r="BQ16" s="42" t="s">
        <v>9583</v>
      </c>
      <c r="BR16" s="42" t="s">
        <v>9662</v>
      </c>
      <c r="BS16" s="41">
        <v>7.0</v>
      </c>
      <c r="BT16" s="43"/>
      <c r="BU16" s="42" t="s">
        <v>9585</v>
      </c>
      <c r="BV16" s="42" t="s">
        <v>9663</v>
      </c>
      <c r="BW16" s="42" t="s">
        <v>9664</v>
      </c>
      <c r="BX16" s="42" t="s">
        <v>9587</v>
      </c>
      <c r="BY16" s="42" t="s">
        <v>9665</v>
      </c>
      <c r="BZ16" s="42" t="s">
        <v>9666</v>
      </c>
      <c r="CA16" s="42" t="s">
        <v>9589</v>
      </c>
      <c r="CB16" s="65">
        <v>41275.0</v>
      </c>
      <c r="CC16" s="45"/>
      <c r="CD16" s="43"/>
      <c r="CE16" s="45"/>
      <c r="CF16" s="43"/>
      <c r="CG16" s="42" t="s">
        <v>3589</v>
      </c>
      <c r="CH16" s="43"/>
      <c r="CI16" s="43"/>
      <c r="CJ16" s="42" t="s">
        <v>3590</v>
      </c>
      <c r="CK16" s="43"/>
      <c r="CL16" s="42" t="s">
        <v>3591</v>
      </c>
      <c r="CM16" s="63">
        <v>45930.0</v>
      </c>
      <c r="CN16" s="41">
        <v>180.0</v>
      </c>
      <c r="CO16" s="42" t="s">
        <v>3593</v>
      </c>
      <c r="CP16" s="45"/>
      <c r="CQ16" s="43"/>
      <c r="CR16" s="42" t="s">
        <v>5257</v>
      </c>
      <c r="CS16" s="43"/>
      <c r="CT16" s="43"/>
      <c r="CU16" s="42" t="s">
        <v>3663</v>
      </c>
      <c r="CV16" s="63">
        <v>42123.0</v>
      </c>
      <c r="CW16" s="41">
        <v>0.4</v>
      </c>
      <c r="CX16" s="43"/>
      <c r="CY16" s="42" t="s">
        <v>3591</v>
      </c>
      <c r="CZ16" s="47">
        <v>4.0E-4</v>
      </c>
      <c r="DA16" s="41">
        <v>86.0</v>
      </c>
      <c r="DB16" s="47">
        <v>0.0</v>
      </c>
      <c r="DC16" s="47">
        <v>0.0</v>
      </c>
      <c r="DD16" s="47">
        <v>4.0E-4</v>
      </c>
      <c r="DE16" s="41">
        <v>90.0</v>
      </c>
      <c r="DF16" s="47">
        <v>0.0</v>
      </c>
      <c r="DG16" s="41">
        <v>11.0</v>
      </c>
      <c r="DH16" s="47">
        <v>9.0E-4</v>
      </c>
      <c r="DI16" s="41">
        <v>92.0</v>
      </c>
      <c r="DJ16" s="41" t="s">
        <v>9667</v>
      </c>
      <c r="DK16" s="41">
        <v>80.0</v>
      </c>
      <c r="DL16" s="41" t="s">
        <v>3598</v>
      </c>
      <c r="DM16" s="47">
        <v>0.0</v>
      </c>
      <c r="DN16" s="41" t="s">
        <v>9667</v>
      </c>
      <c r="DO16" s="41">
        <v>78.0</v>
      </c>
      <c r="DP16" s="41" t="s">
        <v>9668</v>
      </c>
      <c r="DQ16" s="41">
        <v>79.0</v>
      </c>
      <c r="DR16" s="41" t="s">
        <v>9669</v>
      </c>
      <c r="DS16" s="41">
        <v>79.0</v>
      </c>
      <c r="DT16" s="41">
        <v>626.0</v>
      </c>
      <c r="DU16" s="41">
        <v>16.0</v>
      </c>
      <c r="DV16" s="47">
        <v>0.0262</v>
      </c>
      <c r="DW16" s="41">
        <v>147.0</v>
      </c>
      <c r="DX16" s="41">
        <v>0.0</v>
      </c>
      <c r="DY16" s="47">
        <v>0.0</v>
      </c>
      <c r="DZ16" s="41">
        <v>29.0</v>
      </c>
      <c r="EA16" s="41">
        <v>3.0</v>
      </c>
      <c r="EB16" s="41">
        <v>18.0</v>
      </c>
      <c r="EC16" s="41">
        <v>4.0</v>
      </c>
      <c r="ED16" s="45"/>
      <c r="EE16" s="41">
        <v>7.0</v>
      </c>
      <c r="EF16" s="42" t="s">
        <v>9592</v>
      </c>
      <c r="EG16" s="41">
        <v>58.2</v>
      </c>
      <c r="EH16" s="63">
        <v>44307.0</v>
      </c>
      <c r="EI16" s="42" t="s">
        <v>4532</v>
      </c>
      <c r="EJ16" s="45"/>
      <c r="EK16" s="45"/>
      <c r="EL16" s="45"/>
      <c r="EM16" s="42" t="s">
        <v>4248</v>
      </c>
      <c r="EN16" s="45"/>
      <c r="EO16" s="45"/>
      <c r="EP16" s="41">
        <v>4.71</v>
      </c>
      <c r="EQ16" s="41">
        <v>4.71</v>
      </c>
      <c r="ER16" s="42" t="s">
        <v>7279</v>
      </c>
      <c r="ES16" s="43"/>
      <c r="ET16" s="42" t="s">
        <v>47</v>
      </c>
      <c r="EU16" s="41">
        <v>3.0</v>
      </c>
      <c r="EV16" s="48" t="s">
        <v>3559</v>
      </c>
    </row>
    <row r="17">
      <c r="B17" s="35" t="s">
        <v>2560</v>
      </c>
      <c r="C17" s="32">
        <v>11.0</v>
      </c>
      <c r="D17" s="35" t="s">
        <v>9670</v>
      </c>
      <c r="E17" s="35" t="s">
        <v>3563</v>
      </c>
      <c r="F17" s="35" t="s">
        <v>3564</v>
      </c>
      <c r="G17" s="35" t="s">
        <v>3565</v>
      </c>
      <c r="H17" s="35" t="s">
        <v>5722</v>
      </c>
      <c r="I17" s="60">
        <v>45776.0</v>
      </c>
      <c r="J17" s="35" t="s">
        <v>8094</v>
      </c>
      <c r="K17" s="35" t="s">
        <v>8095</v>
      </c>
      <c r="L17" s="35" t="s">
        <v>8096</v>
      </c>
      <c r="M17" s="34"/>
      <c r="N17" s="35" t="s">
        <v>8090</v>
      </c>
      <c r="O17" s="35" t="s">
        <v>8091</v>
      </c>
      <c r="P17" s="35" t="s">
        <v>8097</v>
      </c>
      <c r="Q17" s="37"/>
      <c r="R17" s="34"/>
      <c r="S17" s="37"/>
      <c r="T17" s="37"/>
      <c r="U17" s="34"/>
      <c r="V17" s="37"/>
      <c r="W17" s="37"/>
      <c r="X17" s="35" t="s">
        <v>8092</v>
      </c>
      <c r="Y17" s="35" t="s">
        <v>8097</v>
      </c>
      <c r="Z17" s="35" t="s">
        <v>8093</v>
      </c>
      <c r="AA17" s="35" t="s">
        <v>5145</v>
      </c>
      <c r="AB17" s="37"/>
      <c r="AC17" s="35" t="s">
        <v>3571</v>
      </c>
      <c r="AD17" s="35" t="s">
        <v>3572</v>
      </c>
      <c r="AE17" s="35" t="s">
        <v>3573</v>
      </c>
      <c r="AF17" s="36" t="s">
        <v>8098</v>
      </c>
      <c r="AG17" s="36" t="s">
        <v>8099</v>
      </c>
      <c r="AH17" s="32">
        <v>11.0</v>
      </c>
      <c r="AI17" s="35" t="s">
        <v>9670</v>
      </c>
      <c r="AJ17" s="34"/>
      <c r="AK17" s="34"/>
      <c r="AL17" s="32">
        <v>2014.0</v>
      </c>
      <c r="AM17" s="34"/>
      <c r="AN17" s="35" t="s">
        <v>8101</v>
      </c>
      <c r="AO17" s="35" t="s">
        <v>4397</v>
      </c>
      <c r="AP17" s="35" t="s">
        <v>8102</v>
      </c>
      <c r="AQ17" s="34"/>
      <c r="AR17" s="34"/>
      <c r="AS17" s="37"/>
      <c r="AT17" s="37"/>
      <c r="AU17" s="37"/>
      <c r="AV17" s="37"/>
      <c r="AW17" s="37"/>
      <c r="AX17" s="37"/>
      <c r="AY17" s="37"/>
      <c r="AZ17" s="37"/>
      <c r="BA17" s="37"/>
      <c r="BB17" s="37"/>
      <c r="BC17" s="35" t="s">
        <v>8100</v>
      </c>
      <c r="BD17" s="61" t="str">
        <f>+972 (0)4 619 4602</f>
        <v>#ERROR!</v>
      </c>
      <c r="BE17" s="35" t="s">
        <v>5210</v>
      </c>
      <c r="BF17" s="35" t="s">
        <v>8103</v>
      </c>
      <c r="BG17" s="35" t="s">
        <v>8104</v>
      </c>
      <c r="BH17" s="35" t="s">
        <v>98</v>
      </c>
      <c r="BI17" s="35" t="s">
        <v>8105</v>
      </c>
      <c r="BJ17" s="32">
        <v>1610102.0</v>
      </c>
      <c r="BK17" s="35" t="s">
        <v>41</v>
      </c>
      <c r="BL17" s="37" t="str">
        <f>+972 (0)4 619 4602</f>
        <v>#ERROR!</v>
      </c>
      <c r="BM17" s="37" t="str">
        <f>+972 (0)4 619 4601</f>
        <v>#ERROR!</v>
      </c>
      <c r="BN17" s="35" t="s">
        <v>2565</v>
      </c>
      <c r="BO17" s="35" t="s">
        <v>3584</v>
      </c>
      <c r="BP17" s="35" t="s">
        <v>3584</v>
      </c>
      <c r="BQ17" s="35" t="s">
        <v>8106</v>
      </c>
      <c r="BR17" s="35" t="s">
        <v>8107</v>
      </c>
      <c r="BS17" s="32">
        <v>5.0</v>
      </c>
      <c r="BT17" s="34"/>
      <c r="BU17" s="35" t="s">
        <v>8108</v>
      </c>
      <c r="BV17" s="34"/>
      <c r="BW17" s="35" t="s">
        <v>8109</v>
      </c>
      <c r="BX17" s="35" t="s">
        <v>8110</v>
      </c>
      <c r="BY17" s="34"/>
      <c r="BZ17" s="34"/>
      <c r="CA17" s="34"/>
      <c r="CB17" s="37"/>
      <c r="CC17" s="37"/>
      <c r="CD17" s="34"/>
      <c r="CE17" s="37"/>
      <c r="CF17" s="34"/>
      <c r="CG17" s="35" t="s">
        <v>5320</v>
      </c>
      <c r="CH17" s="34"/>
      <c r="CI17" s="34"/>
      <c r="CJ17" s="35" t="s">
        <v>3803</v>
      </c>
      <c r="CK17" s="34"/>
      <c r="CL17" s="35" t="s">
        <v>3591</v>
      </c>
      <c r="CM17" s="37"/>
      <c r="CN17" s="37"/>
      <c r="CO17" s="34"/>
      <c r="CP17" s="37"/>
      <c r="CQ17" s="34"/>
      <c r="CR17" s="35" t="s">
        <v>3830</v>
      </c>
      <c r="CS17" s="34"/>
      <c r="CT17" s="34"/>
      <c r="CU17" s="35" t="s">
        <v>3803</v>
      </c>
      <c r="CV17" s="37"/>
      <c r="CW17" s="37"/>
      <c r="CX17" s="34"/>
      <c r="CY17" s="35" t="s">
        <v>3591</v>
      </c>
      <c r="CZ17" s="39">
        <v>0.0</v>
      </c>
      <c r="DA17" s="32">
        <v>19.0</v>
      </c>
      <c r="DB17" s="39">
        <v>0.0</v>
      </c>
      <c r="DC17" s="39">
        <v>0.0</v>
      </c>
      <c r="DD17" s="39">
        <v>0.0</v>
      </c>
      <c r="DE17" s="32">
        <v>17.0</v>
      </c>
      <c r="DF17" s="37"/>
      <c r="DG17" s="37"/>
      <c r="DH17" s="39">
        <v>0.0</v>
      </c>
      <c r="DI17" s="32">
        <v>17.0</v>
      </c>
      <c r="DJ17" s="32" t="s">
        <v>9671</v>
      </c>
      <c r="DK17" s="32">
        <v>66.0</v>
      </c>
      <c r="DL17" s="32" t="s">
        <v>3598</v>
      </c>
      <c r="DM17" s="39">
        <v>0.0</v>
      </c>
      <c r="DN17" s="32" t="s">
        <v>9671</v>
      </c>
      <c r="DO17" s="32">
        <v>67.0</v>
      </c>
      <c r="DP17" s="37"/>
      <c r="DQ17" s="37"/>
      <c r="DR17" s="32" t="s">
        <v>9671</v>
      </c>
      <c r="DS17" s="32">
        <v>66.0</v>
      </c>
      <c r="DT17" s="37"/>
      <c r="DU17" s="37"/>
      <c r="DV17" s="37"/>
      <c r="DW17" s="32">
        <v>37.0</v>
      </c>
      <c r="DX17" s="32">
        <v>0.0</v>
      </c>
      <c r="DY17" s="39">
        <v>0.0</v>
      </c>
      <c r="DZ17" s="32">
        <v>21.0</v>
      </c>
      <c r="EA17" s="32">
        <v>6.0</v>
      </c>
      <c r="EB17" s="32">
        <v>17.0</v>
      </c>
      <c r="EC17" s="32">
        <v>2.0</v>
      </c>
      <c r="ED17" s="37"/>
      <c r="EE17" s="32">
        <v>2.0</v>
      </c>
      <c r="EF17" s="35" t="s">
        <v>8112</v>
      </c>
      <c r="EG17" s="37"/>
      <c r="EH17" s="37"/>
      <c r="EI17" s="34"/>
      <c r="EJ17" s="37"/>
      <c r="EK17" s="37"/>
      <c r="EL17" s="37"/>
      <c r="EM17" s="34"/>
      <c r="EN17" s="37"/>
      <c r="EO17" s="37"/>
      <c r="EP17" s="37"/>
      <c r="EQ17" s="37"/>
      <c r="ER17" s="35" t="s">
        <v>5722</v>
      </c>
      <c r="ES17" s="34"/>
      <c r="ET17" s="34"/>
      <c r="EU17" s="37"/>
      <c r="EV17" s="40" t="s">
        <v>3559</v>
      </c>
    </row>
    <row r="18">
      <c r="B18" s="35" t="s">
        <v>4933</v>
      </c>
      <c r="C18" s="32">
        <v>7.0</v>
      </c>
      <c r="D18" s="35" t="s">
        <v>9672</v>
      </c>
      <c r="E18" s="35" t="s">
        <v>3563</v>
      </c>
      <c r="F18" s="35" t="s">
        <v>3609</v>
      </c>
      <c r="G18" s="35" t="s">
        <v>3610</v>
      </c>
      <c r="H18" s="35" t="s">
        <v>8127</v>
      </c>
      <c r="I18" s="62">
        <v>45992.0</v>
      </c>
      <c r="J18" s="35" t="s">
        <v>4937</v>
      </c>
      <c r="K18" s="35" t="s">
        <v>4938</v>
      </c>
      <c r="L18" s="35" t="s">
        <v>4939</v>
      </c>
      <c r="M18" s="34"/>
      <c r="N18" s="34"/>
      <c r="O18" s="35" t="s">
        <v>4934</v>
      </c>
      <c r="P18" s="35" t="s">
        <v>4940</v>
      </c>
      <c r="Q18" s="37"/>
      <c r="R18" s="34"/>
      <c r="S18" s="37"/>
      <c r="T18" s="37"/>
      <c r="U18" s="34"/>
      <c r="V18" s="37"/>
      <c r="W18" s="37"/>
      <c r="X18" s="35" t="s">
        <v>9673</v>
      </c>
      <c r="Y18" s="35" t="s">
        <v>4940</v>
      </c>
      <c r="Z18" s="35" t="s">
        <v>4936</v>
      </c>
      <c r="AA18" s="35" t="s">
        <v>3569</v>
      </c>
      <c r="AB18" s="37"/>
      <c r="AC18" s="35" t="s">
        <v>3571</v>
      </c>
      <c r="AD18" s="35" t="s">
        <v>3572</v>
      </c>
      <c r="AE18" s="35" t="s">
        <v>3573</v>
      </c>
      <c r="AF18" s="36" t="s">
        <v>4941</v>
      </c>
      <c r="AG18" s="36" t="s">
        <v>4942</v>
      </c>
      <c r="AH18" s="32">
        <v>7.0</v>
      </c>
      <c r="AI18" s="35" t="s">
        <v>9672</v>
      </c>
      <c r="AJ18" s="34"/>
      <c r="AK18" s="34"/>
      <c r="AL18" s="32">
        <v>2018.0</v>
      </c>
      <c r="AM18" s="34"/>
      <c r="AN18" s="35" t="s">
        <v>4945</v>
      </c>
      <c r="AO18" s="35" t="s">
        <v>3579</v>
      </c>
      <c r="AP18" s="35" t="s">
        <v>3256</v>
      </c>
      <c r="AQ18" s="34"/>
      <c r="AR18" s="34"/>
      <c r="AS18" s="37"/>
      <c r="AT18" s="37"/>
      <c r="AU18" s="37"/>
      <c r="AV18" s="37"/>
      <c r="AW18" s="37"/>
      <c r="AX18" s="37"/>
      <c r="AY18" s="37"/>
      <c r="AZ18" s="37"/>
      <c r="BA18" s="37"/>
      <c r="BB18" s="37"/>
      <c r="BC18" s="35" t="s">
        <v>4944</v>
      </c>
      <c r="BD18" s="61" t="str">
        <f>+972 (0)9 955 9525</f>
        <v>#ERROR!</v>
      </c>
      <c r="BE18" s="35" t="s">
        <v>3744</v>
      </c>
      <c r="BF18" s="35" t="s">
        <v>4946</v>
      </c>
      <c r="BG18" s="34"/>
      <c r="BH18" s="35" t="s">
        <v>183</v>
      </c>
      <c r="BI18" s="34"/>
      <c r="BJ18" s="37"/>
      <c r="BK18" s="35" t="s">
        <v>41</v>
      </c>
      <c r="BL18" s="37" t="str">
        <f>+972 (0)9 955 9525</f>
        <v>#ERROR!</v>
      </c>
      <c r="BM18" s="37"/>
      <c r="BN18" s="35" t="s">
        <v>3259</v>
      </c>
      <c r="BO18" s="35" t="s">
        <v>3584</v>
      </c>
      <c r="BP18" s="35" t="s">
        <v>3584</v>
      </c>
      <c r="BQ18" s="35" t="s">
        <v>4947</v>
      </c>
      <c r="BR18" s="35" t="s">
        <v>4948</v>
      </c>
      <c r="BS18" s="32">
        <v>7.0</v>
      </c>
      <c r="BT18" s="34"/>
      <c r="BU18" s="35" t="s">
        <v>4949</v>
      </c>
      <c r="BV18" s="34"/>
      <c r="BW18" s="35" t="s">
        <v>4950</v>
      </c>
      <c r="BX18" s="35" t="s">
        <v>4951</v>
      </c>
      <c r="BY18" s="34"/>
      <c r="BZ18" s="35" t="s">
        <v>4952</v>
      </c>
      <c r="CA18" s="34"/>
      <c r="CB18" s="37"/>
      <c r="CC18" s="37"/>
      <c r="CD18" s="34"/>
      <c r="CE18" s="37"/>
      <c r="CF18" s="34"/>
      <c r="CG18" s="35" t="s">
        <v>3589</v>
      </c>
      <c r="CH18" s="34"/>
      <c r="CI18" s="34"/>
      <c r="CJ18" s="35" t="s">
        <v>3590</v>
      </c>
      <c r="CK18" s="34"/>
      <c r="CL18" s="35" t="s">
        <v>3591</v>
      </c>
      <c r="CM18" s="37"/>
      <c r="CN18" s="37"/>
      <c r="CO18" s="34"/>
      <c r="CP18" s="37"/>
      <c r="CQ18" s="34"/>
      <c r="CR18" s="35" t="s">
        <v>3589</v>
      </c>
      <c r="CS18" s="34"/>
      <c r="CT18" s="34"/>
      <c r="CU18" s="35" t="s">
        <v>3590</v>
      </c>
      <c r="CV18" s="37"/>
      <c r="CW18" s="37"/>
      <c r="CX18" s="34"/>
      <c r="CY18" s="35" t="s">
        <v>3591</v>
      </c>
      <c r="CZ18" s="39">
        <v>-0.0089</v>
      </c>
      <c r="DA18" s="32">
        <v>9.0</v>
      </c>
      <c r="DB18" s="39">
        <v>0.0</v>
      </c>
      <c r="DC18" s="39">
        <v>0.0</v>
      </c>
      <c r="DD18" s="39">
        <v>0.0</v>
      </c>
      <c r="DE18" s="32">
        <v>17.0</v>
      </c>
      <c r="DF18" s="37"/>
      <c r="DG18" s="37"/>
      <c r="DH18" s="39">
        <v>0.0</v>
      </c>
      <c r="DI18" s="32">
        <v>17.0</v>
      </c>
      <c r="DJ18" s="32" t="s">
        <v>9674</v>
      </c>
      <c r="DK18" s="32">
        <v>55.0</v>
      </c>
      <c r="DL18" s="32" t="s">
        <v>3598</v>
      </c>
      <c r="DM18" s="39">
        <v>0.0</v>
      </c>
      <c r="DN18" s="32" t="s">
        <v>9675</v>
      </c>
      <c r="DO18" s="32">
        <v>64.0</v>
      </c>
      <c r="DP18" s="37"/>
      <c r="DQ18" s="37"/>
      <c r="DR18" s="32" t="s">
        <v>9675</v>
      </c>
      <c r="DS18" s="32">
        <v>63.0</v>
      </c>
      <c r="DT18" s="37"/>
      <c r="DU18" s="37"/>
      <c r="DV18" s="37"/>
      <c r="DW18" s="32">
        <v>31.0</v>
      </c>
      <c r="DX18" s="32">
        <v>1.0</v>
      </c>
      <c r="DY18" s="39">
        <v>0.0333</v>
      </c>
      <c r="DZ18" s="32">
        <v>1.0</v>
      </c>
      <c r="EA18" s="32">
        <v>1.0</v>
      </c>
      <c r="EB18" s="32">
        <v>1.0</v>
      </c>
      <c r="EC18" s="37"/>
      <c r="ED18" s="37"/>
      <c r="EE18" s="37"/>
      <c r="EF18" s="35" t="s">
        <v>4954</v>
      </c>
      <c r="EG18" s="37"/>
      <c r="EH18" s="37"/>
      <c r="EI18" s="34"/>
      <c r="EJ18" s="37"/>
      <c r="EK18" s="37"/>
      <c r="EL18" s="37"/>
      <c r="EM18" s="34"/>
      <c r="EN18" s="37"/>
      <c r="EO18" s="37"/>
      <c r="EP18" s="37"/>
      <c r="EQ18" s="37"/>
      <c r="ER18" s="35" t="s">
        <v>8127</v>
      </c>
      <c r="ES18" s="34"/>
      <c r="ET18" s="35" t="s">
        <v>47</v>
      </c>
      <c r="EU18" s="32">
        <v>4.0</v>
      </c>
      <c r="EV18" s="40" t="s">
        <v>3559</v>
      </c>
    </row>
    <row r="19">
      <c r="B19" s="35" t="s">
        <v>3995</v>
      </c>
      <c r="C19" s="32">
        <v>68.0</v>
      </c>
      <c r="D19" s="35" t="s">
        <v>9676</v>
      </c>
      <c r="E19" s="35" t="s">
        <v>3563</v>
      </c>
      <c r="F19" s="35" t="s">
        <v>3609</v>
      </c>
      <c r="G19" s="35" t="s">
        <v>3610</v>
      </c>
      <c r="H19" s="35" t="s">
        <v>3612</v>
      </c>
      <c r="I19" s="67">
        <v>45797.0</v>
      </c>
      <c r="J19" s="35" t="s">
        <v>3999</v>
      </c>
      <c r="K19" s="35" t="s">
        <v>4000</v>
      </c>
      <c r="L19" s="35" t="s">
        <v>9677</v>
      </c>
      <c r="M19" s="34"/>
      <c r="N19" s="34"/>
      <c r="O19" s="35" t="s">
        <v>3996</v>
      </c>
      <c r="P19" s="35" t="s">
        <v>4002</v>
      </c>
      <c r="Q19" s="32">
        <v>70.0</v>
      </c>
      <c r="R19" s="35" t="s">
        <v>3602</v>
      </c>
      <c r="S19" s="39">
        <v>0.78</v>
      </c>
      <c r="T19" s="39">
        <v>0.22</v>
      </c>
      <c r="U19" s="35" t="s">
        <v>3603</v>
      </c>
      <c r="V19" s="39">
        <v>0.01</v>
      </c>
      <c r="W19" s="39">
        <v>0.77</v>
      </c>
      <c r="X19" s="35" t="s">
        <v>3997</v>
      </c>
      <c r="Y19" s="35" t="s">
        <v>4002</v>
      </c>
      <c r="Z19" s="35" t="s">
        <v>9678</v>
      </c>
      <c r="AA19" s="35" t="s">
        <v>3569</v>
      </c>
      <c r="AB19" s="32">
        <v>65.0</v>
      </c>
      <c r="AC19" s="35" t="s">
        <v>3571</v>
      </c>
      <c r="AD19" s="35" t="s">
        <v>3572</v>
      </c>
      <c r="AE19" s="35" t="s">
        <v>3573</v>
      </c>
      <c r="AF19" s="36" t="s">
        <v>4003</v>
      </c>
      <c r="AG19" s="36" t="s">
        <v>4004</v>
      </c>
      <c r="AH19" s="32">
        <v>68.0</v>
      </c>
      <c r="AI19" s="35" t="s">
        <v>9676</v>
      </c>
      <c r="AJ19" s="34"/>
      <c r="AK19" s="34"/>
      <c r="AL19" s="32">
        <v>2016.0</v>
      </c>
      <c r="AM19" s="34"/>
      <c r="AN19" s="35" t="s">
        <v>4007</v>
      </c>
      <c r="AO19" s="35" t="s">
        <v>4008</v>
      </c>
      <c r="AP19" s="34"/>
      <c r="AQ19" s="34"/>
      <c r="AR19" s="34"/>
      <c r="AS19" s="37"/>
      <c r="AT19" s="37"/>
      <c r="AU19" s="37"/>
      <c r="AV19" s="37"/>
      <c r="AW19" s="37"/>
      <c r="AX19" s="37"/>
      <c r="AY19" s="37"/>
      <c r="AZ19" s="37"/>
      <c r="BA19" s="37"/>
      <c r="BB19" s="37"/>
      <c r="BC19" s="35" t="s">
        <v>4006</v>
      </c>
      <c r="BD19" s="61" t="str">
        <f>+972 (0)4 959 0963</f>
        <v>#ERROR!</v>
      </c>
      <c r="BE19" s="35" t="s">
        <v>4009</v>
      </c>
      <c r="BF19" s="35" t="s">
        <v>9679</v>
      </c>
      <c r="BG19" s="34"/>
      <c r="BH19" s="35" t="s">
        <v>4011</v>
      </c>
      <c r="BI19" s="34"/>
      <c r="BJ19" s="32">
        <v>2069206.0</v>
      </c>
      <c r="BK19" s="35" t="s">
        <v>41</v>
      </c>
      <c r="BL19" s="37" t="str">
        <f>+972 (0)77 251 8840</f>
        <v>#ERROR!</v>
      </c>
      <c r="BM19" s="37" t="str">
        <f>+972 (0)77 251 8841</f>
        <v>#ERROR!</v>
      </c>
      <c r="BN19" s="35" t="s">
        <v>3142</v>
      </c>
      <c r="BO19" s="35" t="s">
        <v>3584</v>
      </c>
      <c r="BP19" s="35" t="s">
        <v>3584</v>
      </c>
      <c r="BQ19" s="35" t="s">
        <v>4012</v>
      </c>
      <c r="BR19" s="35" t="s">
        <v>4013</v>
      </c>
      <c r="BS19" s="32">
        <v>3.0</v>
      </c>
      <c r="BT19" s="34"/>
      <c r="BU19" s="34"/>
      <c r="BV19" s="34"/>
      <c r="BW19" s="35" t="s">
        <v>4014</v>
      </c>
      <c r="BX19" s="34"/>
      <c r="BY19" s="34"/>
      <c r="BZ19" s="34"/>
      <c r="CA19" s="35" t="s">
        <v>3725</v>
      </c>
      <c r="CB19" s="60">
        <v>43419.0</v>
      </c>
      <c r="CC19" s="32">
        <v>20.0</v>
      </c>
      <c r="CD19" s="35" t="s">
        <v>3593</v>
      </c>
      <c r="CE19" s="37"/>
      <c r="CF19" s="34"/>
      <c r="CG19" s="35" t="s">
        <v>3669</v>
      </c>
      <c r="CH19" s="35" t="s">
        <v>3595</v>
      </c>
      <c r="CI19" s="34"/>
      <c r="CJ19" s="35" t="s">
        <v>3573</v>
      </c>
      <c r="CK19" s="34"/>
      <c r="CL19" s="35" t="s">
        <v>3591</v>
      </c>
      <c r="CM19" s="68">
        <v>45048.0</v>
      </c>
      <c r="CN19" s="32">
        <v>30.0</v>
      </c>
      <c r="CO19" s="35" t="s">
        <v>3593</v>
      </c>
      <c r="CP19" s="37"/>
      <c r="CQ19" s="34"/>
      <c r="CR19" s="35" t="s">
        <v>3594</v>
      </c>
      <c r="CS19" s="35" t="s">
        <v>4017</v>
      </c>
      <c r="CT19" s="34"/>
      <c r="CU19" s="35" t="s">
        <v>3573</v>
      </c>
      <c r="CV19" s="37"/>
      <c r="CW19" s="37"/>
      <c r="CX19" s="34"/>
      <c r="CY19" s="35" t="s">
        <v>3591</v>
      </c>
      <c r="CZ19" s="39">
        <v>-0.0228</v>
      </c>
      <c r="DA19" s="32">
        <v>3.0</v>
      </c>
      <c r="DB19" s="39">
        <v>0.0</v>
      </c>
      <c r="DC19" s="39">
        <v>0.0</v>
      </c>
      <c r="DD19" s="39">
        <v>-0.0228</v>
      </c>
      <c r="DE19" s="32">
        <v>4.0</v>
      </c>
      <c r="DF19" s="37"/>
      <c r="DG19" s="37"/>
      <c r="DH19" s="39">
        <v>-0.0228</v>
      </c>
      <c r="DI19" s="32">
        <v>4.0</v>
      </c>
      <c r="DJ19" s="32" t="s">
        <v>9680</v>
      </c>
      <c r="DK19" s="32">
        <v>83.0</v>
      </c>
      <c r="DL19" s="32" t="s">
        <v>3598</v>
      </c>
      <c r="DM19" s="39">
        <v>0.0</v>
      </c>
      <c r="DN19" s="32" t="s">
        <v>9680</v>
      </c>
      <c r="DO19" s="32">
        <v>82.0</v>
      </c>
      <c r="DP19" s="37"/>
      <c r="DQ19" s="37"/>
      <c r="DR19" s="32" t="s">
        <v>9680</v>
      </c>
      <c r="DS19" s="32">
        <v>79.0</v>
      </c>
      <c r="DT19" s="37"/>
      <c r="DU19" s="37"/>
      <c r="DV19" s="37"/>
      <c r="DW19" s="32">
        <v>143.0</v>
      </c>
      <c r="DX19" s="32">
        <v>-2.0</v>
      </c>
      <c r="DY19" s="39">
        <v>-0.0138</v>
      </c>
      <c r="DZ19" s="32">
        <v>67.0</v>
      </c>
      <c r="EA19" s="32">
        <v>23.0</v>
      </c>
      <c r="EB19" s="32">
        <v>45.0</v>
      </c>
      <c r="EC19" s="32">
        <v>9.0</v>
      </c>
      <c r="ED19" s="37"/>
      <c r="EE19" s="32">
        <v>13.0</v>
      </c>
      <c r="EF19" s="35" t="s">
        <v>4021</v>
      </c>
      <c r="EG19" s="37"/>
      <c r="EH19" s="37"/>
      <c r="EI19" s="34"/>
      <c r="EJ19" s="37"/>
      <c r="EK19" s="37"/>
      <c r="EL19" s="37"/>
      <c r="EM19" s="34"/>
      <c r="EN19" s="37"/>
      <c r="EO19" s="37"/>
      <c r="EP19" s="37"/>
      <c r="EQ19" s="37"/>
      <c r="ER19" s="35" t="s">
        <v>3612</v>
      </c>
      <c r="ES19" s="34"/>
      <c r="ET19" s="35" t="s">
        <v>47</v>
      </c>
      <c r="EU19" s="32">
        <v>5.0</v>
      </c>
      <c r="EV19" s="40" t="s">
        <v>3559</v>
      </c>
    </row>
    <row r="20">
      <c r="B20" s="35" t="s">
        <v>5089</v>
      </c>
      <c r="C20" s="37"/>
      <c r="D20" s="34"/>
      <c r="E20" s="35" t="s">
        <v>3867</v>
      </c>
      <c r="F20" s="35" t="s">
        <v>3897</v>
      </c>
      <c r="G20" s="35" t="s">
        <v>5092</v>
      </c>
      <c r="H20" s="35" t="s">
        <v>3612</v>
      </c>
      <c r="I20" s="60">
        <v>45828.0</v>
      </c>
      <c r="J20" s="35" t="s">
        <v>5093</v>
      </c>
      <c r="K20" s="35" t="s">
        <v>3612</v>
      </c>
      <c r="L20" s="35" t="s">
        <v>5094</v>
      </c>
      <c r="M20" s="34"/>
      <c r="N20" s="35" t="s">
        <v>9681</v>
      </c>
      <c r="O20" s="35" t="s">
        <v>5090</v>
      </c>
      <c r="P20" s="35" t="s">
        <v>5095</v>
      </c>
      <c r="Q20" s="37"/>
      <c r="R20" s="34"/>
      <c r="S20" s="37"/>
      <c r="T20" s="37"/>
      <c r="U20" s="34"/>
      <c r="V20" s="37"/>
      <c r="W20" s="37"/>
      <c r="X20" s="34"/>
      <c r="Y20" s="35" t="s">
        <v>5095</v>
      </c>
      <c r="Z20" s="35" t="s">
        <v>5091</v>
      </c>
      <c r="AA20" s="35" t="s">
        <v>4389</v>
      </c>
      <c r="AB20" s="37"/>
      <c r="AC20" s="35" t="s">
        <v>3571</v>
      </c>
      <c r="AD20" s="35" t="s">
        <v>3572</v>
      </c>
      <c r="AE20" s="35" t="s">
        <v>4989</v>
      </c>
      <c r="AF20" s="36" t="s">
        <v>5096</v>
      </c>
      <c r="AG20" s="36" t="s">
        <v>5097</v>
      </c>
      <c r="AH20" s="37"/>
      <c r="AI20" s="34"/>
      <c r="AJ20" s="34"/>
      <c r="AK20" s="34"/>
      <c r="AL20" s="32">
        <v>2017.0</v>
      </c>
      <c r="AM20" s="35" t="s">
        <v>5098</v>
      </c>
      <c r="AN20" s="35" t="s">
        <v>5100</v>
      </c>
      <c r="AO20" s="35" t="s">
        <v>3982</v>
      </c>
      <c r="AP20" s="35" t="s">
        <v>5101</v>
      </c>
      <c r="AQ20" s="34"/>
      <c r="AR20" s="34"/>
      <c r="AS20" s="37"/>
      <c r="AT20" s="37"/>
      <c r="AU20" s="37"/>
      <c r="AV20" s="37"/>
      <c r="AW20" s="37"/>
      <c r="AX20" s="37"/>
      <c r="AY20" s="37"/>
      <c r="AZ20" s="37"/>
      <c r="BA20" s="37"/>
      <c r="BB20" s="37"/>
      <c r="BC20" s="35" t="s">
        <v>5099</v>
      </c>
      <c r="BD20" s="61" t="str">
        <f>+972 (0)3 926 2000</f>
        <v>#ERROR!</v>
      </c>
      <c r="BE20" s="35" t="s">
        <v>4211</v>
      </c>
      <c r="BF20" s="35" t="s">
        <v>5102</v>
      </c>
      <c r="BG20" s="35" t="s">
        <v>3688</v>
      </c>
      <c r="BH20" s="35" t="s">
        <v>4213</v>
      </c>
      <c r="BI20" s="34"/>
      <c r="BJ20" s="37"/>
      <c r="BK20" s="35" t="s">
        <v>41</v>
      </c>
      <c r="BL20" s="37" t="str">
        <f>+972 (0)73 200 1512</f>
        <v>#ERROR!</v>
      </c>
      <c r="BM20" s="37"/>
      <c r="BN20" s="34"/>
      <c r="BO20" s="35" t="s">
        <v>3584</v>
      </c>
      <c r="BP20" s="35" t="s">
        <v>3584</v>
      </c>
      <c r="BQ20" s="35" t="s">
        <v>5103</v>
      </c>
      <c r="BR20" s="35" t="s">
        <v>5104</v>
      </c>
      <c r="BS20" s="32">
        <v>2.0</v>
      </c>
      <c r="BT20" s="34"/>
      <c r="BU20" s="34"/>
      <c r="BV20" s="34"/>
      <c r="BW20" s="35" t="s">
        <v>5105</v>
      </c>
      <c r="BX20" s="34"/>
      <c r="BY20" s="34"/>
      <c r="BZ20" s="34"/>
      <c r="CA20" s="34"/>
      <c r="CB20" s="60">
        <v>44243.0</v>
      </c>
      <c r="CC20" s="32">
        <v>16.78</v>
      </c>
      <c r="CD20" s="35" t="s">
        <v>3593</v>
      </c>
      <c r="CE20" s="32">
        <v>33.57</v>
      </c>
      <c r="CF20" s="35" t="s">
        <v>3697</v>
      </c>
      <c r="CG20" s="35" t="s">
        <v>5005</v>
      </c>
      <c r="CH20" s="34"/>
      <c r="CI20" s="34"/>
      <c r="CJ20" s="35" t="s">
        <v>4989</v>
      </c>
      <c r="CK20" s="34"/>
      <c r="CL20" s="35" t="s">
        <v>3591</v>
      </c>
      <c r="CM20" s="60">
        <v>44243.0</v>
      </c>
      <c r="CN20" s="32">
        <v>16.78</v>
      </c>
      <c r="CO20" s="35" t="s">
        <v>3593</v>
      </c>
      <c r="CP20" s="32">
        <v>33.57</v>
      </c>
      <c r="CQ20" s="35" t="s">
        <v>3697</v>
      </c>
      <c r="CR20" s="35" t="s">
        <v>5005</v>
      </c>
      <c r="CS20" s="34"/>
      <c r="CT20" s="34"/>
      <c r="CU20" s="35" t="s">
        <v>4989</v>
      </c>
      <c r="CV20" s="37"/>
      <c r="CW20" s="37"/>
      <c r="CX20" s="34"/>
      <c r="CY20" s="35" t="s">
        <v>3591</v>
      </c>
      <c r="CZ20" s="39">
        <v>0.0</v>
      </c>
      <c r="DA20" s="32">
        <v>19.0</v>
      </c>
      <c r="DB20" s="39">
        <v>0.0</v>
      </c>
      <c r="DC20" s="39">
        <v>0.0</v>
      </c>
      <c r="DD20" s="39">
        <v>0.0</v>
      </c>
      <c r="DE20" s="32">
        <v>17.0</v>
      </c>
      <c r="DF20" s="37"/>
      <c r="DG20" s="37"/>
      <c r="DH20" s="39">
        <v>0.0</v>
      </c>
      <c r="DI20" s="32">
        <v>17.0</v>
      </c>
      <c r="DJ20" s="32" t="s">
        <v>9682</v>
      </c>
      <c r="DK20" s="32">
        <v>63.0</v>
      </c>
      <c r="DL20" s="32" t="s">
        <v>3598</v>
      </c>
      <c r="DM20" s="39">
        <v>0.0</v>
      </c>
      <c r="DN20" s="32" t="s">
        <v>9682</v>
      </c>
      <c r="DO20" s="32">
        <v>64.0</v>
      </c>
      <c r="DP20" s="37"/>
      <c r="DQ20" s="37"/>
      <c r="DR20" s="32" t="s">
        <v>9682</v>
      </c>
      <c r="DS20" s="32">
        <v>63.0</v>
      </c>
      <c r="DT20" s="49">
        <v>2011.0</v>
      </c>
      <c r="DU20" s="32">
        <v>42.0</v>
      </c>
      <c r="DV20" s="39">
        <v>0.0213</v>
      </c>
      <c r="DW20" s="32">
        <v>30.0</v>
      </c>
      <c r="DX20" s="32">
        <v>0.0</v>
      </c>
      <c r="DY20" s="39">
        <v>0.0</v>
      </c>
      <c r="DZ20" s="37"/>
      <c r="EA20" s="37"/>
      <c r="EB20" s="37"/>
      <c r="EC20" s="37"/>
      <c r="ED20" s="37"/>
      <c r="EE20" s="37"/>
      <c r="EF20" s="34"/>
      <c r="EG20" s="32">
        <v>33.57</v>
      </c>
      <c r="EH20" s="60">
        <v>44243.0</v>
      </c>
      <c r="EI20" s="35" t="s">
        <v>5005</v>
      </c>
      <c r="EJ20" s="37"/>
      <c r="EK20" s="37"/>
      <c r="EL20" s="37"/>
      <c r="EM20" s="34"/>
      <c r="EN20" s="37"/>
      <c r="EO20" s="37"/>
      <c r="EP20" s="37"/>
      <c r="EQ20" s="37"/>
      <c r="ER20" s="35" t="s">
        <v>3612</v>
      </c>
      <c r="ES20" s="34"/>
      <c r="ET20" s="34"/>
      <c r="EU20" s="37"/>
      <c r="EV20" s="40" t="s">
        <v>3559</v>
      </c>
    </row>
    <row r="21">
      <c r="B21" s="42" t="s">
        <v>5110</v>
      </c>
      <c r="C21" s="41">
        <v>3.0</v>
      </c>
      <c r="D21" s="42" t="s">
        <v>5120</v>
      </c>
      <c r="E21" s="42" t="s">
        <v>3563</v>
      </c>
      <c r="F21" s="42" t="s">
        <v>3564</v>
      </c>
      <c r="G21" s="42" t="s">
        <v>3565</v>
      </c>
      <c r="H21" s="42" t="s">
        <v>8495</v>
      </c>
      <c r="I21" s="63">
        <v>45835.0</v>
      </c>
      <c r="J21" s="42" t="s">
        <v>5114</v>
      </c>
      <c r="K21" s="42" t="s">
        <v>5115</v>
      </c>
      <c r="L21" s="42" t="s">
        <v>5116</v>
      </c>
      <c r="M21" s="42" t="s">
        <v>5111</v>
      </c>
      <c r="N21" s="43"/>
      <c r="O21" s="42" t="s">
        <v>5112</v>
      </c>
      <c r="P21" s="42" t="s">
        <v>5117</v>
      </c>
      <c r="Q21" s="45"/>
      <c r="R21" s="43"/>
      <c r="S21" s="45"/>
      <c r="T21" s="45"/>
      <c r="U21" s="43"/>
      <c r="V21" s="45"/>
      <c r="W21" s="45"/>
      <c r="X21" s="43"/>
      <c r="Y21" s="42" t="s">
        <v>5117</v>
      </c>
      <c r="Z21" s="42" t="s">
        <v>5113</v>
      </c>
      <c r="AA21" s="42" t="s">
        <v>5018</v>
      </c>
      <c r="AB21" s="41">
        <v>3.9</v>
      </c>
      <c r="AC21" s="42" t="s">
        <v>3571</v>
      </c>
      <c r="AD21" s="42" t="s">
        <v>3572</v>
      </c>
      <c r="AE21" s="42" t="s">
        <v>3573</v>
      </c>
      <c r="AF21" s="44" t="s">
        <v>5118</v>
      </c>
      <c r="AG21" s="44" t="s">
        <v>5119</v>
      </c>
      <c r="AH21" s="41">
        <v>3.0</v>
      </c>
      <c r="AI21" s="42" t="s">
        <v>5120</v>
      </c>
      <c r="AJ21" s="43"/>
      <c r="AK21" s="43"/>
      <c r="AL21" s="41">
        <v>2013.0</v>
      </c>
      <c r="AM21" s="43"/>
      <c r="AN21" s="42" t="s">
        <v>5122</v>
      </c>
      <c r="AO21" s="42" t="s">
        <v>3579</v>
      </c>
      <c r="AP21" s="42" t="s">
        <v>5123</v>
      </c>
      <c r="AQ21" s="43"/>
      <c r="AR21" s="43"/>
      <c r="AS21" s="45"/>
      <c r="AT21" s="45"/>
      <c r="AU21" s="45"/>
      <c r="AV21" s="45"/>
      <c r="AW21" s="45"/>
      <c r="AX21" s="45"/>
      <c r="AY21" s="45"/>
      <c r="AZ21" s="45"/>
      <c r="BA21" s="45"/>
      <c r="BB21" s="45"/>
      <c r="BC21" s="42" t="s">
        <v>5121</v>
      </c>
      <c r="BD21" s="64" t="str">
        <f>+972 (0)54 662 5640</f>
        <v>#ERROR!</v>
      </c>
      <c r="BE21" s="42" t="s">
        <v>4997</v>
      </c>
      <c r="BF21" s="42" t="s">
        <v>5124</v>
      </c>
      <c r="BG21" s="43"/>
      <c r="BH21" s="42" t="s">
        <v>2433</v>
      </c>
      <c r="BI21" s="43"/>
      <c r="BJ21" s="45"/>
      <c r="BK21" s="42" t="s">
        <v>41</v>
      </c>
      <c r="BL21" s="45" t="str">
        <f>+972 (0)54 662 5640</f>
        <v>#ERROR!</v>
      </c>
      <c r="BM21" s="45"/>
      <c r="BN21" s="42" t="s">
        <v>5125</v>
      </c>
      <c r="BO21" s="42" t="s">
        <v>3584</v>
      </c>
      <c r="BP21" s="42" t="s">
        <v>3584</v>
      </c>
      <c r="BQ21" s="42" t="s">
        <v>5126</v>
      </c>
      <c r="BR21" s="43"/>
      <c r="BS21" s="45"/>
      <c r="BT21" s="43"/>
      <c r="BU21" s="42" t="s">
        <v>5127</v>
      </c>
      <c r="BV21" s="43"/>
      <c r="BW21" s="43"/>
      <c r="BX21" s="42" t="s">
        <v>5128</v>
      </c>
      <c r="BY21" s="43"/>
      <c r="BZ21" s="43"/>
      <c r="CA21" s="43"/>
      <c r="CB21" s="45"/>
      <c r="CC21" s="45"/>
      <c r="CD21" s="43"/>
      <c r="CE21" s="45"/>
      <c r="CF21" s="43"/>
      <c r="CG21" s="42" t="s">
        <v>3589</v>
      </c>
      <c r="CH21" s="43"/>
      <c r="CI21" s="43"/>
      <c r="CJ21" s="42" t="s">
        <v>3590</v>
      </c>
      <c r="CK21" s="43"/>
      <c r="CL21" s="42" t="s">
        <v>3591</v>
      </c>
      <c r="CM21" s="65">
        <v>45566.0</v>
      </c>
      <c r="CN21" s="45"/>
      <c r="CO21" s="43"/>
      <c r="CP21" s="45"/>
      <c r="CQ21" s="43"/>
      <c r="CR21" s="42" t="s">
        <v>3830</v>
      </c>
      <c r="CS21" s="43"/>
      <c r="CT21" s="43"/>
      <c r="CU21" s="42" t="s">
        <v>3590</v>
      </c>
      <c r="CV21" s="45"/>
      <c r="CW21" s="45"/>
      <c r="CX21" s="43"/>
      <c r="CY21" s="42" t="s">
        <v>3591</v>
      </c>
      <c r="CZ21" s="45"/>
      <c r="DA21" s="45"/>
      <c r="DB21" s="45"/>
      <c r="DC21" s="45"/>
      <c r="DD21" s="45"/>
      <c r="DE21" s="45"/>
      <c r="DF21" s="45"/>
      <c r="DG21" s="45"/>
      <c r="DH21" s="45"/>
      <c r="DI21" s="45"/>
      <c r="DJ21" s="45"/>
      <c r="DK21" s="45"/>
      <c r="DL21" s="45"/>
      <c r="DM21" s="45"/>
      <c r="DN21" s="45"/>
      <c r="DO21" s="45"/>
      <c r="DP21" s="45"/>
      <c r="DQ21" s="45"/>
      <c r="DR21" s="45"/>
      <c r="DS21" s="45"/>
      <c r="DT21" s="45"/>
      <c r="DU21" s="45"/>
      <c r="DV21" s="45"/>
      <c r="DW21" s="45"/>
      <c r="DX21" s="45"/>
      <c r="DY21" s="45"/>
      <c r="DZ21" s="41">
        <v>7.0</v>
      </c>
      <c r="EA21" s="41">
        <v>3.0</v>
      </c>
      <c r="EB21" s="41">
        <v>2.0</v>
      </c>
      <c r="EC21" s="45"/>
      <c r="ED21" s="45"/>
      <c r="EE21" s="41">
        <v>5.0</v>
      </c>
      <c r="EF21" s="42" t="s">
        <v>4954</v>
      </c>
      <c r="EG21" s="45"/>
      <c r="EH21" s="45"/>
      <c r="EI21" s="43"/>
      <c r="EJ21" s="45"/>
      <c r="EK21" s="45"/>
      <c r="EL21" s="45"/>
      <c r="EM21" s="43"/>
      <c r="EN21" s="45"/>
      <c r="EO21" s="45"/>
      <c r="EP21" s="45"/>
      <c r="EQ21" s="45"/>
      <c r="ER21" s="42" t="s">
        <v>8495</v>
      </c>
      <c r="ES21" s="43"/>
      <c r="ET21" s="42" t="s">
        <v>47</v>
      </c>
      <c r="EU21" s="41">
        <v>14.0</v>
      </c>
      <c r="EV21" s="48" t="s">
        <v>3559</v>
      </c>
    </row>
    <row r="22">
      <c r="B22" s="42" t="s">
        <v>4411</v>
      </c>
      <c r="C22" s="41">
        <v>60.0</v>
      </c>
      <c r="D22" s="42" t="s">
        <v>9683</v>
      </c>
      <c r="E22" s="42" t="s">
        <v>3867</v>
      </c>
      <c r="F22" s="42" t="s">
        <v>4199</v>
      </c>
      <c r="G22" s="42" t="s">
        <v>4414</v>
      </c>
      <c r="H22" s="42" t="s">
        <v>3612</v>
      </c>
      <c r="I22" s="63">
        <v>45868.0</v>
      </c>
      <c r="J22" s="42" t="s">
        <v>4415</v>
      </c>
      <c r="K22" s="42" t="s">
        <v>4416</v>
      </c>
      <c r="L22" s="42" t="s">
        <v>4417</v>
      </c>
      <c r="M22" s="43"/>
      <c r="N22" s="42" t="s">
        <v>9684</v>
      </c>
      <c r="O22" s="42" t="s">
        <v>4412</v>
      </c>
      <c r="P22" s="42" t="s">
        <v>4418</v>
      </c>
      <c r="Q22" s="41">
        <v>76.0</v>
      </c>
      <c r="R22" s="42" t="s">
        <v>3602</v>
      </c>
      <c r="S22" s="47">
        <v>0.63</v>
      </c>
      <c r="T22" s="47">
        <v>0.37</v>
      </c>
      <c r="U22" s="42" t="s">
        <v>3603</v>
      </c>
      <c r="V22" s="47">
        <v>0.07</v>
      </c>
      <c r="W22" s="47">
        <v>0.56</v>
      </c>
      <c r="X22" s="43"/>
      <c r="Y22" s="42" t="s">
        <v>4418</v>
      </c>
      <c r="Z22" s="42" t="s">
        <v>4413</v>
      </c>
      <c r="AA22" s="42" t="s">
        <v>3569</v>
      </c>
      <c r="AB22" s="41">
        <v>35.95</v>
      </c>
      <c r="AC22" s="42" t="s">
        <v>3571</v>
      </c>
      <c r="AD22" s="42" t="s">
        <v>3572</v>
      </c>
      <c r="AE22" s="42" t="s">
        <v>3573</v>
      </c>
      <c r="AF22" s="44" t="s">
        <v>4419</v>
      </c>
      <c r="AG22" s="44" t="s">
        <v>4420</v>
      </c>
      <c r="AH22" s="41">
        <v>60.0</v>
      </c>
      <c r="AI22" s="42" t="s">
        <v>9683</v>
      </c>
      <c r="AJ22" s="43"/>
      <c r="AK22" s="43"/>
      <c r="AL22" s="41">
        <v>2017.0</v>
      </c>
      <c r="AM22" s="43"/>
      <c r="AN22" s="42" t="s">
        <v>2899</v>
      </c>
      <c r="AO22" s="42" t="s">
        <v>3579</v>
      </c>
      <c r="AP22" s="42" t="s">
        <v>4423</v>
      </c>
      <c r="AQ22" s="43"/>
      <c r="AR22" s="43"/>
      <c r="AS22" s="41">
        <v>1.0</v>
      </c>
      <c r="AT22" s="45"/>
      <c r="AU22" s="45"/>
      <c r="AV22" s="45"/>
      <c r="AW22" s="45"/>
      <c r="AX22" s="45"/>
      <c r="AY22" s="45"/>
      <c r="AZ22" s="45"/>
      <c r="BA22" s="45"/>
      <c r="BB22" s="41" t="s">
        <v>3932</v>
      </c>
      <c r="BC22" s="42" t="s">
        <v>4422</v>
      </c>
      <c r="BD22" s="64" t="str">
        <f>+972 (0)54 522 4044</f>
        <v>#ERROR!</v>
      </c>
      <c r="BE22" s="42" t="s">
        <v>4424</v>
      </c>
      <c r="BF22" s="42" t="s">
        <v>4425</v>
      </c>
      <c r="BG22" s="42" t="s">
        <v>4426</v>
      </c>
      <c r="BH22" s="42" t="s">
        <v>4427</v>
      </c>
      <c r="BI22" s="43"/>
      <c r="BJ22" s="41">
        <v>3701042.0</v>
      </c>
      <c r="BK22" s="42" t="s">
        <v>41</v>
      </c>
      <c r="BL22" s="45"/>
      <c r="BM22" s="45"/>
      <c r="BN22" s="42" t="s">
        <v>2903</v>
      </c>
      <c r="BO22" s="42" t="s">
        <v>3584</v>
      </c>
      <c r="BP22" s="42" t="s">
        <v>3584</v>
      </c>
      <c r="BQ22" s="42" t="s">
        <v>4428</v>
      </c>
      <c r="BR22" s="42" t="s">
        <v>4429</v>
      </c>
      <c r="BS22" s="41">
        <v>5.0</v>
      </c>
      <c r="BT22" s="43"/>
      <c r="BU22" s="43"/>
      <c r="BV22" s="43"/>
      <c r="BW22" s="42" t="s">
        <v>4430</v>
      </c>
      <c r="BX22" s="43"/>
      <c r="BY22" s="43"/>
      <c r="BZ22" s="43"/>
      <c r="CA22" s="43"/>
      <c r="CB22" s="63">
        <v>44096.0</v>
      </c>
      <c r="CC22" s="45"/>
      <c r="CD22" s="43"/>
      <c r="CE22" s="45"/>
      <c r="CF22" s="43"/>
      <c r="CG22" s="42" t="s">
        <v>3698</v>
      </c>
      <c r="CH22" s="42" t="s">
        <v>3698</v>
      </c>
      <c r="CI22" s="43"/>
      <c r="CJ22" s="42" t="s">
        <v>3803</v>
      </c>
      <c r="CK22" s="43"/>
      <c r="CL22" s="42" t="s">
        <v>3591</v>
      </c>
      <c r="CM22" s="65">
        <v>45566.0</v>
      </c>
      <c r="CN22" s="41">
        <v>23.0</v>
      </c>
      <c r="CO22" s="42" t="s">
        <v>3593</v>
      </c>
      <c r="CP22" s="45"/>
      <c r="CQ22" s="43"/>
      <c r="CR22" s="42" t="s">
        <v>3594</v>
      </c>
      <c r="CS22" s="42" t="s">
        <v>3595</v>
      </c>
      <c r="CT22" s="43"/>
      <c r="CU22" s="42" t="s">
        <v>3573</v>
      </c>
      <c r="CV22" s="45"/>
      <c r="CW22" s="45"/>
      <c r="CX22" s="43"/>
      <c r="CY22" s="42" t="s">
        <v>3591</v>
      </c>
      <c r="CZ22" s="47">
        <v>0.0087</v>
      </c>
      <c r="DA22" s="41">
        <v>93.0</v>
      </c>
      <c r="DB22" s="47">
        <v>0.0</v>
      </c>
      <c r="DC22" s="47">
        <v>0.0</v>
      </c>
      <c r="DD22" s="45"/>
      <c r="DE22" s="45"/>
      <c r="DF22" s="45"/>
      <c r="DG22" s="45"/>
      <c r="DH22" s="45"/>
      <c r="DI22" s="45"/>
      <c r="DJ22" s="41" t="s">
        <v>9685</v>
      </c>
      <c r="DK22" s="41">
        <v>78.0</v>
      </c>
      <c r="DL22" s="41" t="s">
        <v>3598</v>
      </c>
      <c r="DM22" s="47">
        <v>0.0</v>
      </c>
      <c r="DN22" s="45"/>
      <c r="DO22" s="45"/>
      <c r="DP22" s="45"/>
      <c r="DQ22" s="45"/>
      <c r="DR22" s="45"/>
      <c r="DS22" s="45"/>
      <c r="DT22" s="52">
        <v>2454.0</v>
      </c>
      <c r="DU22" s="41">
        <v>226.0</v>
      </c>
      <c r="DV22" s="47">
        <v>0.1014</v>
      </c>
      <c r="DW22" s="45"/>
      <c r="DX22" s="45"/>
      <c r="DY22" s="45"/>
      <c r="DZ22" s="41">
        <v>10.0</v>
      </c>
      <c r="EA22" s="41">
        <v>4.0</v>
      </c>
      <c r="EB22" s="41">
        <v>4.0</v>
      </c>
      <c r="EC22" s="41">
        <v>4.0</v>
      </c>
      <c r="ED22" s="41">
        <v>1.0</v>
      </c>
      <c r="EE22" s="41">
        <v>2.0</v>
      </c>
      <c r="EF22" s="42" t="s">
        <v>4434</v>
      </c>
      <c r="EG22" s="41">
        <v>46.45</v>
      </c>
      <c r="EH22" s="65">
        <v>44501.0</v>
      </c>
      <c r="EI22" s="42" t="s">
        <v>3698</v>
      </c>
      <c r="EJ22" s="45"/>
      <c r="EK22" s="45"/>
      <c r="EL22" s="45"/>
      <c r="EM22" s="43"/>
      <c r="EN22" s="45"/>
      <c r="EO22" s="45"/>
      <c r="EP22" s="45"/>
      <c r="EQ22" s="41">
        <v>2.22</v>
      </c>
      <c r="ER22" s="42" t="s">
        <v>3612</v>
      </c>
      <c r="ES22" s="43"/>
      <c r="ET22" s="42" t="s">
        <v>47</v>
      </c>
      <c r="EU22" s="41">
        <v>10.0</v>
      </c>
      <c r="EV22" s="48" t="s">
        <v>3559</v>
      </c>
    </row>
    <row r="23">
      <c r="B23" s="35" t="s">
        <v>5264</v>
      </c>
      <c r="C23" s="32">
        <v>38.0</v>
      </c>
      <c r="D23" s="35" t="s">
        <v>9686</v>
      </c>
      <c r="E23" s="35" t="s">
        <v>3867</v>
      </c>
      <c r="F23" s="35" t="s">
        <v>3897</v>
      </c>
      <c r="G23" s="35" t="s">
        <v>5092</v>
      </c>
      <c r="H23" s="35" t="s">
        <v>5722</v>
      </c>
      <c r="I23" s="62">
        <v>45902.0</v>
      </c>
      <c r="J23" s="35" t="s">
        <v>5267</v>
      </c>
      <c r="K23" s="35" t="s">
        <v>5268</v>
      </c>
      <c r="L23" s="35" t="s">
        <v>5269</v>
      </c>
      <c r="M23" s="35" t="s">
        <v>5265</v>
      </c>
      <c r="N23" s="34"/>
      <c r="O23" s="34"/>
      <c r="P23" s="35" t="s">
        <v>5270</v>
      </c>
      <c r="Q23" s="37"/>
      <c r="R23" s="34"/>
      <c r="S23" s="37"/>
      <c r="T23" s="37"/>
      <c r="U23" s="34"/>
      <c r="V23" s="37"/>
      <c r="W23" s="37"/>
      <c r="X23" s="34"/>
      <c r="Y23" s="35" t="s">
        <v>5270</v>
      </c>
      <c r="Z23" s="35" t="s">
        <v>5266</v>
      </c>
      <c r="AA23" s="35" t="s">
        <v>5018</v>
      </c>
      <c r="AB23" s="32">
        <v>5.0</v>
      </c>
      <c r="AC23" s="35" t="s">
        <v>3571</v>
      </c>
      <c r="AD23" s="35" t="s">
        <v>4964</v>
      </c>
      <c r="AE23" s="35" t="s">
        <v>3573</v>
      </c>
      <c r="AF23" s="36" t="s">
        <v>5271</v>
      </c>
      <c r="AG23" s="36" t="s">
        <v>5272</v>
      </c>
      <c r="AH23" s="32">
        <v>38.0</v>
      </c>
      <c r="AI23" s="35" t="s">
        <v>9686</v>
      </c>
      <c r="AJ23" s="34"/>
      <c r="AK23" s="34"/>
      <c r="AL23" s="32">
        <v>2015.0</v>
      </c>
      <c r="AM23" s="35" t="s">
        <v>5274</v>
      </c>
      <c r="AN23" s="35" t="s">
        <v>5276</v>
      </c>
      <c r="AO23" s="35" t="s">
        <v>4312</v>
      </c>
      <c r="AP23" s="35" t="s">
        <v>5277</v>
      </c>
      <c r="AQ23" s="34"/>
      <c r="AR23" s="34"/>
      <c r="AS23" s="37"/>
      <c r="AT23" s="37"/>
      <c r="AU23" s="37"/>
      <c r="AV23" s="37"/>
      <c r="AW23" s="37"/>
      <c r="AX23" s="37"/>
      <c r="AY23" s="37"/>
      <c r="AZ23" s="37"/>
      <c r="BA23" s="37"/>
      <c r="BB23" s="37"/>
      <c r="BC23" s="35" t="s">
        <v>5275</v>
      </c>
      <c r="BD23" s="61" t="str">
        <f>+972 (0)54 306 9099</f>
        <v>#ERROR!</v>
      </c>
      <c r="BE23" s="35" t="s">
        <v>5278</v>
      </c>
      <c r="BF23" s="35" t="s">
        <v>5279</v>
      </c>
      <c r="BG23" s="34"/>
      <c r="BH23" s="35" t="s">
        <v>5280</v>
      </c>
      <c r="BI23" s="34"/>
      <c r="BJ23" s="37"/>
      <c r="BK23" s="35" t="s">
        <v>41</v>
      </c>
      <c r="BL23" s="37" t="str">
        <f>+972 (0)3 738 2100</f>
        <v>#ERROR!</v>
      </c>
      <c r="BM23" s="37"/>
      <c r="BN23" s="35" t="s">
        <v>5281</v>
      </c>
      <c r="BO23" s="35" t="s">
        <v>3584</v>
      </c>
      <c r="BP23" s="35" t="s">
        <v>3584</v>
      </c>
      <c r="BQ23" s="35" t="s">
        <v>5282</v>
      </c>
      <c r="BR23" s="35" t="s">
        <v>5283</v>
      </c>
      <c r="BS23" s="32">
        <v>1.0</v>
      </c>
      <c r="BT23" s="35" t="s">
        <v>5274</v>
      </c>
      <c r="BU23" s="35" t="s">
        <v>5284</v>
      </c>
      <c r="BV23" s="34"/>
      <c r="BW23" s="35" t="s">
        <v>5285</v>
      </c>
      <c r="BX23" s="34"/>
      <c r="BY23" s="34"/>
      <c r="BZ23" s="34"/>
      <c r="CA23" s="35" t="s">
        <v>3725</v>
      </c>
      <c r="CB23" s="62">
        <v>42404.0</v>
      </c>
      <c r="CC23" s="37"/>
      <c r="CD23" s="34"/>
      <c r="CE23" s="37"/>
      <c r="CF23" s="34"/>
      <c r="CG23" s="35" t="s">
        <v>3589</v>
      </c>
      <c r="CH23" s="34"/>
      <c r="CI23" s="34"/>
      <c r="CJ23" s="35" t="s">
        <v>3590</v>
      </c>
      <c r="CK23" s="34"/>
      <c r="CL23" s="35" t="s">
        <v>3591</v>
      </c>
      <c r="CM23" s="62">
        <v>44775.0</v>
      </c>
      <c r="CN23" s="37"/>
      <c r="CO23" s="34"/>
      <c r="CP23" s="37"/>
      <c r="CQ23" s="34"/>
      <c r="CR23" s="35" t="s">
        <v>4977</v>
      </c>
      <c r="CS23" s="34"/>
      <c r="CT23" s="34"/>
      <c r="CU23" s="35" t="s">
        <v>3663</v>
      </c>
      <c r="CV23" s="60">
        <v>43277.0</v>
      </c>
      <c r="CW23" s="32">
        <v>0.2</v>
      </c>
      <c r="CX23" s="34"/>
      <c r="CY23" s="35" t="s">
        <v>3591</v>
      </c>
      <c r="CZ23" s="37"/>
      <c r="DA23" s="37"/>
      <c r="DB23" s="37"/>
      <c r="DC23" s="37"/>
      <c r="DD23" s="37"/>
      <c r="DE23" s="37"/>
      <c r="DF23" s="37"/>
      <c r="DG23" s="37"/>
      <c r="DH23" s="37"/>
      <c r="DI23" s="37"/>
      <c r="DJ23" s="37"/>
      <c r="DK23" s="37"/>
      <c r="DL23" s="37"/>
      <c r="DM23" s="37"/>
      <c r="DN23" s="37"/>
      <c r="DO23" s="37"/>
      <c r="DP23" s="37"/>
      <c r="DQ23" s="37"/>
      <c r="DR23" s="37"/>
      <c r="DS23" s="37"/>
      <c r="DT23" s="37"/>
      <c r="DU23" s="37"/>
      <c r="DV23" s="37"/>
      <c r="DW23" s="37"/>
      <c r="DX23" s="37"/>
      <c r="DY23" s="37"/>
      <c r="DZ23" s="37"/>
      <c r="EA23" s="37"/>
      <c r="EB23" s="37"/>
      <c r="EC23" s="37"/>
      <c r="ED23" s="37"/>
      <c r="EE23" s="37"/>
      <c r="EF23" s="34"/>
      <c r="EG23" s="32">
        <v>6.42</v>
      </c>
      <c r="EH23" s="60">
        <v>43277.0</v>
      </c>
      <c r="EI23" s="35" t="s">
        <v>3669</v>
      </c>
      <c r="EJ23" s="37"/>
      <c r="EK23" s="37"/>
      <c r="EL23" s="37"/>
      <c r="EM23" s="34"/>
      <c r="EN23" s="37"/>
      <c r="EO23" s="37"/>
      <c r="EP23" s="32">
        <v>1.33</v>
      </c>
      <c r="EQ23" s="32">
        <v>1.33</v>
      </c>
      <c r="ER23" s="35" t="s">
        <v>5722</v>
      </c>
      <c r="ES23" s="34"/>
      <c r="ET23" s="34"/>
      <c r="EU23" s="37"/>
      <c r="EV23" s="40" t="s">
        <v>3559</v>
      </c>
    </row>
    <row r="24">
      <c r="B24" s="35" t="s">
        <v>5197</v>
      </c>
      <c r="C24" s="37"/>
      <c r="D24" s="34"/>
      <c r="E24" s="35" t="s">
        <v>3867</v>
      </c>
      <c r="F24" s="35" t="s">
        <v>3868</v>
      </c>
      <c r="G24" s="35" t="s">
        <v>3869</v>
      </c>
      <c r="H24" s="35" t="s">
        <v>9627</v>
      </c>
      <c r="I24" s="68">
        <v>45785.0</v>
      </c>
      <c r="J24" s="35" t="s">
        <v>5200</v>
      </c>
      <c r="K24" s="35" t="s">
        <v>5201</v>
      </c>
      <c r="L24" s="35" t="s">
        <v>5202</v>
      </c>
      <c r="M24" s="34"/>
      <c r="N24" s="34"/>
      <c r="O24" s="35" t="s">
        <v>5198</v>
      </c>
      <c r="P24" s="35" t="s">
        <v>5203</v>
      </c>
      <c r="Q24" s="37"/>
      <c r="R24" s="34"/>
      <c r="S24" s="37"/>
      <c r="T24" s="37"/>
      <c r="U24" s="34"/>
      <c r="V24" s="37"/>
      <c r="W24" s="37"/>
      <c r="X24" s="34"/>
      <c r="Y24" s="35" t="s">
        <v>5203</v>
      </c>
      <c r="Z24" s="35" t="s">
        <v>5199</v>
      </c>
      <c r="AA24" s="35" t="s">
        <v>4923</v>
      </c>
      <c r="AB24" s="37"/>
      <c r="AC24" s="35" t="s">
        <v>3571</v>
      </c>
      <c r="AD24" s="35" t="s">
        <v>4925</v>
      </c>
      <c r="AE24" s="35" t="s">
        <v>4926</v>
      </c>
      <c r="AF24" s="36" t="s">
        <v>5204</v>
      </c>
      <c r="AG24" s="36" t="s">
        <v>5205</v>
      </c>
      <c r="AH24" s="37"/>
      <c r="AI24" s="34"/>
      <c r="AJ24" s="34"/>
      <c r="AK24" s="34"/>
      <c r="AL24" s="32">
        <v>2010.0</v>
      </c>
      <c r="AM24" s="34"/>
      <c r="AN24" s="35" t="s">
        <v>5207</v>
      </c>
      <c r="AO24" s="35" t="s">
        <v>5208</v>
      </c>
      <c r="AP24" s="35" t="s">
        <v>5209</v>
      </c>
      <c r="AQ24" s="34"/>
      <c r="AR24" s="34"/>
      <c r="AS24" s="37"/>
      <c r="AT24" s="37"/>
      <c r="AU24" s="37"/>
      <c r="AV24" s="37"/>
      <c r="AW24" s="37"/>
      <c r="AX24" s="37"/>
      <c r="AY24" s="37"/>
      <c r="AZ24" s="37"/>
      <c r="BA24" s="37"/>
      <c r="BB24" s="37"/>
      <c r="BC24" s="35" t="s">
        <v>5206</v>
      </c>
      <c r="BD24" s="61" t="str">
        <f>+972 (0)54 903 3265</f>
        <v>#ERROR!</v>
      </c>
      <c r="BE24" s="35" t="s">
        <v>5210</v>
      </c>
      <c r="BF24" s="35" t="s">
        <v>5211</v>
      </c>
      <c r="BG24" s="35" t="s">
        <v>5212</v>
      </c>
      <c r="BH24" s="35" t="s">
        <v>98</v>
      </c>
      <c r="BI24" s="34"/>
      <c r="BJ24" s="37"/>
      <c r="BK24" s="35" t="s">
        <v>41</v>
      </c>
      <c r="BL24" s="37" t="str">
        <f>+972 (0)54 903 3265</f>
        <v>#ERROR!</v>
      </c>
      <c r="BM24" s="37"/>
      <c r="BN24" s="35" t="s">
        <v>5213</v>
      </c>
      <c r="BO24" s="35" t="s">
        <v>3584</v>
      </c>
      <c r="BP24" s="35" t="s">
        <v>3584</v>
      </c>
      <c r="BQ24" s="34"/>
      <c r="BR24" s="34"/>
      <c r="BS24" s="37"/>
      <c r="BT24" s="34"/>
      <c r="BU24" s="34"/>
      <c r="BV24" s="34"/>
      <c r="BW24" s="34"/>
      <c r="BX24" s="34"/>
      <c r="BY24" s="34"/>
      <c r="BZ24" s="34"/>
      <c r="CA24" s="34"/>
      <c r="CB24" s="37"/>
      <c r="CC24" s="37"/>
      <c r="CD24" s="34"/>
      <c r="CE24" s="37"/>
      <c r="CF24" s="34"/>
      <c r="CG24" s="34"/>
      <c r="CH24" s="34"/>
      <c r="CI24" s="34"/>
      <c r="CJ24" s="34"/>
      <c r="CK24" s="34"/>
      <c r="CL24" s="34"/>
      <c r="CM24" s="37"/>
      <c r="CN24" s="37"/>
      <c r="CO24" s="34"/>
      <c r="CP24" s="37"/>
      <c r="CQ24" s="34"/>
      <c r="CR24" s="34"/>
      <c r="CS24" s="34"/>
      <c r="CT24" s="34"/>
      <c r="CU24" s="34"/>
      <c r="CV24" s="37"/>
      <c r="CW24" s="37"/>
      <c r="CX24" s="34"/>
      <c r="CY24" s="34"/>
      <c r="CZ24" s="39">
        <v>-0.0143</v>
      </c>
      <c r="DA24" s="32">
        <v>6.0</v>
      </c>
      <c r="DB24" s="39">
        <v>-0.0025</v>
      </c>
      <c r="DC24" s="39">
        <v>-0.2136</v>
      </c>
      <c r="DD24" s="39">
        <v>-0.0143</v>
      </c>
      <c r="DE24" s="32">
        <v>6.0</v>
      </c>
      <c r="DF24" s="37"/>
      <c r="DG24" s="37"/>
      <c r="DH24" s="39">
        <v>-0.0143</v>
      </c>
      <c r="DI24" s="32">
        <v>6.0</v>
      </c>
      <c r="DJ24" s="32" t="s">
        <v>9687</v>
      </c>
      <c r="DK24" s="32">
        <v>83.0</v>
      </c>
      <c r="DL24" s="32" t="s">
        <v>3598</v>
      </c>
      <c r="DM24" s="39">
        <v>0.0</v>
      </c>
      <c r="DN24" s="32" t="s">
        <v>9687</v>
      </c>
      <c r="DO24" s="32">
        <v>81.0</v>
      </c>
      <c r="DP24" s="37"/>
      <c r="DQ24" s="37"/>
      <c r="DR24" s="32" t="s">
        <v>9687</v>
      </c>
      <c r="DS24" s="32">
        <v>78.0</v>
      </c>
      <c r="DT24" s="37"/>
      <c r="DU24" s="37"/>
      <c r="DV24" s="37"/>
      <c r="DW24" s="32">
        <v>139.0</v>
      </c>
      <c r="DX24" s="32">
        <v>-1.0</v>
      </c>
      <c r="DY24" s="39">
        <v>-0.0071</v>
      </c>
      <c r="DZ24" s="37"/>
      <c r="EA24" s="37"/>
      <c r="EB24" s="37"/>
      <c r="EC24" s="37"/>
      <c r="ED24" s="37"/>
      <c r="EE24" s="37"/>
      <c r="EF24" s="34"/>
      <c r="EG24" s="37"/>
      <c r="EH24" s="37"/>
      <c r="EI24" s="34"/>
      <c r="EJ24" s="37"/>
      <c r="EK24" s="37"/>
      <c r="EL24" s="37"/>
      <c r="EM24" s="34"/>
      <c r="EN24" s="37"/>
      <c r="EO24" s="37"/>
      <c r="EP24" s="37"/>
      <c r="EQ24" s="37"/>
      <c r="ER24" s="35" t="s">
        <v>9627</v>
      </c>
      <c r="ES24" s="34"/>
      <c r="ET24" s="35" t="s">
        <v>47</v>
      </c>
      <c r="EU24" s="32">
        <v>5.0</v>
      </c>
      <c r="EV24" s="40" t="s">
        <v>3559</v>
      </c>
    </row>
    <row r="25">
      <c r="B25" s="42" t="s">
        <v>5373</v>
      </c>
      <c r="C25" s="41">
        <v>123.0</v>
      </c>
      <c r="D25" s="42" t="s">
        <v>9688</v>
      </c>
      <c r="E25" s="42" t="s">
        <v>3563</v>
      </c>
      <c r="F25" s="42" t="s">
        <v>351</v>
      </c>
      <c r="G25" s="42" t="s">
        <v>4111</v>
      </c>
      <c r="H25" s="42" t="s">
        <v>8495</v>
      </c>
      <c r="I25" s="63">
        <v>45986.0</v>
      </c>
      <c r="J25" s="42" t="s">
        <v>5377</v>
      </c>
      <c r="K25" s="42" t="s">
        <v>5378</v>
      </c>
      <c r="L25" s="42" t="s">
        <v>5379</v>
      </c>
      <c r="M25" s="43"/>
      <c r="N25" s="43"/>
      <c r="O25" s="42" t="s">
        <v>5374</v>
      </c>
      <c r="P25" s="42" t="s">
        <v>5380</v>
      </c>
      <c r="Q25" s="45"/>
      <c r="R25" s="43"/>
      <c r="S25" s="45"/>
      <c r="T25" s="45"/>
      <c r="U25" s="43"/>
      <c r="V25" s="45"/>
      <c r="W25" s="45"/>
      <c r="X25" s="42" t="s">
        <v>5375</v>
      </c>
      <c r="Y25" s="42" t="s">
        <v>5380</v>
      </c>
      <c r="Z25" s="42" t="s">
        <v>5376</v>
      </c>
      <c r="AA25" s="42" t="s">
        <v>5018</v>
      </c>
      <c r="AB25" s="41">
        <v>110.0</v>
      </c>
      <c r="AC25" s="42" t="s">
        <v>3571</v>
      </c>
      <c r="AD25" s="42" t="s">
        <v>4964</v>
      </c>
      <c r="AE25" s="42" t="s">
        <v>4758</v>
      </c>
      <c r="AF25" s="44" t="s">
        <v>5381</v>
      </c>
      <c r="AG25" s="44" t="s">
        <v>9689</v>
      </c>
      <c r="AH25" s="41">
        <v>123.0</v>
      </c>
      <c r="AI25" s="42" t="s">
        <v>9688</v>
      </c>
      <c r="AJ25" s="43"/>
      <c r="AK25" s="43"/>
      <c r="AL25" s="41">
        <v>2008.0</v>
      </c>
      <c r="AM25" s="42" t="s">
        <v>5389</v>
      </c>
      <c r="AN25" s="42" t="s">
        <v>9690</v>
      </c>
      <c r="AO25" s="42" t="s">
        <v>3982</v>
      </c>
      <c r="AP25" s="42" t="s">
        <v>9691</v>
      </c>
      <c r="AQ25" s="43"/>
      <c r="AR25" s="43"/>
      <c r="AS25" s="41">
        <v>9.9</v>
      </c>
      <c r="AT25" s="45"/>
      <c r="AU25" s="45"/>
      <c r="AV25" s="45"/>
      <c r="AW25" s="45"/>
      <c r="AX25" s="45"/>
      <c r="AY25" s="45"/>
      <c r="AZ25" s="45"/>
      <c r="BA25" s="45"/>
      <c r="BB25" s="41" t="s">
        <v>5383</v>
      </c>
      <c r="BC25" s="42" t="s">
        <v>9692</v>
      </c>
      <c r="BD25" s="64" t="str">
        <f>+972 (0)9 886 5300</f>
        <v>#ERROR!</v>
      </c>
      <c r="BE25" s="42" t="s">
        <v>5384</v>
      </c>
      <c r="BF25" s="42" t="s">
        <v>5385</v>
      </c>
      <c r="BG25" s="42" t="s">
        <v>5386</v>
      </c>
      <c r="BH25" s="42" t="s">
        <v>5387</v>
      </c>
      <c r="BI25" s="43"/>
      <c r="BJ25" s="41">
        <v>40593.0</v>
      </c>
      <c r="BK25" s="42" t="s">
        <v>41</v>
      </c>
      <c r="BL25" s="45" t="str">
        <f>+972 (0)9 886 5300</f>
        <v>#ERROR!</v>
      </c>
      <c r="BM25" s="45" t="str">
        <f>+972 (0)9 886 5301</f>
        <v>#ERROR!</v>
      </c>
      <c r="BN25" s="42" t="s">
        <v>9693</v>
      </c>
      <c r="BO25" s="42" t="s">
        <v>3584</v>
      </c>
      <c r="BP25" s="42" t="s">
        <v>3584</v>
      </c>
      <c r="BQ25" s="42" t="s">
        <v>9694</v>
      </c>
      <c r="BR25" s="43"/>
      <c r="BS25" s="45"/>
      <c r="BT25" s="42" t="s">
        <v>5389</v>
      </c>
      <c r="BU25" s="42" t="s">
        <v>9695</v>
      </c>
      <c r="BV25" s="43"/>
      <c r="BW25" s="43"/>
      <c r="BX25" s="42" t="s">
        <v>9696</v>
      </c>
      <c r="BY25" s="43"/>
      <c r="BZ25" s="43"/>
      <c r="CA25" s="42" t="s">
        <v>5392</v>
      </c>
      <c r="CB25" s="45"/>
      <c r="CC25" s="41">
        <v>5.5</v>
      </c>
      <c r="CD25" s="42" t="s">
        <v>3593</v>
      </c>
      <c r="CE25" s="45"/>
      <c r="CF25" s="43"/>
      <c r="CG25" s="42" t="s">
        <v>3669</v>
      </c>
      <c r="CH25" s="42" t="s">
        <v>3595</v>
      </c>
      <c r="CI25" s="43"/>
      <c r="CJ25" s="42" t="s">
        <v>3573</v>
      </c>
      <c r="CK25" s="43"/>
      <c r="CL25" s="42" t="s">
        <v>3591</v>
      </c>
      <c r="CM25" s="65">
        <v>45812.0</v>
      </c>
      <c r="CN25" s="45"/>
      <c r="CO25" s="43"/>
      <c r="CP25" s="45"/>
      <c r="CQ25" s="43"/>
      <c r="CR25" s="42" t="s">
        <v>4977</v>
      </c>
      <c r="CS25" s="43"/>
      <c r="CT25" s="43"/>
      <c r="CU25" s="42" t="s">
        <v>3663</v>
      </c>
      <c r="CV25" s="45"/>
      <c r="CW25" s="45"/>
      <c r="CX25" s="43"/>
      <c r="CY25" s="42" t="s">
        <v>3591</v>
      </c>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1">
        <v>15.0</v>
      </c>
      <c r="EA25" s="41">
        <v>7.0</v>
      </c>
      <c r="EB25" s="41">
        <v>3.0</v>
      </c>
      <c r="EC25" s="41">
        <v>2.0</v>
      </c>
      <c r="ED25" s="41">
        <v>1.0</v>
      </c>
      <c r="EE25" s="41">
        <v>10.0</v>
      </c>
      <c r="EF25" s="42" t="s">
        <v>9334</v>
      </c>
      <c r="EG25" s="41">
        <v>198.11</v>
      </c>
      <c r="EH25" s="63">
        <v>44523.0</v>
      </c>
      <c r="EI25" s="42" t="s">
        <v>3594</v>
      </c>
      <c r="EJ25" s="45"/>
      <c r="EK25" s="45"/>
      <c r="EL25" s="45"/>
      <c r="EM25" s="42" t="s">
        <v>4381</v>
      </c>
      <c r="EN25" s="45"/>
      <c r="EO25" s="45"/>
      <c r="EP25" s="41">
        <v>3.18</v>
      </c>
      <c r="EQ25" s="41">
        <v>3.18</v>
      </c>
      <c r="ER25" s="42" t="s">
        <v>8495</v>
      </c>
      <c r="ES25" s="43"/>
      <c r="ET25" s="42" t="s">
        <v>47</v>
      </c>
      <c r="EU25" s="41">
        <v>3.0</v>
      </c>
      <c r="EV25" s="48" t="s">
        <v>3559</v>
      </c>
    </row>
    <row r="26">
      <c r="B26" s="35" t="s">
        <v>4046</v>
      </c>
      <c r="C26" s="32">
        <v>178.0</v>
      </c>
      <c r="D26" s="35" t="s">
        <v>9697</v>
      </c>
      <c r="E26" s="35" t="s">
        <v>3563</v>
      </c>
      <c r="F26" s="35" t="s">
        <v>3609</v>
      </c>
      <c r="G26" s="35" t="s">
        <v>4050</v>
      </c>
      <c r="H26" s="35" t="s">
        <v>9627</v>
      </c>
      <c r="I26" s="69">
        <v>45992.0</v>
      </c>
      <c r="J26" s="35" t="s">
        <v>9027</v>
      </c>
      <c r="K26" s="35" t="s">
        <v>9698</v>
      </c>
      <c r="L26" s="35" t="s">
        <v>9699</v>
      </c>
      <c r="M26" s="34"/>
      <c r="N26" s="34"/>
      <c r="O26" s="35" t="s">
        <v>9700</v>
      </c>
      <c r="P26" s="35" t="s">
        <v>4054</v>
      </c>
      <c r="Q26" s="32">
        <v>81.0</v>
      </c>
      <c r="R26" s="35" t="s">
        <v>3602</v>
      </c>
      <c r="S26" s="39">
        <v>0.92</v>
      </c>
      <c r="T26" s="39">
        <v>0.08</v>
      </c>
      <c r="U26" s="35" t="s">
        <v>3603</v>
      </c>
      <c r="V26" s="39">
        <v>0.27</v>
      </c>
      <c r="W26" s="39">
        <v>0.65</v>
      </c>
      <c r="X26" s="35" t="s">
        <v>9701</v>
      </c>
      <c r="Y26" s="35" t="s">
        <v>4054</v>
      </c>
      <c r="Z26" s="35" t="s">
        <v>9702</v>
      </c>
      <c r="AA26" s="35" t="s">
        <v>3569</v>
      </c>
      <c r="AB26" s="32">
        <v>86.94</v>
      </c>
      <c r="AC26" s="35" t="s">
        <v>3571</v>
      </c>
      <c r="AD26" s="35" t="s">
        <v>3572</v>
      </c>
      <c r="AE26" s="35" t="s">
        <v>3573</v>
      </c>
      <c r="AF26" s="36" t="s">
        <v>4055</v>
      </c>
      <c r="AG26" s="36" t="s">
        <v>4056</v>
      </c>
      <c r="AH26" s="32">
        <v>178.0</v>
      </c>
      <c r="AI26" s="35" t="s">
        <v>9697</v>
      </c>
      <c r="AJ26" s="34"/>
      <c r="AK26" s="34"/>
      <c r="AL26" s="32">
        <v>2017.0</v>
      </c>
      <c r="AM26" s="34"/>
      <c r="AN26" s="35" t="s">
        <v>4059</v>
      </c>
      <c r="AO26" s="35" t="s">
        <v>3579</v>
      </c>
      <c r="AP26" s="35" t="s">
        <v>4060</v>
      </c>
      <c r="AQ26" s="34"/>
      <c r="AR26" s="34"/>
      <c r="AS26" s="37"/>
      <c r="AT26" s="37"/>
      <c r="AU26" s="37"/>
      <c r="AV26" s="37"/>
      <c r="AW26" s="37"/>
      <c r="AX26" s="37"/>
      <c r="AY26" s="37"/>
      <c r="AZ26" s="37"/>
      <c r="BA26" s="37"/>
      <c r="BB26" s="37"/>
      <c r="BC26" s="35" t="s">
        <v>4058</v>
      </c>
      <c r="BD26" s="61" t="str">
        <f>+972 (0)0 503 5614</f>
        <v>#ERROR!</v>
      </c>
      <c r="BE26" s="35" t="s">
        <v>3581</v>
      </c>
      <c r="BF26" s="35" t="s">
        <v>4061</v>
      </c>
      <c r="BG26" s="34"/>
      <c r="BH26" s="35" t="s">
        <v>75</v>
      </c>
      <c r="BI26" s="34"/>
      <c r="BJ26" s="32">
        <v>6701310.0</v>
      </c>
      <c r="BK26" s="35" t="s">
        <v>41</v>
      </c>
      <c r="BL26" s="37" t="str">
        <f>+972 (0)0 503 5614</f>
        <v>#ERROR!</v>
      </c>
      <c r="BM26" s="37"/>
      <c r="BN26" s="35" t="s">
        <v>4062</v>
      </c>
      <c r="BO26" s="35" t="s">
        <v>3584</v>
      </c>
      <c r="BP26" s="35" t="s">
        <v>3584</v>
      </c>
      <c r="BQ26" s="35" t="s">
        <v>9703</v>
      </c>
      <c r="BR26" s="35" t="s">
        <v>9704</v>
      </c>
      <c r="BS26" s="32">
        <v>17.0</v>
      </c>
      <c r="BT26" s="34"/>
      <c r="BU26" s="35" t="s">
        <v>4065</v>
      </c>
      <c r="BV26" s="34"/>
      <c r="BW26" s="35" t="s">
        <v>9705</v>
      </c>
      <c r="BX26" s="35" t="s">
        <v>4067</v>
      </c>
      <c r="BY26" s="34"/>
      <c r="BZ26" s="34"/>
      <c r="CA26" s="35" t="s">
        <v>4068</v>
      </c>
      <c r="CB26" s="62">
        <v>43525.0</v>
      </c>
      <c r="CC26" s="32">
        <v>1.5</v>
      </c>
      <c r="CD26" s="35" t="s">
        <v>3593</v>
      </c>
      <c r="CE26" s="32">
        <v>6.97</v>
      </c>
      <c r="CF26" s="35" t="s">
        <v>3593</v>
      </c>
      <c r="CG26" s="35" t="s">
        <v>3698</v>
      </c>
      <c r="CH26" s="35" t="s">
        <v>3698</v>
      </c>
      <c r="CI26" s="34"/>
      <c r="CJ26" s="35" t="s">
        <v>3573</v>
      </c>
      <c r="CK26" s="35" t="s">
        <v>4070</v>
      </c>
      <c r="CL26" s="35" t="s">
        <v>3591</v>
      </c>
      <c r="CM26" s="60">
        <v>45314.0</v>
      </c>
      <c r="CN26" s="32">
        <v>38.94</v>
      </c>
      <c r="CO26" s="35" t="s">
        <v>3593</v>
      </c>
      <c r="CP26" s="32">
        <v>186.58</v>
      </c>
      <c r="CQ26" s="35" t="s">
        <v>3593</v>
      </c>
      <c r="CR26" s="35" t="s">
        <v>3594</v>
      </c>
      <c r="CS26" s="35" t="s">
        <v>4072</v>
      </c>
      <c r="CT26" s="34"/>
      <c r="CU26" s="35" t="s">
        <v>3573</v>
      </c>
      <c r="CV26" s="60">
        <v>44089.0</v>
      </c>
      <c r="CW26" s="32">
        <v>2.0</v>
      </c>
      <c r="CX26" s="34"/>
      <c r="CY26" s="35" t="s">
        <v>3591</v>
      </c>
      <c r="CZ26" s="39">
        <v>-0.0029</v>
      </c>
      <c r="DA26" s="32">
        <v>15.0</v>
      </c>
      <c r="DB26" s="39">
        <v>0.0</v>
      </c>
      <c r="DC26" s="39">
        <v>0.0</v>
      </c>
      <c r="DD26" s="39">
        <v>-0.0044</v>
      </c>
      <c r="DE26" s="32">
        <v>13.0</v>
      </c>
      <c r="DF26" s="39">
        <v>0.0</v>
      </c>
      <c r="DG26" s="32">
        <v>11.0</v>
      </c>
      <c r="DH26" s="39">
        <v>-0.0089</v>
      </c>
      <c r="DI26" s="32">
        <v>10.0</v>
      </c>
      <c r="DJ26" s="32" t="s">
        <v>9706</v>
      </c>
      <c r="DK26" s="32">
        <v>89.0</v>
      </c>
      <c r="DL26" s="32" t="s">
        <v>3598</v>
      </c>
      <c r="DM26" s="39">
        <v>0.0</v>
      </c>
      <c r="DN26" s="32" t="s">
        <v>9707</v>
      </c>
      <c r="DO26" s="32">
        <v>78.0</v>
      </c>
      <c r="DP26" s="32" t="s">
        <v>9708</v>
      </c>
      <c r="DQ26" s="32">
        <v>76.0</v>
      </c>
      <c r="DR26" s="32" t="s">
        <v>9709</v>
      </c>
      <c r="DS26" s="32">
        <v>82.0</v>
      </c>
      <c r="DT26" s="32">
        <v>475.0</v>
      </c>
      <c r="DU26" s="32">
        <v>22.0</v>
      </c>
      <c r="DV26" s="39">
        <v>0.0486</v>
      </c>
      <c r="DW26" s="32">
        <v>162.0</v>
      </c>
      <c r="DX26" s="32">
        <v>-1.0</v>
      </c>
      <c r="DY26" s="39">
        <v>-0.0061</v>
      </c>
      <c r="DZ26" s="32">
        <v>11.0</v>
      </c>
      <c r="EA26" s="32">
        <v>6.0</v>
      </c>
      <c r="EB26" s="32">
        <v>8.0</v>
      </c>
      <c r="EC26" s="32">
        <v>3.0</v>
      </c>
      <c r="ED26" s="37"/>
      <c r="EE26" s="37"/>
      <c r="EF26" s="35" t="s">
        <v>4078</v>
      </c>
      <c r="EG26" s="32">
        <v>186.58</v>
      </c>
      <c r="EH26" s="60">
        <v>45314.0</v>
      </c>
      <c r="EI26" s="35" t="s">
        <v>3594</v>
      </c>
      <c r="EJ26" s="37"/>
      <c r="EK26" s="37"/>
      <c r="EL26" s="37"/>
      <c r="EM26" s="34"/>
      <c r="EN26" s="37"/>
      <c r="EO26" s="37"/>
      <c r="EP26" s="32">
        <v>1.32</v>
      </c>
      <c r="EQ26" s="32">
        <v>1.32</v>
      </c>
      <c r="ER26" s="35" t="s">
        <v>9627</v>
      </c>
      <c r="ES26" s="34"/>
      <c r="ET26" s="35" t="s">
        <v>47</v>
      </c>
      <c r="EU26" s="32">
        <v>2.0</v>
      </c>
      <c r="EV26" s="40" t="s">
        <v>3559</v>
      </c>
    </row>
    <row r="27">
      <c r="B27" s="35" t="s">
        <v>5638</v>
      </c>
      <c r="C27" s="32">
        <v>30.0</v>
      </c>
      <c r="D27" s="35" t="s">
        <v>9710</v>
      </c>
      <c r="E27" s="35" t="s">
        <v>4560</v>
      </c>
      <c r="F27" s="35" t="s">
        <v>4561</v>
      </c>
      <c r="G27" s="35" t="s">
        <v>66</v>
      </c>
      <c r="H27" s="35" t="s">
        <v>8495</v>
      </c>
      <c r="I27" s="60">
        <v>45910.0</v>
      </c>
      <c r="J27" s="35" t="s">
        <v>7029</v>
      </c>
      <c r="K27" s="35" t="s">
        <v>3811</v>
      </c>
      <c r="L27" s="35" t="s">
        <v>9711</v>
      </c>
      <c r="M27" s="34"/>
      <c r="N27" s="34"/>
      <c r="O27" s="35" t="s">
        <v>5639</v>
      </c>
      <c r="P27" s="35" t="s">
        <v>5645</v>
      </c>
      <c r="Q27" s="37"/>
      <c r="R27" s="34"/>
      <c r="S27" s="37"/>
      <c r="T27" s="37"/>
      <c r="U27" s="34"/>
      <c r="V27" s="37"/>
      <c r="W27" s="37"/>
      <c r="X27" s="35" t="s">
        <v>3995</v>
      </c>
      <c r="Y27" s="35" t="s">
        <v>5645</v>
      </c>
      <c r="Z27" s="35" t="s">
        <v>9712</v>
      </c>
      <c r="AA27" s="35" t="s">
        <v>3569</v>
      </c>
      <c r="AB27" s="32">
        <v>25.0</v>
      </c>
      <c r="AC27" s="35" t="s">
        <v>3571</v>
      </c>
      <c r="AD27" s="35" t="s">
        <v>3572</v>
      </c>
      <c r="AE27" s="35" t="s">
        <v>3573</v>
      </c>
      <c r="AF27" s="36" t="s">
        <v>5646</v>
      </c>
      <c r="AG27" s="36" t="s">
        <v>5647</v>
      </c>
      <c r="AH27" s="32">
        <v>30.0</v>
      </c>
      <c r="AI27" s="35" t="s">
        <v>9710</v>
      </c>
      <c r="AJ27" s="34"/>
      <c r="AK27" s="34"/>
      <c r="AL27" s="32">
        <v>2011.0</v>
      </c>
      <c r="AM27" s="34"/>
      <c r="AN27" s="35" t="s">
        <v>9713</v>
      </c>
      <c r="AO27" s="35" t="s">
        <v>9714</v>
      </c>
      <c r="AP27" s="34"/>
      <c r="AQ27" s="34"/>
      <c r="AR27" s="34"/>
      <c r="AS27" s="37"/>
      <c r="AT27" s="37"/>
      <c r="AU27" s="37"/>
      <c r="AV27" s="37"/>
      <c r="AW27" s="37"/>
      <c r="AX27" s="37"/>
      <c r="AY27" s="37"/>
      <c r="AZ27" s="37"/>
      <c r="BA27" s="37"/>
      <c r="BB27" s="37"/>
      <c r="BC27" s="35" t="s">
        <v>9715</v>
      </c>
      <c r="BD27" s="61" t="str">
        <f>+972 (0)4 646 9900</f>
        <v>#ERROR!</v>
      </c>
      <c r="BE27" s="35" t="s">
        <v>5652</v>
      </c>
      <c r="BF27" s="35" t="s">
        <v>9716</v>
      </c>
      <c r="BG27" s="34"/>
      <c r="BH27" s="35" t="s">
        <v>1205</v>
      </c>
      <c r="BI27" s="34"/>
      <c r="BJ27" s="32">
        <v>3508504.0</v>
      </c>
      <c r="BK27" s="35" t="s">
        <v>41</v>
      </c>
      <c r="BL27" s="37" t="str">
        <f>+972 (0)4 646 9900</f>
        <v>#ERROR!</v>
      </c>
      <c r="BM27" s="37"/>
      <c r="BN27" s="35" t="s">
        <v>5654</v>
      </c>
      <c r="BO27" s="35" t="s">
        <v>3584</v>
      </c>
      <c r="BP27" s="35" t="s">
        <v>3584</v>
      </c>
      <c r="BQ27" s="35" t="s">
        <v>5655</v>
      </c>
      <c r="BR27" s="35" t="s">
        <v>5656</v>
      </c>
      <c r="BS27" s="32">
        <v>4.0</v>
      </c>
      <c r="BT27" s="34"/>
      <c r="BU27" s="34"/>
      <c r="BV27" s="34"/>
      <c r="BW27" s="35" t="s">
        <v>5657</v>
      </c>
      <c r="BX27" s="34"/>
      <c r="BY27" s="34"/>
      <c r="BZ27" s="34"/>
      <c r="CA27" s="34"/>
      <c r="CB27" s="62">
        <v>40544.0</v>
      </c>
      <c r="CC27" s="37"/>
      <c r="CD27" s="34"/>
      <c r="CE27" s="37"/>
      <c r="CF27" s="34"/>
      <c r="CG27" s="35" t="s">
        <v>3698</v>
      </c>
      <c r="CH27" s="35" t="s">
        <v>3698</v>
      </c>
      <c r="CI27" s="34"/>
      <c r="CJ27" s="35" t="s">
        <v>3573</v>
      </c>
      <c r="CK27" s="34"/>
      <c r="CL27" s="35" t="s">
        <v>3591</v>
      </c>
      <c r="CM27" s="60">
        <v>43643.0</v>
      </c>
      <c r="CN27" s="32">
        <v>25.0</v>
      </c>
      <c r="CO27" s="35" t="s">
        <v>3593</v>
      </c>
      <c r="CP27" s="32">
        <v>65.0</v>
      </c>
      <c r="CQ27" s="35" t="s">
        <v>3593</v>
      </c>
      <c r="CR27" s="35" t="s">
        <v>3594</v>
      </c>
      <c r="CS27" s="35" t="s">
        <v>4017</v>
      </c>
      <c r="CT27" s="34"/>
      <c r="CU27" s="35" t="s">
        <v>3573</v>
      </c>
      <c r="CV27" s="37"/>
      <c r="CW27" s="37"/>
      <c r="CX27" s="34"/>
      <c r="CY27" s="35" t="s">
        <v>3591</v>
      </c>
      <c r="CZ27" s="37"/>
      <c r="DA27" s="37"/>
      <c r="DB27" s="37"/>
      <c r="DC27" s="37"/>
      <c r="DD27" s="37"/>
      <c r="DE27" s="37"/>
      <c r="DF27" s="37"/>
      <c r="DG27" s="37"/>
      <c r="DH27" s="37"/>
      <c r="DI27" s="37"/>
      <c r="DJ27" s="37"/>
      <c r="DK27" s="37"/>
      <c r="DL27" s="37"/>
      <c r="DM27" s="37"/>
      <c r="DN27" s="37"/>
      <c r="DO27" s="37"/>
      <c r="DP27" s="37"/>
      <c r="DQ27" s="37"/>
      <c r="DR27" s="37"/>
      <c r="DS27" s="37"/>
      <c r="DT27" s="37"/>
      <c r="DU27" s="37"/>
      <c r="DV27" s="37"/>
      <c r="DW27" s="37"/>
      <c r="DX27" s="37"/>
      <c r="DY27" s="37"/>
      <c r="DZ27" s="32">
        <v>121.0</v>
      </c>
      <c r="EA27" s="32">
        <v>32.0</v>
      </c>
      <c r="EB27" s="32">
        <v>63.0</v>
      </c>
      <c r="EC27" s="32">
        <v>13.0</v>
      </c>
      <c r="ED27" s="37"/>
      <c r="EE27" s="32">
        <v>45.0</v>
      </c>
      <c r="EF27" s="35" t="s">
        <v>5662</v>
      </c>
      <c r="EG27" s="32">
        <v>65.0</v>
      </c>
      <c r="EH27" s="60">
        <v>43643.0</v>
      </c>
      <c r="EI27" s="35" t="s">
        <v>3594</v>
      </c>
      <c r="EJ27" s="37"/>
      <c r="EK27" s="37"/>
      <c r="EL27" s="37"/>
      <c r="EM27" s="34"/>
      <c r="EN27" s="37"/>
      <c r="EO27" s="37"/>
      <c r="EP27" s="37"/>
      <c r="EQ27" s="37"/>
      <c r="ER27" s="35" t="s">
        <v>8495</v>
      </c>
      <c r="ES27" s="34"/>
      <c r="ET27" s="35" t="s">
        <v>47</v>
      </c>
      <c r="EU27" s="32">
        <v>11.0</v>
      </c>
      <c r="EV27" s="40" t="s">
        <v>3559</v>
      </c>
    </row>
    <row r="28">
      <c r="B28" s="35" t="s">
        <v>2012</v>
      </c>
      <c r="C28" s="32">
        <v>38.0</v>
      </c>
      <c r="D28" s="35" t="s">
        <v>9717</v>
      </c>
      <c r="E28" s="35" t="s">
        <v>3563</v>
      </c>
      <c r="F28" s="35" t="s">
        <v>3564</v>
      </c>
      <c r="G28" s="35" t="s">
        <v>3642</v>
      </c>
      <c r="H28" s="35" t="s">
        <v>8250</v>
      </c>
      <c r="I28" s="62">
        <v>45962.0</v>
      </c>
      <c r="J28" s="35" t="s">
        <v>3643</v>
      </c>
      <c r="K28" s="35" t="s">
        <v>3644</v>
      </c>
      <c r="L28" s="35" t="s">
        <v>3645</v>
      </c>
      <c r="M28" s="34"/>
      <c r="N28" s="35" t="s">
        <v>9718</v>
      </c>
      <c r="O28" s="35" t="s">
        <v>3639</v>
      </c>
      <c r="P28" s="35" t="s">
        <v>3646</v>
      </c>
      <c r="Q28" s="32">
        <v>80.0</v>
      </c>
      <c r="R28" s="35" t="s">
        <v>3602</v>
      </c>
      <c r="S28" s="39">
        <v>0.88</v>
      </c>
      <c r="T28" s="39">
        <v>0.12</v>
      </c>
      <c r="U28" s="35" t="s">
        <v>3603</v>
      </c>
      <c r="V28" s="39">
        <v>0.01</v>
      </c>
      <c r="W28" s="39">
        <v>0.87</v>
      </c>
      <c r="X28" s="35" t="s">
        <v>9719</v>
      </c>
      <c r="Y28" s="35" t="s">
        <v>3646</v>
      </c>
      <c r="Z28" s="35" t="s">
        <v>3641</v>
      </c>
      <c r="AA28" s="35" t="s">
        <v>3569</v>
      </c>
      <c r="AB28" s="32">
        <v>18.7</v>
      </c>
      <c r="AC28" s="35" t="s">
        <v>3571</v>
      </c>
      <c r="AD28" s="35" t="s">
        <v>3572</v>
      </c>
      <c r="AE28" s="35" t="s">
        <v>3573</v>
      </c>
      <c r="AF28" s="36" t="s">
        <v>3647</v>
      </c>
      <c r="AG28" s="36" t="s">
        <v>3648</v>
      </c>
      <c r="AH28" s="32">
        <v>38.0</v>
      </c>
      <c r="AI28" s="35" t="s">
        <v>9717</v>
      </c>
      <c r="AJ28" s="34"/>
      <c r="AK28" s="34"/>
      <c r="AL28" s="32">
        <v>2016.0</v>
      </c>
      <c r="AM28" s="34"/>
      <c r="AN28" s="35" t="s">
        <v>3651</v>
      </c>
      <c r="AO28" s="35" t="s">
        <v>3652</v>
      </c>
      <c r="AP28" s="35" t="s">
        <v>3653</v>
      </c>
      <c r="AQ28" s="34"/>
      <c r="AR28" s="34"/>
      <c r="AS28" s="37"/>
      <c r="AT28" s="37"/>
      <c r="AU28" s="37"/>
      <c r="AV28" s="37"/>
      <c r="AW28" s="37"/>
      <c r="AX28" s="37"/>
      <c r="AY28" s="37"/>
      <c r="AZ28" s="37"/>
      <c r="BA28" s="37"/>
      <c r="BB28" s="37"/>
      <c r="BC28" s="35" t="s">
        <v>3650</v>
      </c>
      <c r="BD28" s="61" t="str">
        <f>+972 (0)52 783 1638</f>
        <v>#ERROR!</v>
      </c>
      <c r="BE28" s="35" t="s">
        <v>3654</v>
      </c>
      <c r="BF28" s="35" t="s">
        <v>3655</v>
      </c>
      <c r="BG28" s="35" t="s">
        <v>3656</v>
      </c>
      <c r="BH28" s="35" t="s">
        <v>147</v>
      </c>
      <c r="BI28" s="34"/>
      <c r="BJ28" s="32">
        <v>9777516.0</v>
      </c>
      <c r="BK28" s="35" t="s">
        <v>41</v>
      </c>
      <c r="BL28" s="37" t="str">
        <f>+972 (0)52 783 1638</f>
        <v>#ERROR!</v>
      </c>
      <c r="BM28" s="37"/>
      <c r="BN28" s="35" t="s">
        <v>2018</v>
      </c>
      <c r="BO28" s="35" t="s">
        <v>3584</v>
      </c>
      <c r="BP28" s="35" t="s">
        <v>3584</v>
      </c>
      <c r="BQ28" s="35" t="s">
        <v>3657</v>
      </c>
      <c r="BR28" s="35" t="s">
        <v>3658</v>
      </c>
      <c r="BS28" s="32">
        <v>10.0</v>
      </c>
      <c r="BT28" s="34"/>
      <c r="BU28" s="34"/>
      <c r="BV28" s="34"/>
      <c r="BW28" s="35" t="s">
        <v>9720</v>
      </c>
      <c r="BX28" s="34"/>
      <c r="BY28" s="34"/>
      <c r="BZ28" s="34"/>
      <c r="CA28" s="35" t="s">
        <v>3660</v>
      </c>
      <c r="CB28" s="62">
        <v>42370.0</v>
      </c>
      <c r="CC28" s="37"/>
      <c r="CD28" s="34"/>
      <c r="CE28" s="37"/>
      <c r="CF28" s="34"/>
      <c r="CG28" s="35" t="s">
        <v>3662</v>
      </c>
      <c r="CH28" s="34"/>
      <c r="CI28" s="34"/>
      <c r="CJ28" s="35" t="s">
        <v>3663</v>
      </c>
      <c r="CK28" s="34"/>
      <c r="CL28" s="35" t="s">
        <v>3591</v>
      </c>
      <c r="CM28" s="62">
        <v>45078.0</v>
      </c>
      <c r="CN28" s="37"/>
      <c r="CO28" s="34"/>
      <c r="CP28" s="37"/>
      <c r="CQ28" s="34"/>
      <c r="CR28" s="35" t="s">
        <v>3594</v>
      </c>
      <c r="CS28" s="34"/>
      <c r="CT28" s="34"/>
      <c r="CU28" s="35" t="s">
        <v>3573</v>
      </c>
      <c r="CV28" s="62">
        <v>44136.0</v>
      </c>
      <c r="CW28" s="32">
        <v>2.6</v>
      </c>
      <c r="CX28" s="34"/>
      <c r="CY28" s="35" t="s">
        <v>3591</v>
      </c>
      <c r="CZ28" s="39">
        <v>-0.0105</v>
      </c>
      <c r="DA28" s="32">
        <v>8.0</v>
      </c>
      <c r="DB28" s="39">
        <v>0.0</v>
      </c>
      <c r="DC28" s="39">
        <v>0.0</v>
      </c>
      <c r="DD28" s="39">
        <v>-0.0105</v>
      </c>
      <c r="DE28" s="32">
        <v>8.0</v>
      </c>
      <c r="DF28" s="37"/>
      <c r="DG28" s="37"/>
      <c r="DH28" s="39">
        <v>-0.0105</v>
      </c>
      <c r="DI28" s="32">
        <v>8.0</v>
      </c>
      <c r="DJ28" s="32" t="s">
        <v>9721</v>
      </c>
      <c r="DK28" s="32">
        <v>88.0</v>
      </c>
      <c r="DL28" s="32" t="s">
        <v>3598</v>
      </c>
      <c r="DM28" s="39">
        <v>0.0</v>
      </c>
      <c r="DN28" s="32" t="s">
        <v>9721</v>
      </c>
      <c r="DO28" s="32">
        <v>87.0</v>
      </c>
      <c r="DP28" s="37"/>
      <c r="DQ28" s="37"/>
      <c r="DR28" s="32" t="s">
        <v>9721</v>
      </c>
      <c r="DS28" s="32">
        <v>85.0</v>
      </c>
      <c r="DT28" s="37"/>
      <c r="DU28" s="37"/>
      <c r="DV28" s="37"/>
      <c r="DW28" s="32">
        <v>181.0</v>
      </c>
      <c r="DX28" s="32">
        <v>-1.0</v>
      </c>
      <c r="DY28" s="39">
        <v>-0.0055</v>
      </c>
      <c r="DZ28" s="32">
        <v>42.0</v>
      </c>
      <c r="EA28" s="32">
        <v>13.0</v>
      </c>
      <c r="EB28" s="32">
        <v>24.0</v>
      </c>
      <c r="EC28" s="32">
        <v>8.0</v>
      </c>
      <c r="ED28" s="32">
        <v>3.0</v>
      </c>
      <c r="EE28" s="32">
        <v>10.0</v>
      </c>
      <c r="EF28" s="35" t="s">
        <v>9722</v>
      </c>
      <c r="EG28" s="32">
        <v>22.43</v>
      </c>
      <c r="EH28" s="62">
        <v>44136.0</v>
      </c>
      <c r="EI28" s="35" t="s">
        <v>3669</v>
      </c>
      <c r="EJ28" s="37"/>
      <c r="EK28" s="37"/>
      <c r="EL28" s="37"/>
      <c r="EM28" s="35" t="s">
        <v>3670</v>
      </c>
      <c r="EN28" s="37"/>
      <c r="EO28" s="37"/>
      <c r="EP28" s="37"/>
      <c r="EQ28" s="32">
        <v>1.07</v>
      </c>
      <c r="ER28" s="35" t="s">
        <v>8250</v>
      </c>
      <c r="ES28" s="34"/>
      <c r="ET28" s="35" t="s">
        <v>47</v>
      </c>
      <c r="EU28" s="32">
        <v>2.0</v>
      </c>
      <c r="EV28" s="40" t="s">
        <v>3559</v>
      </c>
    </row>
    <row r="29">
      <c r="B29" s="42" t="s">
        <v>897</v>
      </c>
      <c r="C29" s="41">
        <v>15.0</v>
      </c>
      <c r="D29" s="42" t="s">
        <v>9723</v>
      </c>
      <c r="E29" s="42" t="s">
        <v>4560</v>
      </c>
      <c r="F29" s="42" t="s">
        <v>4561</v>
      </c>
      <c r="G29" s="42" t="s">
        <v>66</v>
      </c>
      <c r="H29" s="42" t="s">
        <v>3612</v>
      </c>
      <c r="I29" s="65">
        <v>45993.0</v>
      </c>
      <c r="J29" s="42" t="s">
        <v>4562</v>
      </c>
      <c r="K29" s="42" t="s">
        <v>4563</v>
      </c>
      <c r="L29" s="42" t="s">
        <v>4564</v>
      </c>
      <c r="M29" s="43"/>
      <c r="N29" s="42" t="s">
        <v>4556</v>
      </c>
      <c r="O29" s="42" t="s">
        <v>4557</v>
      </c>
      <c r="P29" s="42" t="s">
        <v>4565</v>
      </c>
      <c r="Q29" s="41">
        <v>19.0</v>
      </c>
      <c r="R29" s="42" t="s">
        <v>4379</v>
      </c>
      <c r="S29" s="47">
        <v>0.41</v>
      </c>
      <c r="T29" s="47">
        <v>0.59</v>
      </c>
      <c r="U29" s="42" t="s">
        <v>4379</v>
      </c>
      <c r="V29" s="47">
        <v>0.01</v>
      </c>
      <c r="W29" s="47">
        <v>0.4</v>
      </c>
      <c r="X29" s="42" t="s">
        <v>4558</v>
      </c>
      <c r="Y29" s="42" t="s">
        <v>4565</v>
      </c>
      <c r="Z29" s="42" t="s">
        <v>4559</v>
      </c>
      <c r="AA29" s="42" t="s">
        <v>3569</v>
      </c>
      <c r="AB29" s="41">
        <v>21.48</v>
      </c>
      <c r="AC29" s="42" t="s">
        <v>3571</v>
      </c>
      <c r="AD29" s="42" t="s">
        <v>3572</v>
      </c>
      <c r="AE29" s="42" t="s">
        <v>3573</v>
      </c>
      <c r="AF29" s="44" t="s">
        <v>4566</v>
      </c>
      <c r="AG29" s="44" t="s">
        <v>4567</v>
      </c>
      <c r="AH29" s="41">
        <v>15.0</v>
      </c>
      <c r="AI29" s="42" t="s">
        <v>9723</v>
      </c>
      <c r="AJ29" s="43"/>
      <c r="AK29" s="43"/>
      <c r="AL29" s="41">
        <v>2014.0</v>
      </c>
      <c r="AM29" s="43"/>
      <c r="AN29" s="42" t="s">
        <v>4570</v>
      </c>
      <c r="AO29" s="42" t="s">
        <v>3685</v>
      </c>
      <c r="AP29" s="42" t="s">
        <v>900</v>
      </c>
      <c r="AQ29" s="43"/>
      <c r="AR29" s="43"/>
      <c r="AS29" s="45"/>
      <c r="AT29" s="45"/>
      <c r="AU29" s="45"/>
      <c r="AV29" s="45"/>
      <c r="AW29" s="45"/>
      <c r="AX29" s="45"/>
      <c r="AY29" s="45"/>
      <c r="AZ29" s="45"/>
      <c r="BA29" s="45"/>
      <c r="BB29" s="45"/>
      <c r="BC29" s="42" t="s">
        <v>4569</v>
      </c>
      <c r="BD29" s="64" t="str">
        <f>+972 (0)54 435 0592</f>
        <v>#ERROR!</v>
      </c>
      <c r="BE29" s="42" t="s">
        <v>3581</v>
      </c>
      <c r="BF29" s="42" t="s">
        <v>4571</v>
      </c>
      <c r="BG29" s="43"/>
      <c r="BH29" s="42" t="s">
        <v>75</v>
      </c>
      <c r="BI29" s="43"/>
      <c r="BJ29" s="45"/>
      <c r="BK29" s="42" t="s">
        <v>41</v>
      </c>
      <c r="BL29" s="45" t="str">
        <f>+972 (0)54 435 0592</f>
        <v>#ERROR!</v>
      </c>
      <c r="BM29" s="45" t="str">
        <f>+972 (0)77 317 9258</f>
        <v>#ERROR!</v>
      </c>
      <c r="BN29" s="42" t="s">
        <v>903</v>
      </c>
      <c r="BO29" s="42" t="s">
        <v>3584</v>
      </c>
      <c r="BP29" s="42" t="s">
        <v>3584</v>
      </c>
      <c r="BQ29" s="42" t="s">
        <v>4572</v>
      </c>
      <c r="BR29" s="42" t="s">
        <v>4573</v>
      </c>
      <c r="BS29" s="41">
        <v>8.0</v>
      </c>
      <c r="BT29" s="43"/>
      <c r="BU29" s="43"/>
      <c r="BV29" s="43"/>
      <c r="BW29" s="42" t="s">
        <v>4574</v>
      </c>
      <c r="BX29" s="43"/>
      <c r="BY29" s="43"/>
      <c r="BZ29" s="43"/>
      <c r="CA29" s="42" t="s">
        <v>4575</v>
      </c>
      <c r="CB29" s="65">
        <v>41974.0</v>
      </c>
      <c r="CC29" s="41">
        <v>0.03</v>
      </c>
      <c r="CD29" s="42" t="s">
        <v>3593</v>
      </c>
      <c r="CE29" s="45"/>
      <c r="CF29" s="43"/>
      <c r="CG29" s="42" t="s">
        <v>3589</v>
      </c>
      <c r="CH29" s="43"/>
      <c r="CI29" s="43"/>
      <c r="CJ29" s="42" t="s">
        <v>3590</v>
      </c>
      <c r="CK29" s="43"/>
      <c r="CL29" s="42" t="s">
        <v>3591</v>
      </c>
      <c r="CM29" s="65">
        <v>45931.0</v>
      </c>
      <c r="CN29" s="41">
        <v>20.0</v>
      </c>
      <c r="CO29" s="42" t="s">
        <v>3593</v>
      </c>
      <c r="CP29" s="45"/>
      <c r="CQ29" s="43"/>
      <c r="CR29" s="42" t="s">
        <v>3594</v>
      </c>
      <c r="CS29" s="42" t="s">
        <v>4017</v>
      </c>
      <c r="CT29" s="43"/>
      <c r="CU29" s="42" t="s">
        <v>3573</v>
      </c>
      <c r="CV29" s="45"/>
      <c r="CW29" s="45"/>
      <c r="CX29" s="43"/>
      <c r="CY29" s="42" t="s">
        <v>4321</v>
      </c>
      <c r="CZ29" s="47">
        <v>-0.0049</v>
      </c>
      <c r="DA29" s="41">
        <v>13.0</v>
      </c>
      <c r="DB29" s="47">
        <v>0.0</v>
      </c>
      <c r="DC29" s="47">
        <v>0.0</v>
      </c>
      <c r="DD29" s="47">
        <v>-0.0098</v>
      </c>
      <c r="DE29" s="41">
        <v>8.0</v>
      </c>
      <c r="DF29" s="45"/>
      <c r="DG29" s="45"/>
      <c r="DH29" s="47">
        <v>-0.0098</v>
      </c>
      <c r="DI29" s="41">
        <v>9.0</v>
      </c>
      <c r="DJ29" s="41" t="s">
        <v>9724</v>
      </c>
      <c r="DK29" s="41">
        <v>90.0</v>
      </c>
      <c r="DL29" s="41" t="s">
        <v>3598</v>
      </c>
      <c r="DM29" s="47">
        <v>0.0</v>
      </c>
      <c r="DN29" s="41" t="s">
        <v>9725</v>
      </c>
      <c r="DO29" s="41">
        <v>94.0</v>
      </c>
      <c r="DP29" s="45"/>
      <c r="DQ29" s="45"/>
      <c r="DR29" s="41" t="s">
        <v>9725</v>
      </c>
      <c r="DS29" s="41">
        <v>94.0</v>
      </c>
      <c r="DT29" s="45"/>
      <c r="DU29" s="45"/>
      <c r="DV29" s="45"/>
      <c r="DW29" s="41">
        <v>379.0</v>
      </c>
      <c r="DX29" s="41">
        <v>0.0</v>
      </c>
      <c r="DY29" s="47">
        <v>0.0</v>
      </c>
      <c r="DZ29" s="41">
        <v>14.0</v>
      </c>
      <c r="EA29" s="41">
        <v>2.0</v>
      </c>
      <c r="EB29" s="41">
        <v>10.0</v>
      </c>
      <c r="EC29" s="41">
        <v>3.0</v>
      </c>
      <c r="ED29" s="45"/>
      <c r="EE29" s="41">
        <v>1.0</v>
      </c>
      <c r="EF29" s="42" t="s">
        <v>4581</v>
      </c>
      <c r="EG29" s="41">
        <v>100.0</v>
      </c>
      <c r="EH29" s="70">
        <v>44705.0</v>
      </c>
      <c r="EI29" s="42" t="s">
        <v>3594</v>
      </c>
      <c r="EJ29" s="45"/>
      <c r="EK29" s="45"/>
      <c r="EL29" s="45"/>
      <c r="EM29" s="43"/>
      <c r="EN29" s="45"/>
      <c r="EO29" s="45"/>
      <c r="EP29" s="45"/>
      <c r="EQ29" s="45"/>
      <c r="ER29" s="42" t="s">
        <v>3612</v>
      </c>
      <c r="ES29" s="43"/>
      <c r="ET29" s="42" t="s">
        <v>47</v>
      </c>
      <c r="EU29" s="41">
        <v>14.0</v>
      </c>
      <c r="EV29" s="48" t="s">
        <v>3559</v>
      </c>
    </row>
    <row r="30">
      <c r="B30" s="42" t="s">
        <v>6206</v>
      </c>
      <c r="C30" s="41">
        <v>120.0</v>
      </c>
      <c r="D30" s="42" t="s">
        <v>9726</v>
      </c>
      <c r="E30" s="42" t="s">
        <v>3563</v>
      </c>
      <c r="F30" s="42" t="s">
        <v>3564</v>
      </c>
      <c r="G30" s="42" t="s">
        <v>3565</v>
      </c>
      <c r="H30" s="42" t="s">
        <v>3612</v>
      </c>
      <c r="I30" s="63">
        <v>45985.0</v>
      </c>
      <c r="J30" s="42" t="s">
        <v>4303</v>
      </c>
      <c r="K30" s="42" t="s">
        <v>6210</v>
      </c>
      <c r="L30" s="42" t="s">
        <v>6211</v>
      </c>
      <c r="M30" s="43"/>
      <c r="N30" s="43"/>
      <c r="O30" s="42" t="s">
        <v>6207</v>
      </c>
      <c r="P30" s="42" t="s">
        <v>6212</v>
      </c>
      <c r="Q30" s="45"/>
      <c r="R30" s="43"/>
      <c r="S30" s="45"/>
      <c r="T30" s="45"/>
      <c r="U30" s="43"/>
      <c r="V30" s="45"/>
      <c r="W30" s="45"/>
      <c r="X30" s="42" t="s">
        <v>9727</v>
      </c>
      <c r="Y30" s="42" t="s">
        <v>6212</v>
      </c>
      <c r="Z30" s="42" t="s">
        <v>6209</v>
      </c>
      <c r="AA30" s="42" t="s">
        <v>5018</v>
      </c>
      <c r="AB30" s="41">
        <v>0.1</v>
      </c>
      <c r="AC30" s="42" t="s">
        <v>3571</v>
      </c>
      <c r="AD30" s="42" t="s">
        <v>4964</v>
      </c>
      <c r="AE30" s="42" t="s">
        <v>3573</v>
      </c>
      <c r="AF30" s="44" t="s">
        <v>6213</v>
      </c>
      <c r="AG30" s="44" t="s">
        <v>6214</v>
      </c>
      <c r="AH30" s="41">
        <v>120.0</v>
      </c>
      <c r="AI30" s="42" t="s">
        <v>9726</v>
      </c>
      <c r="AJ30" s="43"/>
      <c r="AK30" s="43"/>
      <c r="AL30" s="41">
        <v>2012.0</v>
      </c>
      <c r="AM30" s="42" t="s">
        <v>6216</v>
      </c>
      <c r="AN30" s="42" t="s">
        <v>6218</v>
      </c>
      <c r="AO30" s="42" t="s">
        <v>3982</v>
      </c>
      <c r="AP30" s="42" t="s">
        <v>6219</v>
      </c>
      <c r="AQ30" s="43"/>
      <c r="AR30" s="43"/>
      <c r="AS30" s="45"/>
      <c r="AT30" s="45"/>
      <c r="AU30" s="45"/>
      <c r="AV30" s="45"/>
      <c r="AW30" s="45"/>
      <c r="AX30" s="45"/>
      <c r="AY30" s="45"/>
      <c r="AZ30" s="45"/>
      <c r="BA30" s="45"/>
      <c r="BB30" s="45"/>
      <c r="BC30" s="42" t="s">
        <v>6217</v>
      </c>
      <c r="BD30" s="64" t="str">
        <f>+972 (0)73 223 9850</f>
        <v>#ERROR!</v>
      </c>
      <c r="BE30" s="42" t="s">
        <v>6220</v>
      </c>
      <c r="BF30" s="42" t="s">
        <v>6221</v>
      </c>
      <c r="BG30" s="43"/>
      <c r="BH30" s="42" t="s">
        <v>6222</v>
      </c>
      <c r="BI30" s="43"/>
      <c r="BJ30" s="41">
        <v>4524075.0</v>
      </c>
      <c r="BK30" s="42" t="s">
        <v>41</v>
      </c>
      <c r="BL30" s="45" t="str">
        <f>+972 (0)73 223 9850</f>
        <v>#ERROR!</v>
      </c>
      <c r="BM30" s="45"/>
      <c r="BN30" s="42" t="s">
        <v>6223</v>
      </c>
      <c r="BO30" s="42" t="s">
        <v>3584</v>
      </c>
      <c r="BP30" s="42" t="s">
        <v>3584</v>
      </c>
      <c r="BQ30" s="42" t="s">
        <v>6224</v>
      </c>
      <c r="BR30" s="42" t="s">
        <v>6225</v>
      </c>
      <c r="BS30" s="41">
        <v>1.0</v>
      </c>
      <c r="BT30" s="42" t="s">
        <v>6216</v>
      </c>
      <c r="BU30" s="42" t="s">
        <v>6226</v>
      </c>
      <c r="BV30" s="43"/>
      <c r="BW30" s="42" t="s">
        <v>6227</v>
      </c>
      <c r="BX30" s="42" t="s">
        <v>9728</v>
      </c>
      <c r="BY30" s="43"/>
      <c r="BZ30" s="43"/>
      <c r="CA30" s="43"/>
      <c r="CB30" s="65">
        <v>42894.0</v>
      </c>
      <c r="CC30" s="45"/>
      <c r="CD30" s="43"/>
      <c r="CE30" s="45"/>
      <c r="CF30" s="43"/>
      <c r="CG30" s="42" t="s">
        <v>3589</v>
      </c>
      <c r="CH30" s="43"/>
      <c r="CI30" s="43"/>
      <c r="CJ30" s="42" t="s">
        <v>3590</v>
      </c>
      <c r="CK30" s="43"/>
      <c r="CL30" s="42" t="s">
        <v>3591</v>
      </c>
      <c r="CM30" s="63">
        <v>44732.0</v>
      </c>
      <c r="CN30" s="41">
        <v>0.1</v>
      </c>
      <c r="CO30" s="42" t="s">
        <v>3593</v>
      </c>
      <c r="CP30" s="45"/>
      <c r="CQ30" s="43"/>
      <c r="CR30" s="42" t="s">
        <v>3589</v>
      </c>
      <c r="CS30" s="43"/>
      <c r="CT30" s="43"/>
      <c r="CU30" s="42" t="s">
        <v>3590</v>
      </c>
      <c r="CV30" s="45"/>
      <c r="CW30" s="45"/>
      <c r="CX30" s="43"/>
      <c r="CY30" s="42" t="s">
        <v>3591</v>
      </c>
      <c r="CZ30" s="45"/>
      <c r="DA30" s="45"/>
      <c r="DB30" s="45"/>
      <c r="DC30" s="45"/>
      <c r="DD30" s="45"/>
      <c r="DE30" s="45"/>
      <c r="DF30" s="45"/>
      <c r="DG30" s="45"/>
      <c r="DH30" s="45"/>
      <c r="DI30" s="45"/>
      <c r="DJ30" s="45"/>
      <c r="DK30" s="45"/>
      <c r="DL30" s="45"/>
      <c r="DM30" s="45"/>
      <c r="DN30" s="45"/>
      <c r="DO30" s="45"/>
      <c r="DP30" s="45"/>
      <c r="DQ30" s="45"/>
      <c r="DR30" s="45"/>
      <c r="DS30" s="45"/>
      <c r="DT30" s="45"/>
      <c r="DU30" s="45"/>
      <c r="DV30" s="45"/>
      <c r="DW30" s="45"/>
      <c r="DX30" s="45"/>
      <c r="DY30" s="45"/>
      <c r="DZ30" s="45"/>
      <c r="EA30" s="45"/>
      <c r="EB30" s="45"/>
      <c r="EC30" s="45"/>
      <c r="ED30" s="45"/>
      <c r="EE30" s="45"/>
      <c r="EF30" s="43"/>
      <c r="EG30" s="41">
        <v>200.0</v>
      </c>
      <c r="EH30" s="65">
        <v>44600.0</v>
      </c>
      <c r="EI30" s="42" t="s">
        <v>4977</v>
      </c>
      <c r="EJ30" s="45"/>
      <c r="EK30" s="45"/>
      <c r="EL30" s="45"/>
      <c r="EM30" s="42" t="s">
        <v>4248</v>
      </c>
      <c r="EN30" s="45"/>
      <c r="EO30" s="45"/>
      <c r="EP30" s="45"/>
      <c r="EQ30" s="41">
        <v>1.34</v>
      </c>
      <c r="ER30" s="42" t="s">
        <v>3612</v>
      </c>
      <c r="ES30" s="43"/>
      <c r="ET30" s="43"/>
      <c r="EU30" s="45"/>
      <c r="EV30" s="48" t="s">
        <v>3559</v>
      </c>
    </row>
    <row r="31">
      <c r="B31" s="42" t="s">
        <v>1413</v>
      </c>
      <c r="C31" s="41">
        <v>31.0</v>
      </c>
      <c r="D31" s="42" t="s">
        <v>9729</v>
      </c>
      <c r="E31" s="42" t="s">
        <v>3867</v>
      </c>
      <c r="F31" s="42" t="s">
        <v>3868</v>
      </c>
      <c r="G31" s="42" t="s">
        <v>3869</v>
      </c>
      <c r="H31" s="42" t="s">
        <v>8495</v>
      </c>
      <c r="I31" s="63">
        <v>45887.0</v>
      </c>
      <c r="J31" s="42" t="s">
        <v>4024</v>
      </c>
      <c r="K31" s="42" t="s">
        <v>4025</v>
      </c>
      <c r="L31" s="42" t="s">
        <v>4026</v>
      </c>
      <c r="M31" s="43"/>
      <c r="N31" s="43"/>
      <c r="O31" s="42" t="s">
        <v>4022</v>
      </c>
      <c r="P31" s="42" t="s">
        <v>4027</v>
      </c>
      <c r="Q31" s="41">
        <v>86.0</v>
      </c>
      <c r="R31" s="42" t="s">
        <v>3602</v>
      </c>
      <c r="S31" s="47">
        <v>0.71</v>
      </c>
      <c r="T31" s="47">
        <v>0.29</v>
      </c>
      <c r="U31" s="42" t="s">
        <v>3603</v>
      </c>
      <c r="V31" s="47">
        <v>0.11</v>
      </c>
      <c r="W31" s="47">
        <v>0.6</v>
      </c>
      <c r="X31" s="43"/>
      <c r="Y31" s="42" t="s">
        <v>4027</v>
      </c>
      <c r="Z31" s="42" t="s">
        <v>9730</v>
      </c>
      <c r="AA31" s="42" t="s">
        <v>3569</v>
      </c>
      <c r="AB31" s="41">
        <v>4.58</v>
      </c>
      <c r="AC31" s="42" t="s">
        <v>3571</v>
      </c>
      <c r="AD31" s="42" t="s">
        <v>3572</v>
      </c>
      <c r="AE31" s="42" t="s">
        <v>3573</v>
      </c>
      <c r="AF31" s="44" t="s">
        <v>4028</v>
      </c>
      <c r="AG31" s="44" t="s">
        <v>4029</v>
      </c>
      <c r="AH31" s="41">
        <v>31.0</v>
      </c>
      <c r="AI31" s="42" t="s">
        <v>9729</v>
      </c>
      <c r="AJ31" s="43"/>
      <c r="AK31" s="43"/>
      <c r="AL31" s="41">
        <v>2019.0</v>
      </c>
      <c r="AM31" s="43"/>
      <c r="AN31" s="42" t="s">
        <v>4032</v>
      </c>
      <c r="AO31" s="42" t="s">
        <v>4033</v>
      </c>
      <c r="AP31" s="42" t="s">
        <v>1416</v>
      </c>
      <c r="AQ31" s="43"/>
      <c r="AR31" s="43"/>
      <c r="AS31" s="45"/>
      <c r="AT31" s="45"/>
      <c r="AU31" s="45"/>
      <c r="AV31" s="45"/>
      <c r="AW31" s="45"/>
      <c r="AX31" s="45"/>
      <c r="AY31" s="45"/>
      <c r="AZ31" s="45"/>
      <c r="BA31" s="45"/>
      <c r="BB31" s="45"/>
      <c r="BC31" s="42" t="s">
        <v>4031</v>
      </c>
      <c r="BD31" s="64" t="str">
        <f>+972 (0)52 811 3428</f>
        <v>#ERROR!</v>
      </c>
      <c r="BE31" s="42" t="s">
        <v>3957</v>
      </c>
      <c r="BF31" s="42" t="s">
        <v>4034</v>
      </c>
      <c r="BG31" s="43"/>
      <c r="BH31" s="42" t="s">
        <v>137</v>
      </c>
      <c r="BI31" s="43"/>
      <c r="BJ31" s="41">
        <v>4442211.0</v>
      </c>
      <c r="BK31" s="42" t="s">
        <v>41</v>
      </c>
      <c r="BL31" s="45"/>
      <c r="BM31" s="45"/>
      <c r="BN31" s="42" t="s">
        <v>1419</v>
      </c>
      <c r="BO31" s="42" t="s">
        <v>3584</v>
      </c>
      <c r="BP31" s="42" t="s">
        <v>3584</v>
      </c>
      <c r="BQ31" s="42" t="s">
        <v>9731</v>
      </c>
      <c r="BR31" s="42" t="s">
        <v>9732</v>
      </c>
      <c r="BS31" s="41">
        <v>14.0</v>
      </c>
      <c r="BT31" s="43"/>
      <c r="BU31" s="42" t="s">
        <v>4037</v>
      </c>
      <c r="BV31" s="43"/>
      <c r="BW31" s="42" t="s">
        <v>4038</v>
      </c>
      <c r="BX31" s="42" t="s">
        <v>4039</v>
      </c>
      <c r="BY31" s="43"/>
      <c r="BZ31" s="43"/>
      <c r="CA31" s="43"/>
      <c r="CB31" s="45"/>
      <c r="CC31" s="45"/>
      <c r="CD31" s="43"/>
      <c r="CE31" s="45"/>
      <c r="CF31" s="43"/>
      <c r="CG31" s="42" t="s">
        <v>3669</v>
      </c>
      <c r="CH31" s="43"/>
      <c r="CI31" s="43"/>
      <c r="CJ31" s="42" t="s">
        <v>3573</v>
      </c>
      <c r="CK31" s="43"/>
      <c r="CL31" s="42" t="s">
        <v>3591</v>
      </c>
      <c r="CM31" s="65">
        <v>45658.0</v>
      </c>
      <c r="CN31" s="45"/>
      <c r="CO31" s="43"/>
      <c r="CP31" s="45"/>
      <c r="CQ31" s="43"/>
      <c r="CR31" s="42" t="s">
        <v>3594</v>
      </c>
      <c r="CS31" s="43"/>
      <c r="CT31" s="43"/>
      <c r="CU31" s="42" t="s">
        <v>3573</v>
      </c>
      <c r="CV31" s="45"/>
      <c r="CW31" s="45"/>
      <c r="CX31" s="43"/>
      <c r="CY31" s="42" t="s">
        <v>3591</v>
      </c>
      <c r="CZ31" s="47">
        <v>-0.0115</v>
      </c>
      <c r="DA31" s="41">
        <v>7.0</v>
      </c>
      <c r="DB31" s="47">
        <v>0.0</v>
      </c>
      <c r="DC31" s="47">
        <v>0.0</v>
      </c>
      <c r="DD31" s="47">
        <v>-0.0115</v>
      </c>
      <c r="DE31" s="41">
        <v>7.0</v>
      </c>
      <c r="DF31" s="45"/>
      <c r="DG31" s="45"/>
      <c r="DH31" s="47">
        <v>-0.0115</v>
      </c>
      <c r="DI31" s="41">
        <v>8.0</v>
      </c>
      <c r="DJ31" s="41" t="s">
        <v>9733</v>
      </c>
      <c r="DK31" s="41">
        <v>96.0</v>
      </c>
      <c r="DL31" s="41" t="s">
        <v>3598</v>
      </c>
      <c r="DM31" s="47">
        <v>0.0</v>
      </c>
      <c r="DN31" s="41" t="s">
        <v>9733</v>
      </c>
      <c r="DO31" s="41">
        <v>95.0</v>
      </c>
      <c r="DP31" s="45"/>
      <c r="DQ31" s="45"/>
      <c r="DR31" s="41" t="s">
        <v>9733</v>
      </c>
      <c r="DS31" s="41">
        <v>95.0</v>
      </c>
      <c r="DT31" s="45"/>
      <c r="DU31" s="45"/>
      <c r="DV31" s="45"/>
      <c r="DW31" s="41">
        <v>485.0</v>
      </c>
      <c r="DX31" s="41">
        <v>-9.0</v>
      </c>
      <c r="DY31" s="47">
        <v>-0.0182</v>
      </c>
      <c r="DZ31" s="41">
        <v>10.0</v>
      </c>
      <c r="EA31" s="41">
        <v>2.0</v>
      </c>
      <c r="EB31" s="41">
        <v>10.0</v>
      </c>
      <c r="EC31" s="45"/>
      <c r="ED31" s="45"/>
      <c r="EE31" s="45"/>
      <c r="EF31" s="42" t="s">
        <v>4043</v>
      </c>
      <c r="EG31" s="41">
        <v>15.21</v>
      </c>
      <c r="EH31" s="63">
        <v>44005.0</v>
      </c>
      <c r="EI31" s="42" t="s">
        <v>3669</v>
      </c>
      <c r="EJ31" s="45"/>
      <c r="EK31" s="45"/>
      <c r="EL31" s="45"/>
      <c r="EM31" s="42" t="s">
        <v>4045</v>
      </c>
      <c r="EN31" s="45"/>
      <c r="EO31" s="45"/>
      <c r="EP31" s="45"/>
      <c r="EQ31" s="45"/>
      <c r="ER31" s="42" t="s">
        <v>8495</v>
      </c>
      <c r="ES31" s="43"/>
      <c r="ET31" s="42" t="s">
        <v>47</v>
      </c>
      <c r="EU31" s="41">
        <v>13.0</v>
      </c>
      <c r="EV31" s="48" t="s">
        <v>3559</v>
      </c>
    </row>
    <row r="32">
      <c r="B32" s="35" t="s">
        <v>6233</v>
      </c>
      <c r="C32" s="32">
        <v>3.0</v>
      </c>
      <c r="D32" s="35" t="s">
        <v>6240</v>
      </c>
      <c r="E32" s="35" t="s">
        <v>3563</v>
      </c>
      <c r="F32" s="35" t="s">
        <v>3564</v>
      </c>
      <c r="G32" s="35" t="s">
        <v>3565</v>
      </c>
      <c r="H32" s="35" t="s">
        <v>9734</v>
      </c>
      <c r="I32" s="60">
        <v>45917.0</v>
      </c>
      <c r="J32" s="35" t="s">
        <v>3566</v>
      </c>
      <c r="K32" s="35" t="s">
        <v>6235</v>
      </c>
      <c r="L32" s="35" t="s">
        <v>6236</v>
      </c>
      <c r="M32" s="34"/>
      <c r="N32" s="34"/>
      <c r="O32" s="34"/>
      <c r="P32" s="35" t="s">
        <v>6237</v>
      </c>
      <c r="Q32" s="37"/>
      <c r="R32" s="34"/>
      <c r="S32" s="37"/>
      <c r="T32" s="37"/>
      <c r="U32" s="34"/>
      <c r="V32" s="37"/>
      <c r="W32" s="37"/>
      <c r="X32" s="34"/>
      <c r="Y32" s="35" t="s">
        <v>6237</v>
      </c>
      <c r="Z32" s="35" t="s">
        <v>6234</v>
      </c>
      <c r="AA32" s="35" t="s">
        <v>5145</v>
      </c>
      <c r="AB32" s="37"/>
      <c r="AC32" s="35" t="s">
        <v>3571</v>
      </c>
      <c r="AD32" s="35" t="s">
        <v>3572</v>
      </c>
      <c r="AE32" s="35" t="s">
        <v>5147</v>
      </c>
      <c r="AF32" s="36" t="s">
        <v>6238</v>
      </c>
      <c r="AG32" s="36" t="s">
        <v>6239</v>
      </c>
      <c r="AH32" s="32">
        <v>3.0</v>
      </c>
      <c r="AI32" s="35" t="s">
        <v>6240</v>
      </c>
      <c r="AJ32" s="34"/>
      <c r="AK32" s="34"/>
      <c r="AL32" s="32">
        <v>2021.0</v>
      </c>
      <c r="AM32" s="34"/>
      <c r="AN32" s="35" t="s">
        <v>6242</v>
      </c>
      <c r="AO32" s="35" t="s">
        <v>3579</v>
      </c>
      <c r="AP32" s="35" t="s">
        <v>6243</v>
      </c>
      <c r="AQ32" s="34"/>
      <c r="AR32" s="34"/>
      <c r="AS32" s="37"/>
      <c r="AT32" s="37"/>
      <c r="AU32" s="37"/>
      <c r="AV32" s="37"/>
      <c r="AW32" s="37"/>
      <c r="AX32" s="37"/>
      <c r="AY32" s="37"/>
      <c r="AZ32" s="37"/>
      <c r="BA32" s="37"/>
      <c r="BB32" s="37"/>
      <c r="BC32" s="35" t="s">
        <v>6241</v>
      </c>
      <c r="BD32" s="61" t="str">
        <f>+972 (0)58 612 3456</f>
        <v>#ERROR!</v>
      </c>
      <c r="BE32" s="35" t="s">
        <v>6244</v>
      </c>
      <c r="BF32" s="35" t="s">
        <v>6245</v>
      </c>
      <c r="BG32" s="34"/>
      <c r="BH32" s="35" t="s">
        <v>6246</v>
      </c>
      <c r="BI32" s="34"/>
      <c r="BJ32" s="37"/>
      <c r="BK32" s="35" t="s">
        <v>41</v>
      </c>
      <c r="BL32" s="37" t="str">
        <f>+972 (0)58 612 3456</f>
        <v>#ERROR!</v>
      </c>
      <c r="BM32" s="37"/>
      <c r="BN32" s="34"/>
      <c r="BO32" s="35" t="s">
        <v>3584</v>
      </c>
      <c r="BP32" s="35" t="s">
        <v>3584</v>
      </c>
      <c r="BQ32" s="35" t="s">
        <v>6247</v>
      </c>
      <c r="BR32" s="35" t="s">
        <v>6248</v>
      </c>
      <c r="BS32" s="32">
        <v>2.0</v>
      </c>
      <c r="BT32" s="34"/>
      <c r="BU32" s="34"/>
      <c r="BV32" s="34"/>
      <c r="BW32" s="35" t="s">
        <v>6249</v>
      </c>
      <c r="BX32" s="34"/>
      <c r="BY32" s="34"/>
      <c r="BZ32" s="34"/>
      <c r="CA32" s="34"/>
      <c r="CB32" s="37"/>
      <c r="CC32" s="37"/>
      <c r="CD32" s="34"/>
      <c r="CE32" s="37"/>
      <c r="CF32" s="34"/>
      <c r="CG32" s="35" t="s">
        <v>3589</v>
      </c>
      <c r="CH32" s="34"/>
      <c r="CI32" s="34"/>
      <c r="CJ32" s="35" t="s">
        <v>3590</v>
      </c>
      <c r="CK32" s="34"/>
      <c r="CL32" s="35" t="s">
        <v>3591</v>
      </c>
      <c r="CM32" s="37"/>
      <c r="CN32" s="37"/>
      <c r="CO32" s="34"/>
      <c r="CP32" s="37"/>
      <c r="CQ32" s="34"/>
      <c r="CR32" s="35" t="s">
        <v>3589</v>
      </c>
      <c r="CS32" s="34"/>
      <c r="CT32" s="34"/>
      <c r="CU32" s="35" t="s">
        <v>3590</v>
      </c>
      <c r="CV32" s="37"/>
      <c r="CW32" s="37"/>
      <c r="CX32" s="34"/>
      <c r="CY32" s="35" t="s">
        <v>3591</v>
      </c>
      <c r="CZ32" s="39">
        <v>0.0</v>
      </c>
      <c r="DA32" s="32">
        <v>19.0</v>
      </c>
      <c r="DB32" s="39">
        <v>0.0</v>
      </c>
      <c r="DC32" s="39">
        <v>0.0</v>
      </c>
      <c r="DD32" s="39">
        <v>0.0</v>
      </c>
      <c r="DE32" s="32">
        <v>17.0</v>
      </c>
      <c r="DF32" s="37"/>
      <c r="DG32" s="37"/>
      <c r="DH32" s="39">
        <v>0.0</v>
      </c>
      <c r="DI32" s="32">
        <v>17.0</v>
      </c>
      <c r="DJ32" s="32" t="s">
        <v>7482</v>
      </c>
      <c r="DK32" s="32">
        <v>8.0</v>
      </c>
      <c r="DL32" s="32" t="s">
        <v>3598</v>
      </c>
      <c r="DM32" s="39">
        <v>0.0</v>
      </c>
      <c r="DN32" s="32" t="s">
        <v>9215</v>
      </c>
      <c r="DO32" s="32">
        <v>1.0</v>
      </c>
      <c r="DP32" s="37"/>
      <c r="DQ32" s="37"/>
      <c r="DR32" s="32" t="s">
        <v>9215</v>
      </c>
      <c r="DS32" s="32">
        <v>1.0</v>
      </c>
      <c r="DT32" s="32">
        <v>0.0</v>
      </c>
      <c r="DU32" s="32">
        <v>0.0</v>
      </c>
      <c r="DV32" s="39">
        <v>0.0</v>
      </c>
      <c r="DW32" s="32">
        <v>1.0</v>
      </c>
      <c r="DX32" s="32">
        <v>0.0</v>
      </c>
      <c r="DY32" s="39">
        <v>0.0</v>
      </c>
      <c r="DZ32" s="37"/>
      <c r="EA32" s="37"/>
      <c r="EB32" s="37"/>
      <c r="EC32" s="37"/>
      <c r="ED32" s="37"/>
      <c r="EE32" s="37"/>
      <c r="EF32" s="34"/>
      <c r="EG32" s="37"/>
      <c r="EH32" s="37"/>
      <c r="EI32" s="34"/>
      <c r="EJ32" s="37"/>
      <c r="EK32" s="37"/>
      <c r="EL32" s="37"/>
      <c r="EM32" s="34"/>
      <c r="EN32" s="37"/>
      <c r="EO32" s="37"/>
      <c r="EP32" s="37"/>
      <c r="EQ32" s="37"/>
      <c r="ER32" s="35" t="s">
        <v>9734</v>
      </c>
      <c r="ES32" s="34"/>
      <c r="ET32" s="35" t="s">
        <v>47</v>
      </c>
      <c r="EU32" s="32">
        <v>6.0</v>
      </c>
      <c r="EV32" s="40" t="s">
        <v>3559</v>
      </c>
    </row>
    <row r="33">
      <c r="B33" s="42" t="s">
        <v>6495</v>
      </c>
      <c r="C33" s="41">
        <v>5.0</v>
      </c>
      <c r="D33" s="42" t="s">
        <v>6503</v>
      </c>
      <c r="E33" s="42" t="s">
        <v>3563</v>
      </c>
      <c r="F33" s="42" t="s">
        <v>3564</v>
      </c>
      <c r="G33" s="42" t="s">
        <v>3565</v>
      </c>
      <c r="H33" s="42" t="s">
        <v>3612</v>
      </c>
      <c r="I33" s="63">
        <v>45926.0</v>
      </c>
      <c r="J33" s="42" t="s">
        <v>6498</v>
      </c>
      <c r="K33" s="42" t="s">
        <v>4000</v>
      </c>
      <c r="L33" s="42" t="s">
        <v>6499</v>
      </c>
      <c r="M33" s="43"/>
      <c r="N33" s="43"/>
      <c r="O33" s="42" t="s">
        <v>6496</v>
      </c>
      <c r="P33" s="42" t="s">
        <v>6500</v>
      </c>
      <c r="Q33" s="45"/>
      <c r="R33" s="43"/>
      <c r="S33" s="45"/>
      <c r="T33" s="45"/>
      <c r="U33" s="43"/>
      <c r="V33" s="45"/>
      <c r="W33" s="45"/>
      <c r="X33" s="43"/>
      <c r="Y33" s="42" t="s">
        <v>6500</v>
      </c>
      <c r="Z33" s="42" t="s">
        <v>6497</v>
      </c>
      <c r="AA33" s="42" t="s">
        <v>5145</v>
      </c>
      <c r="AB33" s="45"/>
      <c r="AC33" s="42" t="s">
        <v>3571</v>
      </c>
      <c r="AD33" s="42" t="s">
        <v>3572</v>
      </c>
      <c r="AE33" s="42" t="s">
        <v>5147</v>
      </c>
      <c r="AF33" s="44" t="s">
        <v>6501</v>
      </c>
      <c r="AG33" s="44" t="s">
        <v>6502</v>
      </c>
      <c r="AH33" s="41">
        <v>5.0</v>
      </c>
      <c r="AI33" s="42" t="s">
        <v>6503</v>
      </c>
      <c r="AJ33" s="43"/>
      <c r="AK33" s="43"/>
      <c r="AL33" s="41">
        <v>2019.0</v>
      </c>
      <c r="AM33" s="43"/>
      <c r="AN33" s="42" t="s">
        <v>6506</v>
      </c>
      <c r="AO33" s="42" t="s">
        <v>9735</v>
      </c>
      <c r="AP33" s="42" t="s">
        <v>6507</v>
      </c>
      <c r="AQ33" s="43"/>
      <c r="AR33" s="43"/>
      <c r="AS33" s="45"/>
      <c r="AT33" s="45"/>
      <c r="AU33" s="45"/>
      <c r="AV33" s="45"/>
      <c r="AW33" s="45"/>
      <c r="AX33" s="45"/>
      <c r="AY33" s="45"/>
      <c r="AZ33" s="45"/>
      <c r="BA33" s="45"/>
      <c r="BB33" s="45"/>
      <c r="BC33" s="42" t="s">
        <v>6505</v>
      </c>
      <c r="BD33" s="64" t="str">
        <f>+972 (0)54 330 1895</f>
        <v>#ERROR!</v>
      </c>
      <c r="BE33" s="42" t="s">
        <v>6508</v>
      </c>
      <c r="BF33" s="42" t="s">
        <v>6509</v>
      </c>
      <c r="BG33" s="43"/>
      <c r="BH33" s="42" t="s">
        <v>6510</v>
      </c>
      <c r="BI33" s="43"/>
      <c r="BJ33" s="45"/>
      <c r="BK33" s="42" t="s">
        <v>41</v>
      </c>
      <c r="BL33" s="45" t="str">
        <f>+972 (0)54 330 1895</f>
        <v>#ERROR!</v>
      </c>
      <c r="BM33" s="45"/>
      <c r="BN33" s="43"/>
      <c r="BO33" s="42" t="s">
        <v>3584</v>
      </c>
      <c r="BP33" s="42" t="s">
        <v>3584</v>
      </c>
      <c r="BQ33" s="42" t="s">
        <v>6511</v>
      </c>
      <c r="BR33" s="42" t="s">
        <v>6512</v>
      </c>
      <c r="BS33" s="41">
        <v>1.0</v>
      </c>
      <c r="BT33" s="43"/>
      <c r="BU33" s="43"/>
      <c r="BV33" s="43"/>
      <c r="BW33" s="42" t="s">
        <v>6513</v>
      </c>
      <c r="BX33" s="43"/>
      <c r="BY33" s="43"/>
      <c r="BZ33" s="43"/>
      <c r="CA33" s="43"/>
      <c r="CB33" s="45"/>
      <c r="CC33" s="45"/>
      <c r="CD33" s="43"/>
      <c r="CE33" s="45"/>
      <c r="CF33" s="43"/>
      <c r="CG33" s="42" t="s">
        <v>3802</v>
      </c>
      <c r="CH33" s="42" t="s">
        <v>3802</v>
      </c>
      <c r="CI33" s="43"/>
      <c r="CJ33" s="42" t="s">
        <v>3803</v>
      </c>
      <c r="CK33" s="43"/>
      <c r="CL33" s="42" t="s">
        <v>3966</v>
      </c>
      <c r="CM33" s="45"/>
      <c r="CN33" s="45"/>
      <c r="CO33" s="43"/>
      <c r="CP33" s="45"/>
      <c r="CQ33" s="43"/>
      <c r="CR33" s="42" t="s">
        <v>3589</v>
      </c>
      <c r="CS33" s="43"/>
      <c r="CT33" s="43"/>
      <c r="CU33" s="42" t="s">
        <v>3590</v>
      </c>
      <c r="CV33" s="45"/>
      <c r="CW33" s="45"/>
      <c r="CX33" s="43"/>
      <c r="CY33" s="42" t="s">
        <v>3591</v>
      </c>
      <c r="CZ33" s="47">
        <v>0.0</v>
      </c>
      <c r="DA33" s="41">
        <v>19.0</v>
      </c>
      <c r="DB33" s="47">
        <v>0.0</v>
      </c>
      <c r="DC33" s="47">
        <v>0.0</v>
      </c>
      <c r="DD33" s="47">
        <v>0.0</v>
      </c>
      <c r="DE33" s="41">
        <v>17.0</v>
      </c>
      <c r="DF33" s="47">
        <v>0.0</v>
      </c>
      <c r="DG33" s="41">
        <v>11.0</v>
      </c>
      <c r="DH33" s="47">
        <v>0.0</v>
      </c>
      <c r="DI33" s="41">
        <v>17.0</v>
      </c>
      <c r="DJ33" s="41" t="s">
        <v>9736</v>
      </c>
      <c r="DK33" s="41">
        <v>8.0</v>
      </c>
      <c r="DL33" s="41" t="s">
        <v>3598</v>
      </c>
      <c r="DM33" s="47">
        <v>0.0</v>
      </c>
      <c r="DN33" s="41" t="s">
        <v>9736</v>
      </c>
      <c r="DO33" s="41">
        <v>9.0</v>
      </c>
      <c r="DP33" s="41" t="s">
        <v>6515</v>
      </c>
      <c r="DQ33" s="41">
        <v>5.0</v>
      </c>
      <c r="DR33" s="41" t="s">
        <v>9737</v>
      </c>
      <c r="DS33" s="41">
        <v>17.0</v>
      </c>
      <c r="DT33" s="41">
        <v>0.0</v>
      </c>
      <c r="DU33" s="41">
        <v>0.0</v>
      </c>
      <c r="DV33" s="47">
        <v>0.0</v>
      </c>
      <c r="DW33" s="41">
        <v>5.0</v>
      </c>
      <c r="DX33" s="41">
        <v>0.0</v>
      </c>
      <c r="DY33" s="47">
        <v>0.0</v>
      </c>
      <c r="DZ33" s="45"/>
      <c r="EA33" s="45"/>
      <c r="EB33" s="45"/>
      <c r="EC33" s="45"/>
      <c r="ED33" s="45"/>
      <c r="EE33" s="45"/>
      <c r="EF33" s="43"/>
      <c r="EG33" s="45"/>
      <c r="EH33" s="45"/>
      <c r="EI33" s="43"/>
      <c r="EJ33" s="45"/>
      <c r="EK33" s="45"/>
      <c r="EL33" s="45"/>
      <c r="EM33" s="43"/>
      <c r="EN33" s="45"/>
      <c r="EO33" s="45"/>
      <c r="EP33" s="45"/>
      <c r="EQ33" s="45"/>
      <c r="ER33" s="42" t="s">
        <v>3612</v>
      </c>
      <c r="ES33" s="43"/>
      <c r="ET33" s="43"/>
      <c r="EU33" s="45"/>
      <c r="EV33" s="48" t="s">
        <v>3559</v>
      </c>
    </row>
    <row r="34">
      <c r="B34" s="42" t="s">
        <v>4195</v>
      </c>
      <c r="C34" s="41">
        <v>50.0</v>
      </c>
      <c r="D34" s="42" t="s">
        <v>9738</v>
      </c>
      <c r="E34" s="42" t="s">
        <v>3867</v>
      </c>
      <c r="F34" s="42" t="s">
        <v>4199</v>
      </c>
      <c r="G34" s="42" t="s">
        <v>4200</v>
      </c>
      <c r="H34" s="42" t="s">
        <v>3612</v>
      </c>
      <c r="I34" s="63">
        <v>45961.0</v>
      </c>
      <c r="J34" s="42" t="s">
        <v>4201</v>
      </c>
      <c r="K34" s="42" t="s">
        <v>3612</v>
      </c>
      <c r="L34" s="42" t="s">
        <v>4202</v>
      </c>
      <c r="M34" s="43"/>
      <c r="N34" s="42" t="s">
        <v>2170</v>
      </c>
      <c r="O34" s="42" t="s">
        <v>4196</v>
      </c>
      <c r="P34" s="42" t="s">
        <v>4203</v>
      </c>
      <c r="Q34" s="41">
        <v>77.0</v>
      </c>
      <c r="R34" s="42" t="s">
        <v>3602</v>
      </c>
      <c r="S34" s="47">
        <v>0.69</v>
      </c>
      <c r="T34" s="47">
        <v>0.31</v>
      </c>
      <c r="U34" s="42" t="s">
        <v>3603</v>
      </c>
      <c r="V34" s="47">
        <v>0.01</v>
      </c>
      <c r="W34" s="47">
        <v>0.68</v>
      </c>
      <c r="X34" s="42" t="s">
        <v>4197</v>
      </c>
      <c r="Y34" s="42" t="s">
        <v>4203</v>
      </c>
      <c r="Z34" s="42" t="s">
        <v>4198</v>
      </c>
      <c r="AA34" s="42" t="s">
        <v>3569</v>
      </c>
      <c r="AB34" s="41">
        <v>1.53</v>
      </c>
      <c r="AC34" s="42" t="s">
        <v>3571</v>
      </c>
      <c r="AD34" s="42" t="s">
        <v>3572</v>
      </c>
      <c r="AE34" s="42" t="s">
        <v>3573</v>
      </c>
      <c r="AF34" s="44" t="s">
        <v>4204</v>
      </c>
      <c r="AG34" s="44" t="s">
        <v>4205</v>
      </c>
      <c r="AH34" s="41">
        <v>50.0</v>
      </c>
      <c r="AI34" s="42" t="s">
        <v>9738</v>
      </c>
      <c r="AJ34" s="43"/>
      <c r="AK34" s="43"/>
      <c r="AL34" s="41">
        <v>2012.0</v>
      </c>
      <c r="AM34" s="43"/>
      <c r="AN34" s="42" t="s">
        <v>4208</v>
      </c>
      <c r="AO34" s="42" t="s">
        <v>4209</v>
      </c>
      <c r="AP34" s="42" t="s">
        <v>4210</v>
      </c>
      <c r="AQ34" s="43"/>
      <c r="AR34" s="43"/>
      <c r="AS34" s="45"/>
      <c r="AT34" s="45"/>
      <c r="AU34" s="45"/>
      <c r="AV34" s="45"/>
      <c r="AW34" s="45"/>
      <c r="AX34" s="45"/>
      <c r="AY34" s="45"/>
      <c r="AZ34" s="45"/>
      <c r="BA34" s="45"/>
      <c r="BB34" s="45"/>
      <c r="BC34" s="42" t="s">
        <v>4207</v>
      </c>
      <c r="BD34" s="64" t="str">
        <f>+972 (0)3 917 7055</f>
        <v>#ERROR!</v>
      </c>
      <c r="BE34" s="42" t="s">
        <v>4211</v>
      </c>
      <c r="BF34" s="42" t="s">
        <v>4212</v>
      </c>
      <c r="BG34" s="43"/>
      <c r="BH34" s="42" t="s">
        <v>4213</v>
      </c>
      <c r="BI34" s="42" t="s">
        <v>4214</v>
      </c>
      <c r="BJ34" s="41">
        <v>4927189.0</v>
      </c>
      <c r="BK34" s="42" t="s">
        <v>41</v>
      </c>
      <c r="BL34" s="45" t="str">
        <f>+972 (0)3 917 7055</f>
        <v>#ERROR!</v>
      </c>
      <c r="BM34" s="45"/>
      <c r="BN34" s="42" t="s">
        <v>2176</v>
      </c>
      <c r="BO34" s="42" t="s">
        <v>3584</v>
      </c>
      <c r="BP34" s="42" t="s">
        <v>3584</v>
      </c>
      <c r="BQ34" s="42" t="s">
        <v>4215</v>
      </c>
      <c r="BR34" s="42" t="s">
        <v>4216</v>
      </c>
      <c r="BS34" s="41">
        <v>7.0</v>
      </c>
      <c r="BT34" s="43"/>
      <c r="BU34" s="42" t="s">
        <v>4217</v>
      </c>
      <c r="BV34" s="43"/>
      <c r="BW34" s="42" t="s">
        <v>4218</v>
      </c>
      <c r="BX34" s="42" t="s">
        <v>4219</v>
      </c>
      <c r="BY34" s="43"/>
      <c r="BZ34" s="43"/>
      <c r="CA34" s="43"/>
      <c r="CB34" s="66">
        <v>41030.0</v>
      </c>
      <c r="CC34" s="45"/>
      <c r="CD34" s="43"/>
      <c r="CE34" s="45"/>
      <c r="CF34" s="43"/>
      <c r="CG34" s="42" t="s">
        <v>3589</v>
      </c>
      <c r="CH34" s="43"/>
      <c r="CI34" s="43"/>
      <c r="CJ34" s="42" t="s">
        <v>3590</v>
      </c>
      <c r="CK34" s="43"/>
      <c r="CL34" s="42" t="s">
        <v>3591</v>
      </c>
      <c r="CM34" s="63">
        <v>44773.0</v>
      </c>
      <c r="CN34" s="45"/>
      <c r="CO34" s="43"/>
      <c r="CP34" s="45"/>
      <c r="CQ34" s="43"/>
      <c r="CR34" s="42" t="s">
        <v>3594</v>
      </c>
      <c r="CS34" s="42" t="s">
        <v>3595</v>
      </c>
      <c r="CT34" s="43"/>
      <c r="CU34" s="42" t="s">
        <v>3573</v>
      </c>
      <c r="CV34" s="45"/>
      <c r="CW34" s="45"/>
      <c r="CX34" s="43"/>
      <c r="CY34" s="42" t="s">
        <v>3591</v>
      </c>
      <c r="CZ34" s="47">
        <v>0.0039</v>
      </c>
      <c r="DA34" s="41">
        <v>90.0</v>
      </c>
      <c r="DB34" s="47">
        <v>0.0</v>
      </c>
      <c r="DC34" s="47">
        <v>0.0</v>
      </c>
      <c r="DD34" s="47">
        <v>0.0</v>
      </c>
      <c r="DE34" s="41">
        <v>17.0</v>
      </c>
      <c r="DF34" s="45"/>
      <c r="DG34" s="45"/>
      <c r="DH34" s="47">
        <v>0.0</v>
      </c>
      <c r="DI34" s="41">
        <v>17.0</v>
      </c>
      <c r="DJ34" s="41" t="s">
        <v>9739</v>
      </c>
      <c r="DK34" s="41">
        <v>75.0</v>
      </c>
      <c r="DL34" s="41" t="s">
        <v>3598</v>
      </c>
      <c r="DM34" s="47">
        <v>0.0</v>
      </c>
      <c r="DN34" s="41" t="s">
        <v>9740</v>
      </c>
      <c r="DO34" s="41">
        <v>74.0</v>
      </c>
      <c r="DP34" s="45"/>
      <c r="DQ34" s="45"/>
      <c r="DR34" s="41" t="s">
        <v>9740</v>
      </c>
      <c r="DS34" s="41">
        <v>73.0</v>
      </c>
      <c r="DT34" s="45"/>
      <c r="DU34" s="45"/>
      <c r="DV34" s="45"/>
      <c r="DW34" s="41">
        <v>77.0</v>
      </c>
      <c r="DX34" s="41">
        <v>0.0</v>
      </c>
      <c r="DY34" s="47">
        <v>0.0</v>
      </c>
      <c r="DZ34" s="41">
        <v>52.0</v>
      </c>
      <c r="EA34" s="41">
        <v>13.0</v>
      </c>
      <c r="EB34" s="41">
        <v>39.0</v>
      </c>
      <c r="EC34" s="41">
        <v>6.0</v>
      </c>
      <c r="ED34" s="41">
        <v>1.0</v>
      </c>
      <c r="EE34" s="41">
        <v>7.0</v>
      </c>
      <c r="EF34" s="42" t="s">
        <v>4225</v>
      </c>
      <c r="EG34" s="45"/>
      <c r="EH34" s="45"/>
      <c r="EI34" s="43"/>
      <c r="EJ34" s="45"/>
      <c r="EK34" s="45"/>
      <c r="EL34" s="45"/>
      <c r="EM34" s="43"/>
      <c r="EN34" s="45"/>
      <c r="EO34" s="45"/>
      <c r="EP34" s="45"/>
      <c r="EQ34" s="45"/>
      <c r="ER34" s="42" t="s">
        <v>3612</v>
      </c>
      <c r="ES34" s="43"/>
      <c r="ET34" s="42" t="s">
        <v>47</v>
      </c>
      <c r="EU34" s="41">
        <v>31.0</v>
      </c>
      <c r="EV34" s="48" t="s">
        <v>3559</v>
      </c>
    </row>
    <row r="35">
      <c r="B35" s="42" t="s">
        <v>4326</v>
      </c>
      <c r="C35" s="41">
        <v>16.0</v>
      </c>
      <c r="D35" s="42" t="s">
        <v>9741</v>
      </c>
      <c r="E35" s="42" t="s">
        <v>3867</v>
      </c>
      <c r="F35" s="42" t="s">
        <v>4199</v>
      </c>
      <c r="G35" s="42" t="s">
        <v>4329</v>
      </c>
      <c r="H35" s="42" t="s">
        <v>3612</v>
      </c>
      <c r="I35" s="63">
        <v>45978.0</v>
      </c>
      <c r="J35" s="42" t="s">
        <v>4330</v>
      </c>
      <c r="K35" s="42" t="s">
        <v>3612</v>
      </c>
      <c r="L35" s="42" t="s">
        <v>4331</v>
      </c>
      <c r="M35" s="43"/>
      <c r="N35" s="43"/>
      <c r="O35" s="42" t="s">
        <v>4327</v>
      </c>
      <c r="P35" s="42" t="s">
        <v>4332</v>
      </c>
      <c r="Q35" s="41">
        <v>56.0</v>
      </c>
      <c r="R35" s="42" t="s">
        <v>3602</v>
      </c>
      <c r="S35" s="47">
        <v>0.68</v>
      </c>
      <c r="T35" s="47">
        <v>0.32</v>
      </c>
      <c r="U35" s="42" t="s">
        <v>3603</v>
      </c>
      <c r="V35" s="47">
        <v>0.07</v>
      </c>
      <c r="W35" s="47">
        <v>0.61</v>
      </c>
      <c r="X35" s="43"/>
      <c r="Y35" s="42" t="s">
        <v>4332</v>
      </c>
      <c r="Z35" s="42" t="s">
        <v>4328</v>
      </c>
      <c r="AA35" s="42" t="s">
        <v>3569</v>
      </c>
      <c r="AB35" s="41">
        <v>31.13</v>
      </c>
      <c r="AC35" s="42" t="s">
        <v>3571</v>
      </c>
      <c r="AD35" s="42" t="s">
        <v>3572</v>
      </c>
      <c r="AE35" s="42" t="s">
        <v>3573</v>
      </c>
      <c r="AF35" s="44" t="s">
        <v>4333</v>
      </c>
      <c r="AG35" s="44" t="s">
        <v>4334</v>
      </c>
      <c r="AH35" s="41">
        <v>16.0</v>
      </c>
      <c r="AI35" s="42" t="s">
        <v>9741</v>
      </c>
      <c r="AJ35" s="43"/>
      <c r="AK35" s="43"/>
      <c r="AL35" s="41">
        <v>2011.0</v>
      </c>
      <c r="AM35" s="43"/>
      <c r="AN35" s="42" t="s">
        <v>4337</v>
      </c>
      <c r="AO35" s="42" t="s">
        <v>4338</v>
      </c>
      <c r="AP35" s="42" t="s">
        <v>4339</v>
      </c>
      <c r="AQ35" s="43"/>
      <c r="AR35" s="43"/>
      <c r="AS35" s="45"/>
      <c r="AT35" s="45"/>
      <c r="AU35" s="45"/>
      <c r="AV35" s="45"/>
      <c r="AW35" s="45"/>
      <c r="AX35" s="45"/>
      <c r="AY35" s="45"/>
      <c r="AZ35" s="45"/>
      <c r="BA35" s="45"/>
      <c r="BB35" s="45"/>
      <c r="BC35" s="42" t="s">
        <v>4336</v>
      </c>
      <c r="BD35" s="64" t="str">
        <f>+972 (0)53 433 9019</f>
        <v>#ERROR!</v>
      </c>
      <c r="BE35" s="42" t="s">
        <v>3622</v>
      </c>
      <c r="BF35" s="42" t="s">
        <v>4340</v>
      </c>
      <c r="BG35" s="43"/>
      <c r="BH35" s="42" t="s">
        <v>3625</v>
      </c>
      <c r="BI35" s="43"/>
      <c r="BJ35" s="41">
        <v>3079533.0</v>
      </c>
      <c r="BK35" s="42" t="s">
        <v>41</v>
      </c>
      <c r="BL35" s="45"/>
      <c r="BM35" s="45" t="str">
        <f>+972 (0)2 500 2047</f>
        <v>#ERROR!</v>
      </c>
      <c r="BN35" s="42" t="s">
        <v>4341</v>
      </c>
      <c r="BO35" s="42" t="s">
        <v>3584</v>
      </c>
      <c r="BP35" s="42" t="s">
        <v>3584</v>
      </c>
      <c r="BQ35" s="42" t="s">
        <v>4342</v>
      </c>
      <c r="BR35" s="42" t="s">
        <v>4343</v>
      </c>
      <c r="BS35" s="41">
        <v>7.0</v>
      </c>
      <c r="BT35" s="43"/>
      <c r="BU35" s="43"/>
      <c r="BV35" s="43"/>
      <c r="BW35" s="42" t="s">
        <v>4344</v>
      </c>
      <c r="BX35" s="43"/>
      <c r="BY35" s="43"/>
      <c r="BZ35" s="42" t="s">
        <v>4345</v>
      </c>
      <c r="CA35" s="43"/>
      <c r="CB35" s="63">
        <v>41515.0</v>
      </c>
      <c r="CC35" s="41">
        <v>0.5</v>
      </c>
      <c r="CD35" s="42" t="s">
        <v>3593</v>
      </c>
      <c r="CE35" s="41">
        <v>2.0</v>
      </c>
      <c r="CF35" s="42" t="s">
        <v>3593</v>
      </c>
      <c r="CG35" s="42" t="s">
        <v>3669</v>
      </c>
      <c r="CH35" s="43"/>
      <c r="CI35" s="43"/>
      <c r="CJ35" s="42" t="s">
        <v>3573</v>
      </c>
      <c r="CK35" s="43"/>
      <c r="CL35" s="42" t="s">
        <v>3591</v>
      </c>
      <c r="CM35" s="63">
        <v>45951.0</v>
      </c>
      <c r="CN35" s="45"/>
      <c r="CO35" s="43"/>
      <c r="CP35" s="45"/>
      <c r="CQ35" s="43"/>
      <c r="CR35" s="42" t="s">
        <v>3594</v>
      </c>
      <c r="CS35" s="43"/>
      <c r="CT35" s="43"/>
      <c r="CU35" s="42" t="s">
        <v>3573</v>
      </c>
      <c r="CV35" s="45"/>
      <c r="CW35" s="45"/>
      <c r="CX35" s="43"/>
      <c r="CY35" s="42" t="s">
        <v>3591</v>
      </c>
      <c r="CZ35" s="47">
        <v>-0.0074</v>
      </c>
      <c r="DA35" s="41">
        <v>10.0</v>
      </c>
      <c r="DB35" s="47">
        <v>-0.0037</v>
      </c>
      <c r="DC35" s="47">
        <v>-1.0</v>
      </c>
      <c r="DD35" s="45"/>
      <c r="DE35" s="45"/>
      <c r="DF35" s="45"/>
      <c r="DG35" s="45"/>
      <c r="DH35" s="45"/>
      <c r="DI35" s="45"/>
      <c r="DJ35" s="41" t="s">
        <v>7434</v>
      </c>
      <c r="DK35" s="41">
        <v>60.0</v>
      </c>
      <c r="DL35" s="41" t="s">
        <v>9742</v>
      </c>
      <c r="DM35" s="47">
        <v>-0.4426</v>
      </c>
      <c r="DN35" s="45"/>
      <c r="DO35" s="45"/>
      <c r="DP35" s="45"/>
      <c r="DQ35" s="45"/>
      <c r="DR35" s="45"/>
      <c r="DS35" s="45"/>
      <c r="DT35" s="45"/>
      <c r="DU35" s="45"/>
      <c r="DV35" s="45"/>
      <c r="DW35" s="41">
        <v>64.0</v>
      </c>
      <c r="DX35" s="41">
        <v>1.0</v>
      </c>
      <c r="DY35" s="47">
        <v>0.0159</v>
      </c>
      <c r="DZ35" s="41">
        <v>45.0</v>
      </c>
      <c r="EA35" s="41">
        <v>5.0</v>
      </c>
      <c r="EB35" s="41">
        <v>34.0</v>
      </c>
      <c r="EC35" s="41">
        <v>4.0</v>
      </c>
      <c r="ED35" s="45"/>
      <c r="EE35" s="41">
        <v>7.0</v>
      </c>
      <c r="EF35" s="42" t="s">
        <v>4351</v>
      </c>
      <c r="EG35" s="41">
        <v>58.14</v>
      </c>
      <c r="EH35" s="65">
        <v>44594.0</v>
      </c>
      <c r="EI35" s="42" t="s">
        <v>3594</v>
      </c>
      <c r="EJ35" s="45"/>
      <c r="EK35" s="45"/>
      <c r="EL35" s="45"/>
      <c r="EM35" s="43"/>
      <c r="EN35" s="45"/>
      <c r="EO35" s="45"/>
      <c r="EP35" s="45"/>
      <c r="EQ35" s="41">
        <v>7.06</v>
      </c>
      <c r="ER35" s="42" t="s">
        <v>3612</v>
      </c>
      <c r="ES35" s="43"/>
      <c r="ET35" s="42" t="s">
        <v>47</v>
      </c>
      <c r="EU35" s="41">
        <v>12.0</v>
      </c>
      <c r="EV35" s="48" t="s">
        <v>3559</v>
      </c>
    </row>
    <row r="36">
      <c r="B36" s="35" t="s">
        <v>6843</v>
      </c>
      <c r="C36" s="32">
        <v>15.0</v>
      </c>
      <c r="D36" s="35" t="s">
        <v>9743</v>
      </c>
      <c r="E36" s="35" t="s">
        <v>3563</v>
      </c>
      <c r="F36" s="35" t="s">
        <v>3564</v>
      </c>
      <c r="G36" s="35" t="s">
        <v>3565</v>
      </c>
      <c r="H36" s="35" t="s">
        <v>9734</v>
      </c>
      <c r="I36" s="60">
        <v>45912.0</v>
      </c>
      <c r="J36" s="35" t="s">
        <v>3566</v>
      </c>
      <c r="K36" s="35" t="s">
        <v>6846</v>
      </c>
      <c r="L36" s="35" t="s">
        <v>6847</v>
      </c>
      <c r="M36" s="34"/>
      <c r="N36" s="34"/>
      <c r="O36" s="35" t="s">
        <v>6844</v>
      </c>
      <c r="P36" s="35" t="s">
        <v>6848</v>
      </c>
      <c r="Q36" s="37"/>
      <c r="R36" s="34"/>
      <c r="S36" s="37"/>
      <c r="T36" s="37"/>
      <c r="U36" s="34"/>
      <c r="V36" s="37"/>
      <c r="W36" s="37"/>
      <c r="X36" s="34"/>
      <c r="Y36" s="35" t="s">
        <v>6848</v>
      </c>
      <c r="Z36" s="35" t="s">
        <v>6845</v>
      </c>
      <c r="AA36" s="35" t="s">
        <v>5145</v>
      </c>
      <c r="AB36" s="32">
        <v>0.15</v>
      </c>
      <c r="AC36" s="35" t="s">
        <v>3571</v>
      </c>
      <c r="AD36" s="35" t="s">
        <v>3572</v>
      </c>
      <c r="AE36" s="35" t="s">
        <v>5147</v>
      </c>
      <c r="AF36" s="36" t="s">
        <v>6849</v>
      </c>
      <c r="AG36" s="36" t="s">
        <v>6850</v>
      </c>
      <c r="AH36" s="32">
        <v>15.0</v>
      </c>
      <c r="AI36" s="35" t="s">
        <v>9743</v>
      </c>
      <c r="AJ36" s="34"/>
      <c r="AK36" s="34"/>
      <c r="AL36" s="32">
        <v>2019.0</v>
      </c>
      <c r="AM36" s="34"/>
      <c r="AN36" s="35" t="s">
        <v>6853</v>
      </c>
      <c r="AO36" s="35" t="s">
        <v>3579</v>
      </c>
      <c r="AP36" s="35" t="s">
        <v>6854</v>
      </c>
      <c r="AQ36" s="34"/>
      <c r="AR36" s="34"/>
      <c r="AS36" s="37"/>
      <c r="AT36" s="37"/>
      <c r="AU36" s="37"/>
      <c r="AV36" s="37"/>
      <c r="AW36" s="37"/>
      <c r="AX36" s="37"/>
      <c r="AY36" s="37"/>
      <c r="AZ36" s="37"/>
      <c r="BA36" s="37"/>
      <c r="BB36" s="37"/>
      <c r="BC36" s="35" t="s">
        <v>6852</v>
      </c>
      <c r="BD36" s="61" t="str">
        <f>+972 (0)72 397 4190</f>
        <v>#ERROR!</v>
      </c>
      <c r="BE36" s="35" t="s">
        <v>3581</v>
      </c>
      <c r="BF36" s="35" t="s">
        <v>6855</v>
      </c>
      <c r="BG36" s="34"/>
      <c r="BH36" s="35" t="s">
        <v>75</v>
      </c>
      <c r="BI36" s="34"/>
      <c r="BJ36" s="37"/>
      <c r="BK36" s="35" t="s">
        <v>41</v>
      </c>
      <c r="BL36" s="37" t="str">
        <f>+972 (0)72 397 4190</f>
        <v>#ERROR!</v>
      </c>
      <c r="BM36" s="37"/>
      <c r="BN36" s="35" t="s">
        <v>6856</v>
      </c>
      <c r="BO36" s="35" t="s">
        <v>3584</v>
      </c>
      <c r="BP36" s="35" t="s">
        <v>3584</v>
      </c>
      <c r="BQ36" s="35" t="s">
        <v>6857</v>
      </c>
      <c r="BR36" s="35" t="s">
        <v>9744</v>
      </c>
      <c r="BS36" s="32">
        <v>7.0</v>
      </c>
      <c r="BT36" s="34"/>
      <c r="BU36" s="34"/>
      <c r="BV36" s="34"/>
      <c r="BW36" s="35" t="s">
        <v>6859</v>
      </c>
      <c r="BX36" s="34"/>
      <c r="BY36" s="34"/>
      <c r="BZ36" s="34"/>
      <c r="CA36" s="35" t="s">
        <v>6860</v>
      </c>
      <c r="CB36" s="37"/>
      <c r="CC36" s="37"/>
      <c r="CD36" s="34"/>
      <c r="CE36" s="37"/>
      <c r="CF36" s="34"/>
      <c r="CG36" s="35" t="s">
        <v>5462</v>
      </c>
      <c r="CH36" s="34"/>
      <c r="CI36" s="34"/>
      <c r="CJ36" s="35" t="s">
        <v>3803</v>
      </c>
      <c r="CK36" s="34"/>
      <c r="CL36" s="35" t="s">
        <v>3966</v>
      </c>
      <c r="CM36" s="60">
        <v>44642.0</v>
      </c>
      <c r="CN36" s="32">
        <v>0.15</v>
      </c>
      <c r="CO36" s="35" t="s">
        <v>3593</v>
      </c>
      <c r="CP36" s="37"/>
      <c r="CQ36" s="34"/>
      <c r="CR36" s="35" t="s">
        <v>3802</v>
      </c>
      <c r="CS36" s="35" t="s">
        <v>3802</v>
      </c>
      <c r="CT36" s="34"/>
      <c r="CU36" s="35" t="s">
        <v>3803</v>
      </c>
      <c r="CV36" s="37"/>
      <c r="CW36" s="37"/>
      <c r="CX36" s="34"/>
      <c r="CY36" s="35" t="s">
        <v>3591</v>
      </c>
      <c r="CZ36" s="39">
        <v>0.0</v>
      </c>
      <c r="DA36" s="32">
        <v>19.0</v>
      </c>
      <c r="DB36" s="39">
        <v>0.0</v>
      </c>
      <c r="DC36" s="39">
        <v>0.0</v>
      </c>
      <c r="DD36" s="39">
        <v>0.0</v>
      </c>
      <c r="DE36" s="32">
        <v>17.0</v>
      </c>
      <c r="DF36" s="37"/>
      <c r="DG36" s="37"/>
      <c r="DH36" s="39">
        <v>0.0</v>
      </c>
      <c r="DI36" s="32">
        <v>17.0</v>
      </c>
      <c r="DJ36" s="32" t="s">
        <v>9745</v>
      </c>
      <c r="DK36" s="32">
        <v>4.0</v>
      </c>
      <c r="DL36" s="32" t="s">
        <v>3598</v>
      </c>
      <c r="DM36" s="39">
        <v>0.0</v>
      </c>
      <c r="DN36" s="32" t="s">
        <v>9745</v>
      </c>
      <c r="DO36" s="32">
        <v>5.0</v>
      </c>
      <c r="DP36" s="37"/>
      <c r="DQ36" s="37"/>
      <c r="DR36" s="32" t="s">
        <v>9745</v>
      </c>
      <c r="DS36" s="32">
        <v>4.0</v>
      </c>
      <c r="DT36" s="37"/>
      <c r="DU36" s="37"/>
      <c r="DV36" s="37"/>
      <c r="DW36" s="32">
        <v>2.0</v>
      </c>
      <c r="DX36" s="32">
        <v>0.0</v>
      </c>
      <c r="DY36" s="39">
        <v>0.0</v>
      </c>
      <c r="DZ36" s="37"/>
      <c r="EA36" s="37"/>
      <c r="EB36" s="37"/>
      <c r="EC36" s="37"/>
      <c r="ED36" s="37"/>
      <c r="EE36" s="37"/>
      <c r="EF36" s="34"/>
      <c r="EG36" s="32">
        <v>18.32</v>
      </c>
      <c r="EH36" s="60">
        <v>44642.0</v>
      </c>
      <c r="EI36" s="35" t="s">
        <v>4532</v>
      </c>
      <c r="EJ36" s="37"/>
      <c r="EK36" s="37"/>
      <c r="EL36" s="37"/>
      <c r="EM36" s="34"/>
      <c r="EN36" s="37"/>
      <c r="EO36" s="37"/>
      <c r="EP36" s="37"/>
      <c r="EQ36" s="37"/>
      <c r="ER36" s="35" t="s">
        <v>9734</v>
      </c>
      <c r="ES36" s="34"/>
      <c r="ET36" s="35" t="s">
        <v>47</v>
      </c>
      <c r="EU36" s="32">
        <v>5.0</v>
      </c>
      <c r="EV36" s="40" t="s">
        <v>3559</v>
      </c>
    </row>
    <row r="37">
      <c r="B37" s="42" t="s">
        <v>3604</v>
      </c>
      <c r="C37" s="41">
        <v>29.0</v>
      </c>
      <c r="D37" s="42" t="s">
        <v>9746</v>
      </c>
      <c r="E37" s="42" t="s">
        <v>3563</v>
      </c>
      <c r="F37" s="42" t="s">
        <v>3609</v>
      </c>
      <c r="G37" s="42" t="s">
        <v>3610</v>
      </c>
      <c r="H37" s="42" t="s">
        <v>3612</v>
      </c>
      <c r="I37" s="65">
        <v>45994.0</v>
      </c>
      <c r="J37" s="42" t="s">
        <v>3611</v>
      </c>
      <c r="K37" s="42" t="s">
        <v>3612</v>
      </c>
      <c r="L37" s="42" t="s">
        <v>3613</v>
      </c>
      <c r="M37" s="42" t="s">
        <v>3605</v>
      </c>
      <c r="N37" s="43"/>
      <c r="O37" s="42" t="s">
        <v>3606</v>
      </c>
      <c r="P37" s="42" t="s">
        <v>3614</v>
      </c>
      <c r="Q37" s="41">
        <v>60.0</v>
      </c>
      <c r="R37" s="42" t="s">
        <v>3602</v>
      </c>
      <c r="S37" s="47">
        <v>0.92</v>
      </c>
      <c r="T37" s="47">
        <v>0.08</v>
      </c>
      <c r="U37" s="42" t="s">
        <v>3603</v>
      </c>
      <c r="V37" s="47">
        <v>0.05</v>
      </c>
      <c r="W37" s="47">
        <v>0.87</v>
      </c>
      <c r="X37" s="42" t="s">
        <v>3607</v>
      </c>
      <c r="Y37" s="42" t="s">
        <v>3614</v>
      </c>
      <c r="Z37" s="42" t="s">
        <v>3608</v>
      </c>
      <c r="AA37" s="42" t="s">
        <v>3569</v>
      </c>
      <c r="AB37" s="41">
        <v>17.94</v>
      </c>
      <c r="AC37" s="42" t="s">
        <v>3571</v>
      </c>
      <c r="AD37" s="42" t="s">
        <v>3572</v>
      </c>
      <c r="AE37" s="42" t="s">
        <v>3573</v>
      </c>
      <c r="AF37" s="44" t="s">
        <v>3615</v>
      </c>
      <c r="AG37" s="44" t="s">
        <v>3616</v>
      </c>
      <c r="AH37" s="41">
        <v>29.0</v>
      </c>
      <c r="AI37" s="42" t="s">
        <v>9746</v>
      </c>
      <c r="AJ37" s="43"/>
      <c r="AK37" s="43"/>
      <c r="AL37" s="41">
        <v>2016.0</v>
      </c>
      <c r="AM37" s="43"/>
      <c r="AN37" s="42" t="s">
        <v>3619</v>
      </c>
      <c r="AO37" s="42" t="s">
        <v>3620</v>
      </c>
      <c r="AP37" s="42" t="s">
        <v>3621</v>
      </c>
      <c r="AQ37" s="43"/>
      <c r="AR37" s="43"/>
      <c r="AS37" s="45"/>
      <c r="AT37" s="45"/>
      <c r="AU37" s="45"/>
      <c r="AV37" s="45"/>
      <c r="AW37" s="45"/>
      <c r="AX37" s="45"/>
      <c r="AY37" s="45"/>
      <c r="AZ37" s="45"/>
      <c r="BA37" s="45"/>
      <c r="BB37" s="45"/>
      <c r="BC37" s="42" t="s">
        <v>3618</v>
      </c>
      <c r="BD37" s="64" t="str">
        <f>+972 (0)52 627 3392</f>
        <v>#ERROR!</v>
      </c>
      <c r="BE37" s="42" t="s">
        <v>3622</v>
      </c>
      <c r="BF37" s="42" t="s">
        <v>3623</v>
      </c>
      <c r="BG37" s="42" t="s">
        <v>3624</v>
      </c>
      <c r="BH37" s="42" t="s">
        <v>3625</v>
      </c>
      <c r="BI37" s="42" t="s">
        <v>3626</v>
      </c>
      <c r="BJ37" s="41">
        <v>3079504.0</v>
      </c>
      <c r="BK37" s="42" t="s">
        <v>41</v>
      </c>
      <c r="BL37" s="45" t="str">
        <f>+972 (0)4 770 7700</f>
        <v>#ERROR!</v>
      </c>
      <c r="BM37" s="45" t="str">
        <f>+972 (0)4 627 0666</f>
        <v>#ERROR!</v>
      </c>
      <c r="BN37" s="42" t="s">
        <v>3627</v>
      </c>
      <c r="BO37" s="42" t="s">
        <v>3584</v>
      </c>
      <c r="BP37" s="42" t="s">
        <v>3584</v>
      </c>
      <c r="BQ37" s="42" t="s">
        <v>3628</v>
      </c>
      <c r="BR37" s="42" t="s">
        <v>3629</v>
      </c>
      <c r="BS37" s="41">
        <v>15.0</v>
      </c>
      <c r="BT37" s="43"/>
      <c r="BU37" s="42" t="s">
        <v>3630</v>
      </c>
      <c r="BV37" s="43"/>
      <c r="BW37" s="42" t="s">
        <v>3631</v>
      </c>
      <c r="BX37" s="43"/>
      <c r="BY37" s="43"/>
      <c r="BZ37" s="42" t="s">
        <v>3632</v>
      </c>
      <c r="CA37" s="42" t="s">
        <v>3633</v>
      </c>
      <c r="CB37" s="45"/>
      <c r="CC37" s="45"/>
      <c r="CD37" s="43"/>
      <c r="CE37" s="45"/>
      <c r="CF37" s="43"/>
      <c r="CG37" s="42" t="s">
        <v>3589</v>
      </c>
      <c r="CH37" s="43"/>
      <c r="CI37" s="43"/>
      <c r="CJ37" s="42" t="s">
        <v>3590</v>
      </c>
      <c r="CK37" s="43"/>
      <c r="CL37" s="42" t="s">
        <v>3591</v>
      </c>
      <c r="CM37" s="65">
        <v>45627.0</v>
      </c>
      <c r="CN37" s="41">
        <v>2.7</v>
      </c>
      <c r="CO37" s="42" t="s">
        <v>3593</v>
      </c>
      <c r="CP37" s="45"/>
      <c r="CQ37" s="43"/>
      <c r="CR37" s="42" t="s">
        <v>3594</v>
      </c>
      <c r="CS37" s="43"/>
      <c r="CT37" s="43"/>
      <c r="CU37" s="42" t="s">
        <v>3573</v>
      </c>
      <c r="CV37" s="45"/>
      <c r="CW37" s="45"/>
      <c r="CX37" s="43"/>
      <c r="CY37" s="42" t="s">
        <v>3591</v>
      </c>
      <c r="CZ37" s="47">
        <v>0.0113</v>
      </c>
      <c r="DA37" s="41">
        <v>95.0</v>
      </c>
      <c r="DB37" s="47">
        <v>0.0028</v>
      </c>
      <c r="DC37" s="47">
        <v>0.3255</v>
      </c>
      <c r="DD37" s="47">
        <v>0.0113</v>
      </c>
      <c r="DE37" s="41">
        <v>96.0</v>
      </c>
      <c r="DF37" s="45"/>
      <c r="DG37" s="45"/>
      <c r="DH37" s="47">
        <v>0.0113</v>
      </c>
      <c r="DI37" s="41">
        <v>96.0</v>
      </c>
      <c r="DJ37" s="41" t="s">
        <v>9747</v>
      </c>
      <c r="DK37" s="41">
        <v>83.0</v>
      </c>
      <c r="DL37" s="41" t="s">
        <v>3598</v>
      </c>
      <c r="DM37" s="47">
        <v>0.0</v>
      </c>
      <c r="DN37" s="41" t="s">
        <v>9747</v>
      </c>
      <c r="DO37" s="41">
        <v>81.0</v>
      </c>
      <c r="DP37" s="45"/>
      <c r="DQ37" s="45"/>
      <c r="DR37" s="41" t="s">
        <v>9747</v>
      </c>
      <c r="DS37" s="41">
        <v>78.0</v>
      </c>
      <c r="DT37" s="45"/>
      <c r="DU37" s="45"/>
      <c r="DV37" s="45"/>
      <c r="DW37" s="41">
        <v>140.0</v>
      </c>
      <c r="DX37" s="41">
        <v>2.0</v>
      </c>
      <c r="DY37" s="47">
        <v>0.0145</v>
      </c>
      <c r="DZ37" s="41">
        <v>18.0</v>
      </c>
      <c r="EA37" s="41">
        <v>6.0</v>
      </c>
      <c r="EB37" s="41">
        <v>13.0</v>
      </c>
      <c r="EC37" s="41">
        <v>3.0</v>
      </c>
      <c r="ED37" s="45"/>
      <c r="EE37" s="41">
        <v>2.0</v>
      </c>
      <c r="EF37" s="42" t="s">
        <v>3637</v>
      </c>
      <c r="EG37" s="41">
        <v>53.0</v>
      </c>
      <c r="EH37" s="63">
        <v>45040.0</v>
      </c>
      <c r="EI37" s="42" t="s">
        <v>3594</v>
      </c>
      <c r="EJ37" s="45"/>
      <c r="EK37" s="45"/>
      <c r="EL37" s="45"/>
      <c r="EM37" s="43"/>
      <c r="EN37" s="45"/>
      <c r="EO37" s="45"/>
      <c r="EP37" s="45"/>
      <c r="EQ37" s="41">
        <v>6.19</v>
      </c>
      <c r="ER37" s="42" t="s">
        <v>3612</v>
      </c>
      <c r="ES37" s="43"/>
      <c r="ET37" s="42" t="s">
        <v>47</v>
      </c>
      <c r="EU37" s="41">
        <v>15.0</v>
      </c>
      <c r="EV37" s="48" t="s">
        <v>3559</v>
      </c>
    </row>
    <row r="38">
      <c r="B38" s="42" t="s">
        <v>4847</v>
      </c>
      <c r="C38" s="41">
        <v>38.0</v>
      </c>
      <c r="D38" s="42" t="s">
        <v>9748</v>
      </c>
      <c r="E38" s="42" t="s">
        <v>3563</v>
      </c>
      <c r="F38" s="42" t="s">
        <v>3564</v>
      </c>
      <c r="G38" s="42" t="s">
        <v>3565</v>
      </c>
      <c r="H38" s="42" t="s">
        <v>5219</v>
      </c>
      <c r="I38" s="63">
        <v>45849.0</v>
      </c>
      <c r="J38" s="42" t="s">
        <v>4852</v>
      </c>
      <c r="K38" s="42" t="s">
        <v>4853</v>
      </c>
      <c r="L38" s="42" t="s">
        <v>4854</v>
      </c>
      <c r="M38" s="43"/>
      <c r="N38" s="42" t="s">
        <v>4848</v>
      </c>
      <c r="O38" s="42" t="s">
        <v>4849</v>
      </c>
      <c r="P38" s="42" t="s">
        <v>4855</v>
      </c>
      <c r="Q38" s="41">
        <v>8.0</v>
      </c>
      <c r="R38" s="42" t="s">
        <v>4379</v>
      </c>
      <c r="S38" s="47">
        <v>0.12</v>
      </c>
      <c r="T38" s="47">
        <v>0.88</v>
      </c>
      <c r="U38" s="42" t="s">
        <v>4379</v>
      </c>
      <c r="V38" s="47">
        <v>0.01</v>
      </c>
      <c r="W38" s="47">
        <v>0.11</v>
      </c>
      <c r="X38" s="42" t="s">
        <v>9749</v>
      </c>
      <c r="Y38" s="42" t="s">
        <v>4855</v>
      </c>
      <c r="Z38" s="42" t="s">
        <v>4851</v>
      </c>
      <c r="AA38" s="42" t="s">
        <v>3569</v>
      </c>
      <c r="AB38" s="41">
        <v>10.09</v>
      </c>
      <c r="AC38" s="42" t="s">
        <v>3571</v>
      </c>
      <c r="AD38" s="42" t="s">
        <v>3572</v>
      </c>
      <c r="AE38" s="42" t="s">
        <v>3573</v>
      </c>
      <c r="AF38" s="44" t="s">
        <v>4856</v>
      </c>
      <c r="AG38" s="44" t="s">
        <v>4857</v>
      </c>
      <c r="AH38" s="41">
        <v>38.0</v>
      </c>
      <c r="AI38" s="42" t="s">
        <v>9748</v>
      </c>
      <c r="AJ38" s="43"/>
      <c r="AK38" s="43"/>
      <c r="AL38" s="41">
        <v>2012.0</v>
      </c>
      <c r="AM38" s="43"/>
      <c r="AN38" s="42" t="s">
        <v>4861</v>
      </c>
      <c r="AO38" s="42" t="s">
        <v>4862</v>
      </c>
      <c r="AP38" s="42" t="s">
        <v>4863</v>
      </c>
      <c r="AQ38" s="43"/>
      <c r="AR38" s="43"/>
      <c r="AS38" s="41">
        <v>20.0</v>
      </c>
      <c r="AT38" s="45"/>
      <c r="AU38" s="45"/>
      <c r="AV38" s="45"/>
      <c r="AW38" s="45"/>
      <c r="AX38" s="45"/>
      <c r="AY38" s="45"/>
      <c r="AZ38" s="45"/>
      <c r="BA38" s="47">
        <v>0.9417</v>
      </c>
      <c r="BB38" s="41" t="s">
        <v>4859</v>
      </c>
      <c r="BC38" s="42" t="s">
        <v>4860</v>
      </c>
      <c r="BD38" s="64" t="str">
        <f>+972 (0)77 531 4838</f>
        <v>#ERROR!</v>
      </c>
      <c r="BE38" s="42" t="s">
        <v>3581</v>
      </c>
      <c r="BF38" s="42" t="s">
        <v>4864</v>
      </c>
      <c r="BG38" s="42" t="s">
        <v>616</v>
      </c>
      <c r="BH38" s="42" t="s">
        <v>75</v>
      </c>
      <c r="BI38" s="43"/>
      <c r="BJ38" s="41">
        <v>5252141.0</v>
      </c>
      <c r="BK38" s="42" t="s">
        <v>41</v>
      </c>
      <c r="BL38" s="45" t="str">
        <f>+972 (0)77 531 4838</f>
        <v>#ERROR!</v>
      </c>
      <c r="BM38" s="45" t="str">
        <f>+972 (0)3 560 5684</f>
        <v>#ERROR!</v>
      </c>
      <c r="BN38" s="42" t="s">
        <v>3390</v>
      </c>
      <c r="BO38" s="42" t="s">
        <v>3584</v>
      </c>
      <c r="BP38" s="42" t="s">
        <v>3584</v>
      </c>
      <c r="BQ38" s="42" t="s">
        <v>4865</v>
      </c>
      <c r="BR38" s="42" t="s">
        <v>4866</v>
      </c>
      <c r="BS38" s="41">
        <v>11.0</v>
      </c>
      <c r="BT38" s="43"/>
      <c r="BU38" s="42" t="s">
        <v>4867</v>
      </c>
      <c r="BV38" s="43"/>
      <c r="BW38" s="42" t="s">
        <v>4868</v>
      </c>
      <c r="BX38" s="42" t="s">
        <v>4869</v>
      </c>
      <c r="BY38" s="43"/>
      <c r="BZ38" s="42" t="s">
        <v>4870</v>
      </c>
      <c r="CA38" s="43"/>
      <c r="CB38" s="65">
        <v>41579.0</v>
      </c>
      <c r="CC38" s="41">
        <v>0.7</v>
      </c>
      <c r="CD38" s="42" t="s">
        <v>3593</v>
      </c>
      <c r="CE38" s="45"/>
      <c r="CF38" s="43"/>
      <c r="CG38" s="42" t="s">
        <v>3698</v>
      </c>
      <c r="CH38" s="42" t="s">
        <v>3698</v>
      </c>
      <c r="CI38" s="43"/>
      <c r="CJ38" s="42" t="s">
        <v>3573</v>
      </c>
      <c r="CK38" s="43"/>
      <c r="CL38" s="42" t="s">
        <v>3591</v>
      </c>
      <c r="CM38" s="65">
        <v>44928.0</v>
      </c>
      <c r="CN38" s="45"/>
      <c r="CO38" s="43"/>
      <c r="CP38" s="45"/>
      <c r="CQ38" s="43"/>
      <c r="CR38" s="42" t="s">
        <v>3830</v>
      </c>
      <c r="CS38" s="43"/>
      <c r="CT38" s="43"/>
      <c r="CU38" s="42" t="s">
        <v>3573</v>
      </c>
      <c r="CV38" s="45"/>
      <c r="CW38" s="45"/>
      <c r="CX38" s="43"/>
      <c r="CY38" s="42" t="s">
        <v>3591</v>
      </c>
      <c r="CZ38" s="47">
        <v>0.0024</v>
      </c>
      <c r="DA38" s="41">
        <v>88.0</v>
      </c>
      <c r="DB38" s="47">
        <v>0.0</v>
      </c>
      <c r="DC38" s="47">
        <v>0.0</v>
      </c>
      <c r="DD38" s="47">
        <v>0.0171</v>
      </c>
      <c r="DE38" s="41">
        <v>98.0</v>
      </c>
      <c r="DF38" s="47">
        <v>0.0343</v>
      </c>
      <c r="DG38" s="41">
        <v>97.0</v>
      </c>
      <c r="DH38" s="47">
        <v>0.0</v>
      </c>
      <c r="DI38" s="41">
        <v>17.0</v>
      </c>
      <c r="DJ38" s="41" t="s">
        <v>9750</v>
      </c>
      <c r="DK38" s="41">
        <v>88.0</v>
      </c>
      <c r="DL38" s="41" t="s">
        <v>3598</v>
      </c>
      <c r="DM38" s="47">
        <v>0.0</v>
      </c>
      <c r="DN38" s="41" t="s">
        <v>9751</v>
      </c>
      <c r="DO38" s="41">
        <v>93.0</v>
      </c>
      <c r="DP38" s="41" t="s">
        <v>9752</v>
      </c>
      <c r="DQ38" s="41">
        <v>93.0</v>
      </c>
      <c r="DR38" s="41" t="s">
        <v>7635</v>
      </c>
      <c r="DS38" s="41">
        <v>67.0</v>
      </c>
      <c r="DT38" s="52">
        <v>4541.0</v>
      </c>
      <c r="DU38" s="41">
        <v>-63.0</v>
      </c>
      <c r="DV38" s="47">
        <v>-0.0137</v>
      </c>
      <c r="DW38" s="41">
        <v>40.0</v>
      </c>
      <c r="DX38" s="41">
        <v>0.0</v>
      </c>
      <c r="DY38" s="47">
        <v>0.0</v>
      </c>
      <c r="DZ38" s="41">
        <v>7.0</v>
      </c>
      <c r="EA38" s="41">
        <v>1.0</v>
      </c>
      <c r="EB38" s="41">
        <v>6.0</v>
      </c>
      <c r="EC38" s="45"/>
      <c r="ED38" s="45"/>
      <c r="EE38" s="41">
        <v>1.0</v>
      </c>
      <c r="EF38" s="42" t="s">
        <v>4506</v>
      </c>
      <c r="EG38" s="41">
        <v>25.51</v>
      </c>
      <c r="EH38" s="70">
        <v>44342.0</v>
      </c>
      <c r="EI38" s="42" t="s">
        <v>3594</v>
      </c>
      <c r="EJ38" s="45"/>
      <c r="EK38" s="45"/>
      <c r="EL38" s="45"/>
      <c r="EM38" s="43"/>
      <c r="EN38" s="45"/>
      <c r="EO38" s="45"/>
      <c r="EP38" s="45"/>
      <c r="EQ38" s="45"/>
      <c r="ER38" s="42" t="s">
        <v>5219</v>
      </c>
      <c r="ES38" s="43"/>
      <c r="ET38" s="43"/>
      <c r="EU38" s="45"/>
      <c r="EV38" s="48" t="s">
        <v>3559</v>
      </c>
    </row>
    <row r="39">
      <c r="B39" s="35" t="s">
        <v>7081</v>
      </c>
      <c r="C39" s="32">
        <v>2.0</v>
      </c>
      <c r="D39" s="35" t="s">
        <v>7089</v>
      </c>
      <c r="E39" s="35" t="s">
        <v>3563</v>
      </c>
      <c r="F39" s="35" t="s">
        <v>3564</v>
      </c>
      <c r="G39" s="35" t="s">
        <v>3565</v>
      </c>
      <c r="H39" s="35" t="s">
        <v>3612</v>
      </c>
      <c r="I39" s="60">
        <v>45918.0</v>
      </c>
      <c r="J39" s="35" t="s">
        <v>7083</v>
      </c>
      <c r="K39" s="35" t="s">
        <v>7084</v>
      </c>
      <c r="L39" s="35" t="s">
        <v>7085</v>
      </c>
      <c r="M39" s="34"/>
      <c r="N39" s="34"/>
      <c r="O39" s="34"/>
      <c r="P39" s="35" t="s">
        <v>7086</v>
      </c>
      <c r="Q39" s="37"/>
      <c r="R39" s="34"/>
      <c r="S39" s="37"/>
      <c r="T39" s="37"/>
      <c r="U39" s="34"/>
      <c r="V39" s="37"/>
      <c r="W39" s="37"/>
      <c r="X39" s="34"/>
      <c r="Y39" s="35" t="s">
        <v>7086</v>
      </c>
      <c r="Z39" s="35" t="s">
        <v>7082</v>
      </c>
      <c r="AA39" s="35" t="s">
        <v>3569</v>
      </c>
      <c r="AB39" s="32">
        <v>2.07</v>
      </c>
      <c r="AC39" s="35" t="s">
        <v>3571</v>
      </c>
      <c r="AD39" s="35" t="s">
        <v>3572</v>
      </c>
      <c r="AE39" s="35" t="s">
        <v>3573</v>
      </c>
      <c r="AF39" s="36" t="s">
        <v>7087</v>
      </c>
      <c r="AG39" s="36" t="s">
        <v>7088</v>
      </c>
      <c r="AH39" s="32">
        <v>2.0</v>
      </c>
      <c r="AI39" s="35" t="s">
        <v>7089</v>
      </c>
      <c r="AJ39" s="34"/>
      <c r="AK39" s="34"/>
      <c r="AL39" s="32">
        <v>2014.0</v>
      </c>
      <c r="AM39" s="34"/>
      <c r="AN39" s="35" t="s">
        <v>7091</v>
      </c>
      <c r="AO39" s="35" t="s">
        <v>7092</v>
      </c>
      <c r="AP39" s="34"/>
      <c r="AQ39" s="34"/>
      <c r="AR39" s="34"/>
      <c r="AS39" s="37"/>
      <c r="AT39" s="37"/>
      <c r="AU39" s="37"/>
      <c r="AV39" s="37"/>
      <c r="AW39" s="37"/>
      <c r="AX39" s="37"/>
      <c r="AY39" s="37"/>
      <c r="AZ39" s="37"/>
      <c r="BA39" s="37"/>
      <c r="BB39" s="37"/>
      <c r="BC39" s="35" t="s">
        <v>7090</v>
      </c>
      <c r="BD39" s="61" t="str">
        <f>+972 (0)50 535 6338</f>
        <v>#ERROR!</v>
      </c>
      <c r="BE39" s="35" t="s">
        <v>7093</v>
      </c>
      <c r="BF39" s="35" t="s">
        <v>7094</v>
      </c>
      <c r="BG39" s="35" t="s">
        <v>7095</v>
      </c>
      <c r="BH39" s="35" t="s">
        <v>7096</v>
      </c>
      <c r="BI39" s="34"/>
      <c r="BJ39" s="32">
        <v>7177908.0</v>
      </c>
      <c r="BK39" s="35" t="s">
        <v>41</v>
      </c>
      <c r="BL39" s="37" t="str">
        <f>+972 (0)3 375 1705</f>
        <v>#ERROR!</v>
      </c>
      <c r="BM39" s="37" t="str">
        <f>+972 (0)8 679 8501</f>
        <v>#ERROR!</v>
      </c>
      <c r="BN39" s="35" t="s">
        <v>2822</v>
      </c>
      <c r="BO39" s="35" t="s">
        <v>3584</v>
      </c>
      <c r="BP39" s="35" t="s">
        <v>3584</v>
      </c>
      <c r="BQ39" s="35" t="s">
        <v>7097</v>
      </c>
      <c r="BR39" s="35" t="s">
        <v>7098</v>
      </c>
      <c r="BS39" s="32">
        <v>5.0</v>
      </c>
      <c r="BT39" s="34"/>
      <c r="BU39" s="34"/>
      <c r="BV39" s="34"/>
      <c r="BW39" s="35" t="s">
        <v>7099</v>
      </c>
      <c r="BX39" s="34"/>
      <c r="BY39" s="34"/>
      <c r="BZ39" s="34"/>
      <c r="CA39" s="35" t="s">
        <v>6990</v>
      </c>
      <c r="CB39" s="60">
        <v>41746.0</v>
      </c>
      <c r="CC39" s="37"/>
      <c r="CD39" s="34"/>
      <c r="CE39" s="37"/>
      <c r="CF39" s="34"/>
      <c r="CG39" s="35" t="s">
        <v>3589</v>
      </c>
      <c r="CH39" s="34"/>
      <c r="CI39" s="34"/>
      <c r="CJ39" s="35" t="s">
        <v>3590</v>
      </c>
      <c r="CK39" s="34"/>
      <c r="CL39" s="35" t="s">
        <v>3591</v>
      </c>
      <c r="CM39" s="60">
        <v>45117.0</v>
      </c>
      <c r="CN39" s="37"/>
      <c r="CO39" s="34"/>
      <c r="CP39" s="37"/>
      <c r="CQ39" s="34"/>
      <c r="CR39" s="35" t="s">
        <v>3589</v>
      </c>
      <c r="CS39" s="34"/>
      <c r="CT39" s="34"/>
      <c r="CU39" s="35" t="s">
        <v>3590</v>
      </c>
      <c r="CV39" s="37"/>
      <c r="CW39" s="37"/>
      <c r="CX39" s="34"/>
      <c r="CY39" s="35" t="s">
        <v>3591</v>
      </c>
      <c r="CZ39" s="39">
        <v>-0.008</v>
      </c>
      <c r="DA39" s="32">
        <v>9.0</v>
      </c>
      <c r="DB39" s="39">
        <v>0.0</v>
      </c>
      <c r="DC39" s="39">
        <v>0.0</v>
      </c>
      <c r="DD39" s="39">
        <v>-0.008</v>
      </c>
      <c r="DE39" s="32">
        <v>9.0</v>
      </c>
      <c r="DF39" s="37"/>
      <c r="DG39" s="37"/>
      <c r="DH39" s="39">
        <v>-0.008</v>
      </c>
      <c r="DI39" s="32">
        <v>10.0</v>
      </c>
      <c r="DJ39" s="32" t="s">
        <v>9753</v>
      </c>
      <c r="DK39" s="32">
        <v>84.0</v>
      </c>
      <c r="DL39" s="32" t="s">
        <v>3598</v>
      </c>
      <c r="DM39" s="39">
        <v>0.0</v>
      </c>
      <c r="DN39" s="32" t="s">
        <v>9753</v>
      </c>
      <c r="DO39" s="32">
        <v>83.0</v>
      </c>
      <c r="DP39" s="37"/>
      <c r="DQ39" s="37"/>
      <c r="DR39" s="32" t="s">
        <v>9753</v>
      </c>
      <c r="DS39" s="32">
        <v>80.0</v>
      </c>
      <c r="DT39" s="37"/>
      <c r="DU39" s="37"/>
      <c r="DV39" s="37"/>
      <c r="DW39" s="32">
        <v>150.0</v>
      </c>
      <c r="DX39" s="32">
        <v>-1.0</v>
      </c>
      <c r="DY39" s="39">
        <v>-0.0066</v>
      </c>
      <c r="DZ39" s="37"/>
      <c r="EA39" s="37"/>
      <c r="EB39" s="37"/>
      <c r="EC39" s="37"/>
      <c r="ED39" s="37"/>
      <c r="EE39" s="37"/>
      <c r="EF39" s="34"/>
      <c r="EG39" s="32">
        <v>9.93</v>
      </c>
      <c r="EH39" s="60">
        <v>44392.0</v>
      </c>
      <c r="EI39" s="35" t="s">
        <v>5462</v>
      </c>
      <c r="EJ39" s="37"/>
      <c r="EK39" s="37"/>
      <c r="EL39" s="37"/>
      <c r="EM39" s="34"/>
      <c r="EN39" s="37"/>
      <c r="EO39" s="37"/>
      <c r="EP39" s="37"/>
      <c r="EQ39" s="37"/>
      <c r="ER39" s="35" t="s">
        <v>3612</v>
      </c>
      <c r="ES39" s="34"/>
      <c r="ET39" s="35" t="s">
        <v>47</v>
      </c>
      <c r="EU39" s="32">
        <v>29.0</v>
      </c>
      <c r="EV39" s="40" t="s">
        <v>3559</v>
      </c>
    </row>
    <row r="40">
      <c r="B40" s="35" t="s">
        <v>3326</v>
      </c>
      <c r="C40" s="32">
        <v>87.0</v>
      </c>
      <c r="D40" s="35" t="s">
        <v>9754</v>
      </c>
      <c r="E40" s="35" t="s">
        <v>4560</v>
      </c>
      <c r="F40" s="35" t="s">
        <v>4561</v>
      </c>
      <c r="G40" s="35" t="s">
        <v>66</v>
      </c>
      <c r="H40" s="35" t="s">
        <v>3612</v>
      </c>
      <c r="I40" s="62">
        <v>45903.0</v>
      </c>
      <c r="J40" s="35" t="s">
        <v>4586</v>
      </c>
      <c r="K40" s="35" t="s">
        <v>4587</v>
      </c>
      <c r="L40" s="35" t="s">
        <v>4588</v>
      </c>
      <c r="M40" s="35" t="s">
        <v>9755</v>
      </c>
      <c r="N40" s="35" t="s">
        <v>9756</v>
      </c>
      <c r="O40" s="35" t="s">
        <v>9757</v>
      </c>
      <c r="P40" s="35" t="s">
        <v>4589</v>
      </c>
      <c r="Q40" s="32">
        <v>29.0</v>
      </c>
      <c r="R40" s="35" t="s">
        <v>4379</v>
      </c>
      <c r="S40" s="39">
        <v>0.38</v>
      </c>
      <c r="T40" s="39">
        <v>0.62</v>
      </c>
      <c r="U40" s="35" t="s">
        <v>4379</v>
      </c>
      <c r="V40" s="39">
        <v>0.02</v>
      </c>
      <c r="W40" s="39">
        <v>0.36</v>
      </c>
      <c r="X40" s="35" t="s">
        <v>9758</v>
      </c>
      <c r="Y40" s="35" t="s">
        <v>4589</v>
      </c>
      <c r="Z40" s="35" t="s">
        <v>9759</v>
      </c>
      <c r="AA40" s="35" t="s">
        <v>3569</v>
      </c>
      <c r="AB40" s="32">
        <v>57.0</v>
      </c>
      <c r="AC40" s="35" t="s">
        <v>3571</v>
      </c>
      <c r="AD40" s="35" t="s">
        <v>3572</v>
      </c>
      <c r="AE40" s="35" t="s">
        <v>3573</v>
      </c>
      <c r="AF40" s="36" t="s">
        <v>4590</v>
      </c>
      <c r="AG40" s="36" t="s">
        <v>4591</v>
      </c>
      <c r="AH40" s="32">
        <v>87.0</v>
      </c>
      <c r="AI40" s="35" t="s">
        <v>9754</v>
      </c>
      <c r="AJ40" s="34"/>
      <c r="AK40" s="34"/>
      <c r="AL40" s="32">
        <v>2008.0</v>
      </c>
      <c r="AM40" s="34"/>
      <c r="AN40" s="35" t="s">
        <v>4594</v>
      </c>
      <c r="AO40" s="35" t="s">
        <v>3579</v>
      </c>
      <c r="AP40" s="35" t="s">
        <v>4595</v>
      </c>
      <c r="AQ40" s="34"/>
      <c r="AR40" s="34"/>
      <c r="AS40" s="37"/>
      <c r="AT40" s="37"/>
      <c r="AU40" s="37"/>
      <c r="AV40" s="37"/>
      <c r="AW40" s="37"/>
      <c r="AX40" s="37"/>
      <c r="AY40" s="37"/>
      <c r="AZ40" s="37"/>
      <c r="BA40" s="37"/>
      <c r="BB40" s="37"/>
      <c r="BC40" s="35" t="s">
        <v>4593</v>
      </c>
      <c r="BD40" s="61" t="str">
        <f>+972 (0)72 241 5626</f>
        <v>#ERROR!</v>
      </c>
      <c r="BE40" s="35" t="s">
        <v>4368</v>
      </c>
      <c r="BF40" s="35" t="s">
        <v>4369</v>
      </c>
      <c r="BG40" s="35" t="s">
        <v>4596</v>
      </c>
      <c r="BH40" s="35" t="s">
        <v>1037</v>
      </c>
      <c r="BI40" s="34"/>
      <c r="BJ40" s="32">
        <v>7403649.0</v>
      </c>
      <c r="BK40" s="35" t="s">
        <v>41</v>
      </c>
      <c r="BL40" s="37" t="str">
        <f>+972 (0)72 241 5626</f>
        <v>#ERROR!</v>
      </c>
      <c r="BM40" s="37"/>
      <c r="BN40" s="35" t="s">
        <v>3331</v>
      </c>
      <c r="BO40" s="35" t="s">
        <v>3584</v>
      </c>
      <c r="BP40" s="35" t="s">
        <v>3584</v>
      </c>
      <c r="BQ40" s="35" t="s">
        <v>9760</v>
      </c>
      <c r="BR40" s="35" t="s">
        <v>9761</v>
      </c>
      <c r="BS40" s="32">
        <v>12.0</v>
      </c>
      <c r="BT40" s="34"/>
      <c r="BU40" s="34"/>
      <c r="BV40" s="34"/>
      <c r="BW40" s="35" t="s">
        <v>4599</v>
      </c>
      <c r="BX40" s="34"/>
      <c r="BY40" s="34"/>
      <c r="BZ40" s="34"/>
      <c r="CA40" s="35" t="s">
        <v>3725</v>
      </c>
      <c r="CB40" s="62">
        <v>43101.0</v>
      </c>
      <c r="CC40" s="32">
        <v>9.0</v>
      </c>
      <c r="CD40" s="35" t="s">
        <v>3593</v>
      </c>
      <c r="CE40" s="32">
        <v>37.0</v>
      </c>
      <c r="CF40" s="35" t="s">
        <v>3593</v>
      </c>
      <c r="CG40" s="35" t="s">
        <v>3594</v>
      </c>
      <c r="CH40" s="35" t="s">
        <v>3595</v>
      </c>
      <c r="CI40" s="34"/>
      <c r="CJ40" s="35" t="s">
        <v>3573</v>
      </c>
      <c r="CK40" s="34"/>
      <c r="CL40" s="35" t="s">
        <v>3591</v>
      </c>
      <c r="CM40" s="60">
        <v>44314.0</v>
      </c>
      <c r="CN40" s="32">
        <v>31.0</v>
      </c>
      <c r="CO40" s="35" t="s">
        <v>3593</v>
      </c>
      <c r="CP40" s="32">
        <v>142.35</v>
      </c>
      <c r="CQ40" s="35" t="s">
        <v>3593</v>
      </c>
      <c r="CR40" s="35" t="s">
        <v>3594</v>
      </c>
      <c r="CS40" s="35" t="s">
        <v>4072</v>
      </c>
      <c r="CT40" s="34"/>
      <c r="CU40" s="35" t="s">
        <v>3573</v>
      </c>
      <c r="CV40" s="37"/>
      <c r="CW40" s="37"/>
      <c r="CX40" s="34"/>
      <c r="CY40" s="35" t="s">
        <v>3591</v>
      </c>
      <c r="CZ40" s="39">
        <v>4.0E-4</v>
      </c>
      <c r="DA40" s="32">
        <v>86.0</v>
      </c>
      <c r="DB40" s="39">
        <v>0.0</v>
      </c>
      <c r="DC40" s="39">
        <v>0.0</v>
      </c>
      <c r="DD40" s="39">
        <v>-0.0022</v>
      </c>
      <c r="DE40" s="32">
        <v>15.0</v>
      </c>
      <c r="DF40" s="37"/>
      <c r="DG40" s="37"/>
      <c r="DH40" s="39">
        <v>-0.0022</v>
      </c>
      <c r="DI40" s="32">
        <v>16.0</v>
      </c>
      <c r="DJ40" s="32" t="s">
        <v>9762</v>
      </c>
      <c r="DK40" s="32">
        <v>81.0</v>
      </c>
      <c r="DL40" s="32" t="s">
        <v>3598</v>
      </c>
      <c r="DM40" s="39">
        <v>0.0</v>
      </c>
      <c r="DN40" s="32" t="s">
        <v>9763</v>
      </c>
      <c r="DO40" s="32">
        <v>78.0</v>
      </c>
      <c r="DP40" s="37"/>
      <c r="DQ40" s="37"/>
      <c r="DR40" s="32" t="s">
        <v>9763</v>
      </c>
      <c r="DS40" s="32">
        <v>75.0</v>
      </c>
      <c r="DT40" s="37"/>
      <c r="DU40" s="37"/>
      <c r="DV40" s="37"/>
      <c r="DW40" s="32">
        <v>111.0</v>
      </c>
      <c r="DX40" s="32">
        <v>0.0</v>
      </c>
      <c r="DY40" s="39">
        <v>0.0</v>
      </c>
      <c r="DZ40" s="37"/>
      <c r="EA40" s="37"/>
      <c r="EB40" s="37"/>
      <c r="EC40" s="37"/>
      <c r="ED40" s="37"/>
      <c r="EE40" s="37"/>
      <c r="EF40" s="34"/>
      <c r="EG40" s="32">
        <v>142.35</v>
      </c>
      <c r="EH40" s="60">
        <v>44314.0</v>
      </c>
      <c r="EI40" s="35" t="s">
        <v>3594</v>
      </c>
      <c r="EJ40" s="37"/>
      <c r="EK40" s="37"/>
      <c r="EL40" s="37"/>
      <c r="EM40" s="34"/>
      <c r="EN40" s="37"/>
      <c r="EO40" s="37"/>
      <c r="EP40" s="32">
        <v>2.47</v>
      </c>
      <c r="EQ40" s="32">
        <v>2.47</v>
      </c>
      <c r="ER40" s="35" t="s">
        <v>3612</v>
      </c>
      <c r="ES40" s="34"/>
      <c r="ET40" s="35" t="s">
        <v>47</v>
      </c>
      <c r="EU40" s="32">
        <v>8.0</v>
      </c>
      <c r="EV40" s="40" t="s">
        <v>3559</v>
      </c>
    </row>
    <row r="41">
      <c r="B41" s="42" t="s">
        <v>7374</v>
      </c>
      <c r="C41" s="41">
        <v>8.0</v>
      </c>
      <c r="D41" s="42" t="s">
        <v>7381</v>
      </c>
      <c r="E41" s="42" t="s">
        <v>3867</v>
      </c>
      <c r="F41" s="42" t="s">
        <v>3897</v>
      </c>
      <c r="G41" s="42" t="s">
        <v>4689</v>
      </c>
      <c r="H41" s="42" t="s">
        <v>3612</v>
      </c>
      <c r="I41" s="65">
        <v>45352.0</v>
      </c>
      <c r="J41" s="42" t="s">
        <v>7339</v>
      </c>
      <c r="K41" s="42" t="s">
        <v>3612</v>
      </c>
      <c r="L41" s="42" t="s">
        <v>7377</v>
      </c>
      <c r="M41" s="43"/>
      <c r="N41" s="43"/>
      <c r="O41" s="42" t="s">
        <v>7375</v>
      </c>
      <c r="P41" s="42" t="s">
        <v>7378</v>
      </c>
      <c r="Q41" s="42"/>
      <c r="R41" s="42"/>
      <c r="S41" s="42"/>
      <c r="T41" s="42"/>
      <c r="U41" s="42"/>
      <c r="V41" s="42"/>
      <c r="W41" s="42"/>
      <c r="X41" s="43"/>
      <c r="Y41" s="42" t="s">
        <v>7378</v>
      </c>
      <c r="Z41" s="42" t="s">
        <v>7376</v>
      </c>
      <c r="AA41" s="42" t="s">
        <v>4923</v>
      </c>
      <c r="AB41" s="45"/>
      <c r="AC41" s="42" t="s">
        <v>3571</v>
      </c>
      <c r="AD41" s="42" t="s">
        <v>4925</v>
      </c>
      <c r="AE41" s="42" t="s">
        <v>4926</v>
      </c>
      <c r="AF41" s="44" t="s">
        <v>7379</v>
      </c>
      <c r="AG41" s="44" t="s">
        <v>7380</v>
      </c>
      <c r="AH41" s="41">
        <v>8.0</v>
      </c>
      <c r="AI41" s="42" t="s">
        <v>7381</v>
      </c>
      <c r="AJ41" s="43"/>
      <c r="AK41" s="43"/>
      <c r="AL41" s="41">
        <v>2018.0</v>
      </c>
      <c r="AM41" s="43"/>
      <c r="AN41" s="42" t="s">
        <v>7383</v>
      </c>
      <c r="AO41" s="42" t="s">
        <v>6892</v>
      </c>
      <c r="AP41" s="43"/>
      <c r="AQ41" s="43"/>
      <c r="AR41" s="43"/>
      <c r="AS41" s="45"/>
      <c r="AT41" s="45"/>
      <c r="AU41" s="45"/>
      <c r="AV41" s="45"/>
      <c r="AW41" s="45"/>
      <c r="AX41" s="45"/>
      <c r="AY41" s="45"/>
      <c r="AZ41" s="45"/>
      <c r="BA41" s="45"/>
      <c r="BB41" s="45"/>
      <c r="BC41" s="42" t="s">
        <v>7382</v>
      </c>
      <c r="BD41" s="64" t="str">
        <f>+972 (0)53 499 9190</f>
        <v>#ERROR!</v>
      </c>
      <c r="BE41" s="42" t="s">
        <v>3581</v>
      </c>
      <c r="BF41" s="42" t="s">
        <v>7384</v>
      </c>
      <c r="BG41" s="42" t="s">
        <v>7385</v>
      </c>
      <c r="BH41" s="42" t="s">
        <v>75</v>
      </c>
      <c r="BI41" s="43"/>
      <c r="BJ41" s="45"/>
      <c r="BK41" s="42" t="s">
        <v>41</v>
      </c>
      <c r="BL41" s="45" t="str">
        <f>+972 (0)53 499 9190</f>
        <v>#ERROR!</v>
      </c>
      <c r="BM41" s="45"/>
      <c r="BN41" s="42" t="s">
        <v>7386</v>
      </c>
      <c r="BO41" s="42" t="s">
        <v>3584</v>
      </c>
      <c r="BP41" s="42" t="s">
        <v>3584</v>
      </c>
      <c r="BQ41" s="43"/>
      <c r="BR41" s="43"/>
      <c r="BS41" s="45"/>
      <c r="BT41" s="43"/>
      <c r="BU41" s="43"/>
      <c r="BV41" s="43"/>
      <c r="BW41" s="43"/>
      <c r="BX41" s="43"/>
      <c r="BY41" s="43"/>
      <c r="BZ41" s="43"/>
      <c r="CA41" s="43"/>
      <c r="CB41" s="45"/>
      <c r="CC41" s="45"/>
      <c r="CD41" s="43"/>
      <c r="CE41" s="45"/>
      <c r="CF41" s="43"/>
      <c r="CG41" s="43"/>
      <c r="CH41" s="43"/>
      <c r="CI41" s="43"/>
      <c r="CJ41" s="43"/>
      <c r="CK41" s="43"/>
      <c r="CL41" s="43"/>
      <c r="CM41" s="45"/>
      <c r="CN41" s="45"/>
      <c r="CO41" s="43"/>
      <c r="CP41" s="45"/>
      <c r="CQ41" s="43"/>
      <c r="CR41" s="43"/>
      <c r="CS41" s="43"/>
      <c r="CT41" s="43"/>
      <c r="CU41" s="43"/>
      <c r="CV41" s="45"/>
      <c r="CW41" s="45"/>
      <c r="CX41" s="43"/>
      <c r="CY41" s="43"/>
      <c r="CZ41" s="47">
        <v>0.0</v>
      </c>
      <c r="DA41" s="41">
        <v>19.0</v>
      </c>
      <c r="DB41" s="47">
        <v>0.0</v>
      </c>
      <c r="DC41" s="47">
        <v>0.0</v>
      </c>
      <c r="DD41" s="47">
        <v>0.0</v>
      </c>
      <c r="DE41" s="41">
        <v>17.0</v>
      </c>
      <c r="DF41" s="45"/>
      <c r="DG41" s="45"/>
      <c r="DH41" s="47">
        <v>0.0</v>
      </c>
      <c r="DI41" s="41">
        <v>17.0</v>
      </c>
      <c r="DJ41" s="41" t="s">
        <v>5718</v>
      </c>
      <c r="DK41" s="41">
        <v>40.0</v>
      </c>
      <c r="DL41" s="41" t="s">
        <v>3598</v>
      </c>
      <c r="DM41" s="47">
        <v>0.0</v>
      </c>
      <c r="DN41" s="41" t="s">
        <v>5718</v>
      </c>
      <c r="DO41" s="41">
        <v>42.0</v>
      </c>
      <c r="DP41" s="45"/>
      <c r="DQ41" s="45"/>
      <c r="DR41" s="41" t="s">
        <v>5718</v>
      </c>
      <c r="DS41" s="41">
        <v>40.0</v>
      </c>
      <c r="DT41" s="41">
        <v>0.0</v>
      </c>
      <c r="DU41" s="41">
        <v>0.0</v>
      </c>
      <c r="DV41" s="47">
        <v>0.0</v>
      </c>
      <c r="DW41" s="41">
        <v>12.0</v>
      </c>
      <c r="DX41" s="41">
        <v>0.0</v>
      </c>
      <c r="DY41" s="47">
        <v>0.0</v>
      </c>
      <c r="DZ41" s="45"/>
      <c r="EA41" s="45"/>
      <c r="EB41" s="45"/>
      <c r="EC41" s="45"/>
      <c r="ED41" s="45"/>
      <c r="EE41" s="45"/>
      <c r="EF41" s="43"/>
      <c r="EG41" s="45"/>
      <c r="EH41" s="45"/>
      <c r="EI41" s="43"/>
      <c r="EJ41" s="45"/>
      <c r="EK41" s="45"/>
      <c r="EL41" s="45"/>
      <c r="EM41" s="43"/>
      <c r="EN41" s="45"/>
      <c r="EO41" s="45"/>
      <c r="EP41" s="45"/>
      <c r="EQ41" s="45"/>
      <c r="ER41" s="42" t="s">
        <v>3612</v>
      </c>
      <c r="ES41" s="43"/>
      <c r="ET41" s="43"/>
      <c r="EU41" s="45"/>
      <c r="EV41" s="48" t="s">
        <v>3559</v>
      </c>
    </row>
    <row r="42">
      <c r="B42" s="35" t="s">
        <v>177</v>
      </c>
      <c r="C42" s="32">
        <v>15.0</v>
      </c>
      <c r="D42" s="35" t="s">
        <v>9764</v>
      </c>
      <c r="E42" s="35" t="s">
        <v>3563</v>
      </c>
      <c r="F42" s="35" t="s">
        <v>3609</v>
      </c>
      <c r="G42" s="35" t="s">
        <v>3610</v>
      </c>
      <c r="H42" s="35" t="s">
        <v>8495</v>
      </c>
      <c r="I42" s="67">
        <v>45799.0</v>
      </c>
      <c r="J42" s="35" t="s">
        <v>7502</v>
      </c>
      <c r="K42" s="35" t="s">
        <v>7503</v>
      </c>
      <c r="L42" s="35" t="s">
        <v>7504</v>
      </c>
      <c r="M42" s="34"/>
      <c r="N42" s="35" t="s">
        <v>9765</v>
      </c>
      <c r="O42" s="35" t="s">
        <v>7499</v>
      </c>
      <c r="P42" s="35" t="s">
        <v>7505</v>
      </c>
      <c r="Q42" s="37"/>
      <c r="R42" s="34"/>
      <c r="S42" s="37"/>
      <c r="T42" s="37"/>
      <c r="U42" s="34"/>
      <c r="V42" s="37"/>
      <c r="W42" s="37"/>
      <c r="X42" s="35" t="s">
        <v>7500</v>
      </c>
      <c r="Y42" s="35" t="s">
        <v>7505</v>
      </c>
      <c r="Z42" s="35" t="s">
        <v>7501</v>
      </c>
      <c r="AA42" s="35" t="s">
        <v>3569</v>
      </c>
      <c r="AB42" s="37"/>
      <c r="AC42" s="35" t="s">
        <v>3571</v>
      </c>
      <c r="AD42" s="35" t="s">
        <v>3572</v>
      </c>
      <c r="AE42" s="35" t="s">
        <v>3573</v>
      </c>
      <c r="AF42" s="36" t="s">
        <v>7506</v>
      </c>
      <c r="AG42" s="36" t="s">
        <v>7507</v>
      </c>
      <c r="AH42" s="32">
        <v>15.0</v>
      </c>
      <c r="AI42" s="35" t="s">
        <v>9764</v>
      </c>
      <c r="AJ42" s="34"/>
      <c r="AK42" s="34"/>
      <c r="AL42" s="32">
        <v>2019.0</v>
      </c>
      <c r="AM42" s="34"/>
      <c r="AN42" s="35" t="s">
        <v>7510</v>
      </c>
      <c r="AO42" s="35" t="s">
        <v>7511</v>
      </c>
      <c r="AP42" s="35" t="s">
        <v>7512</v>
      </c>
      <c r="AQ42" s="34"/>
      <c r="AR42" s="34"/>
      <c r="AS42" s="37"/>
      <c r="AT42" s="37"/>
      <c r="AU42" s="37"/>
      <c r="AV42" s="37"/>
      <c r="AW42" s="37"/>
      <c r="AX42" s="37"/>
      <c r="AY42" s="37"/>
      <c r="AZ42" s="37"/>
      <c r="BA42" s="37"/>
      <c r="BB42" s="37"/>
      <c r="BC42" s="35" t="s">
        <v>7509</v>
      </c>
      <c r="BD42" s="61" t="str">
        <f>+972 (0)54 323 3092</f>
        <v>#ERROR!</v>
      </c>
      <c r="BE42" s="35" t="s">
        <v>3744</v>
      </c>
      <c r="BF42" s="35" t="s">
        <v>7513</v>
      </c>
      <c r="BG42" s="34"/>
      <c r="BH42" s="35" t="s">
        <v>183</v>
      </c>
      <c r="BI42" s="34"/>
      <c r="BJ42" s="32">
        <v>7608802.0</v>
      </c>
      <c r="BK42" s="35" t="s">
        <v>41</v>
      </c>
      <c r="BL42" s="37" t="str">
        <f>+972 (0)54 323 3092</f>
        <v>#ERROR!</v>
      </c>
      <c r="BM42" s="37"/>
      <c r="BN42" s="35" t="s">
        <v>184</v>
      </c>
      <c r="BO42" s="35" t="s">
        <v>3584</v>
      </c>
      <c r="BP42" s="35" t="s">
        <v>3584</v>
      </c>
      <c r="BQ42" s="35" t="s">
        <v>7514</v>
      </c>
      <c r="BR42" s="35" t="s">
        <v>7515</v>
      </c>
      <c r="BS42" s="32">
        <v>1.0</v>
      </c>
      <c r="BT42" s="34"/>
      <c r="BU42" s="34"/>
      <c r="BV42" s="34"/>
      <c r="BW42" s="35" t="s">
        <v>7516</v>
      </c>
      <c r="BX42" s="34"/>
      <c r="BY42" s="34"/>
      <c r="BZ42" s="34"/>
      <c r="CA42" s="34"/>
      <c r="CB42" s="62">
        <v>44287.0</v>
      </c>
      <c r="CC42" s="37"/>
      <c r="CD42" s="34"/>
      <c r="CE42" s="37"/>
      <c r="CF42" s="34"/>
      <c r="CG42" s="35" t="s">
        <v>3698</v>
      </c>
      <c r="CH42" s="35" t="s">
        <v>3698</v>
      </c>
      <c r="CI42" s="34"/>
      <c r="CJ42" s="35" t="s">
        <v>3573</v>
      </c>
      <c r="CK42" s="34"/>
      <c r="CL42" s="35" t="s">
        <v>3591</v>
      </c>
      <c r="CM42" s="62">
        <v>44287.0</v>
      </c>
      <c r="CN42" s="37"/>
      <c r="CO42" s="34"/>
      <c r="CP42" s="37"/>
      <c r="CQ42" s="34"/>
      <c r="CR42" s="35" t="s">
        <v>3698</v>
      </c>
      <c r="CS42" s="35" t="s">
        <v>3698</v>
      </c>
      <c r="CT42" s="34"/>
      <c r="CU42" s="35" t="s">
        <v>3573</v>
      </c>
      <c r="CV42" s="37"/>
      <c r="CW42" s="37"/>
      <c r="CX42" s="34"/>
      <c r="CY42" s="35" t="s">
        <v>3591</v>
      </c>
      <c r="CZ42" s="39">
        <v>0.0</v>
      </c>
      <c r="DA42" s="32">
        <v>19.0</v>
      </c>
      <c r="DB42" s="39">
        <v>0.0</v>
      </c>
      <c r="DC42" s="39">
        <v>0.0</v>
      </c>
      <c r="DD42" s="39">
        <v>0.0</v>
      </c>
      <c r="DE42" s="32">
        <v>17.0</v>
      </c>
      <c r="DF42" s="37"/>
      <c r="DG42" s="37"/>
      <c r="DH42" s="39">
        <v>0.0</v>
      </c>
      <c r="DI42" s="32">
        <v>17.0</v>
      </c>
      <c r="DJ42" s="32" t="s">
        <v>9766</v>
      </c>
      <c r="DK42" s="32">
        <v>56.0</v>
      </c>
      <c r="DL42" s="32" t="s">
        <v>3598</v>
      </c>
      <c r="DM42" s="39">
        <v>0.0</v>
      </c>
      <c r="DN42" s="32" t="s">
        <v>9766</v>
      </c>
      <c r="DO42" s="32">
        <v>57.0</v>
      </c>
      <c r="DP42" s="37"/>
      <c r="DQ42" s="37"/>
      <c r="DR42" s="32" t="s">
        <v>9766</v>
      </c>
      <c r="DS42" s="32">
        <v>55.0</v>
      </c>
      <c r="DT42" s="37"/>
      <c r="DU42" s="37"/>
      <c r="DV42" s="37"/>
      <c r="DW42" s="32">
        <v>21.0</v>
      </c>
      <c r="DX42" s="32">
        <v>0.0</v>
      </c>
      <c r="DY42" s="39">
        <v>0.0</v>
      </c>
      <c r="DZ42" s="32">
        <v>11.0</v>
      </c>
      <c r="EA42" s="32">
        <v>2.0</v>
      </c>
      <c r="EB42" s="32">
        <v>5.0</v>
      </c>
      <c r="EC42" s="32">
        <v>4.0</v>
      </c>
      <c r="ED42" s="37"/>
      <c r="EE42" s="32">
        <v>2.0</v>
      </c>
      <c r="EF42" s="35" t="s">
        <v>6993</v>
      </c>
      <c r="EG42" s="37"/>
      <c r="EH42" s="37"/>
      <c r="EI42" s="34"/>
      <c r="EJ42" s="37"/>
      <c r="EK42" s="37"/>
      <c r="EL42" s="37"/>
      <c r="EM42" s="34"/>
      <c r="EN42" s="37"/>
      <c r="EO42" s="37"/>
      <c r="EP42" s="37"/>
      <c r="EQ42" s="37"/>
      <c r="ER42" s="35" t="s">
        <v>8495</v>
      </c>
      <c r="ES42" s="34"/>
      <c r="ET42" s="35" t="s">
        <v>47</v>
      </c>
      <c r="EU42" s="32">
        <v>18.0</v>
      </c>
      <c r="EV42" s="40" t="s">
        <v>3559</v>
      </c>
    </row>
    <row r="43">
      <c r="B43" s="42" t="s">
        <v>413</v>
      </c>
      <c r="C43" s="41">
        <v>14.0</v>
      </c>
      <c r="D43" s="42" t="s">
        <v>9767</v>
      </c>
      <c r="E43" s="42" t="s">
        <v>3563</v>
      </c>
      <c r="F43" s="42" t="s">
        <v>3564</v>
      </c>
      <c r="G43" s="42" t="s">
        <v>3565</v>
      </c>
      <c r="H43" s="42" t="s">
        <v>3612</v>
      </c>
      <c r="I43" s="65">
        <v>45937.0</v>
      </c>
      <c r="J43" s="42" t="s">
        <v>4303</v>
      </c>
      <c r="K43" s="42" t="s">
        <v>4304</v>
      </c>
      <c r="L43" s="42" t="s">
        <v>4305</v>
      </c>
      <c r="M43" s="43"/>
      <c r="N43" s="42" t="s">
        <v>4299</v>
      </c>
      <c r="O43" s="42" t="s">
        <v>4300</v>
      </c>
      <c r="P43" s="42" t="s">
        <v>4306</v>
      </c>
      <c r="Q43" s="41">
        <v>72.0</v>
      </c>
      <c r="R43" s="42" t="s">
        <v>3602</v>
      </c>
      <c r="S43" s="47">
        <v>0.64</v>
      </c>
      <c r="T43" s="47">
        <v>0.36</v>
      </c>
      <c r="U43" s="42" t="s">
        <v>3603</v>
      </c>
      <c r="V43" s="47">
        <v>0.01</v>
      </c>
      <c r="W43" s="47">
        <v>0.63</v>
      </c>
      <c r="X43" s="42" t="s">
        <v>9768</v>
      </c>
      <c r="Y43" s="42" t="s">
        <v>4306</v>
      </c>
      <c r="Z43" s="42" t="s">
        <v>4302</v>
      </c>
      <c r="AA43" s="42" t="s">
        <v>3569</v>
      </c>
      <c r="AB43" s="41">
        <v>6.86</v>
      </c>
      <c r="AC43" s="42" t="s">
        <v>3571</v>
      </c>
      <c r="AD43" s="42" t="s">
        <v>3572</v>
      </c>
      <c r="AE43" s="42" t="s">
        <v>3573</v>
      </c>
      <c r="AF43" s="44" t="s">
        <v>4307</v>
      </c>
      <c r="AG43" s="44" t="s">
        <v>4308</v>
      </c>
      <c r="AH43" s="41">
        <v>14.0</v>
      </c>
      <c r="AI43" s="42" t="s">
        <v>9767</v>
      </c>
      <c r="AJ43" s="43"/>
      <c r="AK43" s="43"/>
      <c r="AL43" s="41">
        <v>2017.0</v>
      </c>
      <c r="AM43" s="43"/>
      <c r="AN43" s="42" t="s">
        <v>4311</v>
      </c>
      <c r="AO43" s="42" t="s">
        <v>4312</v>
      </c>
      <c r="AP43" s="42" t="s">
        <v>4313</v>
      </c>
      <c r="AQ43" s="43"/>
      <c r="AR43" s="43"/>
      <c r="AS43" s="41">
        <v>1.3</v>
      </c>
      <c r="AT43" s="45"/>
      <c r="AU43" s="45"/>
      <c r="AV43" s="45"/>
      <c r="AW43" s="45"/>
      <c r="AX43" s="45"/>
      <c r="AY43" s="45"/>
      <c r="AZ43" s="45"/>
      <c r="BA43" s="47">
        <v>5.5</v>
      </c>
      <c r="BB43" s="41" t="s">
        <v>3716</v>
      </c>
      <c r="BC43" s="42" t="s">
        <v>4310</v>
      </c>
      <c r="BD43" s="64" t="str">
        <f>+972 (0)52 347 6647</f>
        <v>#ERROR!</v>
      </c>
      <c r="BE43" s="42" t="s">
        <v>3581</v>
      </c>
      <c r="BF43" s="42" t="s">
        <v>4314</v>
      </c>
      <c r="BG43" s="42" t="s">
        <v>4315</v>
      </c>
      <c r="BH43" s="42" t="s">
        <v>75</v>
      </c>
      <c r="BI43" s="43"/>
      <c r="BJ43" s="45"/>
      <c r="BK43" s="42" t="s">
        <v>41</v>
      </c>
      <c r="BL43" s="45" t="str">
        <f>+972 (0)54 774 5401</f>
        <v>#ERROR!</v>
      </c>
      <c r="BM43" s="45"/>
      <c r="BN43" s="42" t="s">
        <v>419</v>
      </c>
      <c r="BO43" s="42" t="s">
        <v>3584</v>
      </c>
      <c r="BP43" s="42" t="s">
        <v>3584</v>
      </c>
      <c r="BQ43" s="42" t="s">
        <v>4316</v>
      </c>
      <c r="BR43" s="42" t="s">
        <v>4317</v>
      </c>
      <c r="BS43" s="41">
        <v>17.0</v>
      </c>
      <c r="BT43" s="43"/>
      <c r="BU43" s="43"/>
      <c r="BV43" s="43"/>
      <c r="BW43" s="42" t="s">
        <v>4318</v>
      </c>
      <c r="BX43" s="43"/>
      <c r="BY43" s="43"/>
      <c r="BZ43" s="42" t="s">
        <v>4319</v>
      </c>
      <c r="CA43" s="43"/>
      <c r="CB43" s="63">
        <v>42816.0</v>
      </c>
      <c r="CC43" s="41">
        <v>0.02</v>
      </c>
      <c r="CD43" s="42" t="s">
        <v>3593</v>
      </c>
      <c r="CE43" s="41">
        <v>0.27</v>
      </c>
      <c r="CF43" s="42" t="s">
        <v>3593</v>
      </c>
      <c r="CG43" s="42" t="s">
        <v>3589</v>
      </c>
      <c r="CH43" s="43"/>
      <c r="CI43" s="43"/>
      <c r="CJ43" s="42" t="s">
        <v>3590</v>
      </c>
      <c r="CK43" s="43"/>
      <c r="CL43" s="42" t="s">
        <v>3591</v>
      </c>
      <c r="CM43" s="45"/>
      <c r="CN43" s="41">
        <v>1.0</v>
      </c>
      <c r="CO43" s="42" t="s">
        <v>3593</v>
      </c>
      <c r="CP43" s="45"/>
      <c r="CQ43" s="43"/>
      <c r="CR43" s="42" t="s">
        <v>3594</v>
      </c>
      <c r="CS43" s="43"/>
      <c r="CT43" s="43"/>
      <c r="CU43" s="42" t="s">
        <v>3573</v>
      </c>
      <c r="CV43" s="45"/>
      <c r="CW43" s="45"/>
      <c r="CX43" s="43"/>
      <c r="CY43" s="42" t="s">
        <v>4321</v>
      </c>
      <c r="CZ43" s="47">
        <v>-0.0075</v>
      </c>
      <c r="DA43" s="41">
        <v>10.0</v>
      </c>
      <c r="DB43" s="47">
        <v>0.0</v>
      </c>
      <c r="DC43" s="47">
        <v>0.0</v>
      </c>
      <c r="DD43" s="47">
        <v>-0.0075</v>
      </c>
      <c r="DE43" s="41">
        <v>10.0</v>
      </c>
      <c r="DF43" s="45"/>
      <c r="DG43" s="45"/>
      <c r="DH43" s="47">
        <v>-0.0075</v>
      </c>
      <c r="DI43" s="41">
        <v>11.0</v>
      </c>
      <c r="DJ43" s="41" t="s">
        <v>9769</v>
      </c>
      <c r="DK43" s="41">
        <v>91.0</v>
      </c>
      <c r="DL43" s="41" t="s">
        <v>3598</v>
      </c>
      <c r="DM43" s="47">
        <v>0.0</v>
      </c>
      <c r="DN43" s="41" t="s">
        <v>9769</v>
      </c>
      <c r="DO43" s="41">
        <v>91.0</v>
      </c>
      <c r="DP43" s="45"/>
      <c r="DQ43" s="45"/>
      <c r="DR43" s="41" t="s">
        <v>9769</v>
      </c>
      <c r="DS43" s="41">
        <v>89.0</v>
      </c>
      <c r="DT43" s="45"/>
      <c r="DU43" s="45"/>
      <c r="DV43" s="45"/>
      <c r="DW43" s="41">
        <v>242.0</v>
      </c>
      <c r="DX43" s="41">
        <v>-1.0</v>
      </c>
      <c r="DY43" s="47">
        <v>-0.0041</v>
      </c>
      <c r="DZ43" s="41">
        <v>4.0</v>
      </c>
      <c r="EA43" s="41">
        <v>1.0</v>
      </c>
      <c r="EB43" s="45"/>
      <c r="EC43" s="41">
        <v>2.0</v>
      </c>
      <c r="ED43" s="45"/>
      <c r="EE43" s="41">
        <v>2.0</v>
      </c>
      <c r="EF43" s="42" t="s">
        <v>4324</v>
      </c>
      <c r="EG43" s="41">
        <v>7.71</v>
      </c>
      <c r="EH43" s="70">
        <v>44697.0</v>
      </c>
      <c r="EI43" s="42" t="s">
        <v>3594</v>
      </c>
      <c r="EJ43" s="45"/>
      <c r="EK43" s="45"/>
      <c r="EL43" s="45"/>
      <c r="EM43" s="43"/>
      <c r="EN43" s="45"/>
      <c r="EO43" s="45"/>
      <c r="EP43" s="45"/>
      <c r="EQ43" s="45"/>
      <c r="ER43" s="42" t="s">
        <v>3612</v>
      </c>
      <c r="ES43" s="43"/>
      <c r="ET43" s="42" t="s">
        <v>47</v>
      </c>
      <c r="EU43" s="41">
        <v>20.0</v>
      </c>
      <c r="EV43" s="48" t="s">
        <v>3559</v>
      </c>
    </row>
    <row r="44">
      <c r="B44" s="42" t="s">
        <v>7575</v>
      </c>
      <c r="C44" s="41">
        <v>9.0</v>
      </c>
      <c r="D44" s="42" t="s">
        <v>9770</v>
      </c>
      <c r="E44" s="42" t="s">
        <v>3563</v>
      </c>
      <c r="F44" s="42" t="s">
        <v>3564</v>
      </c>
      <c r="G44" s="42" t="s">
        <v>3565</v>
      </c>
      <c r="H44" s="42" t="s">
        <v>3612</v>
      </c>
      <c r="I44" s="63">
        <v>45950.0</v>
      </c>
      <c r="J44" s="42" t="s">
        <v>7577</v>
      </c>
      <c r="K44" s="42" t="s">
        <v>4000</v>
      </c>
      <c r="L44" s="42" t="s">
        <v>7578</v>
      </c>
      <c r="M44" s="43"/>
      <c r="N44" s="43"/>
      <c r="O44" s="43"/>
      <c r="P44" s="42" t="s">
        <v>7579</v>
      </c>
      <c r="Q44" s="45"/>
      <c r="R44" s="43"/>
      <c r="S44" s="45"/>
      <c r="T44" s="45"/>
      <c r="U44" s="43"/>
      <c r="V44" s="45"/>
      <c r="W44" s="45"/>
      <c r="X44" s="43"/>
      <c r="Y44" s="42" t="s">
        <v>7579</v>
      </c>
      <c r="Z44" s="42" t="s">
        <v>7576</v>
      </c>
      <c r="AA44" s="42" t="s">
        <v>3569</v>
      </c>
      <c r="AB44" s="45"/>
      <c r="AC44" s="42" t="s">
        <v>6041</v>
      </c>
      <c r="AD44" s="42" t="s">
        <v>3572</v>
      </c>
      <c r="AE44" s="42" t="s">
        <v>3573</v>
      </c>
      <c r="AF44" s="44" t="s">
        <v>7580</v>
      </c>
      <c r="AG44" s="44" t="s">
        <v>7581</v>
      </c>
      <c r="AH44" s="41">
        <v>9.0</v>
      </c>
      <c r="AI44" s="42" t="s">
        <v>9770</v>
      </c>
      <c r="AJ44" s="43"/>
      <c r="AK44" s="43"/>
      <c r="AL44" s="41">
        <v>2021.0</v>
      </c>
      <c r="AM44" s="43"/>
      <c r="AN44" s="42" t="s">
        <v>7584</v>
      </c>
      <c r="AO44" s="42" t="s">
        <v>3579</v>
      </c>
      <c r="AP44" s="42" t="s">
        <v>7585</v>
      </c>
      <c r="AQ44" s="43"/>
      <c r="AR44" s="43"/>
      <c r="AS44" s="45"/>
      <c r="AT44" s="45"/>
      <c r="AU44" s="45"/>
      <c r="AV44" s="45"/>
      <c r="AW44" s="45"/>
      <c r="AX44" s="45"/>
      <c r="AY44" s="45"/>
      <c r="AZ44" s="45"/>
      <c r="BA44" s="45"/>
      <c r="BB44" s="45"/>
      <c r="BC44" s="42" t="s">
        <v>7583</v>
      </c>
      <c r="BD44" s="64" t="str">
        <f>+972 (0)52 945 4423</f>
        <v>#ERROR!</v>
      </c>
      <c r="BE44" s="42" t="s">
        <v>4448</v>
      </c>
      <c r="BF44" s="42" t="s">
        <v>7586</v>
      </c>
      <c r="BG44" s="43"/>
      <c r="BH44" s="42" t="s">
        <v>485</v>
      </c>
      <c r="BI44" s="43"/>
      <c r="BJ44" s="45"/>
      <c r="BK44" s="42" t="s">
        <v>41</v>
      </c>
      <c r="BL44" s="45"/>
      <c r="BM44" s="45"/>
      <c r="BN44" s="42" t="s">
        <v>7587</v>
      </c>
      <c r="BO44" s="42" t="s">
        <v>3584</v>
      </c>
      <c r="BP44" s="42" t="s">
        <v>3584</v>
      </c>
      <c r="BQ44" s="42" t="s">
        <v>7588</v>
      </c>
      <c r="BR44" s="42" t="s">
        <v>7589</v>
      </c>
      <c r="BS44" s="41">
        <v>7.0</v>
      </c>
      <c r="BT44" s="43"/>
      <c r="BU44" s="43"/>
      <c r="BV44" s="43"/>
      <c r="BW44" s="42" t="s">
        <v>7590</v>
      </c>
      <c r="BX44" s="43"/>
      <c r="BY44" s="43"/>
      <c r="BZ44" s="43"/>
      <c r="CA44" s="42" t="s">
        <v>7591</v>
      </c>
      <c r="CB44" s="65">
        <v>44197.0</v>
      </c>
      <c r="CC44" s="45"/>
      <c r="CD44" s="43"/>
      <c r="CE44" s="45"/>
      <c r="CF44" s="43"/>
      <c r="CG44" s="42" t="s">
        <v>3589</v>
      </c>
      <c r="CH44" s="43"/>
      <c r="CI44" s="43"/>
      <c r="CJ44" s="42" t="s">
        <v>3590</v>
      </c>
      <c r="CK44" s="43"/>
      <c r="CL44" s="42" t="s">
        <v>3591</v>
      </c>
      <c r="CM44" s="63">
        <v>44762.0</v>
      </c>
      <c r="CN44" s="45"/>
      <c r="CO44" s="43"/>
      <c r="CP44" s="45"/>
      <c r="CQ44" s="43"/>
      <c r="CR44" s="42" t="s">
        <v>3669</v>
      </c>
      <c r="CS44" s="42" t="s">
        <v>7593</v>
      </c>
      <c r="CT44" s="43"/>
      <c r="CU44" s="42" t="s">
        <v>3573</v>
      </c>
      <c r="CV44" s="45"/>
      <c r="CW44" s="45"/>
      <c r="CX44" s="43"/>
      <c r="CY44" s="42" t="s">
        <v>3591</v>
      </c>
      <c r="CZ44" s="47">
        <v>0.0</v>
      </c>
      <c r="DA44" s="41">
        <v>19.0</v>
      </c>
      <c r="DB44" s="47">
        <v>0.0</v>
      </c>
      <c r="DC44" s="47">
        <v>0.0</v>
      </c>
      <c r="DD44" s="47">
        <v>0.0</v>
      </c>
      <c r="DE44" s="41">
        <v>17.0</v>
      </c>
      <c r="DF44" s="45"/>
      <c r="DG44" s="45"/>
      <c r="DH44" s="47">
        <v>0.0</v>
      </c>
      <c r="DI44" s="41">
        <v>17.0</v>
      </c>
      <c r="DJ44" s="41" t="s">
        <v>9674</v>
      </c>
      <c r="DK44" s="41">
        <v>55.0</v>
      </c>
      <c r="DL44" s="41" t="s">
        <v>3598</v>
      </c>
      <c r="DM44" s="47">
        <v>0.0</v>
      </c>
      <c r="DN44" s="41" t="s">
        <v>9674</v>
      </c>
      <c r="DO44" s="41">
        <v>56.0</v>
      </c>
      <c r="DP44" s="45"/>
      <c r="DQ44" s="45"/>
      <c r="DR44" s="41" t="s">
        <v>9674</v>
      </c>
      <c r="DS44" s="41">
        <v>54.0</v>
      </c>
      <c r="DT44" s="45"/>
      <c r="DU44" s="45"/>
      <c r="DV44" s="45"/>
      <c r="DW44" s="41">
        <v>20.0</v>
      </c>
      <c r="DX44" s="41">
        <v>0.0</v>
      </c>
      <c r="DY44" s="47">
        <v>0.0</v>
      </c>
      <c r="DZ44" s="45"/>
      <c r="EA44" s="45"/>
      <c r="EB44" s="45"/>
      <c r="EC44" s="45"/>
      <c r="ED44" s="45"/>
      <c r="EE44" s="45"/>
      <c r="EF44" s="43"/>
      <c r="EG44" s="45"/>
      <c r="EH44" s="45"/>
      <c r="EI44" s="43"/>
      <c r="EJ44" s="45"/>
      <c r="EK44" s="45"/>
      <c r="EL44" s="45"/>
      <c r="EM44" s="43"/>
      <c r="EN44" s="45"/>
      <c r="EO44" s="45"/>
      <c r="EP44" s="45"/>
      <c r="EQ44" s="45"/>
      <c r="ER44" s="42" t="s">
        <v>3612</v>
      </c>
      <c r="ES44" s="43"/>
      <c r="ET44" s="43"/>
      <c r="EU44" s="45"/>
      <c r="EV44" s="48" t="s">
        <v>3559</v>
      </c>
    </row>
    <row r="45">
      <c r="B45" s="35" t="s">
        <v>7802</v>
      </c>
      <c r="C45" s="32">
        <v>225.0</v>
      </c>
      <c r="D45" s="35" t="s">
        <v>9771</v>
      </c>
      <c r="E45" s="35" t="s">
        <v>3563</v>
      </c>
      <c r="F45" s="35" t="s">
        <v>3564</v>
      </c>
      <c r="G45" s="35" t="s">
        <v>3565</v>
      </c>
      <c r="H45" s="35" t="s">
        <v>3612</v>
      </c>
      <c r="I45" s="67">
        <v>45792.0</v>
      </c>
      <c r="J45" s="35" t="s">
        <v>7806</v>
      </c>
      <c r="K45" s="35" t="s">
        <v>7260</v>
      </c>
      <c r="L45" s="35" t="s">
        <v>7807</v>
      </c>
      <c r="M45" s="34"/>
      <c r="N45" s="35" t="s">
        <v>1473</v>
      </c>
      <c r="O45" s="35" t="s">
        <v>7803</v>
      </c>
      <c r="P45" s="35" t="s">
        <v>7808</v>
      </c>
      <c r="Q45" s="37"/>
      <c r="R45" s="34"/>
      <c r="S45" s="37"/>
      <c r="T45" s="37"/>
      <c r="U45" s="34"/>
      <c r="V45" s="37"/>
      <c r="W45" s="37"/>
      <c r="X45" s="35" t="s">
        <v>7804</v>
      </c>
      <c r="Y45" s="35" t="s">
        <v>7808</v>
      </c>
      <c r="Z45" s="35" t="s">
        <v>7805</v>
      </c>
      <c r="AA45" s="35" t="s">
        <v>5018</v>
      </c>
      <c r="AB45" s="32">
        <v>133.0</v>
      </c>
      <c r="AC45" s="35" t="s">
        <v>3571</v>
      </c>
      <c r="AD45" s="35" t="s">
        <v>4964</v>
      </c>
      <c r="AE45" s="35" t="s">
        <v>3573</v>
      </c>
      <c r="AF45" s="36" t="s">
        <v>7809</v>
      </c>
      <c r="AG45" s="36" t="s">
        <v>7810</v>
      </c>
      <c r="AH45" s="32">
        <v>225.0</v>
      </c>
      <c r="AI45" s="35" t="s">
        <v>9771</v>
      </c>
      <c r="AJ45" s="34"/>
      <c r="AK45" s="34"/>
      <c r="AL45" s="32">
        <v>2011.0</v>
      </c>
      <c r="AM45" s="35" t="s">
        <v>7766</v>
      </c>
      <c r="AN45" s="35" t="s">
        <v>7813</v>
      </c>
      <c r="AO45" s="35" t="s">
        <v>4093</v>
      </c>
      <c r="AP45" s="35" t="s">
        <v>1476</v>
      </c>
      <c r="AQ45" s="34"/>
      <c r="AR45" s="34"/>
      <c r="AS45" s="32">
        <v>5.91</v>
      </c>
      <c r="AT45" s="37"/>
      <c r="AU45" s="37"/>
      <c r="AV45" s="37"/>
      <c r="AW45" s="37"/>
      <c r="AX45" s="37"/>
      <c r="AY45" s="37"/>
      <c r="AZ45" s="37"/>
      <c r="BA45" s="37"/>
      <c r="BB45" s="32" t="s">
        <v>5383</v>
      </c>
      <c r="BC45" s="35" t="s">
        <v>7812</v>
      </c>
      <c r="BD45" s="61" t="str">
        <f>+972 (0)8 621 3146</f>
        <v>#ERROR!</v>
      </c>
      <c r="BE45" s="35" t="s">
        <v>4368</v>
      </c>
      <c r="BF45" s="35" t="s">
        <v>7814</v>
      </c>
      <c r="BG45" s="34"/>
      <c r="BH45" s="35" t="s">
        <v>1037</v>
      </c>
      <c r="BI45" s="34"/>
      <c r="BJ45" s="32">
        <v>7403635.0</v>
      </c>
      <c r="BK45" s="35" t="s">
        <v>41</v>
      </c>
      <c r="BL45" s="37" t="str">
        <f>+972 (0)8 621 3146</f>
        <v>#ERROR!</v>
      </c>
      <c r="BM45" s="37" t="str">
        <f>+972 (0)8 621 3145</f>
        <v>#ERROR!</v>
      </c>
      <c r="BN45" s="35" t="s">
        <v>7815</v>
      </c>
      <c r="BO45" s="35" t="s">
        <v>3584</v>
      </c>
      <c r="BP45" s="35" t="s">
        <v>3584</v>
      </c>
      <c r="BQ45" s="35" t="s">
        <v>7816</v>
      </c>
      <c r="BR45" s="34"/>
      <c r="BS45" s="37"/>
      <c r="BT45" s="35" t="s">
        <v>7766</v>
      </c>
      <c r="BU45" s="35" t="s">
        <v>7817</v>
      </c>
      <c r="BV45" s="34"/>
      <c r="BW45" s="34"/>
      <c r="BX45" s="35" t="s">
        <v>7818</v>
      </c>
      <c r="BY45" s="34"/>
      <c r="BZ45" s="35" t="s">
        <v>6280</v>
      </c>
      <c r="CA45" s="35" t="s">
        <v>7819</v>
      </c>
      <c r="CB45" s="60">
        <v>41017.0</v>
      </c>
      <c r="CC45" s="32">
        <v>3.5</v>
      </c>
      <c r="CD45" s="35" t="s">
        <v>3593</v>
      </c>
      <c r="CE45" s="37"/>
      <c r="CF45" s="34"/>
      <c r="CG45" s="35" t="s">
        <v>3669</v>
      </c>
      <c r="CH45" s="35" t="s">
        <v>3595</v>
      </c>
      <c r="CI45" s="34"/>
      <c r="CJ45" s="35" t="s">
        <v>3573</v>
      </c>
      <c r="CK45" s="34"/>
      <c r="CL45" s="35" t="s">
        <v>3591</v>
      </c>
      <c r="CM45" s="68">
        <v>43955.0</v>
      </c>
      <c r="CN45" s="32">
        <v>915.0</v>
      </c>
      <c r="CO45" s="35" t="s">
        <v>3593</v>
      </c>
      <c r="CP45" s="32">
        <v>915.0</v>
      </c>
      <c r="CQ45" s="35" t="s">
        <v>3697</v>
      </c>
      <c r="CR45" s="35" t="s">
        <v>4977</v>
      </c>
      <c r="CS45" s="34"/>
      <c r="CT45" s="34"/>
      <c r="CU45" s="35" t="s">
        <v>3663</v>
      </c>
      <c r="CV45" s="37"/>
      <c r="CW45" s="37"/>
      <c r="CX45" s="34"/>
      <c r="CY45" s="35" t="s">
        <v>3591</v>
      </c>
      <c r="CZ45" s="37"/>
      <c r="DA45" s="37"/>
      <c r="DB45" s="37"/>
      <c r="DC45" s="37"/>
      <c r="DD45" s="37"/>
      <c r="DE45" s="37"/>
      <c r="DF45" s="37"/>
      <c r="DG45" s="37"/>
      <c r="DH45" s="37"/>
      <c r="DI45" s="37"/>
      <c r="DJ45" s="37"/>
      <c r="DK45" s="37"/>
      <c r="DL45" s="37"/>
      <c r="DM45" s="37"/>
      <c r="DN45" s="37"/>
      <c r="DO45" s="37"/>
      <c r="DP45" s="37"/>
      <c r="DQ45" s="37"/>
      <c r="DR45" s="37"/>
      <c r="DS45" s="37"/>
      <c r="DT45" s="37"/>
      <c r="DU45" s="37"/>
      <c r="DV45" s="37"/>
      <c r="DW45" s="37"/>
      <c r="DX45" s="37"/>
      <c r="DY45" s="37"/>
      <c r="DZ45" s="32">
        <v>50.0</v>
      </c>
      <c r="EA45" s="32">
        <v>8.0</v>
      </c>
      <c r="EB45" s="32">
        <v>23.0</v>
      </c>
      <c r="EC45" s="32">
        <v>4.0</v>
      </c>
      <c r="ED45" s="37"/>
      <c r="EE45" s="32">
        <v>23.0</v>
      </c>
      <c r="EF45" s="35" t="s">
        <v>7823</v>
      </c>
      <c r="EG45" s="32">
        <v>915.0</v>
      </c>
      <c r="EH45" s="68">
        <v>43955.0</v>
      </c>
      <c r="EI45" s="35" t="s">
        <v>4977</v>
      </c>
      <c r="EJ45" s="37"/>
      <c r="EK45" s="37"/>
      <c r="EL45" s="37"/>
      <c r="EM45" s="34"/>
      <c r="EN45" s="37"/>
      <c r="EO45" s="37"/>
      <c r="EP45" s="32">
        <v>0.82</v>
      </c>
      <c r="EQ45" s="32">
        <v>0.82</v>
      </c>
      <c r="ER45" s="35" t="s">
        <v>3612</v>
      </c>
      <c r="ES45" s="34"/>
      <c r="ET45" s="35" t="s">
        <v>47</v>
      </c>
      <c r="EU45" s="32">
        <v>4.0</v>
      </c>
      <c r="EV45" s="40" t="s">
        <v>3559</v>
      </c>
    </row>
    <row r="46">
      <c r="B46" s="42" t="s">
        <v>2699</v>
      </c>
      <c r="C46" s="41">
        <v>32.0</v>
      </c>
      <c r="D46" s="42" t="s">
        <v>7871</v>
      </c>
      <c r="E46" s="42" t="s">
        <v>4560</v>
      </c>
      <c r="F46" s="42" t="s">
        <v>4561</v>
      </c>
      <c r="G46" s="42" t="s">
        <v>5511</v>
      </c>
      <c r="H46" s="42" t="s">
        <v>3612</v>
      </c>
      <c r="I46" s="70">
        <v>45806.0</v>
      </c>
      <c r="J46" s="42" t="s">
        <v>7865</v>
      </c>
      <c r="K46" s="42" t="s">
        <v>7866</v>
      </c>
      <c r="L46" s="42" t="s">
        <v>7867</v>
      </c>
      <c r="M46" s="43"/>
      <c r="N46" s="43"/>
      <c r="O46" s="42" t="s">
        <v>7863</v>
      </c>
      <c r="P46" s="42" t="s">
        <v>7868</v>
      </c>
      <c r="Q46" s="45"/>
      <c r="R46" s="43"/>
      <c r="S46" s="45"/>
      <c r="T46" s="45"/>
      <c r="U46" s="43"/>
      <c r="V46" s="45"/>
      <c r="W46" s="45"/>
      <c r="X46" s="43"/>
      <c r="Y46" s="42" t="s">
        <v>7868</v>
      </c>
      <c r="Z46" s="42" t="s">
        <v>7864</v>
      </c>
      <c r="AA46" s="42" t="s">
        <v>5018</v>
      </c>
      <c r="AB46" s="41">
        <v>4.0</v>
      </c>
      <c r="AC46" s="42" t="s">
        <v>3571</v>
      </c>
      <c r="AD46" s="42" t="s">
        <v>3572</v>
      </c>
      <c r="AE46" s="42" t="s">
        <v>3573</v>
      </c>
      <c r="AF46" s="44" t="s">
        <v>7869</v>
      </c>
      <c r="AG46" s="44" t="s">
        <v>7870</v>
      </c>
      <c r="AH46" s="41">
        <v>32.0</v>
      </c>
      <c r="AI46" s="42" t="s">
        <v>7871</v>
      </c>
      <c r="AJ46" s="43"/>
      <c r="AK46" s="43"/>
      <c r="AL46" s="41">
        <v>2011.0</v>
      </c>
      <c r="AM46" s="43"/>
      <c r="AN46" s="42" t="s">
        <v>7873</v>
      </c>
      <c r="AO46" s="42" t="s">
        <v>3982</v>
      </c>
      <c r="AP46" s="42" t="s">
        <v>7874</v>
      </c>
      <c r="AQ46" s="43"/>
      <c r="AR46" s="43"/>
      <c r="AS46" s="45"/>
      <c r="AT46" s="45"/>
      <c r="AU46" s="45"/>
      <c r="AV46" s="45"/>
      <c r="AW46" s="45"/>
      <c r="AX46" s="45"/>
      <c r="AY46" s="45"/>
      <c r="AZ46" s="45"/>
      <c r="BA46" s="45"/>
      <c r="BB46" s="45"/>
      <c r="BC46" s="42" t="s">
        <v>7872</v>
      </c>
      <c r="BD46" s="64" t="str">
        <f>+972 (0)73 391 3999</f>
        <v>#ERROR!</v>
      </c>
      <c r="BE46" s="42" t="s">
        <v>7875</v>
      </c>
      <c r="BF46" s="42" t="s">
        <v>7876</v>
      </c>
      <c r="BG46" s="43"/>
      <c r="BH46" s="42" t="s">
        <v>7877</v>
      </c>
      <c r="BI46" s="43"/>
      <c r="BJ46" s="41">
        <v>6092000.0</v>
      </c>
      <c r="BK46" s="42" t="s">
        <v>41</v>
      </c>
      <c r="BL46" s="45" t="str">
        <f>+972 (0)73 391 3999</f>
        <v>#ERROR!</v>
      </c>
      <c r="BM46" s="45"/>
      <c r="BN46" s="42" t="s">
        <v>2705</v>
      </c>
      <c r="BO46" s="42" t="s">
        <v>3584</v>
      </c>
      <c r="BP46" s="42" t="s">
        <v>3584</v>
      </c>
      <c r="BQ46" s="42" t="s">
        <v>7878</v>
      </c>
      <c r="BR46" s="43"/>
      <c r="BS46" s="45"/>
      <c r="BT46" s="43"/>
      <c r="BU46" s="43"/>
      <c r="BV46" s="43"/>
      <c r="BW46" s="43"/>
      <c r="BX46" s="43"/>
      <c r="BY46" s="43"/>
      <c r="BZ46" s="43"/>
      <c r="CA46" s="43"/>
      <c r="CB46" s="63">
        <v>41597.0</v>
      </c>
      <c r="CC46" s="41">
        <v>4.0</v>
      </c>
      <c r="CD46" s="42" t="s">
        <v>3593</v>
      </c>
      <c r="CE46" s="45"/>
      <c r="CF46" s="43"/>
      <c r="CG46" s="42" t="s">
        <v>3698</v>
      </c>
      <c r="CH46" s="42" t="s">
        <v>3698</v>
      </c>
      <c r="CI46" s="43"/>
      <c r="CJ46" s="42" t="s">
        <v>3573</v>
      </c>
      <c r="CK46" s="43"/>
      <c r="CL46" s="42" t="s">
        <v>3591</v>
      </c>
      <c r="CM46" s="65">
        <v>44896.0</v>
      </c>
      <c r="CN46" s="45"/>
      <c r="CO46" s="43"/>
      <c r="CP46" s="45"/>
      <c r="CQ46" s="43"/>
      <c r="CR46" s="42" t="s">
        <v>3830</v>
      </c>
      <c r="CS46" s="43"/>
      <c r="CT46" s="43"/>
      <c r="CU46" s="42" t="s">
        <v>3590</v>
      </c>
      <c r="CV46" s="45"/>
      <c r="CW46" s="45"/>
      <c r="CX46" s="43"/>
      <c r="CY46" s="42" t="s">
        <v>3591</v>
      </c>
      <c r="CZ46" s="45"/>
      <c r="DA46" s="45"/>
      <c r="DB46" s="45"/>
      <c r="DC46" s="45"/>
      <c r="DD46" s="45"/>
      <c r="DE46" s="45"/>
      <c r="DF46" s="45"/>
      <c r="DG46" s="45"/>
      <c r="DH46" s="45"/>
      <c r="DI46" s="45"/>
      <c r="DJ46" s="45"/>
      <c r="DK46" s="45"/>
      <c r="DL46" s="45"/>
      <c r="DM46" s="45"/>
      <c r="DN46" s="45"/>
      <c r="DO46" s="45"/>
      <c r="DP46" s="45"/>
      <c r="DQ46" s="45"/>
      <c r="DR46" s="45"/>
      <c r="DS46" s="45"/>
      <c r="DT46" s="45"/>
      <c r="DU46" s="45"/>
      <c r="DV46" s="45"/>
      <c r="DW46" s="45"/>
      <c r="DX46" s="45"/>
      <c r="DY46" s="45"/>
      <c r="DZ46" s="41">
        <v>30.0</v>
      </c>
      <c r="EA46" s="41">
        <v>6.0</v>
      </c>
      <c r="EB46" s="41">
        <v>20.0</v>
      </c>
      <c r="EC46" s="41">
        <v>6.0</v>
      </c>
      <c r="ED46" s="41">
        <v>1.0</v>
      </c>
      <c r="EE46" s="41">
        <v>4.0</v>
      </c>
      <c r="EF46" s="42" t="s">
        <v>7881</v>
      </c>
      <c r="EG46" s="45"/>
      <c r="EH46" s="45"/>
      <c r="EI46" s="43"/>
      <c r="EJ46" s="45"/>
      <c r="EK46" s="45"/>
      <c r="EL46" s="45"/>
      <c r="EM46" s="43"/>
      <c r="EN46" s="45"/>
      <c r="EO46" s="45"/>
      <c r="EP46" s="45"/>
      <c r="EQ46" s="45"/>
      <c r="ER46" s="42" t="s">
        <v>3612</v>
      </c>
      <c r="ES46" s="43"/>
      <c r="ET46" s="42" t="s">
        <v>47</v>
      </c>
      <c r="EU46" s="41">
        <v>24.0</v>
      </c>
      <c r="EV46" s="48" t="s">
        <v>3559</v>
      </c>
    </row>
    <row r="47">
      <c r="B47" s="42" t="s">
        <v>4079</v>
      </c>
      <c r="C47" s="41">
        <v>106.0</v>
      </c>
      <c r="D47" s="42" t="s">
        <v>9772</v>
      </c>
      <c r="E47" s="42" t="s">
        <v>3563</v>
      </c>
      <c r="F47" s="42" t="s">
        <v>3609</v>
      </c>
      <c r="G47" s="42" t="s">
        <v>3610</v>
      </c>
      <c r="H47" s="42" t="s">
        <v>9773</v>
      </c>
      <c r="I47" s="65">
        <v>45938.0</v>
      </c>
      <c r="J47" s="42" t="s">
        <v>4083</v>
      </c>
      <c r="K47" s="42" t="s">
        <v>4084</v>
      </c>
      <c r="L47" s="42" t="s">
        <v>4085</v>
      </c>
      <c r="M47" s="43"/>
      <c r="N47" s="42" t="s">
        <v>9774</v>
      </c>
      <c r="O47" s="42" t="s">
        <v>4080</v>
      </c>
      <c r="P47" s="42" t="s">
        <v>4086</v>
      </c>
      <c r="Q47" s="41">
        <v>74.0</v>
      </c>
      <c r="R47" s="42" t="s">
        <v>3602</v>
      </c>
      <c r="S47" s="47">
        <v>0.85</v>
      </c>
      <c r="T47" s="47">
        <v>0.15</v>
      </c>
      <c r="U47" s="42" t="s">
        <v>3603</v>
      </c>
      <c r="V47" s="47">
        <v>0.07</v>
      </c>
      <c r="W47" s="47">
        <v>0.78</v>
      </c>
      <c r="X47" s="42" t="s">
        <v>9775</v>
      </c>
      <c r="Y47" s="42" t="s">
        <v>4086</v>
      </c>
      <c r="Z47" s="42" t="s">
        <v>4082</v>
      </c>
      <c r="AA47" s="42" t="s">
        <v>3569</v>
      </c>
      <c r="AB47" s="41">
        <v>81.55</v>
      </c>
      <c r="AC47" s="42" t="s">
        <v>3571</v>
      </c>
      <c r="AD47" s="42" t="s">
        <v>3572</v>
      </c>
      <c r="AE47" s="42" t="s">
        <v>3573</v>
      </c>
      <c r="AF47" s="44" t="s">
        <v>4087</v>
      </c>
      <c r="AG47" s="44" t="s">
        <v>4088</v>
      </c>
      <c r="AH47" s="41">
        <v>106.0</v>
      </c>
      <c r="AI47" s="42" t="s">
        <v>9772</v>
      </c>
      <c r="AJ47" s="43"/>
      <c r="AK47" s="43"/>
      <c r="AL47" s="41">
        <v>2016.0</v>
      </c>
      <c r="AM47" s="43"/>
      <c r="AN47" s="42" t="s">
        <v>4092</v>
      </c>
      <c r="AO47" s="42" t="s">
        <v>4093</v>
      </c>
      <c r="AP47" s="42" t="s">
        <v>4094</v>
      </c>
      <c r="AQ47" s="43"/>
      <c r="AR47" s="43"/>
      <c r="AS47" s="45"/>
      <c r="AT47" s="45"/>
      <c r="AU47" s="45"/>
      <c r="AV47" s="45"/>
      <c r="AW47" s="45"/>
      <c r="AX47" s="45"/>
      <c r="AY47" s="45"/>
      <c r="AZ47" s="45"/>
      <c r="BA47" s="45"/>
      <c r="BB47" s="45"/>
      <c r="BC47" s="42" t="s">
        <v>4091</v>
      </c>
      <c r="BD47" s="64" t="str">
        <f>+972 (0)52 281 3733</f>
        <v>#ERROR!</v>
      </c>
      <c r="BE47" s="42" t="s">
        <v>4095</v>
      </c>
      <c r="BF47" s="42" t="s">
        <v>4096</v>
      </c>
      <c r="BG47" s="42" t="s">
        <v>9776</v>
      </c>
      <c r="BH47" s="42" t="s">
        <v>323</v>
      </c>
      <c r="BI47" s="43"/>
      <c r="BJ47" s="41">
        <v>5885825.0</v>
      </c>
      <c r="BK47" s="42" t="s">
        <v>41</v>
      </c>
      <c r="BL47" s="45" t="str">
        <f>+972 (0)52 281 3733</f>
        <v>#ERROR!</v>
      </c>
      <c r="BM47" s="45"/>
      <c r="BN47" s="42" t="s">
        <v>324</v>
      </c>
      <c r="BO47" s="42" t="s">
        <v>3584</v>
      </c>
      <c r="BP47" s="42" t="s">
        <v>3584</v>
      </c>
      <c r="BQ47" s="42" t="s">
        <v>4098</v>
      </c>
      <c r="BR47" s="42" t="s">
        <v>4099</v>
      </c>
      <c r="BS47" s="41">
        <v>6.0</v>
      </c>
      <c r="BT47" s="43"/>
      <c r="BU47" s="43"/>
      <c r="BV47" s="43"/>
      <c r="BW47" s="42" t="s">
        <v>4100</v>
      </c>
      <c r="BX47" s="43"/>
      <c r="BY47" s="43"/>
      <c r="BZ47" s="43"/>
      <c r="CA47" s="43"/>
      <c r="CB47" s="63">
        <v>42914.0</v>
      </c>
      <c r="CC47" s="45"/>
      <c r="CD47" s="43"/>
      <c r="CE47" s="45"/>
      <c r="CF47" s="43"/>
      <c r="CG47" s="42" t="s">
        <v>4102</v>
      </c>
      <c r="CH47" s="43"/>
      <c r="CI47" s="43"/>
      <c r="CJ47" s="42" t="s">
        <v>3590</v>
      </c>
      <c r="CK47" s="43"/>
      <c r="CL47" s="42" t="s">
        <v>3591</v>
      </c>
      <c r="CM47" s="65">
        <v>44652.0</v>
      </c>
      <c r="CN47" s="41">
        <v>51.0</v>
      </c>
      <c r="CO47" s="42" t="s">
        <v>3593</v>
      </c>
      <c r="CP47" s="45"/>
      <c r="CQ47" s="43"/>
      <c r="CR47" s="42" t="s">
        <v>3594</v>
      </c>
      <c r="CS47" s="42" t="s">
        <v>4072</v>
      </c>
      <c r="CT47" s="43"/>
      <c r="CU47" s="42" t="s">
        <v>3573</v>
      </c>
      <c r="CV47" s="45"/>
      <c r="CW47" s="45"/>
      <c r="CX47" s="43"/>
      <c r="CY47" s="42" t="s">
        <v>3591</v>
      </c>
      <c r="CZ47" s="47">
        <v>0.0013</v>
      </c>
      <c r="DA47" s="41">
        <v>87.0</v>
      </c>
      <c r="DB47" s="47">
        <v>0.0</v>
      </c>
      <c r="DC47" s="47">
        <v>0.0</v>
      </c>
      <c r="DD47" s="47">
        <v>0.0013</v>
      </c>
      <c r="DE47" s="41">
        <v>91.0</v>
      </c>
      <c r="DF47" s="45"/>
      <c r="DG47" s="45"/>
      <c r="DH47" s="47">
        <v>0.0013</v>
      </c>
      <c r="DI47" s="41">
        <v>92.0</v>
      </c>
      <c r="DJ47" s="41" t="s">
        <v>9777</v>
      </c>
      <c r="DK47" s="41">
        <v>90.0</v>
      </c>
      <c r="DL47" s="41" t="s">
        <v>3598</v>
      </c>
      <c r="DM47" s="47">
        <v>0.0</v>
      </c>
      <c r="DN47" s="41" t="s">
        <v>9777</v>
      </c>
      <c r="DO47" s="41">
        <v>89.0</v>
      </c>
      <c r="DP47" s="45"/>
      <c r="DQ47" s="45"/>
      <c r="DR47" s="41" t="s">
        <v>9777</v>
      </c>
      <c r="DS47" s="41">
        <v>87.0</v>
      </c>
      <c r="DT47" s="45"/>
      <c r="DU47" s="45"/>
      <c r="DV47" s="45"/>
      <c r="DW47" s="41">
        <v>210.0</v>
      </c>
      <c r="DX47" s="41">
        <v>0.0</v>
      </c>
      <c r="DY47" s="47">
        <v>0.0</v>
      </c>
      <c r="DZ47" s="41">
        <v>146.0</v>
      </c>
      <c r="EA47" s="41">
        <v>20.0</v>
      </c>
      <c r="EB47" s="41">
        <v>64.0</v>
      </c>
      <c r="EC47" s="41">
        <v>49.0</v>
      </c>
      <c r="ED47" s="41">
        <v>1.0</v>
      </c>
      <c r="EE47" s="41">
        <v>33.0</v>
      </c>
      <c r="EF47" s="42" t="s">
        <v>4106</v>
      </c>
      <c r="EG47" s="41">
        <v>65.76</v>
      </c>
      <c r="EH47" s="65">
        <v>43837.0</v>
      </c>
      <c r="EI47" s="42" t="s">
        <v>3669</v>
      </c>
      <c r="EJ47" s="45"/>
      <c r="EK47" s="45"/>
      <c r="EL47" s="45"/>
      <c r="EM47" s="42" t="s">
        <v>4108</v>
      </c>
      <c r="EN47" s="45"/>
      <c r="EO47" s="45"/>
      <c r="EP47" s="45"/>
      <c r="EQ47" s="45"/>
      <c r="ER47" s="42" t="s">
        <v>9773</v>
      </c>
      <c r="ES47" s="43"/>
      <c r="ET47" s="43"/>
      <c r="EU47" s="45"/>
      <c r="EV47" s="48" t="s">
        <v>3559</v>
      </c>
    </row>
    <row r="48">
      <c r="B48" s="42" t="s">
        <v>1878</v>
      </c>
      <c r="C48" s="41">
        <v>366.0</v>
      </c>
      <c r="D48" s="42" t="s">
        <v>9778</v>
      </c>
      <c r="E48" s="42" t="s">
        <v>3867</v>
      </c>
      <c r="F48" s="42" t="s">
        <v>3868</v>
      </c>
      <c r="G48" s="42" t="s">
        <v>3869</v>
      </c>
      <c r="H48" s="42" t="s">
        <v>3612</v>
      </c>
      <c r="I48" s="65">
        <v>45967.0</v>
      </c>
      <c r="J48" s="42" t="s">
        <v>3925</v>
      </c>
      <c r="K48" s="42" t="s">
        <v>3926</v>
      </c>
      <c r="L48" s="42" t="s">
        <v>3927</v>
      </c>
      <c r="M48" s="43"/>
      <c r="N48" s="43"/>
      <c r="O48" s="42" t="s">
        <v>3922</v>
      </c>
      <c r="P48" s="42" t="s">
        <v>3928</v>
      </c>
      <c r="Q48" s="41">
        <v>65.0</v>
      </c>
      <c r="R48" s="42" t="s">
        <v>3602</v>
      </c>
      <c r="S48" s="47">
        <v>0.95</v>
      </c>
      <c r="T48" s="47">
        <v>0.05</v>
      </c>
      <c r="U48" s="42" t="s">
        <v>3603</v>
      </c>
      <c r="V48" s="47">
        <v>0.18</v>
      </c>
      <c r="W48" s="47">
        <v>0.77</v>
      </c>
      <c r="X48" s="42" t="s">
        <v>9779</v>
      </c>
      <c r="Y48" s="42" t="s">
        <v>3928</v>
      </c>
      <c r="Z48" s="42" t="s">
        <v>3924</v>
      </c>
      <c r="AA48" s="42" t="s">
        <v>3569</v>
      </c>
      <c r="AB48" s="41">
        <v>246.63</v>
      </c>
      <c r="AC48" s="42" t="s">
        <v>3571</v>
      </c>
      <c r="AD48" s="42" t="s">
        <v>3572</v>
      </c>
      <c r="AE48" s="42" t="s">
        <v>3573</v>
      </c>
      <c r="AF48" s="44" t="s">
        <v>3929</v>
      </c>
      <c r="AG48" s="44" t="s">
        <v>3930</v>
      </c>
      <c r="AH48" s="41">
        <v>366.0</v>
      </c>
      <c r="AI48" s="42" t="s">
        <v>9778</v>
      </c>
      <c r="AJ48" s="43"/>
      <c r="AK48" s="43"/>
      <c r="AL48" s="41">
        <v>2014.0</v>
      </c>
      <c r="AM48" s="43"/>
      <c r="AN48" s="42" t="s">
        <v>3934</v>
      </c>
      <c r="AO48" s="42" t="s">
        <v>3579</v>
      </c>
      <c r="AP48" s="42" t="s">
        <v>3935</v>
      </c>
      <c r="AQ48" s="43"/>
      <c r="AR48" s="43"/>
      <c r="AS48" s="45"/>
      <c r="AT48" s="45"/>
      <c r="AU48" s="45"/>
      <c r="AV48" s="45"/>
      <c r="AW48" s="45"/>
      <c r="AX48" s="45"/>
      <c r="AY48" s="45"/>
      <c r="AZ48" s="45"/>
      <c r="BA48" s="45"/>
      <c r="BB48" s="41" t="s">
        <v>3932</v>
      </c>
      <c r="BC48" s="42" t="s">
        <v>3933</v>
      </c>
      <c r="BD48" s="64" t="str">
        <f>+972 (0)73 372 9586</f>
        <v>#ERROR!</v>
      </c>
      <c r="BE48" s="42" t="s">
        <v>3581</v>
      </c>
      <c r="BF48" s="42" t="s">
        <v>3936</v>
      </c>
      <c r="BG48" s="42" t="s">
        <v>3937</v>
      </c>
      <c r="BH48" s="42" t="s">
        <v>75</v>
      </c>
      <c r="BI48" s="43"/>
      <c r="BJ48" s="41">
        <v>6473309.0</v>
      </c>
      <c r="BK48" s="42" t="s">
        <v>41</v>
      </c>
      <c r="BL48" s="45" t="str">
        <f>+972 (0)73 372 9586</f>
        <v>#ERROR!</v>
      </c>
      <c r="BM48" s="45" t="str">
        <f>+972 (0)73 372 9591</f>
        <v>#ERROR!</v>
      </c>
      <c r="BN48" s="42" t="s">
        <v>1886</v>
      </c>
      <c r="BO48" s="42" t="s">
        <v>3584</v>
      </c>
      <c r="BP48" s="42" t="s">
        <v>3584</v>
      </c>
      <c r="BQ48" s="42" t="s">
        <v>3938</v>
      </c>
      <c r="BR48" s="42" t="s">
        <v>3939</v>
      </c>
      <c r="BS48" s="41">
        <v>19.0</v>
      </c>
      <c r="BT48" s="43"/>
      <c r="BU48" s="43"/>
      <c r="BV48" s="43"/>
      <c r="BW48" s="42" t="s">
        <v>3940</v>
      </c>
      <c r="BX48" s="43"/>
      <c r="BY48" s="43"/>
      <c r="BZ48" s="43"/>
      <c r="CA48" s="42" t="s">
        <v>3695</v>
      </c>
      <c r="CB48" s="65">
        <v>41821.0</v>
      </c>
      <c r="CC48" s="45"/>
      <c r="CD48" s="43"/>
      <c r="CE48" s="45"/>
      <c r="CF48" s="43"/>
      <c r="CG48" s="42" t="s">
        <v>3589</v>
      </c>
      <c r="CH48" s="43"/>
      <c r="CI48" s="43"/>
      <c r="CJ48" s="42" t="s">
        <v>3590</v>
      </c>
      <c r="CK48" s="43"/>
      <c r="CL48" s="42" t="s">
        <v>3591</v>
      </c>
      <c r="CM48" s="70">
        <v>44691.0</v>
      </c>
      <c r="CN48" s="41">
        <v>100.0</v>
      </c>
      <c r="CO48" s="42" t="s">
        <v>3593</v>
      </c>
      <c r="CP48" s="51">
        <v>1300.0</v>
      </c>
      <c r="CQ48" s="42" t="s">
        <v>3593</v>
      </c>
      <c r="CR48" s="42" t="s">
        <v>3594</v>
      </c>
      <c r="CS48" s="42" t="s">
        <v>3943</v>
      </c>
      <c r="CT48" s="43"/>
      <c r="CU48" s="42" t="s">
        <v>3573</v>
      </c>
      <c r="CV48" s="70">
        <v>44691.0</v>
      </c>
      <c r="CW48" s="41">
        <v>20.06</v>
      </c>
      <c r="CX48" s="42" t="s">
        <v>3944</v>
      </c>
      <c r="CY48" s="42" t="s">
        <v>3591</v>
      </c>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1">
        <v>19.0</v>
      </c>
      <c r="EA48" s="41">
        <v>4.0</v>
      </c>
      <c r="EB48" s="45"/>
      <c r="EC48" s="45"/>
      <c r="ED48" s="45"/>
      <c r="EE48" s="41">
        <v>19.0</v>
      </c>
      <c r="EF48" s="43"/>
      <c r="EG48" s="51">
        <v>1300.0</v>
      </c>
      <c r="EH48" s="70">
        <v>44691.0</v>
      </c>
      <c r="EI48" s="42" t="s">
        <v>3594</v>
      </c>
      <c r="EJ48" s="45"/>
      <c r="EK48" s="45"/>
      <c r="EL48" s="45"/>
      <c r="EM48" s="43"/>
      <c r="EN48" s="45"/>
      <c r="EO48" s="45"/>
      <c r="EP48" s="41">
        <v>3.46</v>
      </c>
      <c r="EQ48" s="41">
        <v>3.46</v>
      </c>
      <c r="ER48" s="42" t="s">
        <v>3612</v>
      </c>
      <c r="ES48" s="43"/>
      <c r="ET48" s="42" t="s">
        <v>47</v>
      </c>
      <c r="EU48" s="41">
        <v>2.0</v>
      </c>
      <c r="EV48" s="48" t="s">
        <v>3559</v>
      </c>
    </row>
    <row r="49">
      <c r="B49" s="35" t="s">
        <v>2212</v>
      </c>
      <c r="C49" s="32">
        <v>34.0</v>
      </c>
      <c r="D49" s="35" t="s">
        <v>9780</v>
      </c>
      <c r="E49" s="35" t="s">
        <v>3563</v>
      </c>
      <c r="F49" s="35" t="s">
        <v>3564</v>
      </c>
      <c r="G49" s="35" t="s">
        <v>3565</v>
      </c>
      <c r="H49" s="35" t="s">
        <v>8495</v>
      </c>
      <c r="I49" s="62">
        <v>45994.0</v>
      </c>
      <c r="J49" s="35" t="s">
        <v>3734</v>
      </c>
      <c r="K49" s="35" t="s">
        <v>3811</v>
      </c>
      <c r="L49" s="35" t="s">
        <v>3812</v>
      </c>
      <c r="M49" s="34"/>
      <c r="N49" s="34"/>
      <c r="O49" s="35" t="s">
        <v>3809</v>
      </c>
      <c r="P49" s="35" t="s">
        <v>3813</v>
      </c>
      <c r="Q49" s="32">
        <v>94.0</v>
      </c>
      <c r="R49" s="35" t="s">
        <v>3602</v>
      </c>
      <c r="S49" s="39">
        <v>0.87</v>
      </c>
      <c r="T49" s="39">
        <v>0.13</v>
      </c>
      <c r="U49" s="35" t="s">
        <v>3603</v>
      </c>
      <c r="V49" s="39">
        <v>0.01</v>
      </c>
      <c r="W49" s="39">
        <v>0.86</v>
      </c>
      <c r="X49" s="34"/>
      <c r="Y49" s="35" t="s">
        <v>3813</v>
      </c>
      <c r="Z49" s="35" t="s">
        <v>3810</v>
      </c>
      <c r="AA49" s="35" t="s">
        <v>3569</v>
      </c>
      <c r="AB49" s="32">
        <v>49.0</v>
      </c>
      <c r="AC49" s="35" t="s">
        <v>3571</v>
      </c>
      <c r="AD49" s="35" t="s">
        <v>3572</v>
      </c>
      <c r="AE49" s="35" t="s">
        <v>3573</v>
      </c>
      <c r="AF49" s="36" t="s">
        <v>3814</v>
      </c>
      <c r="AG49" s="36" t="s">
        <v>3815</v>
      </c>
      <c r="AH49" s="32">
        <v>34.0</v>
      </c>
      <c r="AI49" s="35" t="s">
        <v>9780</v>
      </c>
      <c r="AJ49" s="34"/>
      <c r="AK49" s="34"/>
      <c r="AL49" s="32">
        <v>2018.0</v>
      </c>
      <c r="AM49" s="34"/>
      <c r="AN49" s="35" t="s">
        <v>3818</v>
      </c>
      <c r="AO49" s="35" t="s">
        <v>3819</v>
      </c>
      <c r="AP49" s="35" t="s">
        <v>3820</v>
      </c>
      <c r="AQ49" s="34"/>
      <c r="AR49" s="34"/>
      <c r="AS49" s="37"/>
      <c r="AT49" s="37"/>
      <c r="AU49" s="37"/>
      <c r="AV49" s="37"/>
      <c r="AW49" s="37"/>
      <c r="AX49" s="37"/>
      <c r="AY49" s="37"/>
      <c r="AZ49" s="37"/>
      <c r="BA49" s="37"/>
      <c r="BB49" s="37"/>
      <c r="BC49" s="35" t="s">
        <v>3817</v>
      </c>
      <c r="BD49" s="61" t="str">
        <f>+972 (0)52 233 0857</f>
        <v>#ERROR!</v>
      </c>
      <c r="BE49" s="35" t="s">
        <v>3581</v>
      </c>
      <c r="BF49" s="35" t="s">
        <v>3821</v>
      </c>
      <c r="BG49" s="34"/>
      <c r="BH49" s="35" t="s">
        <v>75</v>
      </c>
      <c r="BI49" s="34"/>
      <c r="BJ49" s="32">
        <v>6721502.0</v>
      </c>
      <c r="BK49" s="35" t="s">
        <v>41</v>
      </c>
      <c r="BL49" s="37" t="str">
        <f>+972 (0)52 233 0857</f>
        <v>#ERROR!</v>
      </c>
      <c r="BM49" s="37"/>
      <c r="BN49" s="35" t="s">
        <v>2217</v>
      </c>
      <c r="BO49" s="35" t="s">
        <v>3584</v>
      </c>
      <c r="BP49" s="35" t="s">
        <v>3584</v>
      </c>
      <c r="BQ49" s="35" t="s">
        <v>3822</v>
      </c>
      <c r="BR49" s="35" t="s">
        <v>9781</v>
      </c>
      <c r="BS49" s="32">
        <v>14.0</v>
      </c>
      <c r="BT49" s="34"/>
      <c r="BU49" s="35" t="s">
        <v>3824</v>
      </c>
      <c r="BV49" s="34"/>
      <c r="BW49" s="35" t="s">
        <v>9782</v>
      </c>
      <c r="BX49" s="35" t="s">
        <v>3826</v>
      </c>
      <c r="BY49" s="34"/>
      <c r="BZ49" s="35" t="s">
        <v>3827</v>
      </c>
      <c r="CA49" s="34"/>
      <c r="CB49" s="60">
        <v>43454.0</v>
      </c>
      <c r="CC49" s="32">
        <v>3.0</v>
      </c>
      <c r="CD49" s="35" t="s">
        <v>3593</v>
      </c>
      <c r="CE49" s="32">
        <v>6.07</v>
      </c>
      <c r="CF49" s="35" t="s">
        <v>3593</v>
      </c>
      <c r="CG49" s="35" t="s">
        <v>3698</v>
      </c>
      <c r="CH49" s="35" t="s">
        <v>3698</v>
      </c>
      <c r="CI49" s="34"/>
      <c r="CJ49" s="35" t="s">
        <v>3573</v>
      </c>
      <c r="CK49" s="35" t="s">
        <v>3829</v>
      </c>
      <c r="CL49" s="35" t="s">
        <v>3591</v>
      </c>
      <c r="CM49" s="37"/>
      <c r="CN49" s="37"/>
      <c r="CO49" s="34"/>
      <c r="CP49" s="37"/>
      <c r="CQ49" s="34"/>
      <c r="CR49" s="35" t="s">
        <v>3830</v>
      </c>
      <c r="CS49" s="34"/>
      <c r="CT49" s="34"/>
      <c r="CU49" s="35" t="s">
        <v>3573</v>
      </c>
      <c r="CV49" s="60">
        <v>44309.0</v>
      </c>
      <c r="CW49" s="32">
        <v>2.65</v>
      </c>
      <c r="CX49" s="34"/>
      <c r="CY49" s="35" t="s">
        <v>3591</v>
      </c>
      <c r="CZ49" s="37"/>
      <c r="DA49" s="37"/>
      <c r="DB49" s="37"/>
      <c r="DC49" s="37"/>
      <c r="DD49" s="37"/>
      <c r="DE49" s="37"/>
      <c r="DF49" s="37"/>
      <c r="DG49" s="37"/>
      <c r="DH49" s="37"/>
      <c r="DI49" s="37"/>
      <c r="DJ49" s="37"/>
      <c r="DK49" s="37"/>
      <c r="DL49" s="37"/>
      <c r="DM49" s="37"/>
      <c r="DN49" s="37"/>
      <c r="DO49" s="37"/>
      <c r="DP49" s="37"/>
      <c r="DQ49" s="37"/>
      <c r="DR49" s="37"/>
      <c r="DS49" s="37"/>
      <c r="DT49" s="37"/>
      <c r="DU49" s="37"/>
      <c r="DV49" s="37"/>
      <c r="DW49" s="37"/>
      <c r="DX49" s="37"/>
      <c r="DY49" s="37"/>
      <c r="DZ49" s="32">
        <v>28.0</v>
      </c>
      <c r="EA49" s="32">
        <v>12.0</v>
      </c>
      <c r="EB49" s="32">
        <v>25.0</v>
      </c>
      <c r="EC49" s="32">
        <v>3.0</v>
      </c>
      <c r="ED49" s="37"/>
      <c r="EE49" s="37"/>
      <c r="EF49" s="35" t="s">
        <v>3834</v>
      </c>
      <c r="EG49" s="32">
        <v>64.15</v>
      </c>
      <c r="EH49" s="68">
        <v>44687.0</v>
      </c>
      <c r="EI49" s="35" t="s">
        <v>3669</v>
      </c>
      <c r="EJ49" s="37"/>
      <c r="EK49" s="37"/>
      <c r="EL49" s="37"/>
      <c r="EM49" s="34"/>
      <c r="EN49" s="37"/>
      <c r="EO49" s="37"/>
      <c r="EP49" s="37"/>
      <c r="EQ49" s="32">
        <v>2.95</v>
      </c>
      <c r="ER49" s="35" t="s">
        <v>8495</v>
      </c>
      <c r="ES49" s="34"/>
      <c r="ET49" s="35" t="s">
        <v>47</v>
      </c>
      <c r="EU49" s="32">
        <v>7.0</v>
      </c>
      <c r="EV49" s="40" t="s">
        <v>3559</v>
      </c>
    </row>
    <row r="50">
      <c r="B50" s="55" t="s">
        <v>3560</v>
      </c>
      <c r="C50" s="41">
        <v>27.0</v>
      </c>
      <c r="D50" s="42" t="s">
        <v>9783</v>
      </c>
      <c r="E50" s="42" t="s">
        <v>3563</v>
      </c>
      <c r="F50" s="42" t="s">
        <v>3564</v>
      </c>
      <c r="G50" s="42" t="s">
        <v>3565</v>
      </c>
      <c r="H50" s="42" t="s">
        <v>3612</v>
      </c>
      <c r="I50" s="63">
        <v>45923.0</v>
      </c>
      <c r="J50" s="42" t="s">
        <v>3566</v>
      </c>
      <c r="K50" s="42" t="s">
        <v>3567</v>
      </c>
      <c r="L50" s="42" t="s">
        <v>3568</v>
      </c>
      <c r="M50" s="43"/>
      <c r="N50" s="43"/>
      <c r="O50" s="42" t="s">
        <v>3561</v>
      </c>
      <c r="P50" s="42" t="s">
        <v>3570</v>
      </c>
      <c r="Q50" s="41">
        <v>98.0</v>
      </c>
      <c r="R50" s="42" t="s">
        <v>3602</v>
      </c>
      <c r="S50" s="47">
        <v>0.96</v>
      </c>
      <c r="T50" s="47">
        <v>0.04</v>
      </c>
      <c r="U50" s="42" t="s">
        <v>3603</v>
      </c>
      <c r="V50" s="47">
        <v>0.01</v>
      </c>
      <c r="W50" s="47">
        <v>0.95</v>
      </c>
      <c r="X50" s="43"/>
      <c r="Y50" s="42" t="s">
        <v>3570</v>
      </c>
      <c r="Z50" s="42" t="s">
        <v>9784</v>
      </c>
      <c r="AA50" s="42" t="s">
        <v>3569</v>
      </c>
      <c r="AB50" s="41">
        <v>14.57</v>
      </c>
      <c r="AC50" s="42" t="s">
        <v>3571</v>
      </c>
      <c r="AD50" s="42" t="s">
        <v>3572</v>
      </c>
      <c r="AE50" s="42" t="s">
        <v>3573</v>
      </c>
      <c r="AF50" s="44" t="s">
        <v>3574</v>
      </c>
      <c r="AG50" s="44" t="s">
        <v>3575</v>
      </c>
      <c r="AH50" s="41">
        <v>27.0</v>
      </c>
      <c r="AI50" s="42" t="s">
        <v>9783</v>
      </c>
      <c r="AJ50" s="43"/>
      <c r="AK50" s="43"/>
      <c r="AL50" s="41">
        <v>2016.0</v>
      </c>
      <c r="AM50" s="43"/>
      <c r="AN50" s="42" t="s">
        <v>3578</v>
      </c>
      <c r="AO50" s="42" t="s">
        <v>3579</v>
      </c>
      <c r="AP50" s="42" t="s">
        <v>3580</v>
      </c>
      <c r="AQ50" s="43"/>
      <c r="AR50" s="43"/>
      <c r="AS50" s="45"/>
      <c r="AT50" s="45"/>
      <c r="AU50" s="45"/>
      <c r="AV50" s="45"/>
      <c r="AW50" s="45"/>
      <c r="AX50" s="45"/>
      <c r="AY50" s="45"/>
      <c r="AZ50" s="45"/>
      <c r="BA50" s="45"/>
      <c r="BB50" s="45"/>
      <c r="BC50" s="42" t="s">
        <v>3577</v>
      </c>
      <c r="BD50" s="64" t="str">
        <f>+1 (917) 417-5266</f>
        <v>#ERROR!</v>
      </c>
      <c r="BE50" s="42" t="s">
        <v>3581</v>
      </c>
      <c r="BF50" s="42" t="s">
        <v>3582</v>
      </c>
      <c r="BG50" s="43"/>
      <c r="BH50" s="42" t="s">
        <v>75</v>
      </c>
      <c r="BI50" s="43"/>
      <c r="BJ50" s="45"/>
      <c r="BK50" s="42" t="s">
        <v>41</v>
      </c>
      <c r="BL50" s="45" t="str">
        <f>+972 (0)58 670 1528</f>
        <v>#ERROR!</v>
      </c>
      <c r="BM50" s="45"/>
      <c r="BN50" s="42" t="s">
        <v>3583</v>
      </c>
      <c r="BO50" s="42" t="s">
        <v>3584</v>
      </c>
      <c r="BP50" s="42" t="s">
        <v>3584</v>
      </c>
      <c r="BQ50" s="42" t="s">
        <v>3585</v>
      </c>
      <c r="BR50" s="42" t="s">
        <v>3586</v>
      </c>
      <c r="BS50" s="41">
        <v>9.0</v>
      </c>
      <c r="BT50" s="43"/>
      <c r="BU50" s="43"/>
      <c r="BV50" s="43"/>
      <c r="BW50" s="42" t="s">
        <v>3587</v>
      </c>
      <c r="BX50" s="43"/>
      <c r="BY50" s="43"/>
      <c r="BZ50" s="43"/>
      <c r="CA50" s="43"/>
      <c r="CB50" s="65">
        <v>42979.0</v>
      </c>
      <c r="CC50" s="45"/>
      <c r="CD50" s="43"/>
      <c r="CE50" s="45"/>
      <c r="CF50" s="43"/>
      <c r="CG50" s="42" t="s">
        <v>3589</v>
      </c>
      <c r="CH50" s="43"/>
      <c r="CI50" s="43"/>
      <c r="CJ50" s="42" t="s">
        <v>3590</v>
      </c>
      <c r="CK50" s="43"/>
      <c r="CL50" s="42" t="s">
        <v>3591</v>
      </c>
      <c r="CM50" s="63">
        <v>45678.0</v>
      </c>
      <c r="CN50" s="41">
        <v>14.0</v>
      </c>
      <c r="CO50" s="42" t="s">
        <v>3593</v>
      </c>
      <c r="CP50" s="41">
        <v>44.05</v>
      </c>
      <c r="CQ50" s="42" t="s">
        <v>3593</v>
      </c>
      <c r="CR50" s="42" t="s">
        <v>3594</v>
      </c>
      <c r="CS50" s="42" t="s">
        <v>3595</v>
      </c>
      <c r="CT50" s="43"/>
      <c r="CU50" s="42" t="s">
        <v>3573</v>
      </c>
      <c r="CV50" s="63">
        <v>45678.0</v>
      </c>
      <c r="CW50" s="41">
        <v>2.99</v>
      </c>
      <c r="CX50" s="42" t="s">
        <v>3596</v>
      </c>
      <c r="CY50" s="42" t="s">
        <v>3591</v>
      </c>
      <c r="CZ50" s="47">
        <v>0.0252</v>
      </c>
      <c r="DA50" s="41">
        <v>98.0</v>
      </c>
      <c r="DB50" s="47">
        <v>0.0</v>
      </c>
      <c r="DC50" s="47">
        <v>0.0</v>
      </c>
      <c r="DD50" s="47">
        <v>0.0627</v>
      </c>
      <c r="DE50" s="41">
        <v>100.0</v>
      </c>
      <c r="DF50" s="45"/>
      <c r="DG50" s="45"/>
      <c r="DH50" s="47">
        <v>0.0627</v>
      </c>
      <c r="DI50" s="41">
        <v>100.0</v>
      </c>
      <c r="DJ50" s="41" t="s">
        <v>9785</v>
      </c>
      <c r="DK50" s="41">
        <v>80.0</v>
      </c>
      <c r="DL50" s="41" t="s">
        <v>3598</v>
      </c>
      <c r="DM50" s="47">
        <v>-3.0E-4</v>
      </c>
      <c r="DN50" s="41" t="s">
        <v>9786</v>
      </c>
      <c r="DO50" s="41">
        <v>92.0</v>
      </c>
      <c r="DP50" s="45"/>
      <c r="DQ50" s="45"/>
      <c r="DR50" s="41" t="s">
        <v>9786</v>
      </c>
      <c r="DS50" s="41">
        <v>92.0</v>
      </c>
      <c r="DT50" s="45"/>
      <c r="DU50" s="45"/>
      <c r="DV50" s="45"/>
      <c r="DW50" s="41">
        <v>295.0</v>
      </c>
      <c r="DX50" s="41">
        <v>11.0</v>
      </c>
      <c r="DY50" s="47">
        <v>0.0387</v>
      </c>
      <c r="DZ50" s="45"/>
      <c r="EA50" s="45"/>
      <c r="EB50" s="45"/>
      <c r="EC50" s="45"/>
      <c r="ED50" s="45"/>
      <c r="EE50" s="45"/>
      <c r="EF50" s="43"/>
      <c r="EG50" s="41">
        <v>44.05</v>
      </c>
      <c r="EH50" s="63">
        <v>45678.0</v>
      </c>
      <c r="EI50" s="42" t="s">
        <v>3594</v>
      </c>
      <c r="EJ50" s="45"/>
      <c r="EK50" s="45"/>
      <c r="EL50" s="45"/>
      <c r="EM50" s="43"/>
      <c r="EN50" s="45"/>
      <c r="EO50" s="45"/>
      <c r="EP50" s="45"/>
      <c r="EQ50" s="45"/>
      <c r="ER50" s="42" t="s">
        <v>3612</v>
      </c>
      <c r="ES50" s="43"/>
      <c r="ET50" s="42" t="s">
        <v>47</v>
      </c>
      <c r="EU50" s="41">
        <v>18.0</v>
      </c>
      <c r="EV50" s="48" t="s">
        <v>3559</v>
      </c>
    </row>
    <row r="51">
      <c r="B51" s="42" t="s">
        <v>8384</v>
      </c>
      <c r="C51" s="41">
        <v>200.0</v>
      </c>
      <c r="D51" s="42" t="s">
        <v>9787</v>
      </c>
      <c r="E51" s="42" t="s">
        <v>3563</v>
      </c>
      <c r="F51" s="42" t="s">
        <v>3564</v>
      </c>
      <c r="G51" s="42" t="s">
        <v>3642</v>
      </c>
      <c r="H51" s="42" t="s">
        <v>8250</v>
      </c>
      <c r="I51" s="63">
        <v>45916.0</v>
      </c>
      <c r="J51" s="42" t="s">
        <v>4135</v>
      </c>
      <c r="K51" s="42" t="s">
        <v>8389</v>
      </c>
      <c r="L51" s="42" t="s">
        <v>8390</v>
      </c>
      <c r="M51" s="42" t="s">
        <v>8385</v>
      </c>
      <c r="N51" s="43"/>
      <c r="O51" s="42" t="s">
        <v>8386</v>
      </c>
      <c r="P51" s="42" t="s">
        <v>8391</v>
      </c>
      <c r="Q51" s="45"/>
      <c r="R51" s="43"/>
      <c r="S51" s="45"/>
      <c r="T51" s="45"/>
      <c r="U51" s="43"/>
      <c r="V51" s="45"/>
      <c r="W51" s="45"/>
      <c r="X51" s="42" t="s">
        <v>9788</v>
      </c>
      <c r="Y51" s="42" t="s">
        <v>8391</v>
      </c>
      <c r="Z51" s="42" t="s">
        <v>8388</v>
      </c>
      <c r="AA51" s="42" t="s">
        <v>5018</v>
      </c>
      <c r="AB51" s="41">
        <v>25.11</v>
      </c>
      <c r="AC51" s="42" t="s">
        <v>3571</v>
      </c>
      <c r="AD51" s="42" t="s">
        <v>4964</v>
      </c>
      <c r="AE51" s="42" t="s">
        <v>3573</v>
      </c>
      <c r="AF51" s="44" t="s">
        <v>8392</v>
      </c>
      <c r="AG51" s="44" t="s">
        <v>8393</v>
      </c>
      <c r="AH51" s="41">
        <v>200.0</v>
      </c>
      <c r="AI51" s="42" t="s">
        <v>9787</v>
      </c>
      <c r="AJ51" s="43"/>
      <c r="AK51" s="43"/>
      <c r="AL51" s="41">
        <v>2014.0</v>
      </c>
      <c r="AM51" s="42" t="s">
        <v>8395</v>
      </c>
      <c r="AN51" s="42" t="s">
        <v>8397</v>
      </c>
      <c r="AO51" s="42" t="s">
        <v>4093</v>
      </c>
      <c r="AP51" s="42" t="s">
        <v>8398</v>
      </c>
      <c r="AQ51" s="43"/>
      <c r="AR51" s="43"/>
      <c r="AS51" s="45"/>
      <c r="AT51" s="45"/>
      <c r="AU51" s="45"/>
      <c r="AV51" s="45"/>
      <c r="AW51" s="45"/>
      <c r="AX51" s="45"/>
      <c r="AY51" s="45"/>
      <c r="AZ51" s="45"/>
      <c r="BA51" s="45"/>
      <c r="BB51" s="45"/>
      <c r="BC51" s="42" t="s">
        <v>8396</v>
      </c>
      <c r="BD51" s="64" t="str">
        <f>+972 (0)77 899 5100</f>
        <v>#ERROR!</v>
      </c>
      <c r="BE51" s="42" t="s">
        <v>3851</v>
      </c>
      <c r="BF51" s="42" t="s">
        <v>8399</v>
      </c>
      <c r="BG51" s="43"/>
      <c r="BH51" s="42" t="s">
        <v>616</v>
      </c>
      <c r="BI51" s="43"/>
      <c r="BJ51" s="41">
        <v>5252171.0</v>
      </c>
      <c r="BK51" s="42" t="s">
        <v>41</v>
      </c>
      <c r="BL51" s="45" t="str">
        <f>+972 (0)77 899 5100</f>
        <v>#ERROR!</v>
      </c>
      <c r="BM51" s="45"/>
      <c r="BN51" s="42" t="s">
        <v>8400</v>
      </c>
      <c r="BO51" s="42" t="s">
        <v>3584</v>
      </c>
      <c r="BP51" s="42" t="s">
        <v>3584</v>
      </c>
      <c r="BQ51" s="42" t="s">
        <v>8401</v>
      </c>
      <c r="BR51" s="43"/>
      <c r="BS51" s="45"/>
      <c r="BT51" s="42" t="s">
        <v>8395</v>
      </c>
      <c r="BU51" s="42" t="s">
        <v>9789</v>
      </c>
      <c r="BV51" s="43"/>
      <c r="BW51" s="43"/>
      <c r="BX51" s="42" t="s">
        <v>9790</v>
      </c>
      <c r="BY51" s="43"/>
      <c r="BZ51" s="43"/>
      <c r="CA51" s="43"/>
      <c r="CB51" s="45"/>
      <c r="CC51" s="45"/>
      <c r="CD51" s="43"/>
      <c r="CE51" s="45"/>
      <c r="CF51" s="43"/>
      <c r="CG51" s="42" t="s">
        <v>3669</v>
      </c>
      <c r="CH51" s="43"/>
      <c r="CI51" s="43"/>
      <c r="CJ51" s="42" t="s">
        <v>3573</v>
      </c>
      <c r="CK51" s="43"/>
      <c r="CL51" s="42" t="s">
        <v>3591</v>
      </c>
      <c r="CM51" s="63">
        <v>43038.0</v>
      </c>
      <c r="CN51" s="41">
        <v>420.0</v>
      </c>
      <c r="CO51" s="42" t="s">
        <v>3593</v>
      </c>
      <c r="CP51" s="41">
        <v>420.0</v>
      </c>
      <c r="CQ51" s="42" t="s">
        <v>3697</v>
      </c>
      <c r="CR51" s="42" t="s">
        <v>4977</v>
      </c>
      <c r="CS51" s="43"/>
      <c r="CT51" s="43"/>
      <c r="CU51" s="42" t="s">
        <v>3663</v>
      </c>
      <c r="CV51" s="45"/>
      <c r="CW51" s="45"/>
      <c r="CX51" s="43"/>
      <c r="CY51" s="42" t="s">
        <v>3591</v>
      </c>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1">
        <v>119.0</v>
      </c>
      <c r="EA51" s="41">
        <v>31.0</v>
      </c>
      <c r="EB51" s="41">
        <v>90.0</v>
      </c>
      <c r="EC51" s="41">
        <v>11.0</v>
      </c>
      <c r="ED51" s="45"/>
      <c r="EE51" s="41">
        <v>18.0</v>
      </c>
      <c r="EF51" s="42" t="s">
        <v>8406</v>
      </c>
      <c r="EG51" s="41">
        <v>420.0</v>
      </c>
      <c r="EH51" s="63">
        <v>43038.0</v>
      </c>
      <c r="EI51" s="42" t="s">
        <v>4977</v>
      </c>
      <c r="EJ51" s="45"/>
      <c r="EK51" s="45"/>
      <c r="EL51" s="45"/>
      <c r="EM51" s="43"/>
      <c r="EN51" s="45"/>
      <c r="EO51" s="45"/>
      <c r="EP51" s="45"/>
      <c r="EQ51" s="45"/>
      <c r="ER51" s="42" t="s">
        <v>8250</v>
      </c>
      <c r="ES51" s="43"/>
      <c r="ET51" s="42" t="s">
        <v>47</v>
      </c>
      <c r="EU51" s="41">
        <v>1.0</v>
      </c>
      <c r="EV51" s="48" t="s">
        <v>3559</v>
      </c>
    </row>
    <row r="52">
      <c r="B52" s="35" t="s">
        <v>769</v>
      </c>
      <c r="C52" s="32">
        <v>177.0</v>
      </c>
      <c r="D52" s="35" t="s">
        <v>9791</v>
      </c>
      <c r="E52" s="35" t="s">
        <v>3563</v>
      </c>
      <c r="F52" s="35" t="s">
        <v>3564</v>
      </c>
      <c r="G52" s="35" t="s">
        <v>3565</v>
      </c>
      <c r="H52" s="35" t="s">
        <v>9792</v>
      </c>
      <c r="I52" s="60">
        <v>45943.0</v>
      </c>
      <c r="J52" s="35" t="s">
        <v>3973</v>
      </c>
      <c r="K52" s="35" t="s">
        <v>3974</v>
      </c>
      <c r="L52" s="35" t="s">
        <v>3975</v>
      </c>
      <c r="M52" s="34"/>
      <c r="N52" s="34"/>
      <c r="O52" s="35" t="s">
        <v>3970</v>
      </c>
      <c r="P52" s="35" t="s">
        <v>3976</v>
      </c>
      <c r="Q52" s="32">
        <v>73.0</v>
      </c>
      <c r="R52" s="35" t="s">
        <v>3602</v>
      </c>
      <c r="S52" s="39">
        <v>0.85</v>
      </c>
      <c r="T52" s="39">
        <v>0.15</v>
      </c>
      <c r="U52" s="35" t="s">
        <v>3603</v>
      </c>
      <c r="V52" s="39">
        <v>0.06</v>
      </c>
      <c r="W52" s="39">
        <v>0.79</v>
      </c>
      <c r="X52" s="35" t="s">
        <v>9793</v>
      </c>
      <c r="Y52" s="35" t="s">
        <v>3976</v>
      </c>
      <c r="Z52" s="35" t="s">
        <v>3972</v>
      </c>
      <c r="AA52" s="35" t="s">
        <v>3569</v>
      </c>
      <c r="AB52" s="32">
        <v>16.32</v>
      </c>
      <c r="AC52" s="35" t="s">
        <v>3571</v>
      </c>
      <c r="AD52" s="35" t="s">
        <v>3572</v>
      </c>
      <c r="AE52" s="35" t="s">
        <v>3573</v>
      </c>
      <c r="AF52" s="36" t="s">
        <v>3977</v>
      </c>
      <c r="AG52" s="36" t="s">
        <v>3978</v>
      </c>
      <c r="AH52" s="32">
        <v>177.0</v>
      </c>
      <c r="AI52" s="35" t="s">
        <v>9791</v>
      </c>
      <c r="AJ52" s="34"/>
      <c r="AK52" s="34"/>
      <c r="AL52" s="32">
        <v>2003.0</v>
      </c>
      <c r="AM52" s="34"/>
      <c r="AN52" s="35" t="s">
        <v>3981</v>
      </c>
      <c r="AO52" s="35" t="s">
        <v>3982</v>
      </c>
      <c r="AP52" s="35" t="s">
        <v>3983</v>
      </c>
      <c r="AQ52" s="34"/>
      <c r="AR52" s="34"/>
      <c r="AS52" s="37"/>
      <c r="AT52" s="37"/>
      <c r="AU52" s="37"/>
      <c r="AV52" s="37"/>
      <c r="AW52" s="37"/>
      <c r="AX52" s="37"/>
      <c r="AY52" s="37"/>
      <c r="AZ52" s="37"/>
      <c r="BA52" s="37"/>
      <c r="BB52" s="37"/>
      <c r="BC52" s="35" t="s">
        <v>3980</v>
      </c>
      <c r="BD52" s="61" t="str">
        <f>+972 (0)3 900 9500</f>
        <v>#ERROR!</v>
      </c>
      <c r="BE52" s="35" t="s">
        <v>3984</v>
      </c>
      <c r="BF52" s="35" t="s">
        <v>3985</v>
      </c>
      <c r="BG52" s="34"/>
      <c r="BH52" s="35" t="s">
        <v>3986</v>
      </c>
      <c r="BI52" s="34"/>
      <c r="BJ52" s="32">
        <v>4672519.0</v>
      </c>
      <c r="BK52" s="35" t="s">
        <v>41</v>
      </c>
      <c r="BL52" s="37" t="str">
        <f>+972 (0)3 900 9500</f>
        <v>#ERROR!</v>
      </c>
      <c r="BM52" s="37"/>
      <c r="BN52" s="35" t="s">
        <v>774</v>
      </c>
      <c r="BO52" s="35" t="s">
        <v>3584</v>
      </c>
      <c r="BP52" s="35" t="s">
        <v>3584</v>
      </c>
      <c r="BQ52" s="35" t="s">
        <v>3987</v>
      </c>
      <c r="BR52" s="35" t="s">
        <v>3988</v>
      </c>
      <c r="BS52" s="32">
        <v>3.0</v>
      </c>
      <c r="BT52" s="34"/>
      <c r="BU52" s="34"/>
      <c r="BV52" s="34"/>
      <c r="BW52" s="35" t="s">
        <v>3989</v>
      </c>
      <c r="BX52" s="34"/>
      <c r="BY52" s="34"/>
      <c r="BZ52" s="34"/>
      <c r="CA52" s="34"/>
      <c r="CB52" s="60">
        <v>39051.0</v>
      </c>
      <c r="CC52" s="32">
        <v>4.32</v>
      </c>
      <c r="CD52" s="35" t="s">
        <v>3593</v>
      </c>
      <c r="CE52" s="32">
        <v>12.77</v>
      </c>
      <c r="CF52" s="35" t="s">
        <v>3593</v>
      </c>
      <c r="CG52" s="35" t="s">
        <v>3669</v>
      </c>
      <c r="CH52" s="34"/>
      <c r="CI52" s="34"/>
      <c r="CJ52" s="35" t="s">
        <v>3573</v>
      </c>
      <c r="CK52" s="34"/>
      <c r="CL52" s="35" t="s">
        <v>3591</v>
      </c>
      <c r="CM52" s="62">
        <v>44927.0</v>
      </c>
      <c r="CN52" s="37"/>
      <c r="CO52" s="34"/>
      <c r="CP52" s="37"/>
      <c r="CQ52" s="34"/>
      <c r="CR52" s="35" t="s">
        <v>3594</v>
      </c>
      <c r="CS52" s="34"/>
      <c r="CT52" s="34"/>
      <c r="CU52" s="35" t="s">
        <v>3573</v>
      </c>
      <c r="CV52" s="37"/>
      <c r="CW52" s="37"/>
      <c r="CX52" s="34"/>
      <c r="CY52" s="35" t="s">
        <v>3591</v>
      </c>
      <c r="CZ52" s="39">
        <v>0.0</v>
      </c>
      <c r="DA52" s="32">
        <v>19.0</v>
      </c>
      <c r="DB52" s="39">
        <v>0.0</v>
      </c>
      <c r="DC52" s="39">
        <v>0.0</v>
      </c>
      <c r="DD52" s="39">
        <v>0.0</v>
      </c>
      <c r="DE52" s="32">
        <v>17.0</v>
      </c>
      <c r="DF52" s="39">
        <v>0.0</v>
      </c>
      <c r="DG52" s="32">
        <v>11.0</v>
      </c>
      <c r="DH52" s="39">
        <v>0.0</v>
      </c>
      <c r="DI52" s="32">
        <v>17.0</v>
      </c>
      <c r="DJ52" s="32" t="s">
        <v>9766</v>
      </c>
      <c r="DK52" s="32">
        <v>56.0</v>
      </c>
      <c r="DL52" s="32" t="s">
        <v>3598</v>
      </c>
      <c r="DM52" s="39">
        <v>0.0</v>
      </c>
      <c r="DN52" s="32" t="s">
        <v>9766</v>
      </c>
      <c r="DO52" s="32">
        <v>57.0</v>
      </c>
      <c r="DP52" s="32" t="s">
        <v>6515</v>
      </c>
      <c r="DQ52" s="32">
        <v>5.0</v>
      </c>
      <c r="DR52" s="32" t="s">
        <v>9794</v>
      </c>
      <c r="DS52" s="32">
        <v>67.0</v>
      </c>
      <c r="DT52" s="32">
        <v>0.0</v>
      </c>
      <c r="DU52" s="32">
        <v>0.0</v>
      </c>
      <c r="DV52" s="39">
        <v>0.0</v>
      </c>
      <c r="DW52" s="32">
        <v>42.0</v>
      </c>
      <c r="DX52" s="32">
        <v>0.0</v>
      </c>
      <c r="DY52" s="39">
        <v>0.0</v>
      </c>
      <c r="DZ52" s="32">
        <v>18.0</v>
      </c>
      <c r="EA52" s="32">
        <v>8.0</v>
      </c>
      <c r="EB52" s="32">
        <v>17.0</v>
      </c>
      <c r="EC52" s="37"/>
      <c r="ED52" s="37"/>
      <c r="EE52" s="32">
        <v>1.0</v>
      </c>
      <c r="EF52" s="35" t="s">
        <v>3993</v>
      </c>
      <c r="EG52" s="32">
        <v>26.09</v>
      </c>
      <c r="EH52" s="62">
        <v>43832.0</v>
      </c>
      <c r="EI52" s="35" t="s">
        <v>3594</v>
      </c>
      <c r="EJ52" s="37"/>
      <c r="EK52" s="37"/>
      <c r="EL52" s="37"/>
      <c r="EM52" s="34"/>
      <c r="EN52" s="37"/>
      <c r="EO52" s="37"/>
      <c r="EP52" s="37"/>
      <c r="EQ52" s="32">
        <v>1.1</v>
      </c>
      <c r="ER52" s="35" t="s">
        <v>9792</v>
      </c>
      <c r="ES52" s="34"/>
      <c r="ET52" s="34"/>
      <c r="EU52" s="37"/>
      <c r="EV52" s="40" t="s">
        <v>3559</v>
      </c>
    </row>
    <row r="53">
      <c r="B53" s="42" t="s">
        <v>8534</v>
      </c>
      <c r="C53" s="41">
        <v>6.0</v>
      </c>
      <c r="D53" s="42" t="s">
        <v>8544</v>
      </c>
      <c r="E53" s="42" t="s">
        <v>3867</v>
      </c>
      <c r="F53" s="42" t="s">
        <v>4199</v>
      </c>
      <c r="G53" s="42" t="s">
        <v>8537</v>
      </c>
      <c r="H53" s="42" t="s">
        <v>8495</v>
      </c>
      <c r="I53" s="63">
        <v>45411.0</v>
      </c>
      <c r="J53" s="42" t="s">
        <v>8538</v>
      </c>
      <c r="K53" s="42" t="s">
        <v>8539</v>
      </c>
      <c r="L53" s="42" t="s">
        <v>8540</v>
      </c>
      <c r="M53" s="43"/>
      <c r="N53" s="43"/>
      <c r="O53" s="42" t="s">
        <v>8535</v>
      </c>
      <c r="P53" s="42" t="s">
        <v>8541</v>
      </c>
      <c r="Q53" s="42"/>
      <c r="R53" s="42"/>
      <c r="S53" s="42"/>
      <c r="T53" s="42"/>
      <c r="U53" s="42"/>
      <c r="V53" s="42"/>
      <c r="W53" s="42"/>
      <c r="X53" s="43"/>
      <c r="Y53" s="42" t="s">
        <v>8541</v>
      </c>
      <c r="Z53" s="42" t="s">
        <v>8536</v>
      </c>
      <c r="AA53" s="42" t="s">
        <v>4923</v>
      </c>
      <c r="AB53" s="45"/>
      <c r="AC53" s="42" t="s">
        <v>3571</v>
      </c>
      <c r="AD53" s="42" t="s">
        <v>4925</v>
      </c>
      <c r="AE53" s="42" t="s">
        <v>4926</v>
      </c>
      <c r="AF53" s="44" t="s">
        <v>8542</v>
      </c>
      <c r="AG53" s="44" t="s">
        <v>8543</v>
      </c>
      <c r="AH53" s="41">
        <v>6.0</v>
      </c>
      <c r="AI53" s="42" t="s">
        <v>8544</v>
      </c>
      <c r="AJ53" s="43"/>
      <c r="AK53" s="43"/>
      <c r="AL53" s="41">
        <v>2016.0</v>
      </c>
      <c r="AM53" s="43"/>
      <c r="AN53" s="42" t="s">
        <v>8546</v>
      </c>
      <c r="AO53" s="42" t="s">
        <v>4397</v>
      </c>
      <c r="AP53" s="42" t="s">
        <v>8547</v>
      </c>
      <c r="AQ53" s="43"/>
      <c r="AR53" s="43"/>
      <c r="AS53" s="45"/>
      <c r="AT53" s="45"/>
      <c r="AU53" s="45"/>
      <c r="AV53" s="45"/>
      <c r="AW53" s="45"/>
      <c r="AX53" s="45"/>
      <c r="AY53" s="45"/>
      <c r="AZ53" s="45"/>
      <c r="BA53" s="45"/>
      <c r="BB53" s="45"/>
      <c r="BC53" s="42" t="s">
        <v>8545</v>
      </c>
      <c r="BD53" s="64" t="str">
        <f>+972 (0)51 562 5135</f>
        <v>#ERROR!</v>
      </c>
      <c r="BE53" s="42" t="s">
        <v>3581</v>
      </c>
      <c r="BF53" s="42" t="s">
        <v>5079</v>
      </c>
      <c r="BG53" s="43"/>
      <c r="BH53" s="42" t="s">
        <v>75</v>
      </c>
      <c r="BI53" s="43"/>
      <c r="BJ53" s="45"/>
      <c r="BK53" s="42" t="s">
        <v>41</v>
      </c>
      <c r="BL53" s="45" t="str">
        <f>+972 (0)51 562 5135</f>
        <v>#ERROR!</v>
      </c>
      <c r="BM53" s="45"/>
      <c r="BN53" s="42" t="s">
        <v>8548</v>
      </c>
      <c r="BO53" s="42" t="s">
        <v>3584</v>
      </c>
      <c r="BP53" s="42" t="s">
        <v>3584</v>
      </c>
      <c r="BQ53" s="43"/>
      <c r="BR53" s="43"/>
      <c r="BS53" s="45"/>
      <c r="BT53" s="43"/>
      <c r="BU53" s="43"/>
      <c r="BV53" s="43"/>
      <c r="BW53" s="43"/>
      <c r="BX53" s="43"/>
      <c r="BY53" s="43"/>
      <c r="BZ53" s="43"/>
      <c r="CA53" s="43"/>
      <c r="CB53" s="45"/>
      <c r="CC53" s="45"/>
      <c r="CD53" s="43"/>
      <c r="CE53" s="45"/>
      <c r="CF53" s="43"/>
      <c r="CG53" s="43"/>
      <c r="CH53" s="43"/>
      <c r="CI53" s="43"/>
      <c r="CJ53" s="43"/>
      <c r="CK53" s="43"/>
      <c r="CL53" s="43"/>
      <c r="CM53" s="45"/>
      <c r="CN53" s="45"/>
      <c r="CO53" s="43"/>
      <c r="CP53" s="45"/>
      <c r="CQ53" s="43"/>
      <c r="CR53" s="43"/>
      <c r="CS53" s="43"/>
      <c r="CT53" s="43"/>
      <c r="CU53" s="43"/>
      <c r="CV53" s="45"/>
      <c r="CW53" s="45"/>
      <c r="CX53" s="43"/>
      <c r="CY53" s="43"/>
      <c r="CZ53" s="47">
        <v>0.0</v>
      </c>
      <c r="DA53" s="41">
        <v>19.0</v>
      </c>
      <c r="DB53" s="47">
        <v>0.0</v>
      </c>
      <c r="DC53" s="47">
        <v>0.0</v>
      </c>
      <c r="DD53" s="47">
        <v>0.0</v>
      </c>
      <c r="DE53" s="41">
        <v>17.0</v>
      </c>
      <c r="DF53" s="45"/>
      <c r="DG53" s="45"/>
      <c r="DH53" s="47">
        <v>0.0</v>
      </c>
      <c r="DI53" s="41">
        <v>17.0</v>
      </c>
      <c r="DJ53" s="41" t="s">
        <v>9795</v>
      </c>
      <c r="DK53" s="41">
        <v>28.0</v>
      </c>
      <c r="DL53" s="41" t="s">
        <v>3598</v>
      </c>
      <c r="DM53" s="47">
        <v>0.0</v>
      </c>
      <c r="DN53" s="41" t="s">
        <v>9795</v>
      </c>
      <c r="DO53" s="41">
        <v>30.0</v>
      </c>
      <c r="DP53" s="45"/>
      <c r="DQ53" s="45"/>
      <c r="DR53" s="41" t="s">
        <v>9795</v>
      </c>
      <c r="DS53" s="41">
        <v>28.0</v>
      </c>
      <c r="DT53" s="45"/>
      <c r="DU53" s="45"/>
      <c r="DV53" s="45"/>
      <c r="DW53" s="41">
        <v>8.0</v>
      </c>
      <c r="DX53" s="41">
        <v>0.0</v>
      </c>
      <c r="DY53" s="47">
        <v>0.0</v>
      </c>
      <c r="DZ53" s="45"/>
      <c r="EA53" s="45"/>
      <c r="EB53" s="45"/>
      <c r="EC53" s="45"/>
      <c r="ED53" s="45"/>
      <c r="EE53" s="45"/>
      <c r="EF53" s="43"/>
      <c r="EG53" s="45"/>
      <c r="EH53" s="45"/>
      <c r="EI53" s="43"/>
      <c r="EJ53" s="45"/>
      <c r="EK53" s="45"/>
      <c r="EL53" s="45"/>
      <c r="EM53" s="43"/>
      <c r="EN53" s="45"/>
      <c r="EO53" s="45"/>
      <c r="EP53" s="45"/>
      <c r="EQ53" s="45"/>
      <c r="ER53" s="42" t="s">
        <v>8495</v>
      </c>
      <c r="ES53" s="43"/>
      <c r="ET53" s="42" t="s">
        <v>47</v>
      </c>
      <c r="EU53" s="41">
        <v>20.0</v>
      </c>
      <c r="EV53" s="48" t="s">
        <v>3559</v>
      </c>
    </row>
    <row r="54">
      <c r="B54" s="35" t="s">
        <v>3335</v>
      </c>
      <c r="C54" s="32">
        <v>20.0</v>
      </c>
      <c r="D54" s="35" t="s">
        <v>9796</v>
      </c>
      <c r="E54" s="35" t="s">
        <v>3867</v>
      </c>
      <c r="F54" s="35" t="s">
        <v>4199</v>
      </c>
      <c r="G54" s="35" t="s">
        <v>4200</v>
      </c>
      <c r="H54" s="35" t="s">
        <v>7279</v>
      </c>
      <c r="I54" s="62">
        <v>45994.0</v>
      </c>
      <c r="J54" s="35" t="s">
        <v>9797</v>
      </c>
      <c r="K54" s="35" t="s">
        <v>9798</v>
      </c>
      <c r="L54" s="35" t="s">
        <v>4756</v>
      </c>
      <c r="M54" s="34"/>
      <c r="N54" s="34"/>
      <c r="O54" s="35" t="s">
        <v>4751</v>
      </c>
      <c r="P54" s="35" t="s">
        <v>4757</v>
      </c>
      <c r="Q54" s="32">
        <v>50.0</v>
      </c>
      <c r="R54" s="35" t="s">
        <v>3602</v>
      </c>
      <c r="S54" s="39">
        <v>0.76</v>
      </c>
      <c r="T54" s="39">
        <v>0.24</v>
      </c>
      <c r="U54" s="35" t="s">
        <v>4532</v>
      </c>
      <c r="V54" s="39">
        <v>0.5</v>
      </c>
      <c r="W54" s="39">
        <v>0.26</v>
      </c>
      <c r="X54" s="35" t="s">
        <v>9799</v>
      </c>
      <c r="Y54" s="35" t="s">
        <v>4757</v>
      </c>
      <c r="Z54" s="35" t="s">
        <v>4753</v>
      </c>
      <c r="AA54" s="35" t="s">
        <v>3569</v>
      </c>
      <c r="AB54" s="32">
        <v>269.24</v>
      </c>
      <c r="AC54" s="35" t="s">
        <v>9800</v>
      </c>
      <c r="AD54" s="35" t="s">
        <v>3572</v>
      </c>
      <c r="AE54" s="35" t="s">
        <v>3573</v>
      </c>
      <c r="AF54" s="36" t="s">
        <v>4759</v>
      </c>
      <c r="AG54" s="36" t="s">
        <v>4760</v>
      </c>
      <c r="AH54" s="32">
        <v>105.0</v>
      </c>
      <c r="AI54" s="35" t="s">
        <v>9796</v>
      </c>
      <c r="AJ54" s="34"/>
      <c r="AK54" s="34"/>
      <c r="AL54" s="32">
        <v>2012.0</v>
      </c>
      <c r="AM54" s="34"/>
      <c r="AN54" s="35" t="s">
        <v>4763</v>
      </c>
      <c r="AO54" s="35" t="s">
        <v>3579</v>
      </c>
      <c r="AP54" s="35" t="s">
        <v>3338</v>
      </c>
      <c r="AQ54" s="34"/>
      <c r="AR54" s="35" t="s">
        <v>9801</v>
      </c>
      <c r="AS54" s="37"/>
      <c r="AT54" s="37"/>
      <c r="AU54" s="37"/>
      <c r="AV54" s="37"/>
      <c r="AW54" s="37"/>
      <c r="AX54" s="37"/>
      <c r="AY54" s="37"/>
      <c r="AZ54" s="37"/>
      <c r="BA54" s="37"/>
      <c r="BB54" s="37"/>
      <c r="BC54" s="35" t="s">
        <v>4762</v>
      </c>
      <c r="BD54" s="61" t="str">
        <f>+972 (0)73 253 5400</f>
        <v>#ERROR!</v>
      </c>
      <c r="BE54" s="35" t="s">
        <v>3718</v>
      </c>
      <c r="BF54" s="35" t="s">
        <v>4764</v>
      </c>
      <c r="BG54" s="35" t="s">
        <v>4765</v>
      </c>
      <c r="BH54" s="35" t="s">
        <v>552</v>
      </c>
      <c r="BI54" s="34"/>
      <c r="BJ54" s="32">
        <v>4672503.0</v>
      </c>
      <c r="BK54" s="35" t="s">
        <v>41</v>
      </c>
      <c r="BL54" s="37" t="str">
        <f>+972 (0)73 253 5400</f>
        <v>#ERROR!</v>
      </c>
      <c r="BM54" s="37"/>
      <c r="BN54" s="35" t="s">
        <v>3341</v>
      </c>
      <c r="BO54" s="35" t="s">
        <v>3584</v>
      </c>
      <c r="BP54" s="35" t="s">
        <v>3584</v>
      </c>
      <c r="BQ54" s="35" t="s">
        <v>9802</v>
      </c>
      <c r="BR54" s="35" t="s">
        <v>9803</v>
      </c>
      <c r="BS54" s="32">
        <v>45.0</v>
      </c>
      <c r="BT54" s="34"/>
      <c r="BU54" s="35" t="s">
        <v>4768</v>
      </c>
      <c r="BV54" s="34"/>
      <c r="BW54" s="35" t="s">
        <v>9804</v>
      </c>
      <c r="BX54" s="35" t="s">
        <v>4770</v>
      </c>
      <c r="BY54" s="34"/>
      <c r="BZ54" s="35" t="s">
        <v>4771</v>
      </c>
      <c r="CA54" s="35" t="s">
        <v>9805</v>
      </c>
      <c r="CB54" s="62">
        <v>41153.0</v>
      </c>
      <c r="CC54" s="37"/>
      <c r="CD54" s="34"/>
      <c r="CE54" s="37"/>
      <c r="CF54" s="34"/>
      <c r="CG54" s="35" t="s">
        <v>3662</v>
      </c>
      <c r="CH54" s="34"/>
      <c r="CI54" s="34"/>
      <c r="CJ54" s="35" t="s">
        <v>3663</v>
      </c>
      <c r="CK54" s="34"/>
      <c r="CL54" s="35" t="s">
        <v>3591</v>
      </c>
      <c r="CM54" s="37"/>
      <c r="CN54" s="37"/>
      <c r="CO54" s="34"/>
      <c r="CP54" s="37"/>
      <c r="CQ54" s="34"/>
      <c r="CR54" s="35" t="s">
        <v>3594</v>
      </c>
      <c r="CS54" s="35" t="s">
        <v>4187</v>
      </c>
      <c r="CT54" s="34"/>
      <c r="CU54" s="35" t="s">
        <v>3573</v>
      </c>
      <c r="CV54" s="37"/>
      <c r="CW54" s="37"/>
      <c r="CX54" s="34"/>
      <c r="CY54" s="35" t="s">
        <v>3591</v>
      </c>
      <c r="CZ54" s="39">
        <v>-0.0153</v>
      </c>
      <c r="DA54" s="32">
        <v>5.0</v>
      </c>
      <c r="DB54" s="39">
        <v>0.0</v>
      </c>
      <c r="DC54" s="39">
        <v>0.0</v>
      </c>
      <c r="DD54" s="39">
        <v>-0.0081</v>
      </c>
      <c r="DE54" s="32">
        <v>9.0</v>
      </c>
      <c r="DF54" s="39">
        <v>0.0</v>
      </c>
      <c r="DG54" s="32">
        <v>11.0</v>
      </c>
      <c r="DH54" s="39">
        <v>-0.0162</v>
      </c>
      <c r="DI54" s="32">
        <v>5.0</v>
      </c>
      <c r="DJ54" s="32" t="s">
        <v>9806</v>
      </c>
      <c r="DK54" s="32">
        <v>95.0</v>
      </c>
      <c r="DL54" s="32" t="s">
        <v>3598</v>
      </c>
      <c r="DM54" s="39">
        <v>0.0</v>
      </c>
      <c r="DN54" s="32" t="s">
        <v>9807</v>
      </c>
      <c r="DO54" s="32">
        <v>97.0</v>
      </c>
      <c r="DP54" s="32" t="s">
        <v>9808</v>
      </c>
      <c r="DQ54" s="32">
        <v>79.0</v>
      </c>
      <c r="DR54" s="32" t="s">
        <v>5957</v>
      </c>
      <c r="DS54" s="32">
        <v>98.0</v>
      </c>
      <c r="DT54" s="32">
        <v>593.0</v>
      </c>
      <c r="DU54" s="32">
        <v>74.0</v>
      </c>
      <c r="DV54" s="39">
        <v>0.1426</v>
      </c>
      <c r="DW54" s="49">
        <v>1182.0</v>
      </c>
      <c r="DX54" s="32">
        <v>-13.0</v>
      </c>
      <c r="DY54" s="39">
        <v>-0.0109</v>
      </c>
      <c r="DZ54" s="32">
        <v>231.0</v>
      </c>
      <c r="EA54" s="32">
        <v>93.0</v>
      </c>
      <c r="EB54" s="32">
        <v>179.0</v>
      </c>
      <c r="EC54" s="32">
        <v>11.0</v>
      </c>
      <c r="ED54" s="37"/>
      <c r="EE54" s="32">
        <v>41.0</v>
      </c>
      <c r="EF54" s="35" t="s">
        <v>9809</v>
      </c>
      <c r="EG54" s="50">
        <v>1270.0</v>
      </c>
      <c r="EH54" s="68">
        <v>44682.0</v>
      </c>
      <c r="EI54" s="35" t="s">
        <v>3594</v>
      </c>
      <c r="EJ54" s="37"/>
      <c r="EK54" s="37"/>
      <c r="EL54" s="37"/>
      <c r="EM54" s="34"/>
      <c r="EN54" s="37"/>
      <c r="EO54" s="37"/>
      <c r="EP54" s="37"/>
      <c r="EQ54" s="32">
        <v>2.4</v>
      </c>
      <c r="ER54" s="35" t="s">
        <v>7279</v>
      </c>
      <c r="ES54" s="34"/>
      <c r="ET54" s="35" t="s">
        <v>47</v>
      </c>
      <c r="EU54" s="32">
        <v>2.0</v>
      </c>
      <c r="EV54" s="40" t="s">
        <v>3559</v>
      </c>
    </row>
    <row r="55">
      <c r="B55" s="42" t="s">
        <v>2022</v>
      </c>
      <c r="C55" s="41">
        <v>33.0</v>
      </c>
      <c r="D55" s="42" t="s">
        <v>9810</v>
      </c>
      <c r="E55" s="42" t="s">
        <v>3867</v>
      </c>
      <c r="F55" s="42" t="s">
        <v>3868</v>
      </c>
      <c r="G55" s="42" t="s">
        <v>3869</v>
      </c>
      <c r="H55" s="42" t="s">
        <v>8495</v>
      </c>
      <c r="I55" s="65">
        <v>45992.0</v>
      </c>
      <c r="J55" s="42" t="s">
        <v>4439</v>
      </c>
      <c r="K55" s="42" t="s">
        <v>3760</v>
      </c>
      <c r="L55" s="42" t="s">
        <v>4440</v>
      </c>
      <c r="M55" s="42" t="s">
        <v>4435</v>
      </c>
      <c r="N55" s="43"/>
      <c r="O55" s="42" t="s">
        <v>4436</v>
      </c>
      <c r="P55" s="42" t="s">
        <v>4441</v>
      </c>
      <c r="Q55" s="41">
        <v>45.0</v>
      </c>
      <c r="R55" s="42" t="s">
        <v>3602</v>
      </c>
      <c r="S55" s="47">
        <v>0.56</v>
      </c>
      <c r="T55" s="47">
        <v>0.44</v>
      </c>
      <c r="U55" s="42" t="s">
        <v>3603</v>
      </c>
      <c r="V55" s="47">
        <v>0.11</v>
      </c>
      <c r="W55" s="47">
        <v>0.45</v>
      </c>
      <c r="X55" s="42" t="s">
        <v>9811</v>
      </c>
      <c r="Y55" s="42" t="s">
        <v>4441</v>
      </c>
      <c r="Z55" s="42" t="s">
        <v>4438</v>
      </c>
      <c r="AA55" s="42" t="s">
        <v>3569</v>
      </c>
      <c r="AB55" s="41">
        <v>47.0</v>
      </c>
      <c r="AC55" s="42" t="s">
        <v>3571</v>
      </c>
      <c r="AD55" s="42" t="s">
        <v>3572</v>
      </c>
      <c r="AE55" s="42" t="s">
        <v>4391</v>
      </c>
      <c r="AF55" s="44" t="s">
        <v>4442</v>
      </c>
      <c r="AG55" s="44" t="s">
        <v>4443</v>
      </c>
      <c r="AH55" s="41">
        <v>33.0</v>
      </c>
      <c r="AI55" s="42" t="s">
        <v>9810</v>
      </c>
      <c r="AJ55" s="43"/>
      <c r="AK55" s="43"/>
      <c r="AL55" s="41">
        <v>2010.0</v>
      </c>
      <c r="AM55" s="43"/>
      <c r="AN55" s="42" t="s">
        <v>4446</v>
      </c>
      <c r="AO55" s="42" t="s">
        <v>4312</v>
      </c>
      <c r="AP55" s="42" t="s">
        <v>4447</v>
      </c>
      <c r="AQ55" s="43"/>
      <c r="AR55" s="43"/>
      <c r="AS55" s="45"/>
      <c r="AT55" s="45"/>
      <c r="AU55" s="45"/>
      <c r="AV55" s="45"/>
      <c r="AW55" s="45"/>
      <c r="AX55" s="45"/>
      <c r="AY55" s="45"/>
      <c r="AZ55" s="45"/>
      <c r="BA55" s="45"/>
      <c r="BB55" s="45"/>
      <c r="BC55" s="42" t="s">
        <v>4445</v>
      </c>
      <c r="BD55" s="64" t="str">
        <f>+972 (0)4 375 0050</f>
        <v>#ERROR!</v>
      </c>
      <c r="BE55" s="42" t="s">
        <v>4448</v>
      </c>
      <c r="BF55" s="42" t="s">
        <v>4449</v>
      </c>
      <c r="BG55" s="43"/>
      <c r="BH55" s="42" t="s">
        <v>485</v>
      </c>
      <c r="BI55" s="43"/>
      <c r="BJ55" s="41">
        <v>3303323.0</v>
      </c>
      <c r="BK55" s="42" t="s">
        <v>41</v>
      </c>
      <c r="BL55" s="45" t="str">
        <f>+972 (0)4 375 0050</f>
        <v>#ERROR!</v>
      </c>
      <c r="BM55" s="45"/>
      <c r="BN55" s="42" t="s">
        <v>2028</v>
      </c>
      <c r="BO55" s="42" t="s">
        <v>3584</v>
      </c>
      <c r="BP55" s="42" t="s">
        <v>3584</v>
      </c>
      <c r="BQ55" s="42" t="s">
        <v>9812</v>
      </c>
      <c r="BR55" s="42" t="s">
        <v>9813</v>
      </c>
      <c r="BS55" s="41">
        <v>13.0</v>
      </c>
      <c r="BT55" s="43"/>
      <c r="BU55" s="42" t="s">
        <v>4452</v>
      </c>
      <c r="BV55" s="43"/>
      <c r="BW55" s="42" t="s">
        <v>9814</v>
      </c>
      <c r="BX55" s="42" t="s">
        <v>4454</v>
      </c>
      <c r="BY55" s="43"/>
      <c r="BZ55" s="43"/>
      <c r="CA55" s="42" t="s">
        <v>3725</v>
      </c>
      <c r="CB55" s="65">
        <v>40878.0</v>
      </c>
      <c r="CC55" s="45"/>
      <c r="CD55" s="43"/>
      <c r="CE55" s="45"/>
      <c r="CF55" s="43"/>
      <c r="CG55" s="42" t="s">
        <v>3589</v>
      </c>
      <c r="CH55" s="43"/>
      <c r="CI55" s="43"/>
      <c r="CJ55" s="42" t="s">
        <v>3573</v>
      </c>
      <c r="CK55" s="43"/>
      <c r="CL55" s="42" t="s">
        <v>3591</v>
      </c>
      <c r="CM55" s="63">
        <v>44496.0</v>
      </c>
      <c r="CN55" s="41">
        <v>27.0</v>
      </c>
      <c r="CO55" s="42" t="s">
        <v>3593</v>
      </c>
      <c r="CP55" s="45"/>
      <c r="CQ55" s="43"/>
      <c r="CR55" s="42" t="s">
        <v>3594</v>
      </c>
      <c r="CS55" s="42" t="s">
        <v>4072</v>
      </c>
      <c r="CT55" s="43"/>
      <c r="CU55" s="42" t="s">
        <v>3573</v>
      </c>
      <c r="CV55" s="45"/>
      <c r="CW55" s="45"/>
      <c r="CX55" s="43"/>
      <c r="CY55" s="42" t="s">
        <v>3591</v>
      </c>
      <c r="CZ55" s="47">
        <v>-0.0037</v>
      </c>
      <c r="DA55" s="41">
        <v>14.0</v>
      </c>
      <c r="DB55" s="47">
        <v>0.0</v>
      </c>
      <c r="DC55" s="47">
        <v>0.0</v>
      </c>
      <c r="DD55" s="45"/>
      <c r="DE55" s="45"/>
      <c r="DF55" s="45"/>
      <c r="DG55" s="45"/>
      <c r="DH55" s="45"/>
      <c r="DI55" s="45"/>
      <c r="DJ55" s="41" t="s">
        <v>9815</v>
      </c>
      <c r="DK55" s="41">
        <v>71.0</v>
      </c>
      <c r="DL55" s="41" t="s">
        <v>3598</v>
      </c>
      <c r="DM55" s="47">
        <v>0.0</v>
      </c>
      <c r="DN55" s="45"/>
      <c r="DO55" s="45"/>
      <c r="DP55" s="45"/>
      <c r="DQ55" s="45"/>
      <c r="DR55" s="45"/>
      <c r="DS55" s="45"/>
      <c r="DT55" s="45"/>
      <c r="DU55" s="45"/>
      <c r="DV55" s="45"/>
      <c r="DW55" s="45"/>
      <c r="DX55" s="45"/>
      <c r="DY55" s="45"/>
      <c r="DZ55" s="41">
        <v>21.0</v>
      </c>
      <c r="EA55" s="41">
        <v>8.0</v>
      </c>
      <c r="EB55" s="41">
        <v>13.0</v>
      </c>
      <c r="EC55" s="41">
        <v>3.0</v>
      </c>
      <c r="ED55" s="45"/>
      <c r="EE55" s="41">
        <v>5.0</v>
      </c>
      <c r="EF55" s="42" t="s">
        <v>4458</v>
      </c>
      <c r="EG55" s="45"/>
      <c r="EH55" s="45"/>
      <c r="EI55" s="43"/>
      <c r="EJ55" s="45"/>
      <c r="EK55" s="45"/>
      <c r="EL55" s="45"/>
      <c r="EM55" s="42" t="s">
        <v>4381</v>
      </c>
      <c r="EN55" s="45"/>
      <c r="EO55" s="45"/>
      <c r="EP55" s="45"/>
      <c r="EQ55" s="45"/>
      <c r="ER55" s="42" t="s">
        <v>8495</v>
      </c>
      <c r="ES55" s="43"/>
      <c r="ET55" s="42" t="s">
        <v>47</v>
      </c>
      <c r="EU55" s="41">
        <v>8.0</v>
      </c>
      <c r="EV55" s="48" t="s">
        <v>3559</v>
      </c>
    </row>
    <row r="56">
      <c r="B56" s="35" t="s">
        <v>9144</v>
      </c>
      <c r="C56" s="37"/>
      <c r="D56" s="34"/>
      <c r="E56" s="35" t="s">
        <v>3563</v>
      </c>
      <c r="F56" s="35" t="s">
        <v>3564</v>
      </c>
      <c r="G56" s="35" t="s">
        <v>3565</v>
      </c>
      <c r="H56" s="35" t="s">
        <v>8127</v>
      </c>
      <c r="I56" s="62">
        <v>45355.0</v>
      </c>
      <c r="J56" s="35" t="s">
        <v>5114</v>
      </c>
      <c r="K56" s="35" t="s">
        <v>9146</v>
      </c>
      <c r="L56" s="35" t="s">
        <v>9147</v>
      </c>
      <c r="M56" s="34"/>
      <c r="N56" s="34"/>
      <c r="O56" s="34"/>
      <c r="P56" s="35" t="s">
        <v>9148</v>
      </c>
      <c r="Q56" s="35"/>
      <c r="R56" s="35"/>
      <c r="S56" s="35"/>
      <c r="T56" s="35"/>
      <c r="U56" s="35"/>
      <c r="V56" s="35"/>
      <c r="W56" s="35"/>
      <c r="X56" s="34"/>
      <c r="Y56" s="35" t="s">
        <v>9148</v>
      </c>
      <c r="Z56" s="35" t="s">
        <v>9145</v>
      </c>
      <c r="AA56" s="35" t="s">
        <v>4923</v>
      </c>
      <c r="AB56" s="37"/>
      <c r="AC56" s="35" t="s">
        <v>3571</v>
      </c>
      <c r="AD56" s="35" t="s">
        <v>4925</v>
      </c>
      <c r="AE56" s="35" t="s">
        <v>4926</v>
      </c>
      <c r="AF56" s="36" t="s">
        <v>9149</v>
      </c>
      <c r="AG56" s="36" t="s">
        <v>9150</v>
      </c>
      <c r="AH56" s="37"/>
      <c r="AI56" s="34"/>
      <c r="AJ56" s="34"/>
      <c r="AK56" s="34"/>
      <c r="AL56" s="32">
        <v>2018.0</v>
      </c>
      <c r="AM56" s="34"/>
      <c r="AN56" s="35" t="s">
        <v>9152</v>
      </c>
      <c r="AO56" s="35" t="s">
        <v>4930</v>
      </c>
      <c r="AP56" s="35" t="s">
        <v>9153</v>
      </c>
      <c r="AQ56" s="34"/>
      <c r="AR56" s="34"/>
      <c r="AS56" s="37"/>
      <c r="AT56" s="37"/>
      <c r="AU56" s="37"/>
      <c r="AV56" s="37"/>
      <c r="AW56" s="37"/>
      <c r="AX56" s="37"/>
      <c r="AY56" s="37"/>
      <c r="AZ56" s="37"/>
      <c r="BA56" s="37"/>
      <c r="BB56" s="37"/>
      <c r="BC56" s="35" t="s">
        <v>9151</v>
      </c>
      <c r="BD56" s="61" t="str">
        <f>+972 (0)73 743 3331</f>
        <v>#ERROR!</v>
      </c>
      <c r="BE56" s="35" t="s">
        <v>3581</v>
      </c>
      <c r="BF56" s="35" t="s">
        <v>9154</v>
      </c>
      <c r="BG56" s="34"/>
      <c r="BH56" s="35" t="s">
        <v>75</v>
      </c>
      <c r="BI56" s="34"/>
      <c r="BJ56" s="32">
        <v>6423904.0</v>
      </c>
      <c r="BK56" s="35" t="s">
        <v>41</v>
      </c>
      <c r="BL56" s="37"/>
      <c r="BM56" s="37"/>
      <c r="BN56" s="34"/>
      <c r="BO56" s="35" t="s">
        <v>3584</v>
      </c>
      <c r="BP56" s="35" t="s">
        <v>3584</v>
      </c>
      <c r="BQ56" s="34"/>
      <c r="BR56" s="34"/>
      <c r="BS56" s="37"/>
      <c r="BT56" s="34"/>
      <c r="BU56" s="34"/>
      <c r="BV56" s="34"/>
      <c r="BW56" s="34"/>
      <c r="BX56" s="34"/>
      <c r="BY56" s="34"/>
      <c r="BZ56" s="34"/>
      <c r="CA56" s="34"/>
      <c r="CB56" s="37"/>
      <c r="CC56" s="37"/>
      <c r="CD56" s="34"/>
      <c r="CE56" s="37"/>
      <c r="CF56" s="34"/>
      <c r="CG56" s="34"/>
      <c r="CH56" s="34"/>
      <c r="CI56" s="34"/>
      <c r="CJ56" s="34"/>
      <c r="CK56" s="34"/>
      <c r="CL56" s="34"/>
      <c r="CM56" s="37"/>
      <c r="CN56" s="37"/>
      <c r="CO56" s="34"/>
      <c r="CP56" s="37"/>
      <c r="CQ56" s="34"/>
      <c r="CR56" s="34"/>
      <c r="CS56" s="34"/>
      <c r="CT56" s="34"/>
      <c r="CU56" s="34"/>
      <c r="CV56" s="37"/>
      <c r="CW56" s="37"/>
      <c r="CX56" s="34"/>
      <c r="CY56" s="34"/>
      <c r="CZ56" s="39">
        <v>0.0</v>
      </c>
      <c r="DA56" s="32">
        <v>19.0</v>
      </c>
      <c r="DB56" s="39">
        <v>0.0</v>
      </c>
      <c r="DC56" s="39">
        <v>0.0</v>
      </c>
      <c r="DD56" s="39">
        <v>0.0</v>
      </c>
      <c r="DE56" s="32">
        <v>17.0</v>
      </c>
      <c r="DF56" s="37"/>
      <c r="DG56" s="37"/>
      <c r="DH56" s="39">
        <v>0.0</v>
      </c>
      <c r="DI56" s="32">
        <v>17.0</v>
      </c>
      <c r="DJ56" s="32" t="s">
        <v>9816</v>
      </c>
      <c r="DK56" s="32">
        <v>65.0</v>
      </c>
      <c r="DL56" s="32" t="s">
        <v>3598</v>
      </c>
      <c r="DM56" s="39">
        <v>0.0</v>
      </c>
      <c r="DN56" s="32" t="s">
        <v>9816</v>
      </c>
      <c r="DO56" s="32">
        <v>65.0</v>
      </c>
      <c r="DP56" s="37"/>
      <c r="DQ56" s="37"/>
      <c r="DR56" s="32" t="s">
        <v>9816</v>
      </c>
      <c r="DS56" s="32">
        <v>64.0</v>
      </c>
      <c r="DT56" s="37"/>
      <c r="DU56" s="37"/>
      <c r="DV56" s="37"/>
      <c r="DW56" s="32">
        <v>33.0</v>
      </c>
      <c r="DX56" s="32">
        <v>0.0</v>
      </c>
      <c r="DY56" s="39">
        <v>0.0</v>
      </c>
      <c r="DZ56" s="37"/>
      <c r="EA56" s="37"/>
      <c r="EB56" s="37"/>
      <c r="EC56" s="37"/>
      <c r="ED56" s="37"/>
      <c r="EE56" s="37"/>
      <c r="EF56" s="34"/>
      <c r="EG56" s="37"/>
      <c r="EH56" s="37"/>
      <c r="EI56" s="34"/>
      <c r="EJ56" s="37"/>
      <c r="EK56" s="37"/>
      <c r="EL56" s="37"/>
      <c r="EM56" s="34"/>
      <c r="EN56" s="37"/>
      <c r="EO56" s="37"/>
      <c r="EP56" s="37"/>
      <c r="EQ56" s="37"/>
      <c r="ER56" s="35" t="s">
        <v>8127</v>
      </c>
      <c r="ES56" s="34"/>
      <c r="ET56" s="35" t="s">
        <v>47</v>
      </c>
      <c r="EU56" s="32">
        <v>5.0</v>
      </c>
      <c r="EV56" s="40" t="s">
        <v>3559</v>
      </c>
    </row>
    <row r="57">
      <c r="B57" s="35" t="s">
        <v>809</v>
      </c>
      <c r="C57" s="32">
        <v>152.0</v>
      </c>
      <c r="D57" s="35" t="s">
        <v>9817</v>
      </c>
      <c r="E57" s="35" t="s">
        <v>3563</v>
      </c>
      <c r="F57" s="35" t="s">
        <v>3564</v>
      </c>
      <c r="G57" s="35" t="s">
        <v>3642</v>
      </c>
      <c r="H57" s="35" t="s">
        <v>9792</v>
      </c>
      <c r="I57" s="60">
        <v>45923.0</v>
      </c>
      <c r="J57" s="35" t="s">
        <v>3709</v>
      </c>
      <c r="K57" s="35" t="s">
        <v>3710</v>
      </c>
      <c r="L57" s="35" t="s">
        <v>3711</v>
      </c>
      <c r="M57" s="34"/>
      <c r="N57" s="34"/>
      <c r="O57" s="35" t="s">
        <v>3706</v>
      </c>
      <c r="P57" s="35" t="s">
        <v>3712</v>
      </c>
      <c r="Q57" s="32">
        <v>53.0</v>
      </c>
      <c r="R57" s="35" t="s">
        <v>3602</v>
      </c>
      <c r="S57" s="39">
        <v>0.84</v>
      </c>
      <c r="T57" s="39">
        <v>0.16</v>
      </c>
      <c r="U57" s="35" t="s">
        <v>3603</v>
      </c>
      <c r="V57" s="39">
        <v>0.06</v>
      </c>
      <c r="W57" s="39">
        <v>0.78</v>
      </c>
      <c r="X57" s="35" t="s">
        <v>3707</v>
      </c>
      <c r="Y57" s="35" t="s">
        <v>3712</v>
      </c>
      <c r="Z57" s="35" t="s">
        <v>3708</v>
      </c>
      <c r="AA57" s="35" t="s">
        <v>3569</v>
      </c>
      <c r="AB57" s="32">
        <v>105.15</v>
      </c>
      <c r="AC57" s="35" t="s">
        <v>3571</v>
      </c>
      <c r="AD57" s="35" t="s">
        <v>3572</v>
      </c>
      <c r="AE57" s="35" t="s">
        <v>3573</v>
      </c>
      <c r="AF57" s="36" t="s">
        <v>3713</v>
      </c>
      <c r="AG57" s="36" t="s">
        <v>3714</v>
      </c>
      <c r="AH57" s="32">
        <v>152.0</v>
      </c>
      <c r="AI57" s="35" t="s">
        <v>9817</v>
      </c>
      <c r="AJ57" s="34"/>
      <c r="AK57" s="34"/>
      <c r="AL57" s="32">
        <v>2017.0</v>
      </c>
      <c r="AM57" s="34"/>
      <c r="AN57" s="35" t="s">
        <v>811</v>
      </c>
      <c r="AO57" s="35" t="s">
        <v>3579</v>
      </c>
      <c r="AP57" s="35" t="s">
        <v>812</v>
      </c>
      <c r="AQ57" s="34"/>
      <c r="AR57" s="35" t="s">
        <v>9818</v>
      </c>
      <c r="AS57" s="32">
        <v>28.4</v>
      </c>
      <c r="AT57" s="37"/>
      <c r="AU57" s="37"/>
      <c r="AV57" s="37"/>
      <c r="AW57" s="37"/>
      <c r="AX57" s="37"/>
      <c r="AY57" s="37"/>
      <c r="AZ57" s="37"/>
      <c r="BA57" s="37"/>
      <c r="BB57" s="32" t="s">
        <v>3716</v>
      </c>
      <c r="BC57" s="35" t="s">
        <v>3717</v>
      </c>
      <c r="BD57" s="61" t="str">
        <f>+972 (0)54 667 3769</f>
        <v>#ERROR!</v>
      </c>
      <c r="BE57" s="35" t="s">
        <v>3718</v>
      </c>
      <c r="BF57" s="35" t="s">
        <v>3719</v>
      </c>
      <c r="BG57" s="35" t="s">
        <v>3720</v>
      </c>
      <c r="BH57" s="35" t="s">
        <v>552</v>
      </c>
      <c r="BI57" s="34"/>
      <c r="BJ57" s="32">
        <v>4685211.0</v>
      </c>
      <c r="BK57" s="35" t="s">
        <v>41</v>
      </c>
      <c r="BL57" s="37"/>
      <c r="BM57" s="37"/>
      <c r="BN57" s="35" t="s">
        <v>817</v>
      </c>
      <c r="BO57" s="35" t="s">
        <v>3584</v>
      </c>
      <c r="BP57" s="35" t="s">
        <v>3584</v>
      </c>
      <c r="BQ57" s="35" t="s">
        <v>3721</v>
      </c>
      <c r="BR57" s="35" t="s">
        <v>9819</v>
      </c>
      <c r="BS57" s="32">
        <v>22.0</v>
      </c>
      <c r="BT57" s="34"/>
      <c r="BU57" s="35" t="s">
        <v>3723</v>
      </c>
      <c r="BV57" s="34"/>
      <c r="BW57" s="35" t="s">
        <v>9820</v>
      </c>
      <c r="BX57" s="34"/>
      <c r="BY57" s="34"/>
      <c r="BZ57" s="34"/>
      <c r="CA57" s="35" t="s">
        <v>3725</v>
      </c>
      <c r="CB57" s="37"/>
      <c r="CC57" s="37"/>
      <c r="CD57" s="34"/>
      <c r="CE57" s="37"/>
      <c r="CF57" s="34"/>
      <c r="CG57" s="35" t="s">
        <v>3589</v>
      </c>
      <c r="CH57" s="34"/>
      <c r="CI57" s="34"/>
      <c r="CJ57" s="35" t="s">
        <v>3590</v>
      </c>
      <c r="CK57" s="34"/>
      <c r="CL57" s="35" t="s">
        <v>3591</v>
      </c>
      <c r="CM57" s="60">
        <v>45772.0</v>
      </c>
      <c r="CN57" s="37"/>
      <c r="CO57" s="34"/>
      <c r="CP57" s="37"/>
      <c r="CQ57" s="34"/>
      <c r="CR57" s="35" t="s">
        <v>3589</v>
      </c>
      <c r="CS57" s="34"/>
      <c r="CT57" s="34"/>
      <c r="CU57" s="35" t="s">
        <v>3590</v>
      </c>
      <c r="CV57" s="60">
        <v>44432.0</v>
      </c>
      <c r="CW57" s="32">
        <v>12.01</v>
      </c>
      <c r="CX57" s="34"/>
      <c r="CY57" s="35" t="s">
        <v>3591</v>
      </c>
      <c r="CZ57" s="39">
        <v>-0.002</v>
      </c>
      <c r="DA57" s="32">
        <v>16.0</v>
      </c>
      <c r="DB57" s="39">
        <v>4.0E-4</v>
      </c>
      <c r="DC57" s="39">
        <v>0.1768</v>
      </c>
      <c r="DD57" s="39">
        <v>-0.0056</v>
      </c>
      <c r="DE57" s="32">
        <v>11.0</v>
      </c>
      <c r="DF57" s="37"/>
      <c r="DG57" s="37"/>
      <c r="DH57" s="39">
        <v>-0.0056</v>
      </c>
      <c r="DI57" s="32">
        <v>13.0</v>
      </c>
      <c r="DJ57" s="32" t="s">
        <v>9821</v>
      </c>
      <c r="DK57" s="32">
        <v>96.0</v>
      </c>
      <c r="DL57" s="32" t="s">
        <v>9822</v>
      </c>
      <c r="DM57" s="39">
        <v>-9.0E-4</v>
      </c>
      <c r="DN57" s="32" t="s">
        <v>9823</v>
      </c>
      <c r="DO57" s="32">
        <v>97.0</v>
      </c>
      <c r="DP57" s="37"/>
      <c r="DQ57" s="37"/>
      <c r="DR57" s="32" t="s">
        <v>9823</v>
      </c>
      <c r="DS57" s="32">
        <v>97.0</v>
      </c>
      <c r="DT57" s="37"/>
      <c r="DU57" s="37"/>
      <c r="DV57" s="37"/>
      <c r="DW57" s="32">
        <v>830.0</v>
      </c>
      <c r="DX57" s="32">
        <v>-2.0</v>
      </c>
      <c r="DY57" s="39">
        <v>-0.0024</v>
      </c>
      <c r="DZ57" s="32">
        <v>21.0</v>
      </c>
      <c r="EA57" s="32">
        <v>8.0</v>
      </c>
      <c r="EB57" s="32">
        <v>18.0</v>
      </c>
      <c r="EC57" s="37"/>
      <c r="ED57" s="37"/>
      <c r="EE57" s="32">
        <v>3.0</v>
      </c>
      <c r="EF57" s="35" t="s">
        <v>3730</v>
      </c>
      <c r="EG57" s="32">
        <v>304.53</v>
      </c>
      <c r="EH57" s="60">
        <v>44432.0</v>
      </c>
      <c r="EI57" s="35" t="s">
        <v>3594</v>
      </c>
      <c r="EJ57" s="37"/>
      <c r="EK57" s="37"/>
      <c r="EL57" s="37"/>
      <c r="EM57" s="34"/>
      <c r="EN57" s="37"/>
      <c r="EO57" s="37"/>
      <c r="EP57" s="37"/>
      <c r="EQ57" s="32">
        <v>2.7</v>
      </c>
      <c r="ER57" s="35" t="s">
        <v>9792</v>
      </c>
      <c r="ES57" s="34"/>
      <c r="ET57" s="34"/>
      <c r="EU57" s="37"/>
      <c r="EV57" s="40" t="s">
        <v>3559</v>
      </c>
    </row>
    <row r="58">
      <c r="B58" s="42" t="s">
        <v>4779</v>
      </c>
      <c r="C58" s="41">
        <v>12.0</v>
      </c>
      <c r="D58" s="42" t="s">
        <v>9824</v>
      </c>
      <c r="E58" s="42" t="s">
        <v>3867</v>
      </c>
      <c r="F58" s="42" t="s">
        <v>4199</v>
      </c>
      <c r="G58" s="42" t="s">
        <v>4414</v>
      </c>
      <c r="H58" s="42" t="s">
        <v>9627</v>
      </c>
      <c r="I58" s="63">
        <v>45940.0</v>
      </c>
      <c r="J58" s="42" t="s">
        <v>4415</v>
      </c>
      <c r="K58" s="42" t="s">
        <v>4784</v>
      </c>
      <c r="L58" s="42" t="s">
        <v>4785</v>
      </c>
      <c r="M58" s="43"/>
      <c r="N58" s="42" t="s">
        <v>4780</v>
      </c>
      <c r="O58" s="42" t="s">
        <v>4781</v>
      </c>
      <c r="P58" s="42" t="s">
        <v>4786</v>
      </c>
      <c r="Q58" s="41">
        <v>8.0</v>
      </c>
      <c r="R58" s="42" t="s">
        <v>4379</v>
      </c>
      <c r="S58" s="47">
        <v>0.07</v>
      </c>
      <c r="T58" s="47">
        <v>0.93</v>
      </c>
      <c r="U58" s="42" t="s">
        <v>4379</v>
      </c>
      <c r="V58" s="47">
        <v>0.01</v>
      </c>
      <c r="W58" s="47">
        <v>0.06</v>
      </c>
      <c r="X58" s="42" t="s">
        <v>9825</v>
      </c>
      <c r="Y58" s="42" t="s">
        <v>4786</v>
      </c>
      <c r="Z58" s="42" t="s">
        <v>4783</v>
      </c>
      <c r="AA58" s="42" t="s">
        <v>3569</v>
      </c>
      <c r="AB58" s="41">
        <v>15.32</v>
      </c>
      <c r="AC58" s="42" t="s">
        <v>3571</v>
      </c>
      <c r="AD58" s="42" t="s">
        <v>3572</v>
      </c>
      <c r="AE58" s="42" t="s">
        <v>3573</v>
      </c>
      <c r="AF58" s="44" t="s">
        <v>4787</v>
      </c>
      <c r="AG58" s="44" t="s">
        <v>4788</v>
      </c>
      <c r="AH58" s="41">
        <v>12.0</v>
      </c>
      <c r="AI58" s="42" t="s">
        <v>9824</v>
      </c>
      <c r="AJ58" s="43"/>
      <c r="AK58" s="43"/>
      <c r="AL58" s="41">
        <v>2000.0</v>
      </c>
      <c r="AM58" s="43"/>
      <c r="AN58" s="42" t="s">
        <v>4791</v>
      </c>
      <c r="AO58" s="42" t="s">
        <v>4792</v>
      </c>
      <c r="AP58" s="42" t="s">
        <v>4793</v>
      </c>
      <c r="AQ58" s="43"/>
      <c r="AR58" s="43"/>
      <c r="AS58" s="45"/>
      <c r="AT58" s="45"/>
      <c r="AU58" s="45"/>
      <c r="AV58" s="45"/>
      <c r="AW58" s="45"/>
      <c r="AX58" s="45"/>
      <c r="AY58" s="45"/>
      <c r="AZ58" s="45"/>
      <c r="BA58" s="45"/>
      <c r="BB58" s="45"/>
      <c r="BC58" s="42" t="s">
        <v>4790</v>
      </c>
      <c r="BD58" s="64" t="str">
        <f>+972 (0)8 943 3640</f>
        <v>#ERROR!</v>
      </c>
      <c r="BE58" s="42" t="s">
        <v>4473</v>
      </c>
      <c r="BF58" s="42" t="s">
        <v>4794</v>
      </c>
      <c r="BG58" s="42" t="s">
        <v>4795</v>
      </c>
      <c r="BH58" s="42" t="s">
        <v>530</v>
      </c>
      <c r="BI58" s="43"/>
      <c r="BJ58" s="41">
        <v>81224.0</v>
      </c>
      <c r="BK58" s="42" t="s">
        <v>41</v>
      </c>
      <c r="BL58" s="45" t="str">
        <f>+972 (0)8 943 3640</f>
        <v>#ERROR!</v>
      </c>
      <c r="BM58" s="45" t="str">
        <f>+972 (0)8 943 3644</f>
        <v>#ERROR!</v>
      </c>
      <c r="BN58" s="42" t="s">
        <v>4796</v>
      </c>
      <c r="BO58" s="42" t="s">
        <v>3584</v>
      </c>
      <c r="BP58" s="42" t="s">
        <v>3584</v>
      </c>
      <c r="BQ58" s="42" t="s">
        <v>4797</v>
      </c>
      <c r="BR58" s="42" t="s">
        <v>4798</v>
      </c>
      <c r="BS58" s="41">
        <v>3.0</v>
      </c>
      <c r="BT58" s="43"/>
      <c r="BU58" s="43"/>
      <c r="BV58" s="43"/>
      <c r="BW58" s="42" t="s">
        <v>4799</v>
      </c>
      <c r="BX58" s="43"/>
      <c r="BY58" s="43"/>
      <c r="BZ58" s="42" t="s">
        <v>4800</v>
      </c>
      <c r="CA58" s="42" t="s">
        <v>4801</v>
      </c>
      <c r="CB58" s="70">
        <v>43611.0</v>
      </c>
      <c r="CC58" s="41">
        <v>5.32</v>
      </c>
      <c r="CD58" s="42" t="s">
        <v>3593</v>
      </c>
      <c r="CE58" s="41">
        <v>250.0</v>
      </c>
      <c r="CF58" s="42" t="s">
        <v>3593</v>
      </c>
      <c r="CG58" s="42" t="s">
        <v>3594</v>
      </c>
      <c r="CH58" s="42" t="s">
        <v>3595</v>
      </c>
      <c r="CI58" s="43"/>
      <c r="CJ58" s="42" t="s">
        <v>3573</v>
      </c>
      <c r="CK58" s="43"/>
      <c r="CL58" s="42" t="s">
        <v>3591</v>
      </c>
      <c r="CM58" s="63">
        <v>44453.0</v>
      </c>
      <c r="CN58" s="41">
        <v>10.0</v>
      </c>
      <c r="CO58" s="42" t="s">
        <v>3593</v>
      </c>
      <c r="CP58" s="45"/>
      <c r="CQ58" s="43"/>
      <c r="CR58" s="42" t="s">
        <v>3594</v>
      </c>
      <c r="CS58" s="42" t="s">
        <v>3595</v>
      </c>
      <c r="CT58" s="43"/>
      <c r="CU58" s="42" t="s">
        <v>3573</v>
      </c>
      <c r="CV58" s="45"/>
      <c r="CW58" s="45"/>
      <c r="CX58" s="43"/>
      <c r="CY58" s="42" t="s">
        <v>3591</v>
      </c>
      <c r="CZ58" s="47">
        <v>-0.0259</v>
      </c>
      <c r="DA58" s="41">
        <v>3.0</v>
      </c>
      <c r="DB58" s="47">
        <v>-8.0E-4</v>
      </c>
      <c r="DC58" s="47">
        <v>-0.0312</v>
      </c>
      <c r="DD58" s="47">
        <v>-0.0259</v>
      </c>
      <c r="DE58" s="41">
        <v>3.0</v>
      </c>
      <c r="DF58" s="45"/>
      <c r="DG58" s="45"/>
      <c r="DH58" s="47">
        <v>-0.0259</v>
      </c>
      <c r="DI58" s="41">
        <v>3.0</v>
      </c>
      <c r="DJ58" s="41" t="s">
        <v>9826</v>
      </c>
      <c r="DK58" s="41">
        <v>96.0</v>
      </c>
      <c r="DL58" s="41" t="s">
        <v>9827</v>
      </c>
      <c r="DM58" s="47">
        <v>-0.0055</v>
      </c>
      <c r="DN58" s="41" t="s">
        <v>9826</v>
      </c>
      <c r="DO58" s="41">
        <v>96.0</v>
      </c>
      <c r="DP58" s="45"/>
      <c r="DQ58" s="45"/>
      <c r="DR58" s="41" t="s">
        <v>9826</v>
      </c>
      <c r="DS58" s="41">
        <v>96.0</v>
      </c>
      <c r="DT58" s="45"/>
      <c r="DU58" s="45"/>
      <c r="DV58" s="45"/>
      <c r="DW58" s="41">
        <v>544.0</v>
      </c>
      <c r="DX58" s="41">
        <v>-10.0</v>
      </c>
      <c r="DY58" s="47">
        <v>-0.0181</v>
      </c>
      <c r="DZ58" s="41">
        <v>115.0</v>
      </c>
      <c r="EA58" s="41">
        <v>28.0</v>
      </c>
      <c r="EB58" s="41">
        <v>34.0</v>
      </c>
      <c r="EC58" s="45"/>
      <c r="ED58" s="45"/>
      <c r="EE58" s="41">
        <v>81.0</v>
      </c>
      <c r="EF58" s="42" t="s">
        <v>4806</v>
      </c>
      <c r="EG58" s="41">
        <v>250.0</v>
      </c>
      <c r="EH58" s="70">
        <v>43611.0</v>
      </c>
      <c r="EI58" s="42" t="s">
        <v>3594</v>
      </c>
      <c r="EJ58" s="45"/>
      <c r="EK58" s="45"/>
      <c r="EL58" s="45"/>
      <c r="EM58" s="42" t="s">
        <v>4807</v>
      </c>
      <c r="EN58" s="45"/>
      <c r="EO58" s="45"/>
      <c r="EP58" s="45"/>
      <c r="EQ58" s="45"/>
      <c r="ER58" s="42" t="s">
        <v>9627</v>
      </c>
      <c r="ES58" s="43"/>
      <c r="ET58" s="42" t="s">
        <v>47</v>
      </c>
      <c r="EU58" s="41">
        <v>3.0</v>
      </c>
      <c r="EV58" s="48" t="s">
        <v>3559</v>
      </c>
    </row>
    <row r="59">
      <c r="B59" s="35" t="s">
        <v>9319</v>
      </c>
      <c r="C59" s="37"/>
      <c r="D59" s="34"/>
      <c r="E59" s="35" t="s">
        <v>3563</v>
      </c>
      <c r="F59" s="35" t="s">
        <v>3564</v>
      </c>
      <c r="G59" s="35" t="s">
        <v>3565</v>
      </c>
      <c r="H59" s="35" t="s">
        <v>3612</v>
      </c>
      <c r="I59" s="60">
        <v>45953.0</v>
      </c>
      <c r="J59" s="35" t="s">
        <v>5114</v>
      </c>
      <c r="K59" s="35" t="s">
        <v>9322</v>
      </c>
      <c r="L59" s="35" t="s">
        <v>9323</v>
      </c>
      <c r="M59" s="34"/>
      <c r="N59" s="34"/>
      <c r="O59" s="35" t="s">
        <v>9320</v>
      </c>
      <c r="P59" s="35" t="s">
        <v>9324</v>
      </c>
      <c r="Q59" s="37"/>
      <c r="R59" s="34"/>
      <c r="S59" s="37"/>
      <c r="T59" s="37"/>
      <c r="U59" s="34"/>
      <c r="V59" s="37"/>
      <c r="W59" s="37"/>
      <c r="X59" s="34"/>
      <c r="Y59" s="35" t="s">
        <v>9324</v>
      </c>
      <c r="Z59" s="35" t="s">
        <v>9321</v>
      </c>
      <c r="AA59" s="35" t="s">
        <v>3569</v>
      </c>
      <c r="AB59" s="37"/>
      <c r="AC59" s="35" t="s">
        <v>3571</v>
      </c>
      <c r="AD59" s="35" t="s">
        <v>3572</v>
      </c>
      <c r="AE59" s="35" t="s">
        <v>3573</v>
      </c>
      <c r="AF59" s="36" t="s">
        <v>9325</v>
      </c>
      <c r="AG59" s="36" t="s">
        <v>9326</v>
      </c>
      <c r="AH59" s="37"/>
      <c r="AI59" s="34"/>
      <c r="AJ59" s="34"/>
      <c r="AK59" s="34"/>
      <c r="AL59" s="32">
        <v>2019.0</v>
      </c>
      <c r="AM59" s="34"/>
      <c r="AN59" s="35" t="s">
        <v>9328</v>
      </c>
      <c r="AO59" s="35" t="s">
        <v>265</v>
      </c>
      <c r="AP59" s="35" t="s">
        <v>9329</v>
      </c>
      <c r="AQ59" s="34"/>
      <c r="AR59" s="34"/>
      <c r="AS59" s="37"/>
      <c r="AT59" s="37"/>
      <c r="AU59" s="37"/>
      <c r="AV59" s="37"/>
      <c r="AW59" s="37"/>
      <c r="AX59" s="37"/>
      <c r="AY59" s="37"/>
      <c r="AZ59" s="37"/>
      <c r="BA59" s="37"/>
      <c r="BB59" s="37"/>
      <c r="BC59" s="35" t="s">
        <v>9327</v>
      </c>
      <c r="BD59" s="61" t="str">
        <f>+972 (0)53 230 8588</f>
        <v>#ERROR!</v>
      </c>
      <c r="BE59" s="35" t="s">
        <v>3581</v>
      </c>
      <c r="BF59" s="34"/>
      <c r="BG59" s="34"/>
      <c r="BH59" s="35" t="s">
        <v>75</v>
      </c>
      <c r="BI59" s="34"/>
      <c r="BJ59" s="37"/>
      <c r="BK59" s="35" t="s">
        <v>41</v>
      </c>
      <c r="BL59" s="37" t="str">
        <f>+972 (0)53 230 8588</f>
        <v>#ERROR!</v>
      </c>
      <c r="BM59" s="37"/>
      <c r="BN59" s="35" t="s">
        <v>9330</v>
      </c>
      <c r="BO59" s="35" t="s">
        <v>3584</v>
      </c>
      <c r="BP59" s="35" t="s">
        <v>3584</v>
      </c>
      <c r="BQ59" s="35" t="s">
        <v>9331</v>
      </c>
      <c r="BR59" s="35" t="s">
        <v>9332</v>
      </c>
      <c r="BS59" s="32">
        <v>3.0</v>
      </c>
      <c r="BT59" s="34"/>
      <c r="BU59" s="34"/>
      <c r="BV59" s="34"/>
      <c r="BW59" s="35" t="s">
        <v>9333</v>
      </c>
      <c r="BX59" s="34"/>
      <c r="BY59" s="34"/>
      <c r="BZ59" s="34"/>
      <c r="CA59" s="34"/>
      <c r="CB59" s="62">
        <v>44562.0</v>
      </c>
      <c r="CC59" s="37"/>
      <c r="CD59" s="34"/>
      <c r="CE59" s="37"/>
      <c r="CF59" s="34"/>
      <c r="CG59" s="35" t="s">
        <v>3669</v>
      </c>
      <c r="CH59" s="34"/>
      <c r="CI59" s="34"/>
      <c r="CJ59" s="35" t="s">
        <v>3573</v>
      </c>
      <c r="CK59" s="34"/>
      <c r="CL59" s="35" t="s">
        <v>3591</v>
      </c>
      <c r="CM59" s="60">
        <v>45461.0</v>
      </c>
      <c r="CN59" s="37"/>
      <c r="CO59" s="34"/>
      <c r="CP59" s="37"/>
      <c r="CQ59" s="34"/>
      <c r="CR59" s="35" t="s">
        <v>3589</v>
      </c>
      <c r="CS59" s="34"/>
      <c r="CT59" s="34"/>
      <c r="CU59" s="35" t="s">
        <v>3590</v>
      </c>
      <c r="CV59" s="37"/>
      <c r="CW59" s="37"/>
      <c r="CX59" s="34"/>
      <c r="CY59" s="35" t="s">
        <v>3591</v>
      </c>
      <c r="CZ59" s="39">
        <v>0.0</v>
      </c>
      <c r="DA59" s="32">
        <v>19.0</v>
      </c>
      <c r="DB59" s="39">
        <v>0.0</v>
      </c>
      <c r="DC59" s="39">
        <v>0.0</v>
      </c>
      <c r="DD59" s="39">
        <v>0.0</v>
      </c>
      <c r="DE59" s="32">
        <v>17.0</v>
      </c>
      <c r="DF59" s="37"/>
      <c r="DG59" s="37"/>
      <c r="DH59" s="39">
        <v>0.0</v>
      </c>
      <c r="DI59" s="32">
        <v>17.0</v>
      </c>
      <c r="DJ59" s="32" t="s">
        <v>9737</v>
      </c>
      <c r="DK59" s="32">
        <v>17.0</v>
      </c>
      <c r="DL59" s="32" t="s">
        <v>3598</v>
      </c>
      <c r="DM59" s="39">
        <v>0.0</v>
      </c>
      <c r="DN59" s="32" t="s">
        <v>9737</v>
      </c>
      <c r="DO59" s="32">
        <v>18.0</v>
      </c>
      <c r="DP59" s="37"/>
      <c r="DQ59" s="37"/>
      <c r="DR59" s="32" t="s">
        <v>9737</v>
      </c>
      <c r="DS59" s="32">
        <v>17.0</v>
      </c>
      <c r="DT59" s="32">
        <v>0.0</v>
      </c>
      <c r="DU59" s="32">
        <v>0.0</v>
      </c>
      <c r="DV59" s="39">
        <v>0.0</v>
      </c>
      <c r="DW59" s="32">
        <v>5.0</v>
      </c>
      <c r="DX59" s="32">
        <v>0.0</v>
      </c>
      <c r="DY59" s="39">
        <v>0.0</v>
      </c>
      <c r="DZ59" s="32">
        <v>1.0</v>
      </c>
      <c r="EA59" s="32">
        <v>1.0</v>
      </c>
      <c r="EB59" s="37"/>
      <c r="EC59" s="32">
        <v>1.0</v>
      </c>
      <c r="ED59" s="37"/>
      <c r="EE59" s="37"/>
      <c r="EF59" s="35" t="s">
        <v>9334</v>
      </c>
      <c r="EG59" s="37"/>
      <c r="EH59" s="37"/>
      <c r="EI59" s="34"/>
      <c r="EJ59" s="37"/>
      <c r="EK59" s="37"/>
      <c r="EL59" s="37"/>
      <c r="EM59" s="34"/>
      <c r="EN59" s="37"/>
      <c r="EO59" s="37"/>
      <c r="EP59" s="37"/>
      <c r="EQ59" s="37"/>
      <c r="ER59" s="35" t="s">
        <v>3612</v>
      </c>
      <c r="ES59" s="34"/>
      <c r="ET59" s="34"/>
      <c r="EU59" s="37"/>
      <c r="EV59" s="40" t="s">
        <v>3559</v>
      </c>
    </row>
    <row r="60">
      <c r="B60" s="42" t="s">
        <v>9350</v>
      </c>
      <c r="C60" s="41">
        <v>3.0</v>
      </c>
      <c r="D60" s="42" t="s">
        <v>9357</v>
      </c>
      <c r="E60" s="42" t="s">
        <v>4560</v>
      </c>
      <c r="F60" s="42" t="s">
        <v>4561</v>
      </c>
      <c r="G60" s="42" t="s">
        <v>66</v>
      </c>
      <c r="H60" s="42" t="s">
        <v>8495</v>
      </c>
      <c r="I60" s="63">
        <v>45366.0</v>
      </c>
      <c r="J60" s="42" t="s">
        <v>9352</v>
      </c>
      <c r="K60" s="42" t="s">
        <v>8573</v>
      </c>
      <c r="L60" s="42" t="s">
        <v>9353</v>
      </c>
      <c r="M60" s="43"/>
      <c r="N60" s="43"/>
      <c r="O60" s="43"/>
      <c r="P60" s="42" t="s">
        <v>9354</v>
      </c>
      <c r="Q60" s="42"/>
      <c r="R60" s="42"/>
      <c r="S60" s="42"/>
      <c r="T60" s="42"/>
      <c r="U60" s="42"/>
      <c r="V60" s="42"/>
      <c r="W60" s="42"/>
      <c r="X60" s="43"/>
      <c r="Y60" s="42" t="s">
        <v>9354</v>
      </c>
      <c r="Z60" s="42" t="s">
        <v>9351</v>
      </c>
      <c r="AA60" s="42" t="s">
        <v>4923</v>
      </c>
      <c r="AB60" s="45"/>
      <c r="AC60" s="42" t="s">
        <v>6041</v>
      </c>
      <c r="AD60" s="42" t="s">
        <v>4925</v>
      </c>
      <c r="AE60" s="42" t="s">
        <v>4926</v>
      </c>
      <c r="AF60" s="44" t="s">
        <v>9355</v>
      </c>
      <c r="AG60" s="44" t="s">
        <v>9356</v>
      </c>
      <c r="AH60" s="41">
        <v>3.0</v>
      </c>
      <c r="AI60" s="42" t="s">
        <v>9357</v>
      </c>
      <c r="AJ60" s="43"/>
      <c r="AK60" s="43"/>
      <c r="AL60" s="41">
        <v>2023.0</v>
      </c>
      <c r="AM60" s="43"/>
      <c r="AN60" s="42" t="s">
        <v>9359</v>
      </c>
      <c r="AO60" s="42" t="s">
        <v>3579</v>
      </c>
      <c r="AP60" s="42" t="s">
        <v>9360</v>
      </c>
      <c r="AQ60" s="43"/>
      <c r="AR60" s="43"/>
      <c r="AS60" s="45"/>
      <c r="AT60" s="45"/>
      <c r="AU60" s="45"/>
      <c r="AV60" s="45"/>
      <c r="AW60" s="45"/>
      <c r="AX60" s="45"/>
      <c r="AY60" s="45"/>
      <c r="AZ60" s="45"/>
      <c r="BA60" s="45"/>
      <c r="BB60" s="45"/>
      <c r="BC60" s="42" t="s">
        <v>9358</v>
      </c>
      <c r="BD60" s="64" t="str">
        <f>+972 (0)52 834 9559</f>
        <v>#ERROR!</v>
      </c>
      <c r="BE60" s="42" t="s">
        <v>3581</v>
      </c>
      <c r="BF60" s="43"/>
      <c r="BG60" s="43"/>
      <c r="BH60" s="42" t="s">
        <v>75</v>
      </c>
      <c r="BI60" s="43"/>
      <c r="BJ60" s="45"/>
      <c r="BK60" s="42" t="s">
        <v>41</v>
      </c>
      <c r="BL60" s="45"/>
      <c r="BM60" s="45"/>
      <c r="BN60" s="42" t="s">
        <v>9361</v>
      </c>
      <c r="BO60" s="42" t="s">
        <v>3584</v>
      </c>
      <c r="BP60" s="42" t="s">
        <v>3584</v>
      </c>
      <c r="BQ60" s="43"/>
      <c r="BR60" s="43"/>
      <c r="BS60" s="45"/>
      <c r="BT60" s="43"/>
      <c r="BU60" s="43"/>
      <c r="BV60" s="43"/>
      <c r="BW60" s="43"/>
      <c r="BX60" s="43"/>
      <c r="BY60" s="43"/>
      <c r="BZ60" s="43"/>
      <c r="CA60" s="43"/>
      <c r="CB60" s="45"/>
      <c r="CC60" s="45"/>
      <c r="CD60" s="43"/>
      <c r="CE60" s="45"/>
      <c r="CF60" s="43"/>
      <c r="CG60" s="43"/>
      <c r="CH60" s="43"/>
      <c r="CI60" s="43"/>
      <c r="CJ60" s="43"/>
      <c r="CK60" s="43"/>
      <c r="CL60" s="43"/>
      <c r="CM60" s="45"/>
      <c r="CN60" s="45"/>
      <c r="CO60" s="43"/>
      <c r="CP60" s="45"/>
      <c r="CQ60" s="43"/>
      <c r="CR60" s="43"/>
      <c r="CS60" s="43"/>
      <c r="CT60" s="43"/>
      <c r="CU60" s="43"/>
      <c r="CV60" s="45"/>
      <c r="CW60" s="45"/>
      <c r="CX60" s="43"/>
      <c r="CY60" s="43"/>
      <c r="CZ60" s="47">
        <v>0.0</v>
      </c>
      <c r="DA60" s="41">
        <v>19.0</v>
      </c>
      <c r="DB60" s="47">
        <v>0.0</v>
      </c>
      <c r="DC60" s="47">
        <v>0.0</v>
      </c>
      <c r="DD60" s="47">
        <v>0.0</v>
      </c>
      <c r="DE60" s="41">
        <v>17.0</v>
      </c>
      <c r="DF60" s="47">
        <v>0.0</v>
      </c>
      <c r="DG60" s="41">
        <v>11.0</v>
      </c>
      <c r="DH60" s="45"/>
      <c r="DI60" s="45"/>
      <c r="DJ60" s="41" t="s">
        <v>4157</v>
      </c>
      <c r="DK60" s="41">
        <v>1.0</v>
      </c>
      <c r="DL60" s="41" t="s">
        <v>3598</v>
      </c>
      <c r="DM60" s="47">
        <v>0.0</v>
      </c>
      <c r="DN60" s="41" t="s">
        <v>4157</v>
      </c>
      <c r="DO60" s="41">
        <v>1.0</v>
      </c>
      <c r="DP60" s="41" t="s">
        <v>4157</v>
      </c>
      <c r="DQ60" s="41">
        <v>19.0</v>
      </c>
      <c r="DR60" s="45"/>
      <c r="DS60" s="45"/>
      <c r="DT60" s="41">
        <v>0.0</v>
      </c>
      <c r="DU60" s="41">
        <v>0.0</v>
      </c>
      <c r="DV60" s="47">
        <v>0.0</v>
      </c>
      <c r="DW60" s="45"/>
      <c r="DX60" s="45"/>
      <c r="DY60" s="45"/>
      <c r="DZ60" s="45"/>
      <c r="EA60" s="45"/>
      <c r="EB60" s="45"/>
      <c r="EC60" s="45"/>
      <c r="ED60" s="45"/>
      <c r="EE60" s="45"/>
      <c r="EF60" s="43"/>
      <c r="EG60" s="45"/>
      <c r="EH60" s="45"/>
      <c r="EI60" s="43"/>
      <c r="EJ60" s="45"/>
      <c r="EK60" s="45"/>
      <c r="EL60" s="45"/>
      <c r="EM60" s="43"/>
      <c r="EN60" s="45"/>
      <c r="EO60" s="45"/>
      <c r="EP60" s="45"/>
      <c r="EQ60" s="45"/>
      <c r="ER60" s="42" t="s">
        <v>8495</v>
      </c>
      <c r="ES60" s="43"/>
      <c r="ET60" s="42" t="s">
        <v>47</v>
      </c>
      <c r="EU60" s="41">
        <v>24.0</v>
      </c>
      <c r="EV60" s="48" t="s">
        <v>3559</v>
      </c>
    </row>
    <row r="61">
      <c r="B61" s="35" t="s">
        <v>9363</v>
      </c>
      <c r="C61" s="32">
        <v>3.0</v>
      </c>
      <c r="D61" s="35" t="s">
        <v>9828</v>
      </c>
      <c r="E61" s="35" t="s">
        <v>3867</v>
      </c>
      <c r="F61" s="35" t="s">
        <v>3868</v>
      </c>
      <c r="G61" s="35" t="s">
        <v>3869</v>
      </c>
      <c r="H61" s="35" t="s">
        <v>3612</v>
      </c>
      <c r="I61" s="60">
        <v>45821.0</v>
      </c>
      <c r="J61" s="35" t="s">
        <v>3925</v>
      </c>
      <c r="K61" s="35" t="s">
        <v>3612</v>
      </c>
      <c r="L61" s="35" t="s">
        <v>9368</v>
      </c>
      <c r="M61" s="34"/>
      <c r="N61" s="35" t="s">
        <v>9829</v>
      </c>
      <c r="O61" s="35" t="s">
        <v>9364</v>
      </c>
      <c r="P61" s="35" t="s">
        <v>9369</v>
      </c>
      <c r="Q61" s="37"/>
      <c r="R61" s="34"/>
      <c r="S61" s="37"/>
      <c r="T61" s="37"/>
      <c r="U61" s="34"/>
      <c r="V61" s="37"/>
      <c r="W61" s="37"/>
      <c r="X61" s="34"/>
      <c r="Y61" s="35" t="s">
        <v>9369</v>
      </c>
      <c r="Z61" s="35" t="s">
        <v>9830</v>
      </c>
      <c r="AA61" s="35" t="s">
        <v>3569</v>
      </c>
      <c r="AB61" s="32">
        <v>1.2</v>
      </c>
      <c r="AC61" s="35" t="s">
        <v>3571</v>
      </c>
      <c r="AD61" s="35" t="s">
        <v>3572</v>
      </c>
      <c r="AE61" s="35" t="s">
        <v>3573</v>
      </c>
      <c r="AF61" s="36" t="s">
        <v>9370</v>
      </c>
      <c r="AG61" s="36" t="s">
        <v>9371</v>
      </c>
      <c r="AH61" s="32">
        <v>3.0</v>
      </c>
      <c r="AI61" s="35" t="s">
        <v>9828</v>
      </c>
      <c r="AJ61" s="34"/>
      <c r="AK61" s="34"/>
      <c r="AL61" s="32">
        <v>2019.0</v>
      </c>
      <c r="AM61" s="34"/>
      <c r="AN61" s="35" t="s">
        <v>2829</v>
      </c>
      <c r="AO61" s="35" t="s">
        <v>4930</v>
      </c>
      <c r="AP61" s="35" t="s">
        <v>9374</v>
      </c>
      <c r="AQ61" s="34"/>
      <c r="AR61" s="34"/>
      <c r="AS61" s="37"/>
      <c r="AT61" s="37"/>
      <c r="AU61" s="37"/>
      <c r="AV61" s="37"/>
      <c r="AW61" s="37"/>
      <c r="AX61" s="37"/>
      <c r="AY61" s="37"/>
      <c r="AZ61" s="37"/>
      <c r="BA61" s="37"/>
      <c r="BB61" s="37"/>
      <c r="BC61" s="35" t="s">
        <v>9373</v>
      </c>
      <c r="BD61" s="61" t="str">
        <f>+972 (0)53 565 9168</f>
        <v>#ERROR!</v>
      </c>
      <c r="BE61" s="35" t="s">
        <v>3654</v>
      </c>
      <c r="BF61" s="35" t="s">
        <v>9375</v>
      </c>
      <c r="BG61" s="34"/>
      <c r="BH61" s="35" t="s">
        <v>147</v>
      </c>
      <c r="BI61" s="34"/>
      <c r="BJ61" s="37"/>
      <c r="BK61" s="35" t="s">
        <v>41</v>
      </c>
      <c r="BL61" s="37" t="str">
        <f>+972 (0)53 565 9168</f>
        <v>#ERROR!</v>
      </c>
      <c r="BM61" s="37"/>
      <c r="BN61" s="35" t="s">
        <v>2833</v>
      </c>
      <c r="BO61" s="35" t="s">
        <v>3584</v>
      </c>
      <c r="BP61" s="35" t="s">
        <v>3584</v>
      </c>
      <c r="BQ61" s="35" t="s">
        <v>9376</v>
      </c>
      <c r="BR61" s="35" t="s">
        <v>9377</v>
      </c>
      <c r="BS61" s="32">
        <v>5.0</v>
      </c>
      <c r="BT61" s="34"/>
      <c r="BU61" s="34"/>
      <c r="BV61" s="34"/>
      <c r="BW61" s="35" t="s">
        <v>9378</v>
      </c>
      <c r="BX61" s="34"/>
      <c r="BY61" s="34"/>
      <c r="BZ61" s="34"/>
      <c r="CA61" s="34"/>
      <c r="CB61" s="62">
        <v>43556.0</v>
      </c>
      <c r="CC61" s="32">
        <v>1.2</v>
      </c>
      <c r="CD61" s="35" t="s">
        <v>3593</v>
      </c>
      <c r="CE61" s="37"/>
      <c r="CF61" s="34"/>
      <c r="CG61" s="35" t="s">
        <v>3698</v>
      </c>
      <c r="CH61" s="35" t="s">
        <v>3698</v>
      </c>
      <c r="CI61" s="34"/>
      <c r="CJ61" s="35" t="s">
        <v>3573</v>
      </c>
      <c r="CK61" s="34"/>
      <c r="CL61" s="35" t="s">
        <v>3591</v>
      </c>
      <c r="CM61" s="62">
        <v>43617.0</v>
      </c>
      <c r="CN61" s="37"/>
      <c r="CO61" s="34"/>
      <c r="CP61" s="37"/>
      <c r="CQ61" s="34"/>
      <c r="CR61" s="35" t="s">
        <v>3589</v>
      </c>
      <c r="CS61" s="34"/>
      <c r="CT61" s="34"/>
      <c r="CU61" s="35" t="s">
        <v>3590</v>
      </c>
      <c r="CV61" s="37"/>
      <c r="CW61" s="37"/>
      <c r="CX61" s="34"/>
      <c r="CY61" s="35" t="s">
        <v>3591</v>
      </c>
      <c r="CZ61" s="39">
        <v>0.0</v>
      </c>
      <c r="DA61" s="32">
        <v>19.0</v>
      </c>
      <c r="DB61" s="39">
        <v>0.0</v>
      </c>
      <c r="DC61" s="39">
        <v>0.0</v>
      </c>
      <c r="DD61" s="39">
        <v>0.0</v>
      </c>
      <c r="DE61" s="32">
        <v>17.0</v>
      </c>
      <c r="DF61" s="37"/>
      <c r="DG61" s="37"/>
      <c r="DH61" s="39">
        <v>0.0</v>
      </c>
      <c r="DI61" s="32">
        <v>17.0</v>
      </c>
      <c r="DJ61" s="32" t="s">
        <v>9831</v>
      </c>
      <c r="DK61" s="32">
        <v>60.0</v>
      </c>
      <c r="DL61" s="32" t="s">
        <v>3598</v>
      </c>
      <c r="DM61" s="39">
        <v>0.0</v>
      </c>
      <c r="DN61" s="32" t="s">
        <v>9831</v>
      </c>
      <c r="DO61" s="32">
        <v>61.0</v>
      </c>
      <c r="DP61" s="37"/>
      <c r="DQ61" s="37"/>
      <c r="DR61" s="32" t="s">
        <v>9831</v>
      </c>
      <c r="DS61" s="32">
        <v>59.0</v>
      </c>
      <c r="DT61" s="37"/>
      <c r="DU61" s="37"/>
      <c r="DV61" s="37"/>
      <c r="DW61" s="32">
        <v>25.0</v>
      </c>
      <c r="DX61" s="32">
        <v>-1.0</v>
      </c>
      <c r="DY61" s="39">
        <v>-0.0385</v>
      </c>
      <c r="DZ61" s="37"/>
      <c r="EA61" s="37"/>
      <c r="EB61" s="37"/>
      <c r="EC61" s="37"/>
      <c r="ED61" s="37"/>
      <c r="EE61" s="37"/>
      <c r="EF61" s="34"/>
      <c r="EG61" s="37"/>
      <c r="EH61" s="37"/>
      <c r="EI61" s="34"/>
      <c r="EJ61" s="37"/>
      <c r="EK61" s="37"/>
      <c r="EL61" s="37"/>
      <c r="EM61" s="34"/>
      <c r="EN61" s="37"/>
      <c r="EO61" s="37"/>
      <c r="EP61" s="37"/>
      <c r="EQ61" s="37"/>
      <c r="ER61" s="35" t="s">
        <v>3612</v>
      </c>
      <c r="ES61" s="34"/>
      <c r="ET61" s="35" t="s">
        <v>47</v>
      </c>
      <c r="EU61" s="32">
        <v>33.0</v>
      </c>
      <c r="EV61" s="40" t="s">
        <v>3559</v>
      </c>
    </row>
    <row r="62">
      <c r="B62" s="42" t="s">
        <v>2438</v>
      </c>
      <c r="C62" s="41">
        <v>3.0</v>
      </c>
      <c r="D62" s="42" t="s">
        <v>9832</v>
      </c>
      <c r="E62" s="42" t="s">
        <v>4560</v>
      </c>
      <c r="F62" s="42" t="s">
        <v>4561</v>
      </c>
      <c r="G62" s="42" t="s">
        <v>66</v>
      </c>
      <c r="H62" s="42" t="s">
        <v>9833</v>
      </c>
      <c r="I62" s="65">
        <v>45994.0</v>
      </c>
      <c r="J62" s="42" t="s">
        <v>9834</v>
      </c>
      <c r="K62" s="42" t="s">
        <v>9463</v>
      </c>
      <c r="L62" s="42" t="s">
        <v>9835</v>
      </c>
      <c r="M62" s="43"/>
      <c r="N62" s="43"/>
      <c r="O62" s="42" t="s">
        <v>9460</v>
      </c>
      <c r="P62" s="42" t="s">
        <v>9465</v>
      </c>
      <c r="Q62" s="45"/>
      <c r="R62" s="43"/>
      <c r="S62" s="45"/>
      <c r="T62" s="45"/>
      <c r="U62" s="43"/>
      <c r="V62" s="45"/>
      <c r="W62" s="45"/>
      <c r="X62" s="43"/>
      <c r="Y62" s="42" t="s">
        <v>9465</v>
      </c>
      <c r="Z62" s="42" t="s">
        <v>9461</v>
      </c>
      <c r="AA62" s="42" t="s">
        <v>3569</v>
      </c>
      <c r="AB62" s="45"/>
      <c r="AC62" s="42" t="s">
        <v>6041</v>
      </c>
      <c r="AD62" s="42" t="s">
        <v>3572</v>
      </c>
      <c r="AE62" s="42" t="s">
        <v>3573</v>
      </c>
      <c r="AF62" s="44" t="s">
        <v>9466</v>
      </c>
      <c r="AG62" s="44" t="s">
        <v>9467</v>
      </c>
      <c r="AH62" s="41">
        <v>3.0</v>
      </c>
      <c r="AI62" s="42" t="s">
        <v>9832</v>
      </c>
      <c r="AJ62" s="43"/>
      <c r="AK62" s="43"/>
      <c r="AL62" s="41">
        <v>2024.0</v>
      </c>
      <c r="AM62" s="43"/>
      <c r="AN62" s="42" t="s">
        <v>2440</v>
      </c>
      <c r="AO62" s="42" t="s">
        <v>4397</v>
      </c>
      <c r="AP62" s="42" t="s">
        <v>2441</v>
      </c>
      <c r="AQ62" s="43"/>
      <c r="AR62" s="43"/>
      <c r="AS62" s="45"/>
      <c r="AT62" s="45"/>
      <c r="AU62" s="45"/>
      <c r="AV62" s="45"/>
      <c r="AW62" s="45"/>
      <c r="AX62" s="45"/>
      <c r="AY62" s="45"/>
      <c r="AZ62" s="45"/>
      <c r="BA62" s="45"/>
      <c r="BB62" s="45"/>
      <c r="BC62" s="42" t="s">
        <v>9836</v>
      </c>
      <c r="BD62" s="64" t="str">
        <f>+972 (0)54 818 5100</f>
        <v>#ERROR!</v>
      </c>
      <c r="BE62" s="42" t="s">
        <v>5344</v>
      </c>
      <c r="BF62" s="42" t="s">
        <v>9472</v>
      </c>
      <c r="BG62" s="43"/>
      <c r="BH62" s="42" t="s">
        <v>2444</v>
      </c>
      <c r="BI62" s="42" t="s">
        <v>41</v>
      </c>
      <c r="BJ62" s="41">
        <v>5126112.0</v>
      </c>
      <c r="BK62" s="42" t="s">
        <v>41</v>
      </c>
      <c r="BL62" s="45" t="str">
        <f>+972 (0)54 818 5100</f>
        <v>#ERROR!</v>
      </c>
      <c r="BM62" s="45"/>
      <c r="BN62" s="42" t="s">
        <v>2441</v>
      </c>
      <c r="BO62" s="42" t="s">
        <v>3584</v>
      </c>
      <c r="BP62" s="42" t="s">
        <v>3584</v>
      </c>
      <c r="BQ62" s="42" t="s">
        <v>9837</v>
      </c>
      <c r="BR62" s="42" t="s">
        <v>9838</v>
      </c>
      <c r="BS62" s="41">
        <v>6.0</v>
      </c>
      <c r="BT62" s="43"/>
      <c r="BU62" s="43"/>
      <c r="BV62" s="43"/>
      <c r="BW62" s="42" t="s">
        <v>9839</v>
      </c>
      <c r="BX62" s="43"/>
      <c r="BY62" s="43"/>
      <c r="BZ62" s="43"/>
      <c r="CA62" s="42" t="s">
        <v>9476</v>
      </c>
      <c r="CB62" s="65">
        <v>45717.0</v>
      </c>
      <c r="CC62" s="45"/>
      <c r="CD62" s="43"/>
      <c r="CE62" s="45"/>
      <c r="CF62" s="43"/>
      <c r="CG62" s="42" t="s">
        <v>3698</v>
      </c>
      <c r="CH62" s="42" t="s">
        <v>7593</v>
      </c>
      <c r="CI62" s="43"/>
      <c r="CJ62" s="42" t="s">
        <v>3573</v>
      </c>
      <c r="CK62" s="43"/>
      <c r="CL62" s="42" t="s">
        <v>3591</v>
      </c>
      <c r="CM62" s="45"/>
      <c r="CN62" s="45"/>
      <c r="CO62" s="43"/>
      <c r="CP62" s="45"/>
      <c r="CQ62" s="43"/>
      <c r="CR62" s="42" t="s">
        <v>3589</v>
      </c>
      <c r="CS62" s="43"/>
      <c r="CT62" s="43"/>
      <c r="CU62" s="42" t="s">
        <v>3590</v>
      </c>
      <c r="CV62" s="45"/>
      <c r="CW62" s="45"/>
      <c r="CX62" s="43"/>
      <c r="CY62" s="42" t="s">
        <v>3591</v>
      </c>
      <c r="CZ62" s="45"/>
      <c r="DA62" s="45"/>
      <c r="DB62" s="45"/>
      <c r="DC62" s="45"/>
      <c r="DD62" s="45"/>
      <c r="DE62" s="45"/>
      <c r="DF62" s="45"/>
      <c r="DG62" s="45"/>
      <c r="DH62" s="45"/>
      <c r="DI62" s="45"/>
      <c r="DJ62" s="45"/>
      <c r="DK62" s="45"/>
      <c r="DL62" s="45"/>
      <c r="DM62" s="45"/>
      <c r="DN62" s="45"/>
      <c r="DO62" s="45"/>
      <c r="DP62" s="45"/>
      <c r="DQ62" s="45"/>
      <c r="DR62" s="45"/>
      <c r="DS62" s="45"/>
      <c r="DT62" s="45"/>
      <c r="DU62" s="45"/>
      <c r="DV62" s="45"/>
      <c r="DW62" s="45"/>
      <c r="DX62" s="45"/>
      <c r="DY62" s="45"/>
      <c r="DZ62" s="41">
        <v>1.0</v>
      </c>
      <c r="EA62" s="45"/>
      <c r="EB62" s="45"/>
      <c r="EC62" s="41">
        <v>1.0</v>
      </c>
      <c r="ED62" s="45"/>
      <c r="EE62" s="45"/>
      <c r="EF62" s="43"/>
      <c r="EG62" s="45"/>
      <c r="EH62" s="45"/>
      <c r="EI62" s="43"/>
      <c r="EJ62" s="45"/>
      <c r="EK62" s="45"/>
      <c r="EL62" s="45"/>
      <c r="EM62" s="43"/>
      <c r="EN62" s="45"/>
      <c r="EO62" s="45"/>
      <c r="EP62" s="45"/>
      <c r="EQ62" s="45"/>
      <c r="ER62" s="42" t="s">
        <v>9833</v>
      </c>
      <c r="ES62" s="43"/>
      <c r="ET62" s="43"/>
      <c r="EU62" s="45"/>
      <c r="EV62" s="48" t="s">
        <v>3559</v>
      </c>
    </row>
    <row r="63">
      <c r="B63" s="42" t="s">
        <v>5178</v>
      </c>
      <c r="C63" s="41">
        <v>150.0</v>
      </c>
      <c r="D63" s="42" t="s">
        <v>5184</v>
      </c>
      <c r="E63" s="42" t="s">
        <v>3867</v>
      </c>
      <c r="F63" s="42" t="s">
        <v>3868</v>
      </c>
      <c r="G63" s="42" t="s">
        <v>3869</v>
      </c>
      <c r="H63" s="42" t="s">
        <v>3612</v>
      </c>
      <c r="I63" s="63">
        <v>45930.0</v>
      </c>
      <c r="J63" s="42" t="s">
        <v>4024</v>
      </c>
      <c r="K63" s="42" t="s">
        <v>3612</v>
      </c>
      <c r="L63" s="42" t="s">
        <v>5181</v>
      </c>
      <c r="M63" s="42" t="s">
        <v>5179</v>
      </c>
      <c r="N63" s="42" t="s">
        <v>9840</v>
      </c>
      <c r="O63" s="43"/>
      <c r="P63" s="42" t="s">
        <v>5182</v>
      </c>
      <c r="Q63" s="45"/>
      <c r="R63" s="43"/>
      <c r="S63" s="45"/>
      <c r="T63" s="45"/>
      <c r="U63" s="43"/>
      <c r="V63" s="45"/>
      <c r="W63" s="45"/>
      <c r="X63" s="43"/>
      <c r="Y63" s="42" t="s">
        <v>5182</v>
      </c>
      <c r="Z63" s="42" t="s">
        <v>5180</v>
      </c>
      <c r="AA63" s="42" t="s">
        <v>4962</v>
      </c>
      <c r="AB63" s="45"/>
      <c r="AC63" s="42" t="s">
        <v>3571</v>
      </c>
      <c r="AD63" s="42" t="s">
        <v>4964</v>
      </c>
      <c r="AE63" s="42" t="s">
        <v>3603</v>
      </c>
      <c r="AF63" s="44" t="s">
        <v>5183</v>
      </c>
      <c r="AG63" s="43"/>
      <c r="AH63" s="41">
        <v>150.0</v>
      </c>
      <c r="AI63" s="42" t="s">
        <v>5184</v>
      </c>
      <c r="AJ63" s="43"/>
      <c r="AK63" s="43"/>
      <c r="AL63" s="41">
        <v>1968.0</v>
      </c>
      <c r="AM63" s="42" t="s">
        <v>5185</v>
      </c>
      <c r="AN63" s="42" t="s">
        <v>5188</v>
      </c>
      <c r="AO63" s="42" t="s">
        <v>4093</v>
      </c>
      <c r="AP63" s="42" t="s">
        <v>5189</v>
      </c>
      <c r="AQ63" s="43"/>
      <c r="AR63" s="43"/>
      <c r="AS63" s="41">
        <v>219.55</v>
      </c>
      <c r="AT63" s="45"/>
      <c r="AU63" s="45"/>
      <c r="AV63" s="45"/>
      <c r="AW63" s="45"/>
      <c r="AX63" s="45"/>
      <c r="AY63" s="45"/>
      <c r="AZ63" s="45"/>
      <c r="BA63" s="45"/>
      <c r="BB63" s="41" t="s">
        <v>5186</v>
      </c>
      <c r="BC63" s="42" t="s">
        <v>5187</v>
      </c>
      <c r="BD63" s="64" t="str">
        <f>+972 (0)4 990 5555</f>
        <v>#ERROR!</v>
      </c>
      <c r="BE63" s="42" t="s">
        <v>5190</v>
      </c>
      <c r="BF63" s="42" t="s">
        <v>5191</v>
      </c>
      <c r="BG63" s="43"/>
      <c r="BH63" s="42" t="s">
        <v>5192</v>
      </c>
      <c r="BI63" s="43"/>
      <c r="BJ63" s="45"/>
      <c r="BK63" s="42" t="s">
        <v>41</v>
      </c>
      <c r="BL63" s="45" t="str">
        <f>+972 (0)4 990 5555</f>
        <v>#ERROR!</v>
      </c>
      <c r="BM63" s="45" t="str">
        <f>+972 (0)4 998 8775</f>
        <v>#ERROR!</v>
      </c>
      <c r="BN63" s="43"/>
      <c r="BO63" s="42" t="s">
        <v>3584</v>
      </c>
      <c r="BP63" s="42" t="s">
        <v>3584</v>
      </c>
      <c r="BQ63" s="42" t="s">
        <v>5193</v>
      </c>
      <c r="BR63" s="42" t="s">
        <v>5194</v>
      </c>
      <c r="BS63" s="41">
        <v>1.0</v>
      </c>
      <c r="BT63" s="42" t="s">
        <v>5185</v>
      </c>
      <c r="BU63" s="43"/>
      <c r="BV63" s="43"/>
      <c r="BW63" s="42" t="s">
        <v>5195</v>
      </c>
      <c r="BX63" s="43"/>
      <c r="BY63" s="43"/>
      <c r="BZ63" s="43"/>
      <c r="CA63" s="43"/>
      <c r="CB63" s="65">
        <v>44199.0</v>
      </c>
      <c r="CC63" s="41">
        <v>46.29</v>
      </c>
      <c r="CD63" s="42" t="s">
        <v>3697</v>
      </c>
      <c r="CE63" s="41">
        <v>90.77</v>
      </c>
      <c r="CF63" s="42" t="s">
        <v>3697</v>
      </c>
      <c r="CG63" s="42" t="s">
        <v>4977</v>
      </c>
      <c r="CH63" s="43"/>
      <c r="CI63" s="43"/>
      <c r="CJ63" s="42" t="s">
        <v>3663</v>
      </c>
      <c r="CK63" s="43"/>
      <c r="CL63" s="42" t="s">
        <v>3591</v>
      </c>
      <c r="CM63" s="65">
        <v>44199.0</v>
      </c>
      <c r="CN63" s="41">
        <v>46.29</v>
      </c>
      <c r="CO63" s="42" t="s">
        <v>3697</v>
      </c>
      <c r="CP63" s="41">
        <v>90.77</v>
      </c>
      <c r="CQ63" s="42" t="s">
        <v>3697</v>
      </c>
      <c r="CR63" s="42" t="s">
        <v>4977</v>
      </c>
      <c r="CS63" s="43"/>
      <c r="CT63" s="43"/>
      <c r="CU63" s="42" t="s">
        <v>3663</v>
      </c>
      <c r="CV63" s="45"/>
      <c r="CW63" s="45"/>
      <c r="CX63" s="43"/>
      <c r="CY63" s="42" t="s">
        <v>3591</v>
      </c>
      <c r="CZ63" s="47">
        <v>0.0</v>
      </c>
      <c r="DA63" s="41">
        <v>19.0</v>
      </c>
      <c r="DB63" s="47">
        <v>0.0</v>
      </c>
      <c r="DC63" s="47">
        <v>0.0</v>
      </c>
      <c r="DD63" s="47">
        <v>0.0</v>
      </c>
      <c r="DE63" s="41">
        <v>17.0</v>
      </c>
      <c r="DF63" s="45"/>
      <c r="DG63" s="45"/>
      <c r="DH63" s="47">
        <v>0.0</v>
      </c>
      <c r="DI63" s="41">
        <v>17.0</v>
      </c>
      <c r="DJ63" s="41" t="s">
        <v>9841</v>
      </c>
      <c r="DK63" s="41">
        <v>13.0</v>
      </c>
      <c r="DL63" s="41" t="s">
        <v>3598</v>
      </c>
      <c r="DM63" s="47">
        <v>0.0</v>
      </c>
      <c r="DN63" s="41" t="s">
        <v>9841</v>
      </c>
      <c r="DO63" s="41">
        <v>14.0</v>
      </c>
      <c r="DP63" s="45"/>
      <c r="DQ63" s="45"/>
      <c r="DR63" s="41" t="s">
        <v>9841</v>
      </c>
      <c r="DS63" s="41">
        <v>12.0</v>
      </c>
      <c r="DT63" s="41">
        <v>0.0</v>
      </c>
      <c r="DU63" s="41">
        <v>0.0</v>
      </c>
      <c r="DV63" s="47">
        <v>0.0</v>
      </c>
      <c r="DW63" s="41">
        <v>4.0</v>
      </c>
      <c r="DX63" s="41">
        <v>0.0</v>
      </c>
      <c r="DY63" s="47">
        <v>0.0</v>
      </c>
      <c r="DZ63" s="45"/>
      <c r="EA63" s="45"/>
      <c r="EB63" s="45"/>
      <c r="EC63" s="45"/>
      <c r="ED63" s="45"/>
      <c r="EE63" s="45"/>
      <c r="EF63" s="43"/>
      <c r="EG63" s="41">
        <v>90.77</v>
      </c>
      <c r="EH63" s="65">
        <v>44199.0</v>
      </c>
      <c r="EI63" s="42" t="s">
        <v>4977</v>
      </c>
      <c r="EJ63" s="45"/>
      <c r="EK63" s="45"/>
      <c r="EL63" s="45"/>
      <c r="EM63" s="43"/>
      <c r="EN63" s="45"/>
      <c r="EO63" s="45"/>
      <c r="EP63" s="45"/>
      <c r="EQ63" s="45"/>
      <c r="ER63" s="42" t="s">
        <v>3612</v>
      </c>
      <c r="ES63" s="43"/>
      <c r="ET63" s="43"/>
      <c r="EU63" s="45"/>
      <c r="EV63" s="48" t="s">
        <v>3559</v>
      </c>
    </row>
    <row r="64">
      <c r="B64" s="42" t="s">
        <v>6781</v>
      </c>
      <c r="C64" s="41">
        <v>378.0</v>
      </c>
      <c r="D64" s="42" t="s">
        <v>9842</v>
      </c>
      <c r="E64" s="42" t="s">
        <v>3867</v>
      </c>
      <c r="F64" s="42" t="s">
        <v>3897</v>
      </c>
      <c r="G64" s="42" t="s">
        <v>3898</v>
      </c>
      <c r="H64" s="42" t="s">
        <v>9734</v>
      </c>
      <c r="I64" s="63">
        <v>45983.0</v>
      </c>
      <c r="J64" s="42" t="s">
        <v>6785</v>
      </c>
      <c r="K64" s="42" t="s">
        <v>6152</v>
      </c>
      <c r="L64" s="42" t="s">
        <v>6786</v>
      </c>
      <c r="M64" s="43"/>
      <c r="N64" s="43"/>
      <c r="O64" s="42" t="s">
        <v>6782</v>
      </c>
      <c r="P64" s="42" t="s">
        <v>6787</v>
      </c>
      <c r="Q64" s="45"/>
      <c r="R64" s="43"/>
      <c r="S64" s="45"/>
      <c r="T64" s="45"/>
      <c r="U64" s="43"/>
      <c r="V64" s="45"/>
      <c r="W64" s="45"/>
      <c r="X64" s="42" t="s">
        <v>9843</v>
      </c>
      <c r="Y64" s="42" t="s">
        <v>6787</v>
      </c>
      <c r="Z64" s="42" t="s">
        <v>6784</v>
      </c>
      <c r="AA64" s="42" t="s">
        <v>5018</v>
      </c>
      <c r="AB64" s="41">
        <v>104.95</v>
      </c>
      <c r="AC64" s="42" t="s">
        <v>5412</v>
      </c>
      <c r="AD64" s="42" t="s">
        <v>5236</v>
      </c>
      <c r="AE64" s="42" t="s">
        <v>5413</v>
      </c>
      <c r="AF64" s="44" t="s">
        <v>6788</v>
      </c>
      <c r="AG64" s="44" t="s">
        <v>6789</v>
      </c>
      <c r="AH64" s="41">
        <v>378.0</v>
      </c>
      <c r="AI64" s="42" t="s">
        <v>9842</v>
      </c>
      <c r="AJ64" s="42" t="s">
        <v>5241</v>
      </c>
      <c r="AK64" s="42" t="s">
        <v>6791</v>
      </c>
      <c r="AL64" s="41">
        <v>2012.0</v>
      </c>
      <c r="AM64" s="43"/>
      <c r="AN64" s="42" t="s">
        <v>6793</v>
      </c>
      <c r="AO64" s="42" t="s">
        <v>6794</v>
      </c>
      <c r="AP64" s="42" t="s">
        <v>6795</v>
      </c>
      <c r="AQ64" s="43"/>
      <c r="AR64" s="42" t="s">
        <v>9844</v>
      </c>
      <c r="AS64" s="41">
        <v>28.64</v>
      </c>
      <c r="AT64" s="41">
        <v>19.39</v>
      </c>
      <c r="AU64" s="41">
        <v>-23.58</v>
      </c>
      <c r="AV64" s="41">
        <v>134.8</v>
      </c>
      <c r="AW64" s="41">
        <v>-20.77</v>
      </c>
      <c r="AX64" s="41">
        <v>-24.24</v>
      </c>
      <c r="AY64" s="41">
        <v>159.5</v>
      </c>
      <c r="AZ64" s="41">
        <v>-28.88</v>
      </c>
      <c r="BA64" s="47">
        <v>0.2755</v>
      </c>
      <c r="BB64" s="41" t="s">
        <v>5245</v>
      </c>
      <c r="BC64" s="42" t="s">
        <v>6792</v>
      </c>
      <c r="BD64" s="64"/>
      <c r="BE64" s="42" t="s">
        <v>3654</v>
      </c>
      <c r="BF64" s="42" t="s">
        <v>6796</v>
      </c>
      <c r="BG64" s="42" t="s">
        <v>6797</v>
      </c>
      <c r="BH64" s="42" t="s">
        <v>147</v>
      </c>
      <c r="BI64" s="43"/>
      <c r="BJ64" s="41">
        <v>9695102.0</v>
      </c>
      <c r="BK64" s="42" t="s">
        <v>41</v>
      </c>
      <c r="BL64" s="45"/>
      <c r="BM64" s="45" t="str">
        <f>+972 (0)2 538 4317</f>
        <v>#ERROR!</v>
      </c>
      <c r="BN64" s="43"/>
      <c r="BO64" s="42" t="s">
        <v>3584</v>
      </c>
      <c r="BP64" s="42" t="s">
        <v>3584</v>
      </c>
      <c r="BQ64" s="42" t="s">
        <v>6798</v>
      </c>
      <c r="BR64" s="42" t="s">
        <v>6799</v>
      </c>
      <c r="BS64" s="41">
        <v>5.0</v>
      </c>
      <c r="BT64" s="43"/>
      <c r="BU64" s="42" t="s">
        <v>6800</v>
      </c>
      <c r="BV64" s="43"/>
      <c r="BW64" s="42" t="s">
        <v>6801</v>
      </c>
      <c r="BX64" s="42" t="s">
        <v>6802</v>
      </c>
      <c r="BY64" s="43"/>
      <c r="BZ64" s="43"/>
      <c r="CA64" s="42" t="s">
        <v>6803</v>
      </c>
      <c r="CB64" s="63">
        <v>41226.0</v>
      </c>
      <c r="CC64" s="41">
        <v>0.55</v>
      </c>
      <c r="CD64" s="42" t="s">
        <v>3593</v>
      </c>
      <c r="CE64" s="45"/>
      <c r="CF64" s="43"/>
      <c r="CG64" s="42" t="s">
        <v>3669</v>
      </c>
      <c r="CH64" s="42" t="s">
        <v>3595</v>
      </c>
      <c r="CI64" s="43"/>
      <c r="CJ64" s="42" t="s">
        <v>3573</v>
      </c>
      <c r="CK64" s="43"/>
      <c r="CL64" s="42" t="s">
        <v>3591</v>
      </c>
      <c r="CM64" s="63">
        <v>44952.0</v>
      </c>
      <c r="CN64" s="41">
        <v>435.0</v>
      </c>
      <c r="CO64" s="42" t="s">
        <v>3593</v>
      </c>
      <c r="CP64" s="41">
        <v>500.0</v>
      </c>
      <c r="CQ64" s="42" t="s">
        <v>3593</v>
      </c>
      <c r="CR64" s="42" t="s">
        <v>4775</v>
      </c>
      <c r="CS64" s="43"/>
      <c r="CT64" s="43"/>
      <c r="CU64" s="42" t="s">
        <v>3663</v>
      </c>
      <c r="CV64" s="45"/>
      <c r="CW64" s="45"/>
      <c r="CX64" s="43"/>
      <c r="CY64" s="42" t="s">
        <v>3591</v>
      </c>
      <c r="CZ64" s="47">
        <v>-0.0109</v>
      </c>
      <c r="DA64" s="41">
        <v>7.0</v>
      </c>
      <c r="DB64" s="47">
        <v>-1.0E-4</v>
      </c>
      <c r="DC64" s="47">
        <v>-0.0073</v>
      </c>
      <c r="DD64" s="47">
        <v>-0.0109</v>
      </c>
      <c r="DE64" s="41">
        <v>7.0</v>
      </c>
      <c r="DF64" s="47">
        <v>-0.0123</v>
      </c>
      <c r="DG64" s="41">
        <v>8.0</v>
      </c>
      <c r="DH64" s="47">
        <v>-0.0095</v>
      </c>
      <c r="DI64" s="41">
        <v>9.0</v>
      </c>
      <c r="DJ64" s="41" t="s">
        <v>9845</v>
      </c>
      <c r="DK64" s="41">
        <v>100.0</v>
      </c>
      <c r="DL64" s="41" t="s">
        <v>9827</v>
      </c>
      <c r="DM64" s="47">
        <v>-6.0E-4</v>
      </c>
      <c r="DN64" s="41" t="s">
        <v>9845</v>
      </c>
      <c r="DO64" s="41">
        <v>100.0</v>
      </c>
      <c r="DP64" s="41" t="s">
        <v>9846</v>
      </c>
      <c r="DQ64" s="41">
        <v>99.0</v>
      </c>
      <c r="DR64" s="41" t="s">
        <v>9847</v>
      </c>
      <c r="DS64" s="41">
        <v>100.0</v>
      </c>
      <c r="DT64" s="52">
        <v>58164.0</v>
      </c>
      <c r="DU64" s="41">
        <v>97.0</v>
      </c>
      <c r="DV64" s="47">
        <v>0.0017</v>
      </c>
      <c r="DW64" s="52">
        <v>3499.0</v>
      </c>
      <c r="DX64" s="41">
        <v>-23.0</v>
      </c>
      <c r="DY64" s="47">
        <v>-0.0065</v>
      </c>
      <c r="DZ64" s="41">
        <v>2.0</v>
      </c>
      <c r="EA64" s="41">
        <v>2.0</v>
      </c>
      <c r="EB64" s="41">
        <v>1.0</v>
      </c>
      <c r="EC64" s="45"/>
      <c r="ED64" s="45"/>
      <c r="EE64" s="41">
        <v>1.0</v>
      </c>
      <c r="EF64" s="43"/>
      <c r="EG64" s="41">
        <v>500.0</v>
      </c>
      <c r="EH64" s="63">
        <v>44952.0</v>
      </c>
      <c r="EI64" s="42" t="s">
        <v>4775</v>
      </c>
      <c r="EJ64" s="45"/>
      <c r="EK64" s="45"/>
      <c r="EL64" s="45"/>
      <c r="EM64" s="43"/>
      <c r="EN64" s="45"/>
      <c r="EO64" s="45"/>
      <c r="EP64" s="45"/>
      <c r="EQ64" s="45"/>
      <c r="ER64" s="42" t="s">
        <v>9734</v>
      </c>
      <c r="ES64" s="43"/>
      <c r="ET64" s="42" t="s">
        <v>47</v>
      </c>
      <c r="EU64" s="41">
        <v>2.0</v>
      </c>
      <c r="EV64" s="48" t="s">
        <v>3559</v>
      </c>
    </row>
    <row r="65">
      <c r="B65" s="35" t="s">
        <v>8588</v>
      </c>
      <c r="C65" s="32">
        <v>211.0</v>
      </c>
      <c r="D65" s="35" t="s">
        <v>9848</v>
      </c>
      <c r="E65" s="35" t="s">
        <v>3867</v>
      </c>
      <c r="F65" s="35" t="s">
        <v>3868</v>
      </c>
      <c r="G65" s="35" t="s">
        <v>3869</v>
      </c>
      <c r="H65" s="35" t="s">
        <v>7279</v>
      </c>
      <c r="I65" s="62">
        <v>45994.0</v>
      </c>
      <c r="J65" s="35" t="s">
        <v>4024</v>
      </c>
      <c r="K65" s="35" t="s">
        <v>8593</v>
      </c>
      <c r="L65" s="35" t="s">
        <v>8594</v>
      </c>
      <c r="M65" s="35" t="s">
        <v>8589</v>
      </c>
      <c r="N65" s="35" t="s">
        <v>8599</v>
      </c>
      <c r="O65" s="35" t="s">
        <v>8590</v>
      </c>
      <c r="P65" s="35" t="s">
        <v>8595</v>
      </c>
      <c r="Q65" s="37"/>
      <c r="R65" s="34"/>
      <c r="S65" s="37"/>
      <c r="T65" s="37"/>
      <c r="U65" s="34"/>
      <c r="V65" s="37"/>
      <c r="W65" s="37"/>
      <c r="X65" s="35" t="s">
        <v>9849</v>
      </c>
      <c r="Y65" s="35" t="s">
        <v>8595</v>
      </c>
      <c r="Z65" s="35" t="s">
        <v>8592</v>
      </c>
      <c r="AA65" s="35" t="s">
        <v>5018</v>
      </c>
      <c r="AB65" s="32">
        <v>702.4</v>
      </c>
      <c r="AC65" s="35" t="s">
        <v>5412</v>
      </c>
      <c r="AD65" s="35" t="s">
        <v>5236</v>
      </c>
      <c r="AE65" s="35" t="s">
        <v>6680</v>
      </c>
      <c r="AF65" s="36" t="s">
        <v>8596</v>
      </c>
      <c r="AG65" s="36" t="s">
        <v>8597</v>
      </c>
      <c r="AH65" s="32">
        <v>211.0</v>
      </c>
      <c r="AI65" s="35" t="s">
        <v>9848</v>
      </c>
      <c r="AJ65" s="35" t="s">
        <v>5241</v>
      </c>
      <c r="AK65" s="35" t="s">
        <v>8599</v>
      </c>
      <c r="AL65" s="32">
        <v>2011.0</v>
      </c>
      <c r="AM65" s="34"/>
      <c r="AN65" s="35" t="s">
        <v>8602</v>
      </c>
      <c r="AO65" s="35" t="s">
        <v>8603</v>
      </c>
      <c r="AP65" s="35" t="s">
        <v>1160</v>
      </c>
      <c r="AQ65" s="34"/>
      <c r="AR65" s="34"/>
      <c r="AS65" s="32">
        <v>0.18</v>
      </c>
      <c r="AT65" s="32">
        <v>-3.5</v>
      </c>
      <c r="AU65" s="32">
        <v>-111.75</v>
      </c>
      <c r="AV65" s="32">
        <v>120.39</v>
      </c>
      <c r="AW65" s="32">
        <v>-108.46</v>
      </c>
      <c r="AX65" s="32">
        <v>-111.64</v>
      </c>
      <c r="AY65" s="32">
        <v>24.01</v>
      </c>
      <c r="AZ65" s="32">
        <v>-21.61</v>
      </c>
      <c r="BA65" s="39">
        <v>-0.8862</v>
      </c>
      <c r="BB65" s="32" t="s">
        <v>3716</v>
      </c>
      <c r="BC65" s="35" t="s">
        <v>8601</v>
      </c>
      <c r="BD65" s="61"/>
      <c r="BE65" s="35" t="s">
        <v>3581</v>
      </c>
      <c r="BF65" s="35" t="s">
        <v>8604</v>
      </c>
      <c r="BG65" s="34"/>
      <c r="BH65" s="35" t="s">
        <v>75</v>
      </c>
      <c r="BI65" s="34"/>
      <c r="BJ65" s="32">
        <v>4690500.0</v>
      </c>
      <c r="BK65" s="35" t="s">
        <v>41</v>
      </c>
      <c r="BL65" s="37"/>
      <c r="BM65" s="37"/>
      <c r="BN65" s="35" t="s">
        <v>1163</v>
      </c>
      <c r="BO65" s="35" t="s">
        <v>3584</v>
      </c>
      <c r="BP65" s="35" t="s">
        <v>3584</v>
      </c>
      <c r="BQ65" s="35" t="s">
        <v>8605</v>
      </c>
      <c r="BR65" s="35" t="s">
        <v>8606</v>
      </c>
      <c r="BS65" s="32">
        <v>1.0</v>
      </c>
      <c r="BT65" s="34"/>
      <c r="BU65" s="35" t="s">
        <v>8607</v>
      </c>
      <c r="BV65" s="34"/>
      <c r="BW65" s="35" t="s">
        <v>8608</v>
      </c>
      <c r="BX65" s="35" t="s">
        <v>9850</v>
      </c>
      <c r="BY65" s="34"/>
      <c r="BZ65" s="34"/>
      <c r="CA65" s="35" t="s">
        <v>8610</v>
      </c>
      <c r="CB65" s="60">
        <v>40559.0</v>
      </c>
      <c r="CC65" s="37"/>
      <c r="CD65" s="34"/>
      <c r="CE65" s="37"/>
      <c r="CF65" s="34"/>
      <c r="CG65" s="35" t="s">
        <v>3589</v>
      </c>
      <c r="CH65" s="34"/>
      <c r="CI65" s="34"/>
      <c r="CJ65" s="35" t="s">
        <v>3590</v>
      </c>
      <c r="CK65" s="34"/>
      <c r="CL65" s="35" t="s">
        <v>3591</v>
      </c>
      <c r="CM65" s="60">
        <v>45735.0</v>
      </c>
      <c r="CN65" s="32">
        <v>27.1</v>
      </c>
      <c r="CO65" s="35" t="s">
        <v>3697</v>
      </c>
      <c r="CP65" s="37"/>
      <c r="CQ65" s="34"/>
      <c r="CR65" s="35" t="s">
        <v>5257</v>
      </c>
      <c r="CS65" s="34"/>
      <c r="CT65" s="34"/>
      <c r="CU65" s="35" t="s">
        <v>4989</v>
      </c>
      <c r="CV65" s="62">
        <v>43313.0</v>
      </c>
      <c r="CW65" s="32">
        <v>11.89</v>
      </c>
      <c r="CX65" s="34"/>
      <c r="CY65" s="35" t="s">
        <v>3591</v>
      </c>
      <c r="CZ65" s="39">
        <v>-0.0109</v>
      </c>
      <c r="DA65" s="32">
        <v>7.0</v>
      </c>
      <c r="DB65" s="39">
        <v>0.0</v>
      </c>
      <c r="DC65" s="39">
        <v>0.0</v>
      </c>
      <c r="DD65" s="39">
        <v>-0.0109</v>
      </c>
      <c r="DE65" s="32">
        <v>7.0</v>
      </c>
      <c r="DF65" s="37"/>
      <c r="DG65" s="37"/>
      <c r="DH65" s="39">
        <v>-0.0109</v>
      </c>
      <c r="DI65" s="32">
        <v>8.0</v>
      </c>
      <c r="DJ65" s="32" t="s">
        <v>9851</v>
      </c>
      <c r="DK65" s="32">
        <v>97.0</v>
      </c>
      <c r="DL65" s="32" t="s">
        <v>3598</v>
      </c>
      <c r="DM65" s="39">
        <v>0.0</v>
      </c>
      <c r="DN65" s="32" t="s">
        <v>9851</v>
      </c>
      <c r="DO65" s="32">
        <v>97.0</v>
      </c>
      <c r="DP65" s="37"/>
      <c r="DQ65" s="37"/>
      <c r="DR65" s="32" t="s">
        <v>9851</v>
      </c>
      <c r="DS65" s="32">
        <v>96.0</v>
      </c>
      <c r="DT65" s="49">
        <v>1208.0</v>
      </c>
      <c r="DU65" s="32">
        <v>-127.0</v>
      </c>
      <c r="DV65" s="39">
        <v>-0.0951</v>
      </c>
      <c r="DW65" s="32">
        <v>642.0</v>
      </c>
      <c r="DX65" s="32">
        <v>-5.0</v>
      </c>
      <c r="DY65" s="39">
        <v>-0.0077</v>
      </c>
      <c r="DZ65" s="32">
        <v>319.0</v>
      </c>
      <c r="EA65" s="32">
        <v>70.0</v>
      </c>
      <c r="EB65" s="32">
        <v>163.0</v>
      </c>
      <c r="EC65" s="32">
        <v>86.0</v>
      </c>
      <c r="ED65" s="32">
        <v>10.0</v>
      </c>
      <c r="EE65" s="32">
        <v>70.0</v>
      </c>
      <c r="EF65" s="35" t="s">
        <v>8614</v>
      </c>
      <c r="EG65" s="32">
        <v>136.36</v>
      </c>
      <c r="EH65" s="60">
        <v>45561.0</v>
      </c>
      <c r="EI65" s="35" t="s">
        <v>5257</v>
      </c>
      <c r="EJ65" s="37"/>
      <c r="EK65" s="37"/>
      <c r="EL65" s="37"/>
      <c r="EM65" s="34"/>
      <c r="EN65" s="37"/>
      <c r="EO65" s="37"/>
      <c r="EP65" s="37"/>
      <c r="EQ65" s="32">
        <v>2.37</v>
      </c>
      <c r="ER65" s="35" t="s">
        <v>7279</v>
      </c>
      <c r="ES65" s="34"/>
      <c r="ET65" s="35" t="s">
        <v>47</v>
      </c>
      <c r="EU65" s="32">
        <v>1.0</v>
      </c>
      <c r="EV65" s="40" t="s">
        <v>3559</v>
      </c>
    </row>
    <row r="66">
      <c r="B66" s="35" t="s">
        <v>6360</v>
      </c>
      <c r="C66" s="32">
        <v>153.0</v>
      </c>
      <c r="D66" s="35" t="s">
        <v>9852</v>
      </c>
      <c r="E66" s="35" t="s">
        <v>4560</v>
      </c>
      <c r="F66" s="35" t="s">
        <v>4561</v>
      </c>
      <c r="G66" s="35" t="s">
        <v>66</v>
      </c>
      <c r="H66" s="35" t="s">
        <v>7279</v>
      </c>
      <c r="I66" s="60">
        <v>45983.0</v>
      </c>
      <c r="J66" s="35" t="s">
        <v>6365</v>
      </c>
      <c r="K66" s="35" t="s">
        <v>4563</v>
      </c>
      <c r="L66" s="35" t="s">
        <v>6366</v>
      </c>
      <c r="M66" s="35" t="s">
        <v>6361</v>
      </c>
      <c r="N66" s="35" t="s">
        <v>6362</v>
      </c>
      <c r="O66" s="35" t="s">
        <v>6363</v>
      </c>
      <c r="P66" s="35" t="s">
        <v>6367</v>
      </c>
      <c r="Q66" s="37"/>
      <c r="R66" s="34"/>
      <c r="S66" s="37"/>
      <c r="T66" s="37"/>
      <c r="U66" s="34"/>
      <c r="V66" s="37"/>
      <c r="W66" s="37"/>
      <c r="X66" s="34"/>
      <c r="Y66" s="35" t="s">
        <v>6367</v>
      </c>
      <c r="Z66" s="35" t="s">
        <v>6364</v>
      </c>
      <c r="AA66" s="35" t="s">
        <v>5018</v>
      </c>
      <c r="AB66" s="32">
        <v>71.91</v>
      </c>
      <c r="AC66" s="35" t="s">
        <v>5412</v>
      </c>
      <c r="AD66" s="35" t="s">
        <v>5236</v>
      </c>
      <c r="AE66" s="35" t="s">
        <v>5413</v>
      </c>
      <c r="AF66" s="36" t="s">
        <v>6368</v>
      </c>
      <c r="AG66" s="36" t="s">
        <v>6369</v>
      </c>
      <c r="AH66" s="32">
        <v>153.0</v>
      </c>
      <c r="AI66" s="35" t="s">
        <v>9852</v>
      </c>
      <c r="AJ66" s="35" t="s">
        <v>5417</v>
      </c>
      <c r="AK66" s="35" t="s">
        <v>6371</v>
      </c>
      <c r="AL66" s="32">
        <v>2013.0</v>
      </c>
      <c r="AM66" s="34"/>
      <c r="AN66" s="35" t="s">
        <v>599</v>
      </c>
      <c r="AO66" s="35" t="s">
        <v>3579</v>
      </c>
      <c r="AP66" s="35" t="s">
        <v>600</v>
      </c>
      <c r="AQ66" s="34"/>
      <c r="AR66" s="35" t="s">
        <v>5243</v>
      </c>
      <c r="AS66" s="32">
        <v>3.69</v>
      </c>
      <c r="AT66" s="32">
        <v>1.11</v>
      </c>
      <c r="AU66" s="32">
        <v>-30.01</v>
      </c>
      <c r="AV66" s="32">
        <v>241.69</v>
      </c>
      <c r="AW66" s="32">
        <v>-29.69</v>
      </c>
      <c r="AX66" s="32">
        <v>-30.48</v>
      </c>
      <c r="AY66" s="32">
        <v>220.78</v>
      </c>
      <c r="AZ66" s="32">
        <v>-9.33</v>
      </c>
      <c r="BA66" s="39">
        <v>-0.6615</v>
      </c>
      <c r="BB66" s="32" t="s">
        <v>5245</v>
      </c>
      <c r="BC66" s="35" t="s">
        <v>6372</v>
      </c>
      <c r="BD66" s="61"/>
      <c r="BE66" s="35" t="s">
        <v>6373</v>
      </c>
      <c r="BF66" s="35" t="s">
        <v>6374</v>
      </c>
      <c r="BG66" s="34"/>
      <c r="BH66" s="35" t="s">
        <v>603</v>
      </c>
      <c r="BI66" s="34"/>
      <c r="BJ66" s="32">
        <v>4029800.0</v>
      </c>
      <c r="BK66" s="35" t="s">
        <v>41</v>
      </c>
      <c r="BL66" s="37"/>
      <c r="BM66" s="37"/>
      <c r="BN66" s="35" t="s">
        <v>604</v>
      </c>
      <c r="BO66" s="35" t="s">
        <v>3584</v>
      </c>
      <c r="BP66" s="35" t="s">
        <v>3584</v>
      </c>
      <c r="BQ66" s="35" t="s">
        <v>6375</v>
      </c>
      <c r="BR66" s="35" t="s">
        <v>6376</v>
      </c>
      <c r="BS66" s="32">
        <v>7.0</v>
      </c>
      <c r="BT66" s="34"/>
      <c r="BU66" s="35" t="s">
        <v>6377</v>
      </c>
      <c r="BV66" s="34"/>
      <c r="BW66" s="35" t="s">
        <v>6378</v>
      </c>
      <c r="BX66" s="35" t="s">
        <v>6379</v>
      </c>
      <c r="BY66" s="34"/>
      <c r="BZ66" s="34"/>
      <c r="CA66" s="35" t="s">
        <v>9853</v>
      </c>
      <c r="CB66" s="60">
        <v>42411.0</v>
      </c>
      <c r="CC66" s="32">
        <v>0.01</v>
      </c>
      <c r="CD66" s="35" t="s">
        <v>3593</v>
      </c>
      <c r="CE66" s="37"/>
      <c r="CF66" s="34"/>
      <c r="CG66" s="35" t="s">
        <v>4102</v>
      </c>
      <c r="CH66" s="34"/>
      <c r="CI66" s="34"/>
      <c r="CJ66" s="35" t="s">
        <v>3590</v>
      </c>
      <c r="CK66" s="34"/>
      <c r="CL66" s="35" t="s">
        <v>3591</v>
      </c>
      <c r="CM66" s="62">
        <v>45536.0</v>
      </c>
      <c r="CN66" s="32">
        <v>13.34</v>
      </c>
      <c r="CO66" s="35" t="s">
        <v>3593</v>
      </c>
      <c r="CP66" s="37"/>
      <c r="CQ66" s="34"/>
      <c r="CR66" s="35" t="s">
        <v>5257</v>
      </c>
      <c r="CS66" s="34"/>
      <c r="CT66" s="34"/>
      <c r="CU66" s="35" t="s">
        <v>3663</v>
      </c>
      <c r="CV66" s="37"/>
      <c r="CW66" s="37"/>
      <c r="CX66" s="34"/>
      <c r="CY66" s="35" t="s">
        <v>3591</v>
      </c>
      <c r="CZ66" s="39">
        <v>-0.0136</v>
      </c>
      <c r="DA66" s="32">
        <v>6.0</v>
      </c>
      <c r="DB66" s="39">
        <v>0.0</v>
      </c>
      <c r="DC66" s="39">
        <v>0.0</v>
      </c>
      <c r="DD66" s="39">
        <v>-0.0136</v>
      </c>
      <c r="DE66" s="32">
        <v>6.0</v>
      </c>
      <c r="DF66" s="37"/>
      <c r="DG66" s="37"/>
      <c r="DH66" s="39">
        <v>-0.0136</v>
      </c>
      <c r="DI66" s="32">
        <v>6.0</v>
      </c>
      <c r="DJ66" s="32" t="s">
        <v>9854</v>
      </c>
      <c r="DK66" s="32">
        <v>98.0</v>
      </c>
      <c r="DL66" s="32" t="s">
        <v>3598</v>
      </c>
      <c r="DM66" s="39">
        <v>0.0</v>
      </c>
      <c r="DN66" s="32" t="s">
        <v>9854</v>
      </c>
      <c r="DO66" s="32">
        <v>98.0</v>
      </c>
      <c r="DP66" s="37"/>
      <c r="DQ66" s="37"/>
      <c r="DR66" s="32" t="s">
        <v>9854</v>
      </c>
      <c r="DS66" s="32">
        <v>98.0</v>
      </c>
      <c r="DT66" s="37"/>
      <c r="DU66" s="37"/>
      <c r="DV66" s="37"/>
      <c r="DW66" s="32">
        <v>921.0</v>
      </c>
      <c r="DX66" s="32">
        <v>-11.0</v>
      </c>
      <c r="DY66" s="39">
        <v>-0.0118</v>
      </c>
      <c r="DZ66" s="32">
        <v>34.0</v>
      </c>
      <c r="EA66" s="32">
        <v>12.0</v>
      </c>
      <c r="EB66" s="32">
        <v>16.0</v>
      </c>
      <c r="EC66" s="32">
        <v>18.0</v>
      </c>
      <c r="ED66" s="32">
        <v>2.0</v>
      </c>
      <c r="EE66" s="37"/>
      <c r="EF66" s="35" t="s">
        <v>9855</v>
      </c>
      <c r="EG66" s="32">
        <v>286.03</v>
      </c>
      <c r="EH66" s="60">
        <v>44007.0</v>
      </c>
      <c r="EI66" s="35" t="s">
        <v>5257</v>
      </c>
      <c r="EJ66" s="37"/>
      <c r="EK66" s="37"/>
      <c r="EL66" s="37"/>
      <c r="EM66" s="34"/>
      <c r="EN66" s="37"/>
      <c r="EO66" s="37"/>
      <c r="EP66" s="37"/>
      <c r="EQ66" s="37"/>
      <c r="ER66" s="35" t="s">
        <v>7279</v>
      </c>
      <c r="ES66" s="34"/>
      <c r="ET66" s="35" t="s">
        <v>47</v>
      </c>
      <c r="EU66" s="32">
        <v>5.0</v>
      </c>
      <c r="EV66" s="40" t="s">
        <v>3559</v>
      </c>
    </row>
    <row r="67">
      <c r="B67" s="35" t="s">
        <v>8342</v>
      </c>
      <c r="C67" s="32">
        <v>65.0</v>
      </c>
      <c r="D67" s="35" t="s">
        <v>9856</v>
      </c>
      <c r="E67" s="35" t="s">
        <v>3867</v>
      </c>
      <c r="F67" s="35" t="s">
        <v>4199</v>
      </c>
      <c r="G67" s="35" t="s">
        <v>4200</v>
      </c>
      <c r="H67" s="35" t="s">
        <v>7279</v>
      </c>
      <c r="I67" s="60">
        <v>45952.0</v>
      </c>
      <c r="J67" s="35" t="s">
        <v>4201</v>
      </c>
      <c r="K67" s="35" t="s">
        <v>8346</v>
      </c>
      <c r="L67" s="35" t="s">
        <v>8347</v>
      </c>
      <c r="M67" s="34"/>
      <c r="N67" s="34"/>
      <c r="O67" s="35" t="s">
        <v>8343</v>
      </c>
      <c r="P67" s="35" t="s">
        <v>8348</v>
      </c>
      <c r="Q67" s="37"/>
      <c r="R67" s="34"/>
      <c r="S67" s="37"/>
      <c r="T67" s="37"/>
      <c r="U67" s="34"/>
      <c r="V67" s="37"/>
      <c r="W67" s="37"/>
      <c r="X67" s="35" t="s">
        <v>9857</v>
      </c>
      <c r="Y67" s="35" t="s">
        <v>8348</v>
      </c>
      <c r="Z67" s="35" t="s">
        <v>8345</v>
      </c>
      <c r="AA67" s="35" t="s">
        <v>5018</v>
      </c>
      <c r="AB67" s="32">
        <v>133.91</v>
      </c>
      <c r="AC67" s="35" t="s">
        <v>5412</v>
      </c>
      <c r="AD67" s="35" t="s">
        <v>5236</v>
      </c>
      <c r="AE67" s="35" t="s">
        <v>5413</v>
      </c>
      <c r="AF67" s="36" t="s">
        <v>8349</v>
      </c>
      <c r="AG67" s="36" t="s">
        <v>8350</v>
      </c>
      <c r="AH67" s="32">
        <v>65.0</v>
      </c>
      <c r="AI67" s="35" t="s">
        <v>9856</v>
      </c>
      <c r="AJ67" s="35" t="s">
        <v>5417</v>
      </c>
      <c r="AK67" s="35" t="s">
        <v>8352</v>
      </c>
      <c r="AL67" s="32">
        <v>2008.0</v>
      </c>
      <c r="AM67" s="34"/>
      <c r="AN67" s="35" t="s">
        <v>8354</v>
      </c>
      <c r="AO67" s="35" t="s">
        <v>4093</v>
      </c>
      <c r="AP67" s="34"/>
      <c r="AQ67" s="34"/>
      <c r="AR67" s="34"/>
      <c r="AS67" s="32">
        <v>1.1</v>
      </c>
      <c r="AT67" s="32">
        <v>-1.32</v>
      </c>
      <c r="AU67" s="32">
        <v>-11.68</v>
      </c>
      <c r="AV67" s="32">
        <v>14.48</v>
      </c>
      <c r="AW67" s="32">
        <v>-8.71</v>
      </c>
      <c r="AX67" s="32">
        <v>-10.95</v>
      </c>
      <c r="AY67" s="32">
        <v>41.88</v>
      </c>
      <c r="AZ67" s="32">
        <v>-3.63</v>
      </c>
      <c r="BA67" s="39">
        <v>0.6044</v>
      </c>
      <c r="BB67" s="32" t="s">
        <v>5419</v>
      </c>
      <c r="BC67" s="35" t="s">
        <v>8353</v>
      </c>
      <c r="BD67" s="61"/>
      <c r="BE67" s="35" t="s">
        <v>6317</v>
      </c>
      <c r="BF67" s="35" t="s">
        <v>8355</v>
      </c>
      <c r="BG67" s="34"/>
      <c r="BH67" s="35" t="s">
        <v>246</v>
      </c>
      <c r="BI67" s="34"/>
      <c r="BJ67" s="32">
        <v>71291.0</v>
      </c>
      <c r="BK67" s="35" t="s">
        <v>41</v>
      </c>
      <c r="BL67" s="37"/>
      <c r="BM67" s="37"/>
      <c r="BN67" s="34"/>
      <c r="BO67" s="35" t="s">
        <v>3584</v>
      </c>
      <c r="BP67" s="35" t="s">
        <v>3584</v>
      </c>
      <c r="BQ67" s="35" t="s">
        <v>8356</v>
      </c>
      <c r="BR67" s="35" t="s">
        <v>9858</v>
      </c>
      <c r="BS67" s="32">
        <v>2.0</v>
      </c>
      <c r="BT67" s="34"/>
      <c r="BU67" s="35" t="s">
        <v>8358</v>
      </c>
      <c r="BV67" s="34"/>
      <c r="BW67" s="35" t="s">
        <v>9859</v>
      </c>
      <c r="BX67" s="35" t="s">
        <v>8360</v>
      </c>
      <c r="BY67" s="34"/>
      <c r="BZ67" s="34"/>
      <c r="CA67" s="35" t="s">
        <v>8361</v>
      </c>
      <c r="CB67" s="62">
        <v>42376.0</v>
      </c>
      <c r="CC67" s="32">
        <v>50.0</v>
      </c>
      <c r="CD67" s="35" t="s">
        <v>3593</v>
      </c>
      <c r="CE67" s="32">
        <v>280.0</v>
      </c>
      <c r="CF67" s="35" t="s">
        <v>3593</v>
      </c>
      <c r="CG67" s="35" t="s">
        <v>3594</v>
      </c>
      <c r="CH67" s="35" t="s">
        <v>3595</v>
      </c>
      <c r="CI67" s="34"/>
      <c r="CJ67" s="35" t="s">
        <v>3573</v>
      </c>
      <c r="CK67" s="34"/>
      <c r="CL67" s="35" t="s">
        <v>3591</v>
      </c>
      <c r="CM67" s="62">
        <v>44236.0</v>
      </c>
      <c r="CN67" s="32">
        <v>60.92</v>
      </c>
      <c r="CO67" s="35" t="s">
        <v>3697</v>
      </c>
      <c r="CP67" s="32">
        <v>299.84</v>
      </c>
      <c r="CQ67" s="35" t="s">
        <v>3697</v>
      </c>
      <c r="CR67" s="35" t="s">
        <v>4532</v>
      </c>
      <c r="CS67" s="34"/>
      <c r="CT67" s="34"/>
      <c r="CU67" s="35" t="s">
        <v>5764</v>
      </c>
      <c r="CV67" s="37"/>
      <c r="CW67" s="37"/>
      <c r="CX67" s="34"/>
      <c r="CY67" s="35" t="s">
        <v>3591</v>
      </c>
      <c r="CZ67" s="39">
        <v>-0.0135</v>
      </c>
      <c r="DA67" s="32">
        <v>6.0</v>
      </c>
      <c r="DB67" s="39">
        <v>0.0</v>
      </c>
      <c r="DC67" s="39">
        <v>0.0</v>
      </c>
      <c r="DD67" s="39">
        <v>-0.0135</v>
      </c>
      <c r="DE67" s="32">
        <v>6.0</v>
      </c>
      <c r="DF67" s="37"/>
      <c r="DG67" s="37"/>
      <c r="DH67" s="39">
        <v>-0.0135</v>
      </c>
      <c r="DI67" s="32">
        <v>7.0</v>
      </c>
      <c r="DJ67" s="32" t="s">
        <v>9860</v>
      </c>
      <c r="DK67" s="32">
        <v>93.0</v>
      </c>
      <c r="DL67" s="32" t="s">
        <v>3598</v>
      </c>
      <c r="DM67" s="39">
        <v>0.0</v>
      </c>
      <c r="DN67" s="32" t="s">
        <v>9860</v>
      </c>
      <c r="DO67" s="32">
        <v>93.0</v>
      </c>
      <c r="DP67" s="37"/>
      <c r="DQ67" s="37"/>
      <c r="DR67" s="32" t="s">
        <v>9860</v>
      </c>
      <c r="DS67" s="32">
        <v>92.0</v>
      </c>
      <c r="DT67" s="37"/>
      <c r="DU67" s="37"/>
      <c r="DV67" s="37"/>
      <c r="DW67" s="32">
        <v>305.0</v>
      </c>
      <c r="DX67" s="32">
        <v>-3.0</v>
      </c>
      <c r="DY67" s="39">
        <v>-0.0097</v>
      </c>
      <c r="DZ67" s="32">
        <v>239.0</v>
      </c>
      <c r="EA67" s="32">
        <v>35.0</v>
      </c>
      <c r="EB67" s="32">
        <v>155.0</v>
      </c>
      <c r="EC67" s="32">
        <v>30.0</v>
      </c>
      <c r="ED67" s="32">
        <v>1.0</v>
      </c>
      <c r="EE67" s="32">
        <v>54.0</v>
      </c>
      <c r="EF67" s="35" t="s">
        <v>9861</v>
      </c>
      <c r="EG67" s="32">
        <v>299.84</v>
      </c>
      <c r="EH67" s="62">
        <v>44236.0</v>
      </c>
      <c r="EI67" s="35" t="s">
        <v>4532</v>
      </c>
      <c r="EJ67" s="37"/>
      <c r="EK67" s="37"/>
      <c r="EL67" s="37"/>
      <c r="EM67" s="34"/>
      <c r="EN67" s="37"/>
      <c r="EO67" s="37"/>
      <c r="EP67" s="37"/>
      <c r="EQ67" s="37"/>
      <c r="ER67" s="35" t="s">
        <v>7279</v>
      </c>
      <c r="ES67" s="34"/>
      <c r="ET67" s="35" t="s">
        <v>47</v>
      </c>
      <c r="EU67" s="32">
        <v>4.0</v>
      </c>
      <c r="EV67" s="40" t="s">
        <v>3559</v>
      </c>
    </row>
    <row r="68">
      <c r="B68" s="35" t="s">
        <v>6433</v>
      </c>
      <c r="C68" s="32">
        <v>20.0</v>
      </c>
      <c r="D68" s="35" t="s">
        <v>9862</v>
      </c>
      <c r="E68" s="35" t="s">
        <v>4560</v>
      </c>
      <c r="F68" s="35" t="s">
        <v>4561</v>
      </c>
      <c r="G68" s="35" t="s">
        <v>66</v>
      </c>
      <c r="H68" s="35" t="s">
        <v>3612</v>
      </c>
      <c r="I68" s="60">
        <v>45183.0</v>
      </c>
      <c r="J68" s="35" t="s">
        <v>6437</v>
      </c>
      <c r="K68" s="35" t="s">
        <v>5513</v>
      </c>
      <c r="L68" s="35" t="s">
        <v>6438</v>
      </c>
      <c r="M68" s="34"/>
      <c r="N68" s="34"/>
      <c r="O68" s="35" t="s">
        <v>6434</v>
      </c>
      <c r="P68" s="35" t="s">
        <v>6439</v>
      </c>
      <c r="Q68" s="35"/>
      <c r="R68" s="35"/>
      <c r="S68" s="35"/>
      <c r="T68" s="35"/>
      <c r="U68" s="35"/>
      <c r="V68" s="35"/>
      <c r="W68" s="35"/>
      <c r="X68" s="35" t="s">
        <v>6435</v>
      </c>
      <c r="Y68" s="35" t="s">
        <v>6439</v>
      </c>
      <c r="Z68" s="35" t="s">
        <v>6436</v>
      </c>
      <c r="AA68" s="35" t="s">
        <v>5018</v>
      </c>
      <c r="AB68" s="32">
        <v>9.5</v>
      </c>
      <c r="AC68" s="35" t="s">
        <v>5222</v>
      </c>
      <c r="AD68" s="35" t="s">
        <v>5222</v>
      </c>
      <c r="AE68" s="35" t="s">
        <v>3573</v>
      </c>
      <c r="AF68" s="36" t="s">
        <v>6440</v>
      </c>
      <c r="AG68" s="36" t="s">
        <v>6441</v>
      </c>
      <c r="AH68" s="32">
        <v>20.0</v>
      </c>
      <c r="AI68" s="35" t="s">
        <v>9862</v>
      </c>
      <c r="AJ68" s="34"/>
      <c r="AK68" s="34"/>
      <c r="AL68" s="32">
        <v>2014.0</v>
      </c>
      <c r="AM68" s="34"/>
      <c r="AN68" s="34"/>
      <c r="AO68" s="34"/>
      <c r="AP68" s="34"/>
      <c r="AQ68" s="34"/>
      <c r="AR68" s="34"/>
      <c r="AS68" s="37"/>
      <c r="AT68" s="37"/>
      <c r="AU68" s="37"/>
      <c r="AV68" s="37"/>
      <c r="AW68" s="37"/>
      <c r="AX68" s="37"/>
      <c r="AY68" s="37"/>
      <c r="AZ68" s="37"/>
      <c r="BA68" s="37"/>
      <c r="BB68" s="37"/>
      <c r="BC68" s="34"/>
      <c r="BD68" s="61"/>
      <c r="BE68" s="35" t="s">
        <v>3581</v>
      </c>
      <c r="BF68" s="35" t="s">
        <v>6443</v>
      </c>
      <c r="BG68" s="34"/>
      <c r="BH68" s="35" t="s">
        <v>75</v>
      </c>
      <c r="BI68" s="34"/>
      <c r="BJ68" s="37"/>
      <c r="BK68" s="35" t="s">
        <v>41</v>
      </c>
      <c r="BL68" s="37"/>
      <c r="BM68" s="37"/>
      <c r="BN68" s="34"/>
      <c r="BO68" s="35" t="s">
        <v>3584</v>
      </c>
      <c r="BP68" s="35" t="s">
        <v>3584</v>
      </c>
      <c r="BQ68" s="35" t="s">
        <v>6444</v>
      </c>
      <c r="BR68" s="34"/>
      <c r="BS68" s="37"/>
      <c r="BT68" s="34"/>
      <c r="BU68" s="35" t="s">
        <v>6445</v>
      </c>
      <c r="BV68" s="34"/>
      <c r="BW68" s="34"/>
      <c r="BX68" s="35" t="s">
        <v>6446</v>
      </c>
      <c r="BY68" s="34"/>
      <c r="BZ68" s="34"/>
      <c r="CA68" s="34"/>
      <c r="CB68" s="62">
        <v>41883.0</v>
      </c>
      <c r="CC68" s="37"/>
      <c r="CD68" s="34"/>
      <c r="CE68" s="37"/>
      <c r="CF68" s="34"/>
      <c r="CG68" s="35" t="s">
        <v>3698</v>
      </c>
      <c r="CH68" s="35" t="s">
        <v>3698</v>
      </c>
      <c r="CI68" s="34"/>
      <c r="CJ68" s="35" t="s">
        <v>3573</v>
      </c>
      <c r="CK68" s="34"/>
      <c r="CL68" s="35" t="s">
        <v>3591</v>
      </c>
      <c r="CM68" s="60">
        <v>43941.0</v>
      </c>
      <c r="CN68" s="37"/>
      <c r="CO68" s="34"/>
      <c r="CP68" s="37"/>
      <c r="CQ68" s="34"/>
      <c r="CR68" s="35" t="s">
        <v>5222</v>
      </c>
      <c r="CS68" s="34"/>
      <c r="CT68" s="34"/>
      <c r="CU68" s="35" t="s">
        <v>5222</v>
      </c>
      <c r="CV68" s="37"/>
      <c r="CW68" s="37"/>
      <c r="CX68" s="34"/>
      <c r="CY68" s="35" t="s">
        <v>3591</v>
      </c>
      <c r="CZ68" s="37"/>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4"/>
      <c r="EG68" s="32">
        <v>34.63</v>
      </c>
      <c r="EH68" s="62">
        <v>43649.0</v>
      </c>
      <c r="EI68" s="35" t="s">
        <v>3669</v>
      </c>
      <c r="EJ68" s="37"/>
      <c r="EK68" s="37"/>
      <c r="EL68" s="37"/>
      <c r="EM68" s="35" t="s">
        <v>5507</v>
      </c>
      <c r="EN68" s="37"/>
      <c r="EO68" s="37"/>
      <c r="EP68" s="32">
        <v>3.39</v>
      </c>
      <c r="EQ68" s="32">
        <v>3.39</v>
      </c>
      <c r="ER68" s="35" t="s">
        <v>3612</v>
      </c>
      <c r="ES68" s="34"/>
      <c r="ET68" s="35" t="s">
        <v>47</v>
      </c>
      <c r="EU68" s="32">
        <v>19.0</v>
      </c>
      <c r="EV68" s="40" t="s">
        <v>3559</v>
      </c>
    </row>
    <row r="69">
      <c r="B69" s="42" t="s">
        <v>5032</v>
      </c>
      <c r="C69" s="41">
        <v>2.0</v>
      </c>
      <c r="D69" s="42" t="s">
        <v>9863</v>
      </c>
      <c r="E69" s="42" t="s">
        <v>3563</v>
      </c>
      <c r="F69" s="42" t="s">
        <v>3609</v>
      </c>
      <c r="G69" s="42" t="s">
        <v>3610</v>
      </c>
      <c r="H69" s="42" t="s">
        <v>6037</v>
      </c>
      <c r="I69" s="70">
        <v>45797.0</v>
      </c>
      <c r="J69" s="42" t="s">
        <v>5035</v>
      </c>
      <c r="K69" s="42" t="s">
        <v>3811</v>
      </c>
      <c r="L69" s="42" t="s">
        <v>9864</v>
      </c>
      <c r="M69" s="43"/>
      <c r="N69" s="42" t="s">
        <v>9865</v>
      </c>
      <c r="O69" s="42" t="s">
        <v>5033</v>
      </c>
      <c r="P69" s="42" t="s">
        <v>5037</v>
      </c>
      <c r="Q69" s="45"/>
      <c r="R69" s="43"/>
      <c r="S69" s="45"/>
      <c r="T69" s="45"/>
      <c r="U69" s="43"/>
      <c r="V69" s="45"/>
      <c r="W69" s="45"/>
      <c r="X69" s="43"/>
      <c r="Y69" s="42" t="s">
        <v>5037</v>
      </c>
      <c r="Z69" s="42" t="s">
        <v>5034</v>
      </c>
      <c r="AA69" s="42" t="s">
        <v>3569</v>
      </c>
      <c r="AB69" s="41">
        <v>2.0</v>
      </c>
      <c r="AC69" s="42" t="s">
        <v>3571</v>
      </c>
      <c r="AD69" s="42" t="s">
        <v>3572</v>
      </c>
      <c r="AE69" s="42" t="s">
        <v>3573</v>
      </c>
      <c r="AF69" s="44" t="s">
        <v>5038</v>
      </c>
      <c r="AG69" s="44" t="s">
        <v>5039</v>
      </c>
      <c r="AH69" s="41">
        <v>2.0</v>
      </c>
      <c r="AI69" s="42" t="s">
        <v>9863</v>
      </c>
      <c r="AJ69" s="43"/>
      <c r="AK69" s="43"/>
      <c r="AL69" s="41">
        <v>2017.0</v>
      </c>
      <c r="AM69" s="43"/>
      <c r="AN69" s="42" t="s">
        <v>5042</v>
      </c>
      <c r="AO69" s="42" t="s">
        <v>5043</v>
      </c>
      <c r="AP69" s="43"/>
      <c r="AQ69" s="43"/>
      <c r="AR69" s="43"/>
      <c r="AS69" s="45"/>
      <c r="AT69" s="45"/>
      <c r="AU69" s="45"/>
      <c r="AV69" s="45"/>
      <c r="AW69" s="45"/>
      <c r="AX69" s="45"/>
      <c r="AY69" s="45"/>
      <c r="AZ69" s="45"/>
      <c r="BA69" s="45"/>
      <c r="BB69" s="45"/>
      <c r="BC69" s="42" t="s">
        <v>5041</v>
      </c>
      <c r="BD69" s="64"/>
      <c r="BE69" s="42" t="s">
        <v>5044</v>
      </c>
      <c r="BF69" s="42" t="s">
        <v>5045</v>
      </c>
      <c r="BG69" s="43"/>
      <c r="BH69" s="42" t="s">
        <v>268</v>
      </c>
      <c r="BI69" s="43"/>
      <c r="BJ69" s="41">
        <v>40591.0</v>
      </c>
      <c r="BK69" s="42" t="s">
        <v>41</v>
      </c>
      <c r="BL69" s="45"/>
      <c r="BM69" s="45"/>
      <c r="BN69" s="42" t="s">
        <v>5046</v>
      </c>
      <c r="BO69" s="42" t="s">
        <v>3584</v>
      </c>
      <c r="BP69" s="42" t="s">
        <v>3584</v>
      </c>
      <c r="BQ69" s="42" t="s">
        <v>5047</v>
      </c>
      <c r="BR69" s="42" t="s">
        <v>5048</v>
      </c>
      <c r="BS69" s="41">
        <v>4.0</v>
      </c>
      <c r="BT69" s="43"/>
      <c r="BU69" s="43"/>
      <c r="BV69" s="43"/>
      <c r="BW69" s="42" t="s">
        <v>5049</v>
      </c>
      <c r="BX69" s="43"/>
      <c r="BY69" s="43"/>
      <c r="BZ69" s="43"/>
      <c r="CA69" s="42" t="s">
        <v>3695</v>
      </c>
      <c r="CB69" s="63">
        <v>43997.0</v>
      </c>
      <c r="CC69" s="41">
        <v>2.0</v>
      </c>
      <c r="CD69" s="42" t="s">
        <v>3593</v>
      </c>
      <c r="CE69" s="45"/>
      <c r="CF69" s="43"/>
      <c r="CG69" s="42" t="s">
        <v>3698</v>
      </c>
      <c r="CH69" s="42" t="s">
        <v>3698</v>
      </c>
      <c r="CI69" s="43"/>
      <c r="CJ69" s="42" t="s">
        <v>3573</v>
      </c>
      <c r="CK69" s="43"/>
      <c r="CL69" s="42" t="s">
        <v>3591</v>
      </c>
      <c r="CM69" s="45"/>
      <c r="CN69" s="45"/>
      <c r="CO69" s="43"/>
      <c r="CP69" s="45"/>
      <c r="CQ69" s="43"/>
      <c r="CR69" s="42" t="s">
        <v>3589</v>
      </c>
      <c r="CS69" s="43"/>
      <c r="CT69" s="43"/>
      <c r="CU69" s="42" t="s">
        <v>3590</v>
      </c>
      <c r="CV69" s="45"/>
      <c r="CW69" s="45"/>
      <c r="CX69" s="43"/>
      <c r="CY69" s="42" t="s">
        <v>3591</v>
      </c>
      <c r="CZ69" s="45"/>
      <c r="DA69" s="45"/>
      <c r="DB69" s="45"/>
      <c r="DC69" s="45"/>
      <c r="DD69" s="45"/>
      <c r="DE69" s="45"/>
      <c r="DF69" s="45"/>
      <c r="DG69" s="45"/>
      <c r="DH69" s="45"/>
      <c r="DI69" s="45"/>
      <c r="DJ69" s="45"/>
      <c r="DK69" s="45"/>
      <c r="DL69" s="45"/>
      <c r="DM69" s="45"/>
      <c r="DN69" s="45"/>
      <c r="DO69" s="45"/>
      <c r="DP69" s="45"/>
      <c r="DQ69" s="45"/>
      <c r="DR69" s="45"/>
      <c r="DS69" s="45"/>
      <c r="DT69" s="45"/>
      <c r="DU69" s="45"/>
      <c r="DV69" s="45"/>
      <c r="DW69" s="45"/>
      <c r="DX69" s="45"/>
      <c r="DY69" s="45"/>
      <c r="DZ69" s="41">
        <v>14.0</v>
      </c>
      <c r="EA69" s="41">
        <v>3.0</v>
      </c>
      <c r="EB69" s="41">
        <v>7.0</v>
      </c>
      <c r="EC69" s="41">
        <v>3.0</v>
      </c>
      <c r="ED69" s="45"/>
      <c r="EE69" s="41">
        <v>4.0</v>
      </c>
      <c r="EF69" s="42" t="s">
        <v>5053</v>
      </c>
      <c r="EG69" s="45"/>
      <c r="EH69" s="45"/>
      <c r="EI69" s="43"/>
      <c r="EJ69" s="45"/>
      <c r="EK69" s="45"/>
      <c r="EL69" s="45"/>
      <c r="EM69" s="43"/>
      <c r="EN69" s="45"/>
      <c r="EO69" s="45"/>
      <c r="EP69" s="45"/>
      <c r="EQ69" s="45"/>
      <c r="ER69" s="42" t="s">
        <v>6037</v>
      </c>
      <c r="ES69" s="43"/>
      <c r="ET69" s="42" t="s">
        <v>47</v>
      </c>
      <c r="EU69" s="41">
        <v>7.0</v>
      </c>
      <c r="EV69" s="48" t="s">
        <v>3559</v>
      </c>
    </row>
    <row r="70">
      <c r="B70" s="35" t="s">
        <v>3364</v>
      </c>
      <c r="C70" s="32">
        <v>6.0</v>
      </c>
      <c r="D70" s="35" t="s">
        <v>9866</v>
      </c>
      <c r="E70" s="35" t="s">
        <v>3563</v>
      </c>
      <c r="F70" s="35" t="s">
        <v>4648</v>
      </c>
      <c r="G70" s="35" t="s">
        <v>4649</v>
      </c>
      <c r="H70" s="35" t="s">
        <v>3612</v>
      </c>
      <c r="I70" s="62">
        <v>45751.0</v>
      </c>
      <c r="J70" s="35" t="s">
        <v>4650</v>
      </c>
      <c r="K70" s="35" t="s">
        <v>3612</v>
      </c>
      <c r="L70" s="35" t="s">
        <v>4651</v>
      </c>
      <c r="M70" s="34"/>
      <c r="N70" s="34"/>
      <c r="O70" s="35" t="s">
        <v>4646</v>
      </c>
      <c r="P70" s="35" t="s">
        <v>4652</v>
      </c>
      <c r="Q70" s="32">
        <v>27.0</v>
      </c>
      <c r="R70" s="35" t="s">
        <v>4379</v>
      </c>
      <c r="S70" s="39">
        <v>0.23</v>
      </c>
      <c r="T70" s="39">
        <v>0.77</v>
      </c>
      <c r="U70" s="35" t="s">
        <v>4379</v>
      </c>
      <c r="V70" s="39">
        <v>0.01</v>
      </c>
      <c r="W70" s="39">
        <v>0.22</v>
      </c>
      <c r="X70" s="34"/>
      <c r="Y70" s="35" t="s">
        <v>4652</v>
      </c>
      <c r="Z70" s="35" t="s">
        <v>4647</v>
      </c>
      <c r="AA70" s="35" t="s">
        <v>3569</v>
      </c>
      <c r="AB70" s="32">
        <v>3.05</v>
      </c>
      <c r="AC70" s="35" t="s">
        <v>3571</v>
      </c>
      <c r="AD70" s="35" t="s">
        <v>3572</v>
      </c>
      <c r="AE70" s="35" t="s">
        <v>3573</v>
      </c>
      <c r="AF70" s="36" t="s">
        <v>4653</v>
      </c>
      <c r="AG70" s="36" t="s">
        <v>4654</v>
      </c>
      <c r="AH70" s="32">
        <v>6.0</v>
      </c>
      <c r="AI70" s="35" t="s">
        <v>9866</v>
      </c>
      <c r="AJ70" s="34"/>
      <c r="AK70" s="34"/>
      <c r="AL70" s="32">
        <v>2018.0</v>
      </c>
      <c r="AM70" s="34"/>
      <c r="AN70" s="35" t="s">
        <v>4657</v>
      </c>
      <c r="AO70" s="35" t="s">
        <v>3579</v>
      </c>
      <c r="AP70" s="35" t="s">
        <v>4658</v>
      </c>
      <c r="AQ70" s="34"/>
      <c r="AR70" s="34"/>
      <c r="AS70" s="37"/>
      <c r="AT70" s="37"/>
      <c r="AU70" s="37"/>
      <c r="AV70" s="37"/>
      <c r="AW70" s="37"/>
      <c r="AX70" s="37"/>
      <c r="AY70" s="37"/>
      <c r="AZ70" s="37"/>
      <c r="BA70" s="37"/>
      <c r="BB70" s="37"/>
      <c r="BC70" s="35" t="s">
        <v>4656</v>
      </c>
      <c r="BD70" s="61"/>
      <c r="BE70" s="35" t="s">
        <v>3851</v>
      </c>
      <c r="BF70" s="35" t="s">
        <v>4659</v>
      </c>
      <c r="BG70" s="34"/>
      <c r="BH70" s="35" t="s">
        <v>616</v>
      </c>
      <c r="BI70" s="34"/>
      <c r="BJ70" s="37"/>
      <c r="BK70" s="35" t="s">
        <v>41</v>
      </c>
      <c r="BL70" s="37"/>
      <c r="BM70" s="37"/>
      <c r="BN70" s="35" t="s">
        <v>3370</v>
      </c>
      <c r="BO70" s="35" t="s">
        <v>3584</v>
      </c>
      <c r="BP70" s="35" t="s">
        <v>3584</v>
      </c>
      <c r="BQ70" s="35" t="s">
        <v>4660</v>
      </c>
      <c r="BR70" s="35" t="s">
        <v>4661</v>
      </c>
      <c r="BS70" s="32">
        <v>2.0</v>
      </c>
      <c r="BT70" s="34"/>
      <c r="BU70" s="34"/>
      <c r="BV70" s="34"/>
      <c r="BW70" s="34"/>
      <c r="BX70" s="34"/>
      <c r="BY70" s="34"/>
      <c r="BZ70" s="34"/>
      <c r="CA70" s="34"/>
      <c r="CB70" s="62">
        <v>43862.0</v>
      </c>
      <c r="CC70" s="32">
        <v>2.3</v>
      </c>
      <c r="CD70" s="35" t="s">
        <v>3593</v>
      </c>
      <c r="CE70" s="37"/>
      <c r="CF70" s="34"/>
      <c r="CG70" s="35" t="s">
        <v>3698</v>
      </c>
      <c r="CH70" s="35" t="s">
        <v>3698</v>
      </c>
      <c r="CI70" s="34"/>
      <c r="CJ70" s="35" t="s">
        <v>3573</v>
      </c>
      <c r="CK70" s="34"/>
      <c r="CL70" s="35" t="s">
        <v>3591</v>
      </c>
      <c r="CM70" s="62">
        <v>44927.0</v>
      </c>
      <c r="CN70" s="32">
        <v>0.75</v>
      </c>
      <c r="CO70" s="35" t="s">
        <v>3593</v>
      </c>
      <c r="CP70" s="37"/>
      <c r="CQ70" s="34"/>
      <c r="CR70" s="35" t="s">
        <v>3698</v>
      </c>
      <c r="CS70" s="35" t="s">
        <v>3698</v>
      </c>
      <c r="CT70" s="34"/>
      <c r="CU70" s="35" t="s">
        <v>3573</v>
      </c>
      <c r="CV70" s="37"/>
      <c r="CW70" s="37"/>
      <c r="CX70" s="34"/>
      <c r="CY70" s="35" t="s">
        <v>3591</v>
      </c>
      <c r="CZ70" s="39">
        <v>0.0</v>
      </c>
      <c r="DA70" s="32">
        <v>19.0</v>
      </c>
      <c r="DB70" s="39">
        <v>0.0</v>
      </c>
      <c r="DC70" s="39">
        <v>0.0</v>
      </c>
      <c r="DD70" s="39">
        <v>0.0</v>
      </c>
      <c r="DE70" s="32">
        <v>17.0</v>
      </c>
      <c r="DF70" s="37"/>
      <c r="DG70" s="37"/>
      <c r="DH70" s="39">
        <v>0.0</v>
      </c>
      <c r="DI70" s="32">
        <v>17.0</v>
      </c>
      <c r="DJ70" s="32" t="s">
        <v>7862</v>
      </c>
      <c r="DK70" s="32">
        <v>25.0</v>
      </c>
      <c r="DL70" s="32" t="s">
        <v>3598</v>
      </c>
      <c r="DM70" s="39">
        <v>0.0</v>
      </c>
      <c r="DN70" s="32" t="s">
        <v>7862</v>
      </c>
      <c r="DO70" s="32">
        <v>26.0</v>
      </c>
      <c r="DP70" s="37"/>
      <c r="DQ70" s="37"/>
      <c r="DR70" s="32" t="s">
        <v>7862</v>
      </c>
      <c r="DS70" s="32">
        <v>24.0</v>
      </c>
      <c r="DT70" s="37"/>
      <c r="DU70" s="37"/>
      <c r="DV70" s="37"/>
      <c r="DW70" s="32">
        <v>7.0</v>
      </c>
      <c r="DX70" s="32">
        <v>0.0</v>
      </c>
      <c r="DY70" s="39">
        <v>0.0</v>
      </c>
      <c r="DZ70" s="32">
        <v>6.0</v>
      </c>
      <c r="EA70" s="32">
        <v>3.0</v>
      </c>
      <c r="EB70" s="32">
        <v>4.0</v>
      </c>
      <c r="EC70" s="37"/>
      <c r="ED70" s="37"/>
      <c r="EE70" s="32">
        <v>2.0</v>
      </c>
      <c r="EF70" s="35" t="s">
        <v>4665</v>
      </c>
      <c r="EG70" s="37"/>
      <c r="EH70" s="37"/>
      <c r="EI70" s="34"/>
      <c r="EJ70" s="37"/>
      <c r="EK70" s="37"/>
      <c r="EL70" s="37"/>
      <c r="EM70" s="34"/>
      <c r="EN70" s="37"/>
      <c r="EO70" s="37"/>
      <c r="EP70" s="37"/>
      <c r="EQ70" s="37"/>
      <c r="ER70" s="35" t="s">
        <v>3612</v>
      </c>
      <c r="ES70" s="34"/>
      <c r="ET70" s="35" t="s">
        <v>47</v>
      </c>
      <c r="EU70" s="32">
        <v>26.0</v>
      </c>
      <c r="EV70" s="40" t="s">
        <v>3559</v>
      </c>
    </row>
    <row r="71">
      <c r="B71" s="35" t="s">
        <v>3671</v>
      </c>
      <c r="C71" s="32">
        <v>56.0</v>
      </c>
      <c r="D71" s="35" t="s">
        <v>9867</v>
      </c>
      <c r="E71" s="35" t="s">
        <v>3563</v>
      </c>
      <c r="F71" s="35" t="s">
        <v>3564</v>
      </c>
      <c r="G71" s="35" t="s">
        <v>3565</v>
      </c>
      <c r="H71" s="35" t="s">
        <v>6037</v>
      </c>
      <c r="I71" s="60">
        <v>45989.0</v>
      </c>
      <c r="J71" s="35" t="s">
        <v>3676</v>
      </c>
      <c r="K71" s="35" t="s">
        <v>3677</v>
      </c>
      <c r="L71" s="35" t="s">
        <v>3678</v>
      </c>
      <c r="M71" s="34"/>
      <c r="N71" s="35" t="s">
        <v>3672</v>
      </c>
      <c r="O71" s="35" t="s">
        <v>3673</v>
      </c>
      <c r="P71" s="35" t="s">
        <v>3679</v>
      </c>
      <c r="Q71" s="32">
        <v>87.0</v>
      </c>
      <c r="R71" s="35" t="s">
        <v>3602</v>
      </c>
      <c r="S71" s="39">
        <v>0.98</v>
      </c>
      <c r="T71" s="39">
        <v>0.02</v>
      </c>
      <c r="U71" s="35" t="s">
        <v>3603</v>
      </c>
      <c r="V71" s="39">
        <v>0.11</v>
      </c>
      <c r="W71" s="39">
        <v>0.87</v>
      </c>
      <c r="X71" s="35" t="s">
        <v>3674</v>
      </c>
      <c r="Y71" s="35" t="s">
        <v>3679</v>
      </c>
      <c r="Z71" s="35" t="s">
        <v>3675</v>
      </c>
      <c r="AA71" s="35" t="s">
        <v>3569</v>
      </c>
      <c r="AB71" s="32">
        <v>97.1</v>
      </c>
      <c r="AC71" s="35" t="s">
        <v>3571</v>
      </c>
      <c r="AD71" s="35" t="s">
        <v>3572</v>
      </c>
      <c r="AE71" s="35" t="s">
        <v>3573</v>
      </c>
      <c r="AF71" s="36" t="s">
        <v>3680</v>
      </c>
      <c r="AG71" s="36" t="s">
        <v>3681</v>
      </c>
      <c r="AH71" s="32">
        <v>56.0</v>
      </c>
      <c r="AI71" s="35" t="s">
        <v>9867</v>
      </c>
      <c r="AJ71" s="34"/>
      <c r="AK71" s="34"/>
      <c r="AL71" s="32">
        <v>2016.0</v>
      </c>
      <c r="AM71" s="34"/>
      <c r="AN71" s="35" t="s">
        <v>3684</v>
      </c>
      <c r="AO71" s="35" t="s">
        <v>3685</v>
      </c>
      <c r="AP71" s="35" t="s">
        <v>3686</v>
      </c>
      <c r="AQ71" s="34"/>
      <c r="AR71" s="34"/>
      <c r="AS71" s="37"/>
      <c r="AT71" s="37"/>
      <c r="AU71" s="37"/>
      <c r="AV71" s="37"/>
      <c r="AW71" s="37"/>
      <c r="AX71" s="37"/>
      <c r="AY71" s="37"/>
      <c r="AZ71" s="37"/>
      <c r="BA71" s="37"/>
      <c r="BB71" s="37"/>
      <c r="BC71" s="35" t="s">
        <v>3683</v>
      </c>
      <c r="BD71" s="61"/>
      <c r="BE71" s="35" t="s">
        <v>3581</v>
      </c>
      <c r="BF71" s="35" t="s">
        <v>3687</v>
      </c>
      <c r="BG71" s="35" t="s">
        <v>3688</v>
      </c>
      <c r="BH71" s="35" t="s">
        <v>75</v>
      </c>
      <c r="BI71" s="34"/>
      <c r="BJ71" s="32">
        <v>6578403.0</v>
      </c>
      <c r="BK71" s="35" t="s">
        <v>41</v>
      </c>
      <c r="BL71" s="37"/>
      <c r="BM71" s="37"/>
      <c r="BN71" s="35" t="s">
        <v>3689</v>
      </c>
      <c r="BO71" s="35" t="s">
        <v>3584</v>
      </c>
      <c r="BP71" s="35" t="s">
        <v>3584</v>
      </c>
      <c r="BQ71" s="35" t="s">
        <v>3690</v>
      </c>
      <c r="BR71" s="35" t="s">
        <v>3691</v>
      </c>
      <c r="BS71" s="32">
        <v>26.0</v>
      </c>
      <c r="BT71" s="34"/>
      <c r="BU71" s="35" t="s">
        <v>3692</v>
      </c>
      <c r="BV71" s="34"/>
      <c r="BW71" s="35" t="s">
        <v>3693</v>
      </c>
      <c r="BX71" s="35" t="s">
        <v>3694</v>
      </c>
      <c r="BY71" s="34"/>
      <c r="BZ71" s="34"/>
      <c r="CA71" s="35" t="s">
        <v>3695</v>
      </c>
      <c r="CB71" s="60">
        <v>43069.0</v>
      </c>
      <c r="CC71" s="32">
        <v>2.7</v>
      </c>
      <c r="CD71" s="35" t="s">
        <v>3593</v>
      </c>
      <c r="CE71" s="32">
        <v>6.93</v>
      </c>
      <c r="CF71" s="35" t="s">
        <v>3697</v>
      </c>
      <c r="CG71" s="35" t="s">
        <v>3698</v>
      </c>
      <c r="CH71" s="35" t="s">
        <v>3698</v>
      </c>
      <c r="CI71" s="34"/>
      <c r="CJ71" s="35" t="s">
        <v>3573</v>
      </c>
      <c r="CK71" s="34"/>
      <c r="CL71" s="35" t="s">
        <v>3591</v>
      </c>
      <c r="CM71" s="67">
        <v>45789.0</v>
      </c>
      <c r="CN71" s="37"/>
      <c r="CO71" s="34"/>
      <c r="CP71" s="37"/>
      <c r="CQ71" s="34"/>
      <c r="CR71" s="35" t="s">
        <v>3589</v>
      </c>
      <c r="CS71" s="34"/>
      <c r="CT71" s="34"/>
      <c r="CU71" s="35" t="s">
        <v>3590</v>
      </c>
      <c r="CV71" s="37"/>
      <c r="CW71" s="37"/>
      <c r="CX71" s="34"/>
      <c r="CY71" s="35" t="s">
        <v>3591</v>
      </c>
      <c r="CZ71" s="39">
        <v>-0.0043</v>
      </c>
      <c r="DA71" s="32">
        <v>13.0</v>
      </c>
      <c r="DB71" s="39">
        <v>-0.008</v>
      </c>
      <c r="DC71" s="39">
        <v>-2.191</v>
      </c>
      <c r="DD71" s="37"/>
      <c r="DE71" s="37"/>
      <c r="DF71" s="37"/>
      <c r="DG71" s="37"/>
      <c r="DH71" s="37"/>
      <c r="DI71" s="37"/>
      <c r="DJ71" s="32" t="s">
        <v>9868</v>
      </c>
      <c r="DK71" s="32">
        <v>77.0</v>
      </c>
      <c r="DL71" s="32" t="s">
        <v>9869</v>
      </c>
      <c r="DM71" s="39">
        <v>-0.6731</v>
      </c>
      <c r="DN71" s="37"/>
      <c r="DO71" s="37"/>
      <c r="DP71" s="37"/>
      <c r="DQ71" s="37"/>
      <c r="DR71" s="37"/>
      <c r="DS71" s="37"/>
      <c r="DT71" s="37"/>
      <c r="DU71" s="37"/>
      <c r="DV71" s="37"/>
      <c r="DW71" s="32">
        <v>443.0</v>
      </c>
      <c r="DX71" s="32">
        <v>0.0</v>
      </c>
      <c r="DY71" s="39">
        <v>0.0</v>
      </c>
      <c r="DZ71" s="32">
        <v>96.0</v>
      </c>
      <c r="EA71" s="32">
        <v>15.0</v>
      </c>
      <c r="EB71" s="32">
        <v>29.0</v>
      </c>
      <c r="EC71" s="32">
        <v>12.0</v>
      </c>
      <c r="ED71" s="37"/>
      <c r="EE71" s="32">
        <v>55.0</v>
      </c>
      <c r="EF71" s="35" t="s">
        <v>3703</v>
      </c>
      <c r="EG71" s="32">
        <v>75.54</v>
      </c>
      <c r="EH71" s="60">
        <v>44056.0</v>
      </c>
      <c r="EI71" s="35" t="s">
        <v>3669</v>
      </c>
      <c r="EJ71" s="37"/>
      <c r="EK71" s="37"/>
      <c r="EL71" s="37"/>
      <c r="EM71" s="35" t="s">
        <v>3705</v>
      </c>
      <c r="EN71" s="37"/>
      <c r="EO71" s="37"/>
      <c r="EP71" s="37"/>
      <c r="EQ71" s="32">
        <v>3.47</v>
      </c>
      <c r="ER71" s="35" t="s">
        <v>6037</v>
      </c>
      <c r="ES71" s="34"/>
      <c r="ET71" s="35" t="s">
        <v>47</v>
      </c>
      <c r="EU71" s="32">
        <v>2.0</v>
      </c>
      <c r="EV71" s="40" t="s">
        <v>3559</v>
      </c>
    </row>
    <row r="72">
      <c r="B72" s="35" t="s">
        <v>5351</v>
      </c>
      <c r="C72" s="32">
        <v>120.0</v>
      </c>
      <c r="D72" s="35" t="s">
        <v>9870</v>
      </c>
      <c r="E72" s="35" t="s">
        <v>3563</v>
      </c>
      <c r="F72" s="35" t="s">
        <v>3564</v>
      </c>
      <c r="G72" s="35" t="s">
        <v>3565</v>
      </c>
      <c r="H72" s="35" t="s">
        <v>3612</v>
      </c>
      <c r="I72" s="62">
        <v>45964.0</v>
      </c>
      <c r="J72" s="35" t="s">
        <v>5355</v>
      </c>
      <c r="K72" s="35" t="s">
        <v>5356</v>
      </c>
      <c r="L72" s="35" t="s">
        <v>5357</v>
      </c>
      <c r="M72" s="34"/>
      <c r="N72" s="34"/>
      <c r="O72" s="35" t="s">
        <v>5352</v>
      </c>
      <c r="P72" s="35" t="s">
        <v>5358</v>
      </c>
      <c r="Q72" s="37"/>
      <c r="R72" s="34"/>
      <c r="S72" s="37"/>
      <c r="T72" s="37"/>
      <c r="U72" s="34"/>
      <c r="V72" s="37"/>
      <c r="W72" s="37"/>
      <c r="X72" s="35" t="s">
        <v>9871</v>
      </c>
      <c r="Y72" s="35" t="s">
        <v>5358</v>
      </c>
      <c r="Z72" s="35" t="s">
        <v>9872</v>
      </c>
      <c r="AA72" s="35" t="s">
        <v>5018</v>
      </c>
      <c r="AB72" s="32">
        <v>29.5</v>
      </c>
      <c r="AC72" s="35" t="s">
        <v>3571</v>
      </c>
      <c r="AD72" s="35" t="s">
        <v>4964</v>
      </c>
      <c r="AE72" s="35" t="s">
        <v>3573</v>
      </c>
      <c r="AF72" s="36" t="s">
        <v>5359</v>
      </c>
      <c r="AG72" s="36" t="s">
        <v>5360</v>
      </c>
      <c r="AH72" s="32">
        <v>120.0</v>
      </c>
      <c r="AI72" s="35" t="s">
        <v>9870</v>
      </c>
      <c r="AJ72" s="34"/>
      <c r="AK72" s="34"/>
      <c r="AL72" s="32">
        <v>2017.0</v>
      </c>
      <c r="AM72" s="35" t="s">
        <v>5362</v>
      </c>
      <c r="AN72" s="35" t="s">
        <v>5364</v>
      </c>
      <c r="AO72" s="35" t="s">
        <v>4338</v>
      </c>
      <c r="AP72" s="35" t="s">
        <v>5365</v>
      </c>
      <c r="AQ72" s="34"/>
      <c r="AR72" s="34"/>
      <c r="AS72" s="37"/>
      <c r="AT72" s="37"/>
      <c r="AU72" s="37"/>
      <c r="AV72" s="37"/>
      <c r="AW72" s="37"/>
      <c r="AX72" s="37"/>
      <c r="AY72" s="37"/>
      <c r="AZ72" s="37"/>
      <c r="BA72" s="37"/>
      <c r="BB72" s="37"/>
      <c r="BC72" s="35" t="s">
        <v>5363</v>
      </c>
      <c r="BD72" s="61"/>
      <c r="BE72" s="35" t="s">
        <v>3581</v>
      </c>
      <c r="BF72" s="35" t="s">
        <v>5366</v>
      </c>
      <c r="BG72" s="34"/>
      <c r="BH72" s="35" t="s">
        <v>75</v>
      </c>
      <c r="BI72" s="34"/>
      <c r="BJ72" s="32">
        <v>6721503.0</v>
      </c>
      <c r="BK72" s="35" t="s">
        <v>41</v>
      </c>
      <c r="BL72" s="37"/>
      <c r="BM72" s="37"/>
      <c r="BN72" s="35" t="s">
        <v>5367</v>
      </c>
      <c r="BO72" s="35" t="s">
        <v>3584</v>
      </c>
      <c r="BP72" s="35" t="s">
        <v>3584</v>
      </c>
      <c r="BQ72" s="35" t="s">
        <v>5368</v>
      </c>
      <c r="BR72" s="34"/>
      <c r="BS72" s="37"/>
      <c r="BT72" s="35" t="s">
        <v>5362</v>
      </c>
      <c r="BU72" s="35" t="s">
        <v>5369</v>
      </c>
      <c r="BV72" s="34"/>
      <c r="BW72" s="34"/>
      <c r="BX72" s="35" t="s">
        <v>5370</v>
      </c>
      <c r="BY72" s="34"/>
      <c r="BZ72" s="34"/>
      <c r="CA72" s="35" t="s">
        <v>5371</v>
      </c>
      <c r="CB72" s="37"/>
      <c r="CC72" s="37"/>
      <c r="CD72" s="34"/>
      <c r="CE72" s="37"/>
      <c r="CF72" s="34"/>
      <c r="CG72" s="35" t="s">
        <v>3589</v>
      </c>
      <c r="CH72" s="34"/>
      <c r="CI72" s="34"/>
      <c r="CJ72" s="35" t="s">
        <v>3590</v>
      </c>
      <c r="CK72" s="34"/>
      <c r="CL72" s="35" t="s">
        <v>3591</v>
      </c>
      <c r="CM72" s="60">
        <v>45518.0</v>
      </c>
      <c r="CN72" s="32">
        <v>110.0</v>
      </c>
      <c r="CO72" s="35" t="s">
        <v>3593</v>
      </c>
      <c r="CP72" s="32">
        <v>110.0</v>
      </c>
      <c r="CQ72" s="35" t="s">
        <v>3593</v>
      </c>
      <c r="CR72" s="35" t="s">
        <v>4977</v>
      </c>
      <c r="CS72" s="34"/>
      <c r="CT72" s="34"/>
      <c r="CU72" s="35" t="s">
        <v>3663</v>
      </c>
      <c r="CV72" s="37"/>
      <c r="CW72" s="37"/>
      <c r="CX72" s="34"/>
      <c r="CY72" s="35" t="s">
        <v>3591</v>
      </c>
      <c r="CZ72" s="37"/>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4"/>
      <c r="EG72" s="32">
        <v>110.0</v>
      </c>
      <c r="EH72" s="60">
        <v>45518.0</v>
      </c>
      <c r="EI72" s="35" t="s">
        <v>4977</v>
      </c>
      <c r="EJ72" s="37"/>
      <c r="EK72" s="37"/>
      <c r="EL72" s="37"/>
      <c r="EM72" s="34"/>
      <c r="EN72" s="37"/>
      <c r="EO72" s="37"/>
      <c r="EP72" s="32">
        <v>3.26</v>
      </c>
      <c r="EQ72" s="32">
        <v>3.26</v>
      </c>
      <c r="ER72" s="35" t="s">
        <v>3612</v>
      </c>
      <c r="ES72" s="34"/>
      <c r="ET72" s="35" t="s">
        <v>47</v>
      </c>
      <c r="EU72" s="32">
        <v>13.0</v>
      </c>
      <c r="EV72" s="40" t="s">
        <v>3559</v>
      </c>
    </row>
    <row r="73">
      <c r="B73" s="35" t="s">
        <v>4161</v>
      </c>
      <c r="C73" s="32">
        <v>204.0</v>
      </c>
      <c r="D73" s="35" t="s">
        <v>9873</v>
      </c>
      <c r="E73" s="35" t="s">
        <v>3563</v>
      </c>
      <c r="F73" s="35" t="s">
        <v>3564</v>
      </c>
      <c r="G73" s="35" t="s">
        <v>3565</v>
      </c>
      <c r="H73" s="35" t="s">
        <v>9734</v>
      </c>
      <c r="I73" s="60">
        <v>45944.0</v>
      </c>
      <c r="J73" s="35" t="s">
        <v>4165</v>
      </c>
      <c r="K73" s="35" t="s">
        <v>4166</v>
      </c>
      <c r="L73" s="35" t="s">
        <v>4167</v>
      </c>
      <c r="M73" s="34"/>
      <c r="N73" s="34"/>
      <c r="O73" s="35" t="s">
        <v>4162</v>
      </c>
      <c r="P73" s="35" t="s">
        <v>4168</v>
      </c>
      <c r="Q73" s="32">
        <v>44.0</v>
      </c>
      <c r="R73" s="35" t="s">
        <v>3602</v>
      </c>
      <c r="S73" s="39">
        <v>0.73</v>
      </c>
      <c r="T73" s="39">
        <v>0.27</v>
      </c>
      <c r="U73" s="35" t="s">
        <v>3603</v>
      </c>
      <c r="V73" s="39">
        <v>0.04</v>
      </c>
      <c r="W73" s="39">
        <v>0.69</v>
      </c>
      <c r="X73" s="35" t="s">
        <v>9874</v>
      </c>
      <c r="Y73" s="35" t="s">
        <v>4168</v>
      </c>
      <c r="Z73" s="35" t="s">
        <v>4164</v>
      </c>
      <c r="AA73" s="35" t="s">
        <v>3569</v>
      </c>
      <c r="AB73" s="32">
        <v>191.1</v>
      </c>
      <c r="AC73" s="35" t="s">
        <v>3571</v>
      </c>
      <c r="AD73" s="35" t="s">
        <v>3572</v>
      </c>
      <c r="AE73" s="35" t="s">
        <v>3573</v>
      </c>
      <c r="AF73" s="36" t="s">
        <v>4169</v>
      </c>
      <c r="AG73" s="36" t="s">
        <v>4170</v>
      </c>
      <c r="AH73" s="32">
        <v>204.0</v>
      </c>
      <c r="AI73" s="35" t="s">
        <v>9873</v>
      </c>
      <c r="AJ73" s="34"/>
      <c r="AK73" s="34"/>
      <c r="AL73" s="32">
        <v>2013.0</v>
      </c>
      <c r="AM73" s="34"/>
      <c r="AN73" s="35" t="s">
        <v>4173</v>
      </c>
      <c r="AO73" s="35" t="s">
        <v>4033</v>
      </c>
      <c r="AP73" s="35" t="s">
        <v>4174</v>
      </c>
      <c r="AQ73" s="34"/>
      <c r="AR73" s="35" t="s">
        <v>5243</v>
      </c>
      <c r="AS73" s="37"/>
      <c r="AT73" s="37"/>
      <c r="AU73" s="37"/>
      <c r="AV73" s="37"/>
      <c r="AW73" s="37"/>
      <c r="AX73" s="37"/>
      <c r="AY73" s="37"/>
      <c r="AZ73" s="37"/>
      <c r="BA73" s="37"/>
      <c r="BB73" s="37"/>
      <c r="BC73" s="35" t="s">
        <v>4172</v>
      </c>
      <c r="BD73" s="61"/>
      <c r="BE73" s="35" t="s">
        <v>3581</v>
      </c>
      <c r="BF73" s="35" t="s">
        <v>4175</v>
      </c>
      <c r="BG73" s="35" t="s">
        <v>4176</v>
      </c>
      <c r="BH73" s="35" t="s">
        <v>75</v>
      </c>
      <c r="BI73" s="34"/>
      <c r="BJ73" s="32">
        <v>6701101.0</v>
      </c>
      <c r="BK73" s="35" t="s">
        <v>41</v>
      </c>
      <c r="BL73" s="37"/>
      <c r="BM73" s="37"/>
      <c r="BN73" s="35" t="s">
        <v>4177</v>
      </c>
      <c r="BO73" s="35" t="s">
        <v>3584</v>
      </c>
      <c r="BP73" s="35" t="s">
        <v>3584</v>
      </c>
      <c r="BQ73" s="35" t="s">
        <v>4178</v>
      </c>
      <c r="BR73" s="35" t="s">
        <v>4179</v>
      </c>
      <c r="BS73" s="32">
        <v>15.0</v>
      </c>
      <c r="BT73" s="34"/>
      <c r="BU73" s="35" t="s">
        <v>4180</v>
      </c>
      <c r="BV73" s="34"/>
      <c r="BW73" s="35" t="s">
        <v>4181</v>
      </c>
      <c r="BX73" s="35" t="s">
        <v>4182</v>
      </c>
      <c r="BY73" s="34"/>
      <c r="BZ73" s="35" t="s">
        <v>4183</v>
      </c>
      <c r="CA73" s="35" t="s">
        <v>4184</v>
      </c>
      <c r="CB73" s="62">
        <v>41609.0</v>
      </c>
      <c r="CC73" s="32">
        <v>0.71</v>
      </c>
      <c r="CD73" s="35" t="s">
        <v>3697</v>
      </c>
      <c r="CE73" s="37"/>
      <c r="CF73" s="34"/>
      <c r="CG73" s="35" t="s">
        <v>3698</v>
      </c>
      <c r="CH73" s="35" t="s">
        <v>3698</v>
      </c>
      <c r="CI73" s="34"/>
      <c r="CJ73" s="35" t="s">
        <v>3573</v>
      </c>
      <c r="CK73" s="34"/>
      <c r="CL73" s="35" t="s">
        <v>3591</v>
      </c>
      <c r="CM73" s="60">
        <v>44363.0</v>
      </c>
      <c r="CN73" s="32">
        <v>100.0</v>
      </c>
      <c r="CO73" s="35" t="s">
        <v>3593</v>
      </c>
      <c r="CP73" s="50">
        <v>1000.0</v>
      </c>
      <c r="CQ73" s="35" t="s">
        <v>3593</v>
      </c>
      <c r="CR73" s="35" t="s">
        <v>3594</v>
      </c>
      <c r="CS73" s="35" t="s">
        <v>4187</v>
      </c>
      <c r="CT73" s="34"/>
      <c r="CU73" s="35" t="s">
        <v>3573</v>
      </c>
      <c r="CV73" s="37"/>
      <c r="CW73" s="37"/>
      <c r="CX73" s="34"/>
      <c r="CY73" s="35" t="s">
        <v>3591</v>
      </c>
      <c r="CZ73" s="39">
        <v>0.083</v>
      </c>
      <c r="DA73" s="32">
        <v>100.0</v>
      </c>
      <c r="DB73" s="39">
        <v>-0.0449</v>
      </c>
      <c r="DC73" s="39">
        <v>-0.3512</v>
      </c>
      <c r="DD73" s="39">
        <v>0.0114</v>
      </c>
      <c r="DE73" s="32">
        <v>96.0</v>
      </c>
      <c r="DF73" s="39">
        <v>0.0114</v>
      </c>
      <c r="DG73" s="32">
        <v>93.0</v>
      </c>
      <c r="DH73" s="37"/>
      <c r="DI73" s="37"/>
      <c r="DJ73" s="32" t="s">
        <v>9875</v>
      </c>
      <c r="DK73" s="32">
        <v>92.0</v>
      </c>
      <c r="DL73" s="32" t="s">
        <v>9876</v>
      </c>
      <c r="DM73" s="39">
        <v>-0.4398</v>
      </c>
      <c r="DN73" s="32" t="s">
        <v>9877</v>
      </c>
      <c r="DO73" s="32">
        <v>95.0</v>
      </c>
      <c r="DP73" s="32" t="s">
        <v>9877</v>
      </c>
      <c r="DQ73" s="32">
        <v>92.0</v>
      </c>
      <c r="DR73" s="37"/>
      <c r="DS73" s="37"/>
      <c r="DT73" s="49">
        <v>3417.0</v>
      </c>
      <c r="DU73" s="32">
        <v>257.0</v>
      </c>
      <c r="DV73" s="39">
        <v>0.0813</v>
      </c>
      <c r="DW73" s="49">
        <v>1645.0</v>
      </c>
      <c r="DX73" s="32">
        <v>-2.0</v>
      </c>
      <c r="DY73" s="39">
        <v>-0.0012</v>
      </c>
      <c r="DZ73" s="32">
        <v>19.0</v>
      </c>
      <c r="EA73" s="32">
        <v>4.0</v>
      </c>
      <c r="EB73" s="32">
        <v>2.0</v>
      </c>
      <c r="EC73" s="32">
        <v>9.0</v>
      </c>
      <c r="ED73" s="37"/>
      <c r="EE73" s="32">
        <v>8.0</v>
      </c>
      <c r="EF73" s="35" t="s">
        <v>4194</v>
      </c>
      <c r="EG73" s="50">
        <v>1000.0</v>
      </c>
      <c r="EH73" s="60">
        <v>44363.0</v>
      </c>
      <c r="EI73" s="35" t="s">
        <v>3594</v>
      </c>
      <c r="EJ73" s="37"/>
      <c r="EK73" s="37"/>
      <c r="EL73" s="37"/>
      <c r="EM73" s="34"/>
      <c r="EN73" s="37"/>
      <c r="EO73" s="37"/>
      <c r="EP73" s="32">
        <v>3.73</v>
      </c>
      <c r="EQ73" s="32">
        <v>3.73</v>
      </c>
      <c r="ER73" s="35" t="s">
        <v>9734</v>
      </c>
      <c r="ES73" s="34"/>
      <c r="ET73" s="35" t="s">
        <v>47</v>
      </c>
      <c r="EU73" s="32">
        <v>1.0</v>
      </c>
      <c r="EV73" s="40" t="s">
        <v>3559</v>
      </c>
    </row>
    <row r="74">
      <c r="B74" s="42" t="s">
        <v>4878</v>
      </c>
      <c r="C74" s="41">
        <v>12.0</v>
      </c>
      <c r="D74" s="42" t="s">
        <v>9878</v>
      </c>
      <c r="E74" s="42" t="s">
        <v>3563</v>
      </c>
      <c r="F74" s="42" t="s">
        <v>3564</v>
      </c>
      <c r="G74" s="42" t="s">
        <v>3565</v>
      </c>
      <c r="H74" s="42" t="s">
        <v>6037</v>
      </c>
      <c r="I74" s="63">
        <v>45974.0</v>
      </c>
      <c r="J74" s="42" t="s">
        <v>4882</v>
      </c>
      <c r="K74" s="42" t="s">
        <v>4000</v>
      </c>
      <c r="L74" s="42" t="s">
        <v>4883</v>
      </c>
      <c r="M74" s="42" t="s">
        <v>4879</v>
      </c>
      <c r="N74" s="43"/>
      <c r="O74" s="42" t="s">
        <v>4880</v>
      </c>
      <c r="P74" s="42" t="s">
        <v>4884</v>
      </c>
      <c r="Q74" s="41">
        <v>5.0</v>
      </c>
      <c r="R74" s="42" t="s">
        <v>4379</v>
      </c>
      <c r="S74" s="47">
        <v>0.04</v>
      </c>
      <c r="T74" s="47">
        <v>0.96</v>
      </c>
      <c r="U74" s="42" t="s">
        <v>4379</v>
      </c>
      <c r="V74" s="47">
        <v>0.01</v>
      </c>
      <c r="W74" s="47">
        <v>0.03</v>
      </c>
      <c r="X74" s="43"/>
      <c r="Y74" s="42" t="s">
        <v>4884</v>
      </c>
      <c r="Z74" s="42" t="s">
        <v>4881</v>
      </c>
      <c r="AA74" s="42" t="s">
        <v>3569</v>
      </c>
      <c r="AB74" s="41">
        <v>7.8</v>
      </c>
      <c r="AC74" s="42" t="s">
        <v>3571</v>
      </c>
      <c r="AD74" s="42" t="s">
        <v>3572</v>
      </c>
      <c r="AE74" s="42" t="s">
        <v>3573</v>
      </c>
      <c r="AF74" s="44" t="s">
        <v>4885</v>
      </c>
      <c r="AG74" s="44" t="s">
        <v>4886</v>
      </c>
      <c r="AH74" s="41">
        <v>12.0</v>
      </c>
      <c r="AI74" s="42" t="s">
        <v>9878</v>
      </c>
      <c r="AJ74" s="43"/>
      <c r="AK74" s="43"/>
      <c r="AL74" s="41">
        <v>2018.0</v>
      </c>
      <c r="AM74" s="43"/>
      <c r="AN74" s="43"/>
      <c r="AO74" s="43"/>
      <c r="AP74" s="43"/>
      <c r="AQ74" s="43"/>
      <c r="AR74" s="43"/>
      <c r="AS74" s="45"/>
      <c r="AT74" s="45"/>
      <c r="AU74" s="45"/>
      <c r="AV74" s="45"/>
      <c r="AW74" s="45"/>
      <c r="AX74" s="45"/>
      <c r="AY74" s="45"/>
      <c r="AZ74" s="45"/>
      <c r="BA74" s="45"/>
      <c r="BB74" s="45"/>
      <c r="BC74" s="43"/>
      <c r="BD74" s="64"/>
      <c r="BE74" s="42" t="s">
        <v>3654</v>
      </c>
      <c r="BF74" s="42" t="s">
        <v>4888</v>
      </c>
      <c r="BG74" s="42" t="s">
        <v>4889</v>
      </c>
      <c r="BH74" s="42" t="s">
        <v>147</v>
      </c>
      <c r="BI74" s="43"/>
      <c r="BJ74" s="45"/>
      <c r="BK74" s="42" t="s">
        <v>41</v>
      </c>
      <c r="BL74" s="45"/>
      <c r="BM74" s="45"/>
      <c r="BN74" s="42" t="s">
        <v>4890</v>
      </c>
      <c r="BO74" s="42" t="s">
        <v>3584</v>
      </c>
      <c r="BP74" s="42" t="s">
        <v>3584</v>
      </c>
      <c r="BQ74" s="42" t="s">
        <v>4891</v>
      </c>
      <c r="BR74" s="42" t="s">
        <v>4892</v>
      </c>
      <c r="BS74" s="41">
        <v>4.0</v>
      </c>
      <c r="BT74" s="43"/>
      <c r="BU74" s="43"/>
      <c r="BV74" s="43"/>
      <c r="BW74" s="42" t="s">
        <v>4893</v>
      </c>
      <c r="BX74" s="43"/>
      <c r="BY74" s="43"/>
      <c r="BZ74" s="43"/>
      <c r="CA74" s="43"/>
      <c r="CB74" s="63">
        <v>43516.0</v>
      </c>
      <c r="CC74" s="41">
        <v>1.3</v>
      </c>
      <c r="CD74" s="42" t="s">
        <v>3593</v>
      </c>
      <c r="CE74" s="41">
        <v>3.96</v>
      </c>
      <c r="CF74" s="42" t="s">
        <v>3593</v>
      </c>
      <c r="CG74" s="42" t="s">
        <v>3698</v>
      </c>
      <c r="CH74" s="42" t="s">
        <v>3698</v>
      </c>
      <c r="CI74" s="43"/>
      <c r="CJ74" s="42" t="s">
        <v>3573</v>
      </c>
      <c r="CK74" s="43"/>
      <c r="CL74" s="42" t="s">
        <v>3591</v>
      </c>
      <c r="CM74" s="63">
        <v>44907.0</v>
      </c>
      <c r="CN74" s="45"/>
      <c r="CO74" s="43"/>
      <c r="CP74" s="45"/>
      <c r="CQ74" s="43"/>
      <c r="CR74" s="42" t="s">
        <v>3589</v>
      </c>
      <c r="CS74" s="43"/>
      <c r="CT74" s="43"/>
      <c r="CU74" s="42" t="s">
        <v>3590</v>
      </c>
      <c r="CV74" s="45"/>
      <c r="CW74" s="45"/>
      <c r="CX74" s="43"/>
      <c r="CY74" s="42" t="s">
        <v>3591</v>
      </c>
      <c r="CZ74" s="47">
        <v>0.0</v>
      </c>
      <c r="DA74" s="41">
        <v>19.0</v>
      </c>
      <c r="DB74" s="47">
        <v>0.0</v>
      </c>
      <c r="DC74" s="47">
        <v>0.0</v>
      </c>
      <c r="DD74" s="47">
        <v>0.0</v>
      </c>
      <c r="DE74" s="41">
        <v>17.0</v>
      </c>
      <c r="DF74" s="45"/>
      <c r="DG74" s="45"/>
      <c r="DH74" s="47">
        <v>0.0</v>
      </c>
      <c r="DI74" s="41">
        <v>17.0</v>
      </c>
      <c r="DJ74" s="41" t="s">
        <v>9879</v>
      </c>
      <c r="DK74" s="41">
        <v>73.0</v>
      </c>
      <c r="DL74" s="41" t="s">
        <v>3598</v>
      </c>
      <c r="DM74" s="47">
        <v>0.0</v>
      </c>
      <c r="DN74" s="41" t="s">
        <v>9879</v>
      </c>
      <c r="DO74" s="41">
        <v>72.0</v>
      </c>
      <c r="DP74" s="45"/>
      <c r="DQ74" s="45"/>
      <c r="DR74" s="41" t="s">
        <v>9879</v>
      </c>
      <c r="DS74" s="41">
        <v>72.0</v>
      </c>
      <c r="DT74" s="45"/>
      <c r="DU74" s="45"/>
      <c r="DV74" s="45"/>
      <c r="DW74" s="41">
        <v>64.0</v>
      </c>
      <c r="DX74" s="41">
        <v>0.0</v>
      </c>
      <c r="DY74" s="47">
        <v>0.0</v>
      </c>
      <c r="DZ74" s="41">
        <v>26.0</v>
      </c>
      <c r="EA74" s="41">
        <v>6.0</v>
      </c>
      <c r="EB74" s="41">
        <v>2.0</v>
      </c>
      <c r="EC74" s="41">
        <v>9.0</v>
      </c>
      <c r="ED74" s="45"/>
      <c r="EE74" s="41">
        <v>15.0</v>
      </c>
      <c r="EF74" s="42" t="s">
        <v>9880</v>
      </c>
      <c r="EG74" s="41">
        <v>3.96</v>
      </c>
      <c r="EH74" s="63">
        <v>43516.0</v>
      </c>
      <c r="EI74" s="42" t="s">
        <v>3698</v>
      </c>
      <c r="EJ74" s="45"/>
      <c r="EK74" s="45"/>
      <c r="EL74" s="45"/>
      <c r="EM74" s="43"/>
      <c r="EN74" s="45"/>
      <c r="EO74" s="45"/>
      <c r="EP74" s="45"/>
      <c r="EQ74" s="45"/>
      <c r="ER74" s="42" t="s">
        <v>6037</v>
      </c>
      <c r="ES74" s="43"/>
      <c r="ET74" s="42" t="s">
        <v>47</v>
      </c>
      <c r="EU74" s="41">
        <v>5.0</v>
      </c>
      <c r="EV74" s="48" t="s">
        <v>3559</v>
      </c>
    </row>
    <row r="75">
      <c r="B75" s="35" t="s">
        <v>1934</v>
      </c>
      <c r="C75" s="32">
        <v>52.0</v>
      </c>
      <c r="D75" s="35" t="s">
        <v>9881</v>
      </c>
      <c r="E75" s="35" t="s">
        <v>3563</v>
      </c>
      <c r="F75" s="35" t="s">
        <v>3564</v>
      </c>
      <c r="G75" s="35" t="s">
        <v>3565</v>
      </c>
      <c r="H75" s="35" t="s">
        <v>8495</v>
      </c>
      <c r="I75" s="62">
        <v>45874.0</v>
      </c>
      <c r="J75" s="35" t="s">
        <v>3734</v>
      </c>
      <c r="K75" s="35" t="s">
        <v>3735</v>
      </c>
      <c r="L75" s="35" t="s">
        <v>3736</v>
      </c>
      <c r="M75" s="34"/>
      <c r="N75" s="34"/>
      <c r="O75" s="35" t="s">
        <v>3731</v>
      </c>
      <c r="P75" s="35" t="s">
        <v>3737</v>
      </c>
      <c r="Q75" s="32">
        <v>79.0</v>
      </c>
      <c r="R75" s="35" t="s">
        <v>3602</v>
      </c>
      <c r="S75" s="39">
        <v>0.87</v>
      </c>
      <c r="T75" s="39">
        <v>0.13</v>
      </c>
      <c r="U75" s="35" t="s">
        <v>3603</v>
      </c>
      <c r="V75" s="39">
        <v>0.01</v>
      </c>
      <c r="W75" s="39">
        <v>0.86</v>
      </c>
      <c r="X75" s="35" t="s">
        <v>9882</v>
      </c>
      <c r="Y75" s="35" t="s">
        <v>3737</v>
      </c>
      <c r="Z75" s="35" t="s">
        <v>3733</v>
      </c>
      <c r="AA75" s="35" t="s">
        <v>3569</v>
      </c>
      <c r="AB75" s="32">
        <v>27.8</v>
      </c>
      <c r="AC75" s="35" t="s">
        <v>3571</v>
      </c>
      <c r="AD75" s="35" t="s">
        <v>3572</v>
      </c>
      <c r="AE75" s="35" t="s">
        <v>3738</v>
      </c>
      <c r="AF75" s="36" t="s">
        <v>3739</v>
      </c>
      <c r="AG75" s="36" t="s">
        <v>3740</v>
      </c>
      <c r="AH75" s="32">
        <v>52.0</v>
      </c>
      <c r="AI75" s="35" t="s">
        <v>9881</v>
      </c>
      <c r="AJ75" s="34"/>
      <c r="AK75" s="34"/>
      <c r="AL75" s="32">
        <v>2016.0</v>
      </c>
      <c r="AM75" s="34"/>
      <c r="AN75" s="35" t="s">
        <v>3743</v>
      </c>
      <c r="AO75" s="35" t="s">
        <v>3579</v>
      </c>
      <c r="AP75" s="35" t="s">
        <v>1937</v>
      </c>
      <c r="AQ75" s="34"/>
      <c r="AR75" s="34"/>
      <c r="AS75" s="37"/>
      <c r="AT75" s="37"/>
      <c r="AU75" s="37"/>
      <c r="AV75" s="37"/>
      <c r="AW75" s="37"/>
      <c r="AX75" s="37"/>
      <c r="AY75" s="37"/>
      <c r="AZ75" s="37"/>
      <c r="BA75" s="37"/>
      <c r="BB75" s="37"/>
      <c r="BC75" s="35" t="s">
        <v>3742</v>
      </c>
      <c r="BD75" s="61"/>
      <c r="BE75" s="35" t="s">
        <v>3744</v>
      </c>
      <c r="BF75" s="35" t="s">
        <v>3745</v>
      </c>
      <c r="BG75" s="34"/>
      <c r="BH75" s="35" t="s">
        <v>183</v>
      </c>
      <c r="BI75" s="34"/>
      <c r="BJ75" s="32">
        <v>7670202.0</v>
      </c>
      <c r="BK75" s="35" t="s">
        <v>41</v>
      </c>
      <c r="BL75" s="37"/>
      <c r="BM75" s="37"/>
      <c r="BN75" s="34"/>
      <c r="BO75" s="35" t="s">
        <v>3584</v>
      </c>
      <c r="BP75" s="35" t="s">
        <v>3584</v>
      </c>
      <c r="BQ75" s="35" t="s">
        <v>3746</v>
      </c>
      <c r="BR75" s="35" t="s">
        <v>3747</v>
      </c>
      <c r="BS75" s="32">
        <v>10.0</v>
      </c>
      <c r="BT75" s="34"/>
      <c r="BU75" s="34"/>
      <c r="BV75" s="34"/>
      <c r="BW75" s="35" t="s">
        <v>3748</v>
      </c>
      <c r="BX75" s="34"/>
      <c r="BY75" s="34"/>
      <c r="BZ75" s="34"/>
      <c r="CA75" s="35" t="s">
        <v>3749</v>
      </c>
      <c r="CB75" s="37"/>
      <c r="CC75" s="37"/>
      <c r="CD75" s="34"/>
      <c r="CE75" s="37"/>
      <c r="CF75" s="34"/>
      <c r="CG75" s="35" t="s">
        <v>3589</v>
      </c>
      <c r="CH75" s="34"/>
      <c r="CI75" s="34"/>
      <c r="CJ75" s="35" t="s">
        <v>3590</v>
      </c>
      <c r="CK75" s="34"/>
      <c r="CL75" s="35" t="s">
        <v>3591</v>
      </c>
      <c r="CM75" s="60">
        <v>45093.0</v>
      </c>
      <c r="CN75" s="32">
        <v>4.3</v>
      </c>
      <c r="CO75" s="35" t="s">
        <v>3593</v>
      </c>
      <c r="CP75" s="37"/>
      <c r="CQ75" s="34"/>
      <c r="CR75" s="35" t="s">
        <v>3594</v>
      </c>
      <c r="CS75" s="34"/>
      <c r="CT75" s="34"/>
      <c r="CU75" s="35" t="s">
        <v>3573</v>
      </c>
      <c r="CV75" s="62">
        <v>44837.0</v>
      </c>
      <c r="CW75" s="37"/>
      <c r="CX75" s="34"/>
      <c r="CY75" s="35" t="s">
        <v>3591</v>
      </c>
      <c r="CZ75" s="37"/>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2">
        <v>53.0</v>
      </c>
      <c r="EA75" s="32">
        <v>14.0</v>
      </c>
      <c r="EB75" s="32">
        <v>29.0</v>
      </c>
      <c r="EC75" s="32">
        <v>9.0</v>
      </c>
      <c r="ED75" s="37"/>
      <c r="EE75" s="32">
        <v>15.0</v>
      </c>
      <c r="EF75" s="35" t="s">
        <v>9883</v>
      </c>
      <c r="EG75" s="32">
        <v>35.73</v>
      </c>
      <c r="EH75" s="60">
        <v>43390.0</v>
      </c>
      <c r="EI75" s="35" t="s">
        <v>3669</v>
      </c>
      <c r="EJ75" s="37"/>
      <c r="EK75" s="37"/>
      <c r="EL75" s="37"/>
      <c r="EM75" s="35" t="s">
        <v>3755</v>
      </c>
      <c r="EN75" s="37"/>
      <c r="EO75" s="37"/>
      <c r="EP75" s="37"/>
      <c r="EQ75" s="32">
        <v>0.83</v>
      </c>
      <c r="ER75" s="35" t="s">
        <v>8495</v>
      </c>
      <c r="ES75" s="34"/>
      <c r="ET75" s="35" t="s">
        <v>47</v>
      </c>
      <c r="EU75" s="32">
        <v>10.0</v>
      </c>
      <c r="EV75" s="40" t="s">
        <v>3559</v>
      </c>
    </row>
    <row r="76">
      <c r="B76" s="35" t="s">
        <v>6148</v>
      </c>
      <c r="C76" s="37"/>
      <c r="D76" s="34"/>
      <c r="E76" s="35" t="s">
        <v>3867</v>
      </c>
      <c r="F76" s="35" t="s">
        <v>3897</v>
      </c>
      <c r="G76" s="35" t="s">
        <v>3898</v>
      </c>
      <c r="H76" s="35" t="s">
        <v>9734</v>
      </c>
      <c r="I76" s="60">
        <v>45915.0</v>
      </c>
      <c r="J76" s="35" t="s">
        <v>6151</v>
      </c>
      <c r="K76" s="35" t="s">
        <v>6152</v>
      </c>
      <c r="L76" s="35" t="s">
        <v>6153</v>
      </c>
      <c r="M76" s="34"/>
      <c r="N76" s="34"/>
      <c r="O76" s="35" t="s">
        <v>6149</v>
      </c>
      <c r="P76" s="35" t="s">
        <v>6154</v>
      </c>
      <c r="Q76" s="37"/>
      <c r="R76" s="34"/>
      <c r="S76" s="37"/>
      <c r="T76" s="37"/>
      <c r="U76" s="34"/>
      <c r="V76" s="37"/>
      <c r="W76" s="37"/>
      <c r="X76" s="34"/>
      <c r="Y76" s="35" t="s">
        <v>6154</v>
      </c>
      <c r="Z76" s="35" t="s">
        <v>6150</v>
      </c>
      <c r="AA76" s="35" t="s">
        <v>3569</v>
      </c>
      <c r="AB76" s="32">
        <v>2.0</v>
      </c>
      <c r="AC76" s="35" t="s">
        <v>3571</v>
      </c>
      <c r="AD76" s="35" t="s">
        <v>3572</v>
      </c>
      <c r="AE76" s="35" t="s">
        <v>3573</v>
      </c>
      <c r="AF76" s="36" t="s">
        <v>6155</v>
      </c>
      <c r="AG76" s="36" t="s">
        <v>6156</v>
      </c>
      <c r="AH76" s="37"/>
      <c r="AI76" s="34"/>
      <c r="AJ76" s="34"/>
      <c r="AK76" s="34"/>
      <c r="AL76" s="32">
        <v>2021.0</v>
      </c>
      <c r="AM76" s="34"/>
      <c r="AN76" s="35" t="s">
        <v>6158</v>
      </c>
      <c r="AO76" s="35" t="s">
        <v>3579</v>
      </c>
      <c r="AP76" s="35" t="s">
        <v>6159</v>
      </c>
      <c r="AQ76" s="34"/>
      <c r="AR76" s="34"/>
      <c r="AS76" s="37"/>
      <c r="AT76" s="37"/>
      <c r="AU76" s="37"/>
      <c r="AV76" s="37"/>
      <c r="AW76" s="37"/>
      <c r="AX76" s="37"/>
      <c r="AY76" s="37"/>
      <c r="AZ76" s="37"/>
      <c r="BA76" s="37"/>
      <c r="BB76" s="37"/>
      <c r="BC76" s="35" t="s">
        <v>6157</v>
      </c>
      <c r="BD76" s="61"/>
      <c r="BE76" s="35" t="s">
        <v>3581</v>
      </c>
      <c r="BF76" s="35" t="s">
        <v>6160</v>
      </c>
      <c r="BG76" s="35" t="s">
        <v>6161</v>
      </c>
      <c r="BH76" s="35" t="s">
        <v>75</v>
      </c>
      <c r="BI76" s="34"/>
      <c r="BJ76" s="37"/>
      <c r="BK76" s="35" t="s">
        <v>41</v>
      </c>
      <c r="BL76" s="37"/>
      <c r="BM76" s="37"/>
      <c r="BN76" s="35" t="s">
        <v>6162</v>
      </c>
      <c r="BO76" s="35" t="s">
        <v>3584</v>
      </c>
      <c r="BP76" s="35" t="s">
        <v>3584</v>
      </c>
      <c r="BQ76" s="35" t="s">
        <v>6163</v>
      </c>
      <c r="BR76" s="35" t="s">
        <v>9884</v>
      </c>
      <c r="BS76" s="32">
        <v>2.0</v>
      </c>
      <c r="BT76" s="34"/>
      <c r="BU76" s="34"/>
      <c r="BV76" s="34"/>
      <c r="BW76" s="35" t="s">
        <v>9885</v>
      </c>
      <c r="BX76" s="34"/>
      <c r="BY76" s="34"/>
      <c r="BZ76" s="34"/>
      <c r="CA76" s="34"/>
      <c r="CB76" s="60">
        <v>44798.0</v>
      </c>
      <c r="CC76" s="32">
        <v>2.0</v>
      </c>
      <c r="CD76" s="35" t="s">
        <v>3593</v>
      </c>
      <c r="CE76" s="37"/>
      <c r="CF76" s="34"/>
      <c r="CG76" s="35" t="s">
        <v>3698</v>
      </c>
      <c r="CH76" s="35" t="s">
        <v>3698</v>
      </c>
      <c r="CI76" s="34"/>
      <c r="CJ76" s="35" t="s">
        <v>3573</v>
      </c>
      <c r="CK76" s="34"/>
      <c r="CL76" s="35" t="s">
        <v>3591</v>
      </c>
      <c r="CM76" s="60">
        <v>44798.0</v>
      </c>
      <c r="CN76" s="32">
        <v>2.0</v>
      </c>
      <c r="CO76" s="35" t="s">
        <v>3593</v>
      </c>
      <c r="CP76" s="37"/>
      <c r="CQ76" s="34"/>
      <c r="CR76" s="35" t="s">
        <v>3698</v>
      </c>
      <c r="CS76" s="35" t="s">
        <v>3698</v>
      </c>
      <c r="CT76" s="34"/>
      <c r="CU76" s="35" t="s">
        <v>3573</v>
      </c>
      <c r="CV76" s="37"/>
      <c r="CW76" s="37"/>
      <c r="CX76" s="34"/>
      <c r="CY76" s="35" t="s">
        <v>3591</v>
      </c>
      <c r="CZ76" s="39">
        <v>0.0</v>
      </c>
      <c r="DA76" s="32">
        <v>19.0</v>
      </c>
      <c r="DB76" s="39">
        <v>0.0</v>
      </c>
      <c r="DC76" s="39">
        <v>0.0</v>
      </c>
      <c r="DD76" s="39">
        <v>0.0</v>
      </c>
      <c r="DE76" s="32">
        <v>17.0</v>
      </c>
      <c r="DF76" s="37"/>
      <c r="DG76" s="37"/>
      <c r="DH76" s="39">
        <v>0.0</v>
      </c>
      <c r="DI76" s="32">
        <v>17.0</v>
      </c>
      <c r="DJ76" s="32" t="s">
        <v>5718</v>
      </c>
      <c r="DK76" s="32">
        <v>40.0</v>
      </c>
      <c r="DL76" s="32" t="s">
        <v>3598</v>
      </c>
      <c r="DM76" s="39">
        <v>0.0</v>
      </c>
      <c r="DN76" s="32" t="s">
        <v>5718</v>
      </c>
      <c r="DO76" s="32">
        <v>42.0</v>
      </c>
      <c r="DP76" s="37"/>
      <c r="DQ76" s="37"/>
      <c r="DR76" s="32" t="s">
        <v>5718</v>
      </c>
      <c r="DS76" s="32">
        <v>40.0</v>
      </c>
      <c r="DT76" s="37"/>
      <c r="DU76" s="37"/>
      <c r="DV76" s="37"/>
      <c r="DW76" s="32">
        <v>12.0</v>
      </c>
      <c r="DX76" s="32">
        <v>0.0</v>
      </c>
      <c r="DY76" s="39">
        <v>0.0</v>
      </c>
      <c r="DZ76" s="32">
        <v>3.0</v>
      </c>
      <c r="EA76" s="32">
        <v>1.0</v>
      </c>
      <c r="EB76" s="37"/>
      <c r="EC76" s="32">
        <v>2.0</v>
      </c>
      <c r="ED76" s="37"/>
      <c r="EE76" s="32">
        <v>1.0</v>
      </c>
      <c r="EF76" s="35" t="s">
        <v>4506</v>
      </c>
      <c r="EG76" s="37"/>
      <c r="EH76" s="37"/>
      <c r="EI76" s="34"/>
      <c r="EJ76" s="37"/>
      <c r="EK76" s="37"/>
      <c r="EL76" s="37"/>
      <c r="EM76" s="34"/>
      <c r="EN76" s="37"/>
      <c r="EO76" s="37"/>
      <c r="EP76" s="37"/>
      <c r="EQ76" s="37"/>
      <c r="ER76" s="35" t="s">
        <v>9734</v>
      </c>
      <c r="ES76" s="34"/>
      <c r="ET76" s="35" t="s">
        <v>47</v>
      </c>
      <c r="EU76" s="32">
        <v>4.0</v>
      </c>
      <c r="EV76" s="40" t="s">
        <v>3559</v>
      </c>
    </row>
    <row r="77">
      <c r="B77" s="35" t="s">
        <v>4271</v>
      </c>
      <c r="C77" s="32">
        <v>47.0</v>
      </c>
      <c r="D77" s="35" t="s">
        <v>9886</v>
      </c>
      <c r="E77" s="35" t="s">
        <v>3563</v>
      </c>
      <c r="F77" s="35" t="s">
        <v>3564</v>
      </c>
      <c r="G77" s="35" t="s">
        <v>3565</v>
      </c>
      <c r="H77" s="35" t="s">
        <v>9621</v>
      </c>
      <c r="I77" s="69">
        <v>45909.0</v>
      </c>
      <c r="J77" s="35" t="s">
        <v>4275</v>
      </c>
      <c r="K77" s="35" t="s">
        <v>4276</v>
      </c>
      <c r="L77" s="35" t="s">
        <v>4277</v>
      </c>
      <c r="M77" s="34"/>
      <c r="N77" s="34"/>
      <c r="O77" s="35" t="s">
        <v>4272</v>
      </c>
      <c r="P77" s="35" t="s">
        <v>4278</v>
      </c>
      <c r="Q77" s="32">
        <v>41.0</v>
      </c>
      <c r="R77" s="35" t="s">
        <v>3602</v>
      </c>
      <c r="S77" s="39">
        <v>0.7</v>
      </c>
      <c r="T77" s="39">
        <v>0.3</v>
      </c>
      <c r="U77" s="35" t="s">
        <v>3603</v>
      </c>
      <c r="V77" s="39">
        <v>0.02</v>
      </c>
      <c r="W77" s="39">
        <v>0.68</v>
      </c>
      <c r="X77" s="35" t="s">
        <v>4273</v>
      </c>
      <c r="Y77" s="35" t="s">
        <v>4278</v>
      </c>
      <c r="Z77" s="35" t="s">
        <v>4274</v>
      </c>
      <c r="AA77" s="35" t="s">
        <v>3569</v>
      </c>
      <c r="AB77" s="32">
        <v>22.3</v>
      </c>
      <c r="AC77" s="35" t="s">
        <v>3571</v>
      </c>
      <c r="AD77" s="35" t="s">
        <v>3572</v>
      </c>
      <c r="AE77" s="35" t="s">
        <v>3573</v>
      </c>
      <c r="AF77" s="36" t="s">
        <v>4279</v>
      </c>
      <c r="AG77" s="36" t="s">
        <v>4280</v>
      </c>
      <c r="AH77" s="32">
        <v>47.0</v>
      </c>
      <c r="AI77" s="35" t="s">
        <v>9886</v>
      </c>
      <c r="AJ77" s="34"/>
      <c r="AK77" s="34"/>
      <c r="AL77" s="32">
        <v>2016.0</v>
      </c>
      <c r="AM77" s="34"/>
      <c r="AN77" s="35" t="s">
        <v>4283</v>
      </c>
      <c r="AO77" s="35" t="s">
        <v>4284</v>
      </c>
      <c r="AP77" s="35" t="s">
        <v>4285</v>
      </c>
      <c r="AQ77" s="34"/>
      <c r="AR77" s="34"/>
      <c r="AS77" s="37"/>
      <c r="AT77" s="37"/>
      <c r="AU77" s="37"/>
      <c r="AV77" s="37"/>
      <c r="AW77" s="37"/>
      <c r="AX77" s="37"/>
      <c r="AY77" s="37"/>
      <c r="AZ77" s="37"/>
      <c r="BA77" s="37"/>
      <c r="BB77" s="37"/>
      <c r="BC77" s="35" t="s">
        <v>4282</v>
      </c>
      <c r="BD77" s="61"/>
      <c r="BE77" s="35" t="s">
        <v>3718</v>
      </c>
      <c r="BF77" s="35" t="s">
        <v>4286</v>
      </c>
      <c r="BG77" s="34"/>
      <c r="BH77" s="35" t="s">
        <v>552</v>
      </c>
      <c r="BI77" s="34"/>
      <c r="BJ77" s="32">
        <v>4676670.0</v>
      </c>
      <c r="BK77" s="35" t="s">
        <v>41</v>
      </c>
      <c r="BL77" s="37"/>
      <c r="BM77" s="37"/>
      <c r="BN77" s="35" t="s">
        <v>4287</v>
      </c>
      <c r="BO77" s="35" t="s">
        <v>3584</v>
      </c>
      <c r="BP77" s="35" t="s">
        <v>3584</v>
      </c>
      <c r="BQ77" s="35" t="s">
        <v>4288</v>
      </c>
      <c r="BR77" s="35" t="s">
        <v>4289</v>
      </c>
      <c r="BS77" s="32">
        <v>19.0</v>
      </c>
      <c r="BT77" s="34"/>
      <c r="BU77" s="35" t="s">
        <v>4290</v>
      </c>
      <c r="BV77" s="34"/>
      <c r="BW77" s="35" t="s">
        <v>4291</v>
      </c>
      <c r="BX77" s="35" t="s">
        <v>4292</v>
      </c>
      <c r="BY77" s="34"/>
      <c r="BZ77" s="34"/>
      <c r="CA77" s="34"/>
      <c r="CB77" s="62">
        <v>42917.0</v>
      </c>
      <c r="CC77" s="32">
        <v>4.5</v>
      </c>
      <c r="CD77" s="35" t="s">
        <v>3593</v>
      </c>
      <c r="CE77" s="37"/>
      <c r="CF77" s="34"/>
      <c r="CG77" s="35" t="s">
        <v>3802</v>
      </c>
      <c r="CH77" s="35" t="s">
        <v>3802</v>
      </c>
      <c r="CI77" s="34"/>
      <c r="CJ77" s="35" t="s">
        <v>3803</v>
      </c>
      <c r="CK77" s="34"/>
      <c r="CL77" s="35" t="s">
        <v>3591</v>
      </c>
      <c r="CM77" s="62">
        <v>45292.0</v>
      </c>
      <c r="CN77" s="37"/>
      <c r="CO77" s="34"/>
      <c r="CP77" s="37"/>
      <c r="CQ77" s="34"/>
      <c r="CR77" s="35" t="s">
        <v>3594</v>
      </c>
      <c r="CS77" s="35" t="s">
        <v>3595</v>
      </c>
      <c r="CT77" s="34"/>
      <c r="CU77" s="35" t="s">
        <v>3573</v>
      </c>
      <c r="CV77" s="62">
        <v>44593.0</v>
      </c>
      <c r="CW77" s="37"/>
      <c r="CX77" s="34"/>
      <c r="CY77" s="35" t="s">
        <v>3591</v>
      </c>
      <c r="CZ77" s="39">
        <v>0.0153</v>
      </c>
      <c r="DA77" s="32">
        <v>96.0</v>
      </c>
      <c r="DB77" s="39">
        <v>0.0</v>
      </c>
      <c r="DC77" s="39">
        <v>0.0</v>
      </c>
      <c r="DD77" s="39">
        <v>-0.0097</v>
      </c>
      <c r="DE77" s="32">
        <v>8.0</v>
      </c>
      <c r="DF77" s="37"/>
      <c r="DG77" s="37"/>
      <c r="DH77" s="39">
        <v>-0.0097</v>
      </c>
      <c r="DI77" s="32">
        <v>9.0</v>
      </c>
      <c r="DJ77" s="32" t="s">
        <v>9887</v>
      </c>
      <c r="DK77" s="32">
        <v>90.0</v>
      </c>
      <c r="DL77" s="32" t="s">
        <v>3598</v>
      </c>
      <c r="DM77" s="39">
        <v>0.0</v>
      </c>
      <c r="DN77" s="32" t="s">
        <v>9888</v>
      </c>
      <c r="DO77" s="32">
        <v>93.0</v>
      </c>
      <c r="DP77" s="37"/>
      <c r="DQ77" s="37"/>
      <c r="DR77" s="32" t="s">
        <v>9888</v>
      </c>
      <c r="DS77" s="32">
        <v>92.0</v>
      </c>
      <c r="DT77" s="37"/>
      <c r="DU77" s="37"/>
      <c r="DV77" s="37"/>
      <c r="DW77" s="32">
        <v>330.0</v>
      </c>
      <c r="DX77" s="32">
        <v>-4.0</v>
      </c>
      <c r="DY77" s="39">
        <v>-0.012</v>
      </c>
      <c r="DZ77" s="32">
        <v>12.0</v>
      </c>
      <c r="EA77" s="32">
        <v>3.0</v>
      </c>
      <c r="EB77" s="32">
        <v>6.0</v>
      </c>
      <c r="EC77" s="32">
        <v>1.0</v>
      </c>
      <c r="ED77" s="37"/>
      <c r="EE77" s="32">
        <v>5.0</v>
      </c>
      <c r="EF77" s="35" t="s">
        <v>4297</v>
      </c>
      <c r="EG77" s="37"/>
      <c r="EH77" s="37"/>
      <c r="EI77" s="34"/>
      <c r="EJ77" s="37"/>
      <c r="EK77" s="37"/>
      <c r="EL77" s="37"/>
      <c r="EM77" s="35" t="s">
        <v>4298</v>
      </c>
      <c r="EN77" s="37"/>
      <c r="EO77" s="37"/>
      <c r="EP77" s="37"/>
      <c r="EQ77" s="37"/>
      <c r="ER77" s="35" t="s">
        <v>9621</v>
      </c>
      <c r="ES77" s="34"/>
      <c r="ET77" s="35" t="s">
        <v>47</v>
      </c>
      <c r="EU77" s="32">
        <v>1.0</v>
      </c>
      <c r="EV77" s="40" t="s">
        <v>3559</v>
      </c>
    </row>
    <row r="78">
      <c r="B78" s="35" t="s">
        <v>6410</v>
      </c>
      <c r="C78" s="32">
        <v>6.0</v>
      </c>
      <c r="D78" s="35" t="s">
        <v>6419</v>
      </c>
      <c r="E78" s="35" t="s">
        <v>30</v>
      </c>
      <c r="F78" s="35" t="s">
        <v>6331</v>
      </c>
      <c r="G78" s="35" t="s">
        <v>6331</v>
      </c>
      <c r="H78" s="35" t="s">
        <v>3612</v>
      </c>
      <c r="I78" s="60">
        <v>45989.0</v>
      </c>
      <c r="J78" s="35" t="s">
        <v>6413</v>
      </c>
      <c r="K78" s="35" t="s">
        <v>6414</v>
      </c>
      <c r="L78" s="35" t="s">
        <v>6415</v>
      </c>
      <c r="M78" s="34"/>
      <c r="N78" s="34"/>
      <c r="O78" s="35" t="s">
        <v>6411</v>
      </c>
      <c r="P78" s="35" t="s">
        <v>6416</v>
      </c>
      <c r="Q78" s="37"/>
      <c r="R78" s="34"/>
      <c r="S78" s="37"/>
      <c r="T78" s="37"/>
      <c r="U78" s="34"/>
      <c r="V78" s="37"/>
      <c r="W78" s="37"/>
      <c r="X78" s="34"/>
      <c r="Y78" s="35" t="s">
        <v>6416</v>
      </c>
      <c r="Z78" s="35" t="s">
        <v>6412</v>
      </c>
      <c r="AA78" s="35" t="s">
        <v>3569</v>
      </c>
      <c r="AB78" s="37"/>
      <c r="AC78" s="35" t="s">
        <v>3571</v>
      </c>
      <c r="AD78" s="35" t="s">
        <v>3572</v>
      </c>
      <c r="AE78" s="35" t="s">
        <v>3573</v>
      </c>
      <c r="AF78" s="36" t="s">
        <v>6417</v>
      </c>
      <c r="AG78" s="36" t="s">
        <v>6418</v>
      </c>
      <c r="AH78" s="32">
        <v>6.0</v>
      </c>
      <c r="AI78" s="35" t="s">
        <v>6419</v>
      </c>
      <c r="AJ78" s="34"/>
      <c r="AK78" s="34"/>
      <c r="AL78" s="32">
        <v>2020.0</v>
      </c>
      <c r="AM78" s="34"/>
      <c r="AN78" s="35" t="s">
        <v>6421</v>
      </c>
      <c r="AO78" s="35" t="s">
        <v>3579</v>
      </c>
      <c r="AP78" s="34"/>
      <c r="AQ78" s="34"/>
      <c r="AR78" s="34"/>
      <c r="AS78" s="37"/>
      <c r="AT78" s="37"/>
      <c r="AU78" s="37"/>
      <c r="AV78" s="37"/>
      <c r="AW78" s="37"/>
      <c r="AX78" s="37"/>
      <c r="AY78" s="37"/>
      <c r="AZ78" s="37"/>
      <c r="BA78" s="37"/>
      <c r="BB78" s="37"/>
      <c r="BC78" s="35" t="s">
        <v>6420</v>
      </c>
      <c r="BD78" s="61"/>
      <c r="BE78" s="35" t="s">
        <v>3718</v>
      </c>
      <c r="BF78" s="34"/>
      <c r="BG78" s="34"/>
      <c r="BH78" s="35" t="s">
        <v>552</v>
      </c>
      <c r="BI78" s="34"/>
      <c r="BJ78" s="37"/>
      <c r="BK78" s="35" t="s">
        <v>41</v>
      </c>
      <c r="BL78" s="37"/>
      <c r="BM78" s="37"/>
      <c r="BN78" s="35" t="s">
        <v>6422</v>
      </c>
      <c r="BO78" s="35" t="s">
        <v>3584</v>
      </c>
      <c r="BP78" s="35" t="s">
        <v>3584</v>
      </c>
      <c r="BQ78" s="35" t="s">
        <v>6423</v>
      </c>
      <c r="BR78" s="35" t="s">
        <v>6424</v>
      </c>
      <c r="BS78" s="32">
        <v>3.0</v>
      </c>
      <c r="BT78" s="34"/>
      <c r="BU78" s="34"/>
      <c r="BV78" s="34"/>
      <c r="BW78" s="35" t="s">
        <v>6425</v>
      </c>
      <c r="BX78" s="34"/>
      <c r="BY78" s="34"/>
      <c r="BZ78" s="34"/>
      <c r="CA78" s="34"/>
      <c r="CB78" s="62">
        <v>45383.0</v>
      </c>
      <c r="CC78" s="37"/>
      <c r="CD78" s="34"/>
      <c r="CE78" s="37"/>
      <c r="CF78" s="34"/>
      <c r="CG78" s="35" t="s">
        <v>3698</v>
      </c>
      <c r="CH78" s="35" t="s">
        <v>3698</v>
      </c>
      <c r="CI78" s="34"/>
      <c r="CJ78" s="35" t="s">
        <v>3573</v>
      </c>
      <c r="CK78" s="34"/>
      <c r="CL78" s="35" t="s">
        <v>3591</v>
      </c>
      <c r="CM78" s="37"/>
      <c r="CN78" s="37"/>
      <c r="CO78" s="34"/>
      <c r="CP78" s="37"/>
      <c r="CQ78" s="34"/>
      <c r="CR78" s="35" t="s">
        <v>3589</v>
      </c>
      <c r="CS78" s="34"/>
      <c r="CT78" s="34"/>
      <c r="CU78" s="35" t="s">
        <v>3590</v>
      </c>
      <c r="CV78" s="37"/>
      <c r="CW78" s="37"/>
      <c r="CX78" s="34"/>
      <c r="CY78" s="35" t="s">
        <v>3591</v>
      </c>
      <c r="CZ78" s="39">
        <v>0.0</v>
      </c>
      <c r="DA78" s="32">
        <v>19.0</v>
      </c>
      <c r="DB78" s="39">
        <v>0.0</v>
      </c>
      <c r="DC78" s="39">
        <v>0.0</v>
      </c>
      <c r="DD78" s="39">
        <v>0.0</v>
      </c>
      <c r="DE78" s="32">
        <v>17.0</v>
      </c>
      <c r="DF78" s="37"/>
      <c r="DG78" s="37"/>
      <c r="DH78" s="39">
        <v>0.0</v>
      </c>
      <c r="DI78" s="32">
        <v>17.0</v>
      </c>
      <c r="DJ78" s="32" t="s">
        <v>9016</v>
      </c>
      <c r="DK78" s="32">
        <v>31.0</v>
      </c>
      <c r="DL78" s="32" t="s">
        <v>3598</v>
      </c>
      <c r="DM78" s="39">
        <v>0.0</v>
      </c>
      <c r="DN78" s="32" t="s">
        <v>9016</v>
      </c>
      <c r="DO78" s="32">
        <v>33.0</v>
      </c>
      <c r="DP78" s="37"/>
      <c r="DQ78" s="37"/>
      <c r="DR78" s="32" t="s">
        <v>9016</v>
      </c>
      <c r="DS78" s="32">
        <v>31.0</v>
      </c>
      <c r="DT78" s="37"/>
      <c r="DU78" s="37"/>
      <c r="DV78" s="37"/>
      <c r="DW78" s="32">
        <v>9.0</v>
      </c>
      <c r="DX78" s="32">
        <v>0.0</v>
      </c>
      <c r="DY78" s="39">
        <v>0.0</v>
      </c>
      <c r="DZ78" s="37"/>
      <c r="EA78" s="37"/>
      <c r="EB78" s="37"/>
      <c r="EC78" s="37"/>
      <c r="ED78" s="37"/>
      <c r="EE78" s="37"/>
      <c r="EF78" s="34"/>
      <c r="EG78" s="37"/>
      <c r="EH78" s="37"/>
      <c r="EI78" s="34"/>
      <c r="EJ78" s="37"/>
      <c r="EK78" s="37"/>
      <c r="EL78" s="37"/>
      <c r="EM78" s="34"/>
      <c r="EN78" s="37"/>
      <c r="EO78" s="37"/>
      <c r="EP78" s="37"/>
      <c r="EQ78" s="37"/>
      <c r="ER78" s="35" t="s">
        <v>3612</v>
      </c>
      <c r="ES78" s="34"/>
      <c r="ET78" s="34"/>
      <c r="EU78" s="37"/>
      <c r="EV78" s="40" t="s">
        <v>3559</v>
      </c>
    </row>
    <row r="79">
      <c r="B79" s="42" t="s">
        <v>6450</v>
      </c>
      <c r="C79" s="41">
        <v>3.0</v>
      </c>
      <c r="D79" s="42" t="s">
        <v>9889</v>
      </c>
      <c r="E79" s="42" t="s">
        <v>4560</v>
      </c>
      <c r="F79" s="42" t="s">
        <v>6452</v>
      </c>
      <c r="G79" s="42" t="s">
        <v>6453</v>
      </c>
      <c r="H79" s="42" t="s">
        <v>9890</v>
      </c>
      <c r="I79" s="65">
        <v>45993.0</v>
      </c>
      <c r="J79" s="42" t="s">
        <v>6454</v>
      </c>
      <c r="K79" s="42" t="s">
        <v>6455</v>
      </c>
      <c r="L79" s="42" t="s">
        <v>6456</v>
      </c>
      <c r="M79" s="43"/>
      <c r="N79" s="43"/>
      <c r="O79" s="43"/>
      <c r="P79" s="42" t="s">
        <v>6457</v>
      </c>
      <c r="Q79" s="41">
        <v>11.0</v>
      </c>
      <c r="R79" s="42" t="s">
        <v>4379</v>
      </c>
      <c r="S79" s="47">
        <v>0.09</v>
      </c>
      <c r="T79" s="47">
        <v>0.91</v>
      </c>
      <c r="U79" s="42" t="s">
        <v>4379</v>
      </c>
      <c r="V79" s="47">
        <v>0.01</v>
      </c>
      <c r="W79" s="47">
        <v>0.08</v>
      </c>
      <c r="X79" s="43"/>
      <c r="Y79" s="42" t="s">
        <v>6457</v>
      </c>
      <c r="Z79" s="42" t="s">
        <v>6451</v>
      </c>
      <c r="AA79" s="42" t="s">
        <v>3569</v>
      </c>
      <c r="AB79" s="41">
        <v>1.03</v>
      </c>
      <c r="AC79" s="42" t="s">
        <v>3571</v>
      </c>
      <c r="AD79" s="42" t="s">
        <v>3572</v>
      </c>
      <c r="AE79" s="42" t="s">
        <v>3573</v>
      </c>
      <c r="AF79" s="44" t="s">
        <v>6458</v>
      </c>
      <c r="AG79" s="44" t="s">
        <v>9891</v>
      </c>
      <c r="AH79" s="41">
        <v>3.0</v>
      </c>
      <c r="AI79" s="42" t="s">
        <v>9889</v>
      </c>
      <c r="AJ79" s="43"/>
      <c r="AK79" s="43"/>
      <c r="AL79" s="41">
        <v>2017.0</v>
      </c>
      <c r="AM79" s="43"/>
      <c r="AN79" s="42" t="s">
        <v>9892</v>
      </c>
      <c r="AO79" s="42" t="s">
        <v>6137</v>
      </c>
      <c r="AP79" s="43"/>
      <c r="AQ79" s="43"/>
      <c r="AR79" s="42" t="s">
        <v>9893</v>
      </c>
      <c r="AS79" s="45"/>
      <c r="AT79" s="45"/>
      <c r="AU79" s="45"/>
      <c r="AV79" s="45"/>
      <c r="AW79" s="45"/>
      <c r="AX79" s="45"/>
      <c r="AY79" s="45"/>
      <c r="AZ79" s="45"/>
      <c r="BA79" s="45"/>
      <c r="BB79" s="45"/>
      <c r="BC79" s="42" t="s">
        <v>9894</v>
      </c>
      <c r="BD79" s="64"/>
      <c r="BE79" s="42" t="s">
        <v>3581</v>
      </c>
      <c r="BF79" s="42" t="s">
        <v>6460</v>
      </c>
      <c r="BG79" s="43"/>
      <c r="BH79" s="42" t="s">
        <v>75</v>
      </c>
      <c r="BI79" s="43"/>
      <c r="BJ79" s="41">
        <v>6777937.0</v>
      </c>
      <c r="BK79" s="42" t="s">
        <v>41</v>
      </c>
      <c r="BL79" s="45"/>
      <c r="BM79" s="45"/>
      <c r="BN79" s="42" t="s">
        <v>6461</v>
      </c>
      <c r="BO79" s="42" t="s">
        <v>3584</v>
      </c>
      <c r="BP79" s="42" t="s">
        <v>3584</v>
      </c>
      <c r="BQ79" s="42" t="s">
        <v>9895</v>
      </c>
      <c r="BR79" s="42" t="s">
        <v>9896</v>
      </c>
      <c r="BS79" s="41">
        <v>10.0</v>
      </c>
      <c r="BT79" s="43"/>
      <c r="BU79" s="42" t="s">
        <v>9897</v>
      </c>
      <c r="BV79" s="43"/>
      <c r="BW79" s="42" t="s">
        <v>9898</v>
      </c>
      <c r="BX79" s="42" t="s">
        <v>9899</v>
      </c>
      <c r="BY79" s="43"/>
      <c r="BZ79" s="42" t="s">
        <v>6465</v>
      </c>
      <c r="CA79" s="43"/>
      <c r="CB79" s="65">
        <v>42736.0</v>
      </c>
      <c r="CC79" s="41">
        <v>0.02</v>
      </c>
      <c r="CD79" s="42" t="s">
        <v>3593</v>
      </c>
      <c r="CE79" s="41">
        <v>0.23</v>
      </c>
      <c r="CF79" s="42" t="s">
        <v>3697</v>
      </c>
      <c r="CG79" s="42" t="s">
        <v>3589</v>
      </c>
      <c r="CH79" s="43"/>
      <c r="CI79" s="43"/>
      <c r="CJ79" s="42" t="s">
        <v>3590</v>
      </c>
      <c r="CK79" s="43"/>
      <c r="CL79" s="42" t="s">
        <v>3591</v>
      </c>
      <c r="CM79" s="45"/>
      <c r="CN79" s="45"/>
      <c r="CO79" s="43"/>
      <c r="CP79" s="45"/>
      <c r="CQ79" s="43"/>
      <c r="CR79" s="42" t="s">
        <v>3830</v>
      </c>
      <c r="CS79" s="43"/>
      <c r="CT79" s="43"/>
      <c r="CU79" s="42" t="s">
        <v>3573</v>
      </c>
      <c r="CV79" s="45"/>
      <c r="CW79" s="45"/>
      <c r="CX79" s="43"/>
      <c r="CY79" s="42" t="s">
        <v>3591</v>
      </c>
      <c r="CZ79" s="47">
        <v>0.0</v>
      </c>
      <c r="DA79" s="41">
        <v>19.0</v>
      </c>
      <c r="DB79" s="47">
        <v>0.0</v>
      </c>
      <c r="DC79" s="47">
        <v>0.0</v>
      </c>
      <c r="DD79" s="47">
        <v>0.0</v>
      </c>
      <c r="DE79" s="41">
        <v>17.0</v>
      </c>
      <c r="DF79" s="45"/>
      <c r="DG79" s="45"/>
      <c r="DH79" s="47">
        <v>0.0</v>
      </c>
      <c r="DI79" s="41">
        <v>17.0</v>
      </c>
      <c r="DJ79" s="41" t="s">
        <v>9900</v>
      </c>
      <c r="DK79" s="41">
        <v>49.0</v>
      </c>
      <c r="DL79" s="41" t="s">
        <v>3598</v>
      </c>
      <c r="DM79" s="47">
        <v>0.0</v>
      </c>
      <c r="DN79" s="41" t="s">
        <v>9901</v>
      </c>
      <c r="DO79" s="41">
        <v>62.0</v>
      </c>
      <c r="DP79" s="45"/>
      <c r="DQ79" s="45"/>
      <c r="DR79" s="41" t="s">
        <v>9901</v>
      </c>
      <c r="DS79" s="41">
        <v>61.0</v>
      </c>
      <c r="DT79" s="45"/>
      <c r="DU79" s="45"/>
      <c r="DV79" s="45"/>
      <c r="DW79" s="41">
        <v>27.0</v>
      </c>
      <c r="DX79" s="41">
        <v>0.0</v>
      </c>
      <c r="DY79" s="47">
        <v>0.0</v>
      </c>
      <c r="DZ79" s="45"/>
      <c r="EA79" s="45"/>
      <c r="EB79" s="45"/>
      <c r="EC79" s="45"/>
      <c r="ED79" s="45"/>
      <c r="EE79" s="45"/>
      <c r="EF79" s="43"/>
      <c r="EG79" s="41">
        <v>0.23</v>
      </c>
      <c r="EH79" s="65">
        <v>42736.0</v>
      </c>
      <c r="EI79" s="42" t="s">
        <v>3589</v>
      </c>
      <c r="EJ79" s="45"/>
      <c r="EK79" s="45"/>
      <c r="EL79" s="45"/>
      <c r="EM79" s="43"/>
      <c r="EN79" s="45"/>
      <c r="EO79" s="45"/>
      <c r="EP79" s="45"/>
      <c r="EQ79" s="45"/>
      <c r="ER79" s="42" t="s">
        <v>9890</v>
      </c>
      <c r="ES79" s="43"/>
      <c r="ET79" s="43"/>
      <c r="EU79" s="45"/>
      <c r="EV79" s="48" t="s">
        <v>3559</v>
      </c>
    </row>
    <row r="80">
      <c r="B80" s="42" t="s">
        <v>954</v>
      </c>
      <c r="C80" s="41">
        <v>141.0</v>
      </c>
      <c r="D80" s="42" t="s">
        <v>9902</v>
      </c>
      <c r="E80" s="42" t="s">
        <v>3563</v>
      </c>
      <c r="F80" s="42" t="s">
        <v>3564</v>
      </c>
      <c r="G80" s="42" t="s">
        <v>3565</v>
      </c>
      <c r="H80" s="42" t="s">
        <v>6037</v>
      </c>
      <c r="I80" s="65">
        <v>45994.0</v>
      </c>
      <c r="J80" s="42" t="s">
        <v>4537</v>
      </c>
      <c r="K80" s="42" t="s">
        <v>3567</v>
      </c>
      <c r="L80" s="42" t="s">
        <v>4538</v>
      </c>
      <c r="M80" s="43"/>
      <c r="N80" s="43"/>
      <c r="O80" s="42" t="s">
        <v>4534</v>
      </c>
      <c r="P80" s="42" t="s">
        <v>4539</v>
      </c>
      <c r="Q80" s="41">
        <v>88.0</v>
      </c>
      <c r="R80" s="42" t="s">
        <v>3602</v>
      </c>
      <c r="S80" s="47">
        <v>0.98</v>
      </c>
      <c r="T80" s="47">
        <v>0.02</v>
      </c>
      <c r="U80" s="42" t="s">
        <v>4532</v>
      </c>
      <c r="V80" s="47">
        <v>0.67</v>
      </c>
      <c r="W80" s="47">
        <v>0.31</v>
      </c>
      <c r="X80" s="42" t="s">
        <v>9903</v>
      </c>
      <c r="Y80" s="42" t="s">
        <v>4539</v>
      </c>
      <c r="Z80" s="42" t="s">
        <v>4536</v>
      </c>
      <c r="AA80" s="42" t="s">
        <v>3569</v>
      </c>
      <c r="AB80" s="41">
        <v>133.52</v>
      </c>
      <c r="AC80" s="42" t="s">
        <v>3571</v>
      </c>
      <c r="AD80" s="42" t="s">
        <v>3572</v>
      </c>
      <c r="AE80" s="42" t="s">
        <v>3573</v>
      </c>
      <c r="AF80" s="44" t="s">
        <v>4540</v>
      </c>
      <c r="AG80" s="44" t="s">
        <v>4541</v>
      </c>
      <c r="AH80" s="41">
        <v>141.0</v>
      </c>
      <c r="AI80" s="42" t="s">
        <v>9902</v>
      </c>
      <c r="AJ80" s="43"/>
      <c r="AK80" s="43"/>
      <c r="AL80" s="41">
        <v>2015.0</v>
      </c>
      <c r="AM80" s="43"/>
      <c r="AN80" s="42" t="s">
        <v>4544</v>
      </c>
      <c r="AO80" s="42" t="s">
        <v>4545</v>
      </c>
      <c r="AP80" s="42" t="s">
        <v>4546</v>
      </c>
      <c r="AQ80" s="43"/>
      <c r="AR80" s="43"/>
      <c r="AS80" s="45"/>
      <c r="AT80" s="45"/>
      <c r="AU80" s="45"/>
      <c r="AV80" s="45"/>
      <c r="AW80" s="45"/>
      <c r="AX80" s="45"/>
      <c r="AY80" s="45"/>
      <c r="AZ80" s="45"/>
      <c r="BA80" s="45"/>
      <c r="BB80" s="45"/>
      <c r="BC80" s="42" t="s">
        <v>4543</v>
      </c>
      <c r="BD80" s="64"/>
      <c r="BE80" s="42" t="s">
        <v>3851</v>
      </c>
      <c r="BF80" s="42" t="s">
        <v>4547</v>
      </c>
      <c r="BG80" s="43"/>
      <c r="BH80" s="42" t="s">
        <v>616</v>
      </c>
      <c r="BI80" s="43"/>
      <c r="BJ80" s="45"/>
      <c r="BK80" s="42" t="s">
        <v>41</v>
      </c>
      <c r="BL80" s="45"/>
      <c r="BM80" s="45"/>
      <c r="BN80" s="42" t="s">
        <v>960</v>
      </c>
      <c r="BO80" s="42" t="s">
        <v>3584</v>
      </c>
      <c r="BP80" s="42" t="s">
        <v>3584</v>
      </c>
      <c r="BQ80" s="42" t="s">
        <v>4548</v>
      </c>
      <c r="BR80" s="42" t="s">
        <v>4549</v>
      </c>
      <c r="BS80" s="41">
        <v>29.0</v>
      </c>
      <c r="BT80" s="43"/>
      <c r="BU80" s="43"/>
      <c r="BV80" s="43"/>
      <c r="BW80" s="42" t="s">
        <v>4550</v>
      </c>
      <c r="BX80" s="43"/>
      <c r="BY80" s="43"/>
      <c r="BZ80" s="43"/>
      <c r="CA80" s="42" t="s">
        <v>4551</v>
      </c>
      <c r="CB80" s="45"/>
      <c r="CC80" s="45"/>
      <c r="CD80" s="43"/>
      <c r="CE80" s="45"/>
      <c r="CF80" s="43"/>
      <c r="CG80" s="42" t="s">
        <v>3589</v>
      </c>
      <c r="CH80" s="43"/>
      <c r="CI80" s="43"/>
      <c r="CJ80" s="42" t="s">
        <v>3590</v>
      </c>
      <c r="CK80" s="43"/>
      <c r="CL80" s="42" t="s">
        <v>3591</v>
      </c>
      <c r="CM80" s="65">
        <v>45265.0</v>
      </c>
      <c r="CN80" s="41">
        <v>85.0</v>
      </c>
      <c r="CO80" s="42" t="s">
        <v>3593</v>
      </c>
      <c r="CP80" s="41">
        <v>196.43</v>
      </c>
      <c r="CQ80" s="42" t="s">
        <v>3593</v>
      </c>
      <c r="CR80" s="42" t="s">
        <v>3594</v>
      </c>
      <c r="CS80" s="42" t="s">
        <v>4072</v>
      </c>
      <c r="CT80" s="43"/>
      <c r="CU80" s="42" t="s">
        <v>3573</v>
      </c>
      <c r="CV80" s="45"/>
      <c r="CW80" s="45"/>
      <c r="CX80" s="43"/>
      <c r="CY80" s="42" t="s">
        <v>3591</v>
      </c>
      <c r="CZ80" s="47">
        <v>-0.008</v>
      </c>
      <c r="DA80" s="41">
        <v>9.0</v>
      </c>
      <c r="DB80" s="47">
        <v>0.0</v>
      </c>
      <c r="DC80" s="47">
        <v>0.0</v>
      </c>
      <c r="DD80" s="47">
        <v>-0.008</v>
      </c>
      <c r="DE80" s="41">
        <v>9.0</v>
      </c>
      <c r="DF80" s="45"/>
      <c r="DG80" s="45"/>
      <c r="DH80" s="47">
        <v>-0.008</v>
      </c>
      <c r="DI80" s="41">
        <v>10.0</v>
      </c>
      <c r="DJ80" s="41" t="s">
        <v>9904</v>
      </c>
      <c r="DK80" s="41">
        <v>98.0</v>
      </c>
      <c r="DL80" s="41" t="s">
        <v>3598</v>
      </c>
      <c r="DM80" s="47">
        <v>0.0</v>
      </c>
      <c r="DN80" s="41" t="s">
        <v>9904</v>
      </c>
      <c r="DO80" s="41">
        <v>97.0</v>
      </c>
      <c r="DP80" s="45"/>
      <c r="DQ80" s="45"/>
      <c r="DR80" s="41" t="s">
        <v>9904</v>
      </c>
      <c r="DS80" s="41">
        <v>97.0</v>
      </c>
      <c r="DT80" s="45"/>
      <c r="DU80" s="45"/>
      <c r="DV80" s="45"/>
      <c r="DW80" s="41">
        <v>800.0</v>
      </c>
      <c r="DX80" s="41">
        <v>-6.0</v>
      </c>
      <c r="DY80" s="47">
        <v>-0.0074</v>
      </c>
      <c r="DZ80" s="41">
        <v>20.0</v>
      </c>
      <c r="EA80" s="41">
        <v>4.0</v>
      </c>
      <c r="EB80" s="41">
        <v>6.0</v>
      </c>
      <c r="EC80" s="41">
        <v>10.0</v>
      </c>
      <c r="ED80" s="45"/>
      <c r="EE80" s="41">
        <v>4.0</v>
      </c>
      <c r="EF80" s="42" t="s">
        <v>4555</v>
      </c>
      <c r="EG80" s="41">
        <v>196.43</v>
      </c>
      <c r="EH80" s="65">
        <v>45265.0</v>
      </c>
      <c r="EI80" s="42" t="s">
        <v>3594</v>
      </c>
      <c r="EJ80" s="45"/>
      <c r="EK80" s="45"/>
      <c r="EL80" s="45"/>
      <c r="EM80" s="43"/>
      <c r="EN80" s="45"/>
      <c r="EO80" s="45"/>
      <c r="EP80" s="41">
        <v>1.31</v>
      </c>
      <c r="EQ80" s="41">
        <v>1.31</v>
      </c>
      <c r="ER80" s="42" t="s">
        <v>6037</v>
      </c>
      <c r="ES80" s="43"/>
      <c r="ET80" s="42" t="s">
        <v>47</v>
      </c>
      <c r="EU80" s="41">
        <v>1.0</v>
      </c>
      <c r="EV80" s="48" t="s">
        <v>3559</v>
      </c>
    </row>
    <row r="81">
      <c r="B81" s="42" t="s">
        <v>6922</v>
      </c>
      <c r="C81" s="41">
        <v>89.0</v>
      </c>
      <c r="D81" s="42" t="s">
        <v>9905</v>
      </c>
      <c r="E81" s="42" t="s">
        <v>4560</v>
      </c>
      <c r="F81" s="42" t="s">
        <v>4561</v>
      </c>
      <c r="G81" s="42" t="s">
        <v>66</v>
      </c>
      <c r="H81" s="42" t="s">
        <v>9890</v>
      </c>
      <c r="I81" s="65">
        <v>45875.0</v>
      </c>
      <c r="J81" s="42" t="s">
        <v>6926</v>
      </c>
      <c r="K81" s="42" t="s">
        <v>6927</v>
      </c>
      <c r="L81" s="42" t="s">
        <v>6928</v>
      </c>
      <c r="M81" s="42" t="s">
        <v>6923</v>
      </c>
      <c r="N81" s="42" t="s">
        <v>9906</v>
      </c>
      <c r="O81" s="42" t="s">
        <v>6924</v>
      </c>
      <c r="P81" s="42" t="s">
        <v>6929</v>
      </c>
      <c r="Q81" s="45"/>
      <c r="R81" s="43"/>
      <c r="S81" s="45"/>
      <c r="T81" s="45"/>
      <c r="U81" s="43"/>
      <c r="V81" s="45"/>
      <c r="W81" s="45"/>
      <c r="X81" s="43"/>
      <c r="Y81" s="42" t="s">
        <v>6929</v>
      </c>
      <c r="Z81" s="42" t="s">
        <v>6925</v>
      </c>
      <c r="AA81" s="42" t="s">
        <v>5018</v>
      </c>
      <c r="AB81" s="41">
        <v>57.43</v>
      </c>
      <c r="AC81" s="42" t="s">
        <v>3571</v>
      </c>
      <c r="AD81" s="42" t="s">
        <v>5236</v>
      </c>
      <c r="AE81" s="42" t="s">
        <v>5867</v>
      </c>
      <c r="AF81" s="44" t="s">
        <v>6930</v>
      </c>
      <c r="AG81" s="44" t="s">
        <v>6931</v>
      </c>
      <c r="AH81" s="41">
        <v>89.0</v>
      </c>
      <c r="AI81" s="42" t="s">
        <v>9905</v>
      </c>
      <c r="AJ81" s="43"/>
      <c r="AK81" s="43"/>
      <c r="AL81" s="41">
        <v>2008.0</v>
      </c>
      <c r="AM81" s="43"/>
      <c r="AN81" s="42" t="s">
        <v>6934</v>
      </c>
      <c r="AO81" s="42" t="s">
        <v>3982</v>
      </c>
      <c r="AP81" s="42" t="s">
        <v>6935</v>
      </c>
      <c r="AQ81" s="43"/>
      <c r="AR81" s="43"/>
      <c r="AS81" s="41">
        <v>116.0</v>
      </c>
      <c r="AT81" s="45"/>
      <c r="AU81" s="45"/>
      <c r="AV81" s="45"/>
      <c r="AW81" s="45"/>
      <c r="AX81" s="45"/>
      <c r="AY81" s="45"/>
      <c r="AZ81" s="45"/>
      <c r="BA81" s="47">
        <v>1.32</v>
      </c>
      <c r="BB81" s="41" t="s">
        <v>3932</v>
      </c>
      <c r="BC81" s="42" t="s">
        <v>6933</v>
      </c>
      <c r="BD81" s="64"/>
      <c r="BE81" s="42" t="s">
        <v>3581</v>
      </c>
      <c r="BF81" s="42" t="s">
        <v>6936</v>
      </c>
      <c r="BG81" s="43"/>
      <c r="BH81" s="42" t="s">
        <v>75</v>
      </c>
      <c r="BI81" s="43"/>
      <c r="BJ81" s="45"/>
      <c r="BK81" s="42" t="s">
        <v>41</v>
      </c>
      <c r="BL81" s="45"/>
      <c r="BM81" s="45"/>
      <c r="BN81" s="43"/>
      <c r="BO81" s="42" t="s">
        <v>3584</v>
      </c>
      <c r="BP81" s="42" t="s">
        <v>3584</v>
      </c>
      <c r="BQ81" s="42" t="s">
        <v>6937</v>
      </c>
      <c r="BR81" s="42" t="s">
        <v>6938</v>
      </c>
      <c r="BS81" s="41">
        <v>1.0</v>
      </c>
      <c r="BT81" s="43"/>
      <c r="BU81" s="42" t="s">
        <v>6939</v>
      </c>
      <c r="BV81" s="43"/>
      <c r="BW81" s="42" t="s">
        <v>6940</v>
      </c>
      <c r="BX81" s="42" t="s">
        <v>6941</v>
      </c>
      <c r="BY81" s="43"/>
      <c r="BZ81" s="43"/>
      <c r="CA81" s="42" t="s">
        <v>6942</v>
      </c>
      <c r="CB81" s="45"/>
      <c r="CC81" s="41">
        <v>8.97</v>
      </c>
      <c r="CD81" s="42" t="s">
        <v>3593</v>
      </c>
      <c r="CE81" s="41">
        <v>19.61</v>
      </c>
      <c r="CF81" s="42" t="s">
        <v>3593</v>
      </c>
      <c r="CG81" s="42" t="s">
        <v>3698</v>
      </c>
      <c r="CH81" s="42" t="s">
        <v>3698</v>
      </c>
      <c r="CI81" s="43"/>
      <c r="CJ81" s="42" t="s">
        <v>3573</v>
      </c>
      <c r="CK81" s="43"/>
      <c r="CL81" s="42" t="s">
        <v>3591</v>
      </c>
      <c r="CM81" s="65">
        <v>45817.0</v>
      </c>
      <c r="CN81" s="45"/>
      <c r="CO81" s="43"/>
      <c r="CP81" s="45"/>
      <c r="CQ81" s="43"/>
      <c r="CR81" s="42" t="s">
        <v>4977</v>
      </c>
      <c r="CS81" s="43"/>
      <c r="CT81" s="43"/>
      <c r="CU81" s="42" t="s">
        <v>3663</v>
      </c>
      <c r="CV81" s="63">
        <v>44027.0</v>
      </c>
      <c r="CW81" s="41">
        <v>8.18</v>
      </c>
      <c r="CX81" s="43"/>
      <c r="CY81" s="42" t="s">
        <v>3966</v>
      </c>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3"/>
      <c r="EG81" s="41">
        <v>48.5</v>
      </c>
      <c r="EH81" s="63">
        <v>44241.0</v>
      </c>
      <c r="EI81" s="42" t="s">
        <v>3594</v>
      </c>
      <c r="EJ81" s="45"/>
      <c r="EK81" s="45"/>
      <c r="EL81" s="45"/>
      <c r="EM81" s="43"/>
      <c r="EN81" s="45"/>
      <c r="EO81" s="45"/>
      <c r="EP81" s="45"/>
      <c r="EQ81" s="41">
        <v>0.82</v>
      </c>
      <c r="ER81" s="42" t="s">
        <v>9890</v>
      </c>
      <c r="ES81" s="43"/>
      <c r="ET81" s="43"/>
      <c r="EU81" s="45"/>
      <c r="EV81" s="48" t="s">
        <v>3559</v>
      </c>
    </row>
    <row r="82">
      <c r="B82" s="42" t="s">
        <v>3836</v>
      </c>
      <c r="C82" s="41">
        <v>27.0</v>
      </c>
      <c r="D82" s="42" t="s">
        <v>9907</v>
      </c>
      <c r="E82" s="42" t="s">
        <v>3563</v>
      </c>
      <c r="F82" s="42" t="s">
        <v>3564</v>
      </c>
      <c r="G82" s="42" t="s">
        <v>3565</v>
      </c>
      <c r="H82" s="42" t="s">
        <v>3612</v>
      </c>
      <c r="I82" s="63">
        <v>45740.0</v>
      </c>
      <c r="J82" s="42" t="s">
        <v>3840</v>
      </c>
      <c r="K82" s="42" t="s">
        <v>3841</v>
      </c>
      <c r="L82" s="42" t="s">
        <v>3842</v>
      </c>
      <c r="M82" s="43"/>
      <c r="N82" s="42" t="s">
        <v>9908</v>
      </c>
      <c r="O82" s="42" t="s">
        <v>3837</v>
      </c>
      <c r="P82" s="42" t="s">
        <v>3843</v>
      </c>
      <c r="Q82" s="41">
        <v>91.0</v>
      </c>
      <c r="R82" s="42" t="s">
        <v>3602</v>
      </c>
      <c r="S82" s="47">
        <v>0.83</v>
      </c>
      <c r="T82" s="47">
        <v>0.17</v>
      </c>
      <c r="U82" s="42" t="s">
        <v>3603</v>
      </c>
      <c r="V82" s="47">
        <v>0.01</v>
      </c>
      <c r="W82" s="47">
        <v>0.82</v>
      </c>
      <c r="X82" s="42" t="s">
        <v>3838</v>
      </c>
      <c r="Y82" s="42" t="s">
        <v>3843</v>
      </c>
      <c r="Z82" s="42" t="s">
        <v>3839</v>
      </c>
      <c r="AA82" s="42" t="s">
        <v>3569</v>
      </c>
      <c r="AB82" s="41">
        <v>5.93</v>
      </c>
      <c r="AC82" s="42" t="s">
        <v>3571</v>
      </c>
      <c r="AD82" s="42" t="s">
        <v>3572</v>
      </c>
      <c r="AE82" s="42" t="s">
        <v>3573</v>
      </c>
      <c r="AF82" s="44" t="s">
        <v>3844</v>
      </c>
      <c r="AG82" s="44" t="s">
        <v>3845</v>
      </c>
      <c r="AH82" s="41">
        <v>27.0</v>
      </c>
      <c r="AI82" s="42" t="s">
        <v>9907</v>
      </c>
      <c r="AJ82" s="43"/>
      <c r="AK82" s="43"/>
      <c r="AL82" s="41">
        <v>2019.0</v>
      </c>
      <c r="AM82" s="43"/>
      <c r="AN82" s="42" t="s">
        <v>3848</v>
      </c>
      <c r="AO82" s="42" t="s">
        <v>3849</v>
      </c>
      <c r="AP82" s="42" t="s">
        <v>3850</v>
      </c>
      <c r="AQ82" s="43"/>
      <c r="AR82" s="43"/>
      <c r="AS82" s="45"/>
      <c r="AT82" s="45"/>
      <c r="AU82" s="45"/>
      <c r="AV82" s="45"/>
      <c r="AW82" s="45"/>
      <c r="AX82" s="45"/>
      <c r="AY82" s="45"/>
      <c r="AZ82" s="45"/>
      <c r="BA82" s="45"/>
      <c r="BB82" s="45"/>
      <c r="BC82" s="42" t="s">
        <v>3847</v>
      </c>
      <c r="BD82" s="64"/>
      <c r="BE82" s="42" t="s">
        <v>3851</v>
      </c>
      <c r="BF82" s="42" t="s">
        <v>3852</v>
      </c>
      <c r="BG82" s="43"/>
      <c r="BH82" s="42" t="s">
        <v>616</v>
      </c>
      <c r="BI82" s="43"/>
      <c r="BJ82" s="45"/>
      <c r="BK82" s="42" t="s">
        <v>41</v>
      </c>
      <c r="BL82" s="45"/>
      <c r="BM82" s="45"/>
      <c r="BN82" s="42" t="s">
        <v>3853</v>
      </c>
      <c r="BO82" s="42" t="s">
        <v>3584</v>
      </c>
      <c r="BP82" s="42" t="s">
        <v>3584</v>
      </c>
      <c r="BQ82" s="42" t="s">
        <v>3854</v>
      </c>
      <c r="BR82" s="42" t="s">
        <v>3855</v>
      </c>
      <c r="BS82" s="41">
        <v>19.0</v>
      </c>
      <c r="BT82" s="43"/>
      <c r="BU82" s="43"/>
      <c r="BV82" s="43"/>
      <c r="BW82" s="42" t="s">
        <v>3856</v>
      </c>
      <c r="BX82" s="43"/>
      <c r="BY82" s="43"/>
      <c r="BZ82" s="43"/>
      <c r="CA82" s="43"/>
      <c r="CB82" s="65">
        <v>43466.0</v>
      </c>
      <c r="CC82" s="45"/>
      <c r="CD82" s="43"/>
      <c r="CE82" s="45"/>
      <c r="CF82" s="43"/>
      <c r="CG82" s="42" t="s">
        <v>3589</v>
      </c>
      <c r="CH82" s="43"/>
      <c r="CI82" s="43"/>
      <c r="CJ82" s="42" t="s">
        <v>3590</v>
      </c>
      <c r="CK82" s="43"/>
      <c r="CL82" s="42" t="s">
        <v>3591</v>
      </c>
      <c r="CM82" s="65">
        <v>45292.0</v>
      </c>
      <c r="CN82" s="45"/>
      <c r="CO82" s="43"/>
      <c r="CP82" s="45"/>
      <c r="CQ82" s="43"/>
      <c r="CR82" s="42" t="s">
        <v>3589</v>
      </c>
      <c r="CS82" s="43"/>
      <c r="CT82" s="43"/>
      <c r="CU82" s="42" t="s">
        <v>3590</v>
      </c>
      <c r="CV82" s="45"/>
      <c r="CW82" s="45"/>
      <c r="CX82" s="43"/>
      <c r="CY82" s="42" t="s">
        <v>3591</v>
      </c>
      <c r="CZ82" s="47">
        <v>0.0</v>
      </c>
      <c r="DA82" s="41">
        <v>19.0</v>
      </c>
      <c r="DB82" s="47">
        <v>0.0</v>
      </c>
      <c r="DC82" s="47">
        <v>0.0</v>
      </c>
      <c r="DD82" s="47">
        <v>0.0</v>
      </c>
      <c r="DE82" s="41">
        <v>17.0</v>
      </c>
      <c r="DF82" s="47">
        <v>0.0</v>
      </c>
      <c r="DG82" s="41">
        <v>11.0</v>
      </c>
      <c r="DH82" s="47">
        <v>0.0</v>
      </c>
      <c r="DI82" s="41">
        <v>17.0</v>
      </c>
      <c r="DJ82" s="41" t="s">
        <v>7324</v>
      </c>
      <c r="DK82" s="41">
        <v>57.0</v>
      </c>
      <c r="DL82" s="41" t="s">
        <v>3598</v>
      </c>
      <c r="DM82" s="47">
        <v>0.0</v>
      </c>
      <c r="DN82" s="41" t="s">
        <v>7324</v>
      </c>
      <c r="DO82" s="41">
        <v>58.0</v>
      </c>
      <c r="DP82" s="41" t="s">
        <v>9909</v>
      </c>
      <c r="DQ82" s="41">
        <v>48.0</v>
      </c>
      <c r="DR82" s="41" t="s">
        <v>9682</v>
      </c>
      <c r="DS82" s="41">
        <v>63.0</v>
      </c>
      <c r="DT82" s="41">
        <v>102.0</v>
      </c>
      <c r="DU82" s="41">
        <v>20.0</v>
      </c>
      <c r="DV82" s="47">
        <v>0.2439</v>
      </c>
      <c r="DW82" s="41">
        <v>30.0</v>
      </c>
      <c r="DX82" s="41">
        <v>0.0</v>
      </c>
      <c r="DY82" s="47">
        <v>0.0</v>
      </c>
      <c r="DZ82" s="45"/>
      <c r="EA82" s="45"/>
      <c r="EB82" s="45"/>
      <c r="EC82" s="45"/>
      <c r="ED82" s="45"/>
      <c r="EE82" s="45"/>
      <c r="EF82" s="43"/>
      <c r="EG82" s="41">
        <v>15.0</v>
      </c>
      <c r="EH82" s="63">
        <v>44916.0</v>
      </c>
      <c r="EI82" s="42" t="s">
        <v>3669</v>
      </c>
      <c r="EJ82" s="45"/>
      <c r="EK82" s="45"/>
      <c r="EL82" s="45"/>
      <c r="EM82" s="43"/>
      <c r="EN82" s="45"/>
      <c r="EO82" s="45"/>
      <c r="EP82" s="45"/>
      <c r="EQ82" s="45"/>
      <c r="ER82" s="42" t="s">
        <v>3612</v>
      </c>
      <c r="ES82" s="43"/>
      <c r="ET82" s="42" t="s">
        <v>47</v>
      </c>
      <c r="EU82" s="41">
        <v>22.0</v>
      </c>
      <c r="EV82" s="48" t="s">
        <v>3559</v>
      </c>
    </row>
    <row r="83">
      <c r="B83" s="35" t="s">
        <v>1264</v>
      </c>
      <c r="C83" s="32">
        <v>33.0</v>
      </c>
      <c r="D83" s="35" t="s">
        <v>9910</v>
      </c>
      <c r="E83" s="35" t="s">
        <v>3563</v>
      </c>
      <c r="F83" s="35" t="s">
        <v>3564</v>
      </c>
      <c r="G83" s="35" t="s">
        <v>3565</v>
      </c>
      <c r="H83" s="35" t="s">
        <v>9621</v>
      </c>
      <c r="I83" s="62">
        <v>45995.0</v>
      </c>
      <c r="J83" s="35" t="s">
        <v>4252</v>
      </c>
      <c r="K83" s="35" t="s">
        <v>4253</v>
      </c>
      <c r="L83" s="35" t="s">
        <v>4254</v>
      </c>
      <c r="M83" s="34"/>
      <c r="N83" s="34"/>
      <c r="O83" s="35" t="s">
        <v>4249</v>
      </c>
      <c r="P83" s="35" t="s">
        <v>4255</v>
      </c>
      <c r="Q83" s="32">
        <v>79.0</v>
      </c>
      <c r="R83" s="35" t="s">
        <v>3602</v>
      </c>
      <c r="S83" s="39">
        <v>0.7</v>
      </c>
      <c r="T83" s="39">
        <v>0.3</v>
      </c>
      <c r="U83" s="35" t="s">
        <v>3603</v>
      </c>
      <c r="V83" s="39">
        <v>0.02</v>
      </c>
      <c r="W83" s="39">
        <v>0.68</v>
      </c>
      <c r="X83" s="35" t="s">
        <v>4250</v>
      </c>
      <c r="Y83" s="35" t="s">
        <v>4255</v>
      </c>
      <c r="Z83" s="35" t="s">
        <v>4251</v>
      </c>
      <c r="AA83" s="35" t="s">
        <v>3569</v>
      </c>
      <c r="AB83" s="32">
        <v>13.56</v>
      </c>
      <c r="AC83" s="35" t="s">
        <v>3571</v>
      </c>
      <c r="AD83" s="35" t="s">
        <v>3572</v>
      </c>
      <c r="AE83" s="35" t="s">
        <v>3573</v>
      </c>
      <c r="AF83" s="36" t="s">
        <v>4256</v>
      </c>
      <c r="AG83" s="36" t="s">
        <v>4257</v>
      </c>
      <c r="AH83" s="32">
        <v>33.0</v>
      </c>
      <c r="AI83" s="35" t="s">
        <v>9910</v>
      </c>
      <c r="AJ83" s="34"/>
      <c r="AK83" s="34"/>
      <c r="AL83" s="32">
        <v>2019.0</v>
      </c>
      <c r="AM83" s="34"/>
      <c r="AN83" s="35" t="s">
        <v>4260</v>
      </c>
      <c r="AO83" s="35" t="s">
        <v>3685</v>
      </c>
      <c r="AP83" s="35" t="s">
        <v>1267</v>
      </c>
      <c r="AQ83" s="34"/>
      <c r="AR83" s="34"/>
      <c r="AS83" s="37"/>
      <c r="AT83" s="37"/>
      <c r="AU83" s="37"/>
      <c r="AV83" s="37"/>
      <c r="AW83" s="37"/>
      <c r="AX83" s="37"/>
      <c r="AY83" s="37"/>
      <c r="AZ83" s="37"/>
      <c r="BA83" s="37"/>
      <c r="BB83" s="37"/>
      <c r="BC83" s="35" t="s">
        <v>4259</v>
      </c>
      <c r="BD83" s="61"/>
      <c r="BE83" s="35" t="s">
        <v>3581</v>
      </c>
      <c r="BF83" s="35" t="s">
        <v>4261</v>
      </c>
      <c r="BG83" s="34"/>
      <c r="BH83" s="35" t="s">
        <v>75</v>
      </c>
      <c r="BI83" s="34"/>
      <c r="BJ83" s="37"/>
      <c r="BK83" s="35" t="s">
        <v>41</v>
      </c>
      <c r="BL83" s="37"/>
      <c r="BM83" s="37"/>
      <c r="BN83" s="35" t="s">
        <v>1271</v>
      </c>
      <c r="BO83" s="35" t="s">
        <v>3584</v>
      </c>
      <c r="BP83" s="35" t="s">
        <v>3584</v>
      </c>
      <c r="BQ83" s="35" t="s">
        <v>4262</v>
      </c>
      <c r="BR83" s="35" t="s">
        <v>4263</v>
      </c>
      <c r="BS83" s="32">
        <v>19.0</v>
      </c>
      <c r="BT83" s="34"/>
      <c r="BU83" s="34"/>
      <c r="BV83" s="34"/>
      <c r="BW83" s="35" t="s">
        <v>4264</v>
      </c>
      <c r="BX83" s="34"/>
      <c r="BY83" s="34"/>
      <c r="BZ83" s="34"/>
      <c r="CA83" s="34"/>
      <c r="CB83" s="62">
        <v>43864.0</v>
      </c>
      <c r="CC83" s="32">
        <v>2.0</v>
      </c>
      <c r="CD83" s="35" t="s">
        <v>3593</v>
      </c>
      <c r="CE83" s="32">
        <v>5.56</v>
      </c>
      <c r="CF83" s="35" t="s">
        <v>3593</v>
      </c>
      <c r="CG83" s="35" t="s">
        <v>3698</v>
      </c>
      <c r="CH83" s="35" t="s">
        <v>3698</v>
      </c>
      <c r="CI83" s="34"/>
      <c r="CJ83" s="35" t="s">
        <v>3573</v>
      </c>
      <c r="CK83" s="34"/>
      <c r="CL83" s="35" t="s">
        <v>3591</v>
      </c>
      <c r="CM83" s="60">
        <v>45596.0</v>
      </c>
      <c r="CN83" s="32">
        <v>10.0</v>
      </c>
      <c r="CO83" s="35" t="s">
        <v>3593</v>
      </c>
      <c r="CP83" s="32">
        <v>28.41</v>
      </c>
      <c r="CQ83" s="35" t="s">
        <v>3593</v>
      </c>
      <c r="CR83" s="35" t="s">
        <v>3594</v>
      </c>
      <c r="CS83" s="35" t="s">
        <v>3595</v>
      </c>
      <c r="CT83" s="34"/>
      <c r="CU83" s="35" t="s">
        <v>3573</v>
      </c>
      <c r="CV83" s="37"/>
      <c r="CW83" s="37"/>
      <c r="CX83" s="34"/>
      <c r="CY83" s="35" t="s">
        <v>3591</v>
      </c>
      <c r="CZ83" s="39">
        <v>-6.0E-4</v>
      </c>
      <c r="DA83" s="32">
        <v>18.0</v>
      </c>
      <c r="DB83" s="39">
        <v>-0.0027</v>
      </c>
      <c r="DC83" s="39">
        <v>-1.262</v>
      </c>
      <c r="DD83" s="39">
        <v>-0.005</v>
      </c>
      <c r="DE83" s="32">
        <v>12.0</v>
      </c>
      <c r="DF83" s="37"/>
      <c r="DG83" s="37"/>
      <c r="DH83" s="39">
        <v>-0.005</v>
      </c>
      <c r="DI83" s="32">
        <v>13.0</v>
      </c>
      <c r="DJ83" s="32" t="s">
        <v>9911</v>
      </c>
      <c r="DK83" s="32">
        <v>93.0</v>
      </c>
      <c r="DL83" s="32" t="s">
        <v>9822</v>
      </c>
      <c r="DM83" s="39">
        <v>-0.0017</v>
      </c>
      <c r="DN83" s="32" t="s">
        <v>9912</v>
      </c>
      <c r="DO83" s="32">
        <v>96.0</v>
      </c>
      <c r="DP83" s="37"/>
      <c r="DQ83" s="37"/>
      <c r="DR83" s="32" t="s">
        <v>9912</v>
      </c>
      <c r="DS83" s="32">
        <v>96.0</v>
      </c>
      <c r="DT83" s="37"/>
      <c r="DU83" s="37"/>
      <c r="DV83" s="37"/>
      <c r="DW83" s="32">
        <v>533.0</v>
      </c>
      <c r="DX83" s="32">
        <v>-2.0</v>
      </c>
      <c r="DY83" s="39">
        <v>-0.0037</v>
      </c>
      <c r="DZ83" s="32">
        <v>8.0</v>
      </c>
      <c r="EA83" s="32">
        <v>2.0</v>
      </c>
      <c r="EB83" s="32">
        <v>4.0</v>
      </c>
      <c r="EC83" s="32">
        <v>2.0</v>
      </c>
      <c r="ED83" s="37"/>
      <c r="EE83" s="32">
        <v>2.0</v>
      </c>
      <c r="EF83" s="35" t="s">
        <v>4270</v>
      </c>
      <c r="EG83" s="32">
        <v>28.41</v>
      </c>
      <c r="EH83" s="60">
        <v>45596.0</v>
      </c>
      <c r="EI83" s="35" t="s">
        <v>3594</v>
      </c>
      <c r="EJ83" s="37"/>
      <c r="EK83" s="37"/>
      <c r="EL83" s="37"/>
      <c r="EM83" s="34"/>
      <c r="EN83" s="37"/>
      <c r="EO83" s="37"/>
      <c r="EP83" s="32">
        <v>1.59</v>
      </c>
      <c r="EQ83" s="32">
        <v>1.59</v>
      </c>
      <c r="ER83" s="35" t="s">
        <v>9621</v>
      </c>
      <c r="ES83" s="34"/>
      <c r="ET83" s="35" t="s">
        <v>47</v>
      </c>
      <c r="EU83" s="32">
        <v>2.0</v>
      </c>
      <c r="EV83" s="40" t="s">
        <v>3559</v>
      </c>
    </row>
    <row r="84">
      <c r="B84" s="42" t="s">
        <v>934</v>
      </c>
      <c r="C84" s="41">
        <v>13.0</v>
      </c>
      <c r="D84" s="42" t="s">
        <v>9913</v>
      </c>
      <c r="E84" s="42" t="s">
        <v>3563</v>
      </c>
      <c r="F84" s="42" t="s">
        <v>3564</v>
      </c>
      <c r="G84" s="42" t="s">
        <v>3565</v>
      </c>
      <c r="H84" s="42" t="s">
        <v>8495</v>
      </c>
      <c r="I84" s="65">
        <v>45994.0</v>
      </c>
      <c r="J84" s="42" t="s">
        <v>7419</v>
      </c>
      <c r="K84" s="42" t="s">
        <v>7420</v>
      </c>
      <c r="L84" s="42" t="s">
        <v>7421</v>
      </c>
      <c r="M84" s="43"/>
      <c r="N84" s="43"/>
      <c r="O84" s="42" t="s">
        <v>7416</v>
      </c>
      <c r="P84" s="42" t="s">
        <v>7422</v>
      </c>
      <c r="Q84" s="45"/>
      <c r="R84" s="43"/>
      <c r="S84" s="45"/>
      <c r="T84" s="45"/>
      <c r="U84" s="43"/>
      <c r="V84" s="45"/>
      <c r="W84" s="45"/>
      <c r="X84" s="42" t="s">
        <v>7417</v>
      </c>
      <c r="Y84" s="42" t="s">
        <v>7422</v>
      </c>
      <c r="Z84" s="42" t="s">
        <v>7418</v>
      </c>
      <c r="AA84" s="42" t="s">
        <v>3569</v>
      </c>
      <c r="AB84" s="41">
        <v>2.63</v>
      </c>
      <c r="AC84" s="42" t="s">
        <v>3571</v>
      </c>
      <c r="AD84" s="42" t="s">
        <v>3572</v>
      </c>
      <c r="AE84" s="42" t="s">
        <v>3573</v>
      </c>
      <c r="AF84" s="44" t="s">
        <v>7423</v>
      </c>
      <c r="AG84" s="44" t="s">
        <v>7424</v>
      </c>
      <c r="AH84" s="41">
        <v>13.0</v>
      </c>
      <c r="AI84" s="42" t="s">
        <v>9913</v>
      </c>
      <c r="AJ84" s="43"/>
      <c r="AK84" s="43"/>
      <c r="AL84" s="41">
        <v>2021.0</v>
      </c>
      <c r="AM84" s="43"/>
      <c r="AN84" s="42" t="s">
        <v>7427</v>
      </c>
      <c r="AO84" s="42" t="s">
        <v>7428</v>
      </c>
      <c r="AP84" s="42" t="s">
        <v>7429</v>
      </c>
      <c r="AQ84" s="43"/>
      <c r="AR84" s="43"/>
      <c r="AS84" s="45"/>
      <c r="AT84" s="45"/>
      <c r="AU84" s="45"/>
      <c r="AV84" s="45"/>
      <c r="AW84" s="45"/>
      <c r="AX84" s="45"/>
      <c r="AY84" s="45"/>
      <c r="AZ84" s="45"/>
      <c r="BA84" s="45"/>
      <c r="BB84" s="45"/>
      <c r="BC84" s="42" t="s">
        <v>7426</v>
      </c>
      <c r="BD84" s="64"/>
      <c r="BE84" s="42" t="s">
        <v>3654</v>
      </c>
      <c r="BF84" s="42" t="s">
        <v>7430</v>
      </c>
      <c r="BG84" s="43"/>
      <c r="BH84" s="42" t="s">
        <v>147</v>
      </c>
      <c r="BI84" s="43"/>
      <c r="BJ84" s="41">
        <v>9777019.0</v>
      </c>
      <c r="BK84" s="42" t="s">
        <v>41</v>
      </c>
      <c r="BL84" s="45"/>
      <c r="BM84" s="45"/>
      <c r="BN84" s="42" t="s">
        <v>940</v>
      </c>
      <c r="BO84" s="42" t="s">
        <v>3584</v>
      </c>
      <c r="BP84" s="42" t="s">
        <v>3584</v>
      </c>
      <c r="BQ84" s="42" t="s">
        <v>7431</v>
      </c>
      <c r="BR84" s="42" t="s">
        <v>7432</v>
      </c>
      <c r="BS84" s="41">
        <v>10.0</v>
      </c>
      <c r="BT84" s="43"/>
      <c r="BU84" s="43"/>
      <c r="BV84" s="43"/>
      <c r="BW84" s="42" t="s">
        <v>7433</v>
      </c>
      <c r="BX84" s="43"/>
      <c r="BY84" s="43"/>
      <c r="BZ84" s="43"/>
      <c r="CA84" s="43"/>
      <c r="CB84" s="45"/>
      <c r="CC84" s="45"/>
      <c r="CD84" s="43"/>
      <c r="CE84" s="45"/>
      <c r="CF84" s="43"/>
      <c r="CG84" s="42" t="s">
        <v>3589</v>
      </c>
      <c r="CH84" s="43"/>
      <c r="CI84" s="43"/>
      <c r="CJ84" s="42" t="s">
        <v>3590</v>
      </c>
      <c r="CK84" s="43"/>
      <c r="CL84" s="42" t="s">
        <v>3591</v>
      </c>
      <c r="CM84" s="63">
        <v>45579.0</v>
      </c>
      <c r="CN84" s="41">
        <v>2.63</v>
      </c>
      <c r="CO84" s="42" t="s">
        <v>3593</v>
      </c>
      <c r="CP84" s="45"/>
      <c r="CQ84" s="43"/>
      <c r="CR84" s="42" t="s">
        <v>3698</v>
      </c>
      <c r="CS84" s="42" t="s">
        <v>3698</v>
      </c>
      <c r="CT84" s="43"/>
      <c r="CU84" s="42" t="s">
        <v>3573</v>
      </c>
      <c r="CV84" s="45"/>
      <c r="CW84" s="45"/>
      <c r="CX84" s="43"/>
      <c r="CY84" s="42" t="s">
        <v>3591</v>
      </c>
      <c r="CZ84" s="47">
        <v>0.0</v>
      </c>
      <c r="DA84" s="41">
        <v>19.0</v>
      </c>
      <c r="DB84" s="47">
        <v>0.0</v>
      </c>
      <c r="DC84" s="47">
        <v>0.0</v>
      </c>
      <c r="DD84" s="47">
        <v>0.0</v>
      </c>
      <c r="DE84" s="41">
        <v>17.0</v>
      </c>
      <c r="DF84" s="47">
        <v>0.0</v>
      </c>
      <c r="DG84" s="41">
        <v>11.0</v>
      </c>
      <c r="DH84" s="47">
        <v>0.0</v>
      </c>
      <c r="DI84" s="41">
        <v>17.0</v>
      </c>
      <c r="DJ84" s="41" t="s">
        <v>9914</v>
      </c>
      <c r="DK84" s="41">
        <v>57.0</v>
      </c>
      <c r="DL84" s="41" t="s">
        <v>3598</v>
      </c>
      <c r="DM84" s="47">
        <v>0.0</v>
      </c>
      <c r="DN84" s="41" t="s">
        <v>9915</v>
      </c>
      <c r="DO84" s="41">
        <v>60.0</v>
      </c>
      <c r="DP84" s="41" t="s">
        <v>9745</v>
      </c>
      <c r="DQ84" s="41">
        <v>45.0</v>
      </c>
      <c r="DR84" s="41" t="s">
        <v>9916</v>
      </c>
      <c r="DS84" s="41">
        <v>68.0</v>
      </c>
      <c r="DT84" s="41">
        <v>0.0</v>
      </c>
      <c r="DU84" s="41">
        <v>0.0</v>
      </c>
      <c r="DV84" s="47">
        <v>0.0</v>
      </c>
      <c r="DW84" s="41">
        <v>44.0</v>
      </c>
      <c r="DX84" s="41">
        <v>0.0</v>
      </c>
      <c r="DY84" s="47">
        <v>0.0</v>
      </c>
      <c r="DZ84" s="41">
        <v>12.0</v>
      </c>
      <c r="EA84" s="41">
        <v>4.0</v>
      </c>
      <c r="EB84" s="41">
        <v>4.0</v>
      </c>
      <c r="EC84" s="41">
        <v>4.0</v>
      </c>
      <c r="ED84" s="45"/>
      <c r="EE84" s="41">
        <v>4.0</v>
      </c>
      <c r="EF84" s="42" t="s">
        <v>7435</v>
      </c>
      <c r="EG84" s="45"/>
      <c r="EH84" s="45"/>
      <c r="EI84" s="43"/>
      <c r="EJ84" s="45"/>
      <c r="EK84" s="45"/>
      <c r="EL84" s="45"/>
      <c r="EM84" s="43"/>
      <c r="EN84" s="45"/>
      <c r="EO84" s="45"/>
      <c r="EP84" s="45"/>
      <c r="EQ84" s="45"/>
      <c r="ER84" s="42" t="s">
        <v>8495</v>
      </c>
      <c r="ES84" s="43"/>
      <c r="ET84" s="42" t="s">
        <v>47</v>
      </c>
      <c r="EU84" s="41">
        <v>16.0</v>
      </c>
      <c r="EV84" s="48" t="s">
        <v>3559</v>
      </c>
    </row>
    <row r="85">
      <c r="B85" s="35" t="s">
        <v>7915</v>
      </c>
      <c r="C85" s="32">
        <v>5.0</v>
      </c>
      <c r="D85" s="35" t="s">
        <v>7924</v>
      </c>
      <c r="E85" s="35" t="s">
        <v>3867</v>
      </c>
      <c r="F85" s="35" t="s">
        <v>3868</v>
      </c>
      <c r="G85" s="35" t="s">
        <v>5604</v>
      </c>
      <c r="H85" s="35" t="s">
        <v>7279</v>
      </c>
      <c r="I85" s="60">
        <v>45950.0</v>
      </c>
      <c r="J85" s="35" t="s">
        <v>7919</v>
      </c>
      <c r="K85" s="35" t="s">
        <v>6333</v>
      </c>
      <c r="L85" s="35" t="s">
        <v>7920</v>
      </c>
      <c r="M85" s="34"/>
      <c r="N85" s="34"/>
      <c r="O85" s="35" t="s">
        <v>7916</v>
      </c>
      <c r="P85" s="35" t="s">
        <v>7921</v>
      </c>
      <c r="Q85" s="37"/>
      <c r="R85" s="34"/>
      <c r="S85" s="37"/>
      <c r="T85" s="37"/>
      <c r="U85" s="34"/>
      <c r="V85" s="37"/>
      <c r="W85" s="37"/>
      <c r="X85" s="35" t="s">
        <v>7917</v>
      </c>
      <c r="Y85" s="35" t="s">
        <v>7921</v>
      </c>
      <c r="Z85" s="35" t="s">
        <v>7918</v>
      </c>
      <c r="AA85" s="35" t="s">
        <v>5145</v>
      </c>
      <c r="AB85" s="32">
        <v>0.12</v>
      </c>
      <c r="AC85" s="35" t="s">
        <v>3571</v>
      </c>
      <c r="AD85" s="35" t="s">
        <v>3572</v>
      </c>
      <c r="AE85" s="35" t="s">
        <v>5147</v>
      </c>
      <c r="AF85" s="36" t="s">
        <v>7922</v>
      </c>
      <c r="AG85" s="36" t="s">
        <v>7923</v>
      </c>
      <c r="AH85" s="32">
        <v>5.0</v>
      </c>
      <c r="AI85" s="35" t="s">
        <v>7924</v>
      </c>
      <c r="AJ85" s="34"/>
      <c r="AK85" s="34"/>
      <c r="AL85" s="32">
        <v>2015.0</v>
      </c>
      <c r="AM85" s="34"/>
      <c r="AN85" s="35" t="s">
        <v>7926</v>
      </c>
      <c r="AO85" s="35" t="s">
        <v>4614</v>
      </c>
      <c r="AP85" s="35" t="s">
        <v>7927</v>
      </c>
      <c r="AQ85" s="34"/>
      <c r="AR85" s="34"/>
      <c r="AS85" s="37"/>
      <c r="AT85" s="37"/>
      <c r="AU85" s="37"/>
      <c r="AV85" s="37"/>
      <c r="AW85" s="37"/>
      <c r="AX85" s="37"/>
      <c r="AY85" s="37"/>
      <c r="AZ85" s="37"/>
      <c r="BA85" s="37"/>
      <c r="BB85" s="37"/>
      <c r="BC85" s="35" t="s">
        <v>7925</v>
      </c>
      <c r="BD85" s="61"/>
      <c r="BE85" s="35" t="s">
        <v>4448</v>
      </c>
      <c r="BF85" s="35" t="s">
        <v>7928</v>
      </c>
      <c r="BG85" s="34"/>
      <c r="BH85" s="35" t="s">
        <v>485</v>
      </c>
      <c r="BI85" s="35" t="s">
        <v>3626</v>
      </c>
      <c r="BJ85" s="37"/>
      <c r="BK85" s="35" t="s">
        <v>41</v>
      </c>
      <c r="BL85" s="37"/>
      <c r="BM85" s="37"/>
      <c r="BN85" s="34"/>
      <c r="BO85" s="35" t="s">
        <v>3584</v>
      </c>
      <c r="BP85" s="35" t="s">
        <v>3584</v>
      </c>
      <c r="BQ85" s="35" t="s">
        <v>7929</v>
      </c>
      <c r="BR85" s="35" t="s">
        <v>7930</v>
      </c>
      <c r="BS85" s="32">
        <v>4.0</v>
      </c>
      <c r="BT85" s="34"/>
      <c r="BU85" s="34"/>
      <c r="BV85" s="34"/>
      <c r="BW85" s="35" t="s">
        <v>7931</v>
      </c>
      <c r="BX85" s="34"/>
      <c r="BY85" s="34"/>
      <c r="BZ85" s="34"/>
      <c r="CA85" s="34"/>
      <c r="CB85" s="62">
        <v>42156.0</v>
      </c>
      <c r="CC85" s="32">
        <v>0.09</v>
      </c>
      <c r="CD85" s="35" t="s">
        <v>3593</v>
      </c>
      <c r="CE85" s="37"/>
      <c r="CF85" s="34"/>
      <c r="CG85" s="35" t="s">
        <v>4102</v>
      </c>
      <c r="CH85" s="34"/>
      <c r="CI85" s="34"/>
      <c r="CJ85" s="35" t="s">
        <v>3590</v>
      </c>
      <c r="CK85" s="34"/>
      <c r="CL85" s="35" t="s">
        <v>3591</v>
      </c>
      <c r="CM85" s="37"/>
      <c r="CN85" s="37"/>
      <c r="CO85" s="34"/>
      <c r="CP85" s="37"/>
      <c r="CQ85" s="34"/>
      <c r="CR85" s="35" t="s">
        <v>3589</v>
      </c>
      <c r="CS85" s="34"/>
      <c r="CT85" s="34"/>
      <c r="CU85" s="35" t="s">
        <v>3590</v>
      </c>
      <c r="CV85" s="37"/>
      <c r="CW85" s="37"/>
      <c r="CX85" s="34"/>
      <c r="CY85" s="35" t="s">
        <v>3591</v>
      </c>
      <c r="CZ85" s="39">
        <v>0.0</v>
      </c>
      <c r="DA85" s="32">
        <v>19.0</v>
      </c>
      <c r="DB85" s="39">
        <v>0.0</v>
      </c>
      <c r="DC85" s="39">
        <v>0.0</v>
      </c>
      <c r="DD85" s="39">
        <v>0.0</v>
      </c>
      <c r="DE85" s="32">
        <v>17.0</v>
      </c>
      <c r="DF85" s="37"/>
      <c r="DG85" s="37"/>
      <c r="DH85" s="39">
        <v>0.0</v>
      </c>
      <c r="DI85" s="32">
        <v>17.0</v>
      </c>
      <c r="DJ85" s="32" t="s">
        <v>9766</v>
      </c>
      <c r="DK85" s="32">
        <v>56.0</v>
      </c>
      <c r="DL85" s="32" t="s">
        <v>3598</v>
      </c>
      <c r="DM85" s="39">
        <v>0.0</v>
      </c>
      <c r="DN85" s="32" t="s">
        <v>9766</v>
      </c>
      <c r="DO85" s="32">
        <v>57.0</v>
      </c>
      <c r="DP85" s="37"/>
      <c r="DQ85" s="37"/>
      <c r="DR85" s="32" t="s">
        <v>9766</v>
      </c>
      <c r="DS85" s="32">
        <v>55.0</v>
      </c>
      <c r="DT85" s="32">
        <v>0.0</v>
      </c>
      <c r="DU85" s="32">
        <v>0.0</v>
      </c>
      <c r="DV85" s="39">
        <v>0.0</v>
      </c>
      <c r="DW85" s="32">
        <v>21.0</v>
      </c>
      <c r="DX85" s="32">
        <v>0.0</v>
      </c>
      <c r="DY85" s="39">
        <v>0.0</v>
      </c>
      <c r="DZ85" s="32">
        <v>6.0</v>
      </c>
      <c r="EA85" s="32">
        <v>1.0</v>
      </c>
      <c r="EB85" s="32">
        <v>4.0</v>
      </c>
      <c r="EC85" s="37"/>
      <c r="ED85" s="37"/>
      <c r="EE85" s="32">
        <v>2.0</v>
      </c>
      <c r="EF85" s="35" t="s">
        <v>7933</v>
      </c>
      <c r="EG85" s="32">
        <v>0.33</v>
      </c>
      <c r="EH85" s="62">
        <v>45203.0</v>
      </c>
      <c r="EI85" s="35" t="s">
        <v>3589</v>
      </c>
      <c r="EJ85" s="37"/>
      <c r="EK85" s="37"/>
      <c r="EL85" s="37"/>
      <c r="EM85" s="34"/>
      <c r="EN85" s="37"/>
      <c r="EO85" s="37"/>
      <c r="EP85" s="37"/>
      <c r="EQ85" s="37"/>
      <c r="ER85" s="35" t="s">
        <v>7279</v>
      </c>
      <c r="ES85" s="34"/>
      <c r="ET85" s="35" t="s">
        <v>47</v>
      </c>
      <c r="EU85" s="32">
        <v>8.0</v>
      </c>
      <c r="EV85" s="40" t="s">
        <v>3559</v>
      </c>
    </row>
    <row r="86">
      <c r="B86" s="35" t="s">
        <v>788</v>
      </c>
      <c r="C86" s="32">
        <v>126.0</v>
      </c>
      <c r="D86" s="35" t="s">
        <v>9917</v>
      </c>
      <c r="E86" s="35" t="s">
        <v>3563</v>
      </c>
      <c r="F86" s="35" t="s">
        <v>3564</v>
      </c>
      <c r="G86" s="35" t="s">
        <v>3565</v>
      </c>
      <c r="H86" s="35" t="s">
        <v>8495</v>
      </c>
      <c r="I86" s="60">
        <v>45869.0</v>
      </c>
      <c r="J86" s="35" t="s">
        <v>3759</v>
      </c>
      <c r="K86" s="35" t="s">
        <v>3760</v>
      </c>
      <c r="L86" s="35" t="s">
        <v>3761</v>
      </c>
      <c r="M86" s="34"/>
      <c r="N86" s="34"/>
      <c r="O86" s="35" t="s">
        <v>3756</v>
      </c>
      <c r="P86" s="35" t="s">
        <v>3762</v>
      </c>
      <c r="Q86" s="32">
        <v>62.0</v>
      </c>
      <c r="R86" s="35" t="s">
        <v>3602</v>
      </c>
      <c r="S86" s="39">
        <v>0.93</v>
      </c>
      <c r="T86" s="39">
        <v>0.07</v>
      </c>
      <c r="U86" s="35" t="s">
        <v>3603</v>
      </c>
      <c r="V86" s="39">
        <v>0.11</v>
      </c>
      <c r="W86" s="39">
        <v>0.82</v>
      </c>
      <c r="X86" s="35" t="s">
        <v>9918</v>
      </c>
      <c r="Y86" s="35" t="s">
        <v>3762</v>
      </c>
      <c r="Z86" s="35" t="s">
        <v>9919</v>
      </c>
      <c r="AA86" s="35" t="s">
        <v>3569</v>
      </c>
      <c r="AB86" s="32">
        <v>80.91</v>
      </c>
      <c r="AC86" s="35" t="s">
        <v>3571</v>
      </c>
      <c r="AD86" s="35" t="s">
        <v>3572</v>
      </c>
      <c r="AE86" s="35" t="s">
        <v>3573</v>
      </c>
      <c r="AF86" s="36" t="s">
        <v>3763</v>
      </c>
      <c r="AG86" s="36" t="s">
        <v>3764</v>
      </c>
      <c r="AH86" s="32">
        <v>126.0</v>
      </c>
      <c r="AI86" s="35" t="s">
        <v>9917</v>
      </c>
      <c r="AJ86" s="34"/>
      <c r="AK86" s="34"/>
      <c r="AL86" s="32">
        <v>2017.0</v>
      </c>
      <c r="AM86" s="34"/>
      <c r="AN86" s="35" t="s">
        <v>3767</v>
      </c>
      <c r="AO86" s="35" t="s">
        <v>3768</v>
      </c>
      <c r="AP86" s="35" t="s">
        <v>3769</v>
      </c>
      <c r="AQ86" s="34"/>
      <c r="AR86" s="34"/>
      <c r="AS86" s="37"/>
      <c r="AT86" s="37"/>
      <c r="AU86" s="37"/>
      <c r="AV86" s="37"/>
      <c r="AW86" s="37"/>
      <c r="AX86" s="37"/>
      <c r="AY86" s="37"/>
      <c r="AZ86" s="37"/>
      <c r="BA86" s="37"/>
      <c r="BB86" s="37"/>
      <c r="BC86" s="35" t="s">
        <v>3766</v>
      </c>
      <c r="BD86" s="61"/>
      <c r="BE86" s="35" t="s">
        <v>3581</v>
      </c>
      <c r="BF86" s="35" t="s">
        <v>3770</v>
      </c>
      <c r="BG86" s="34"/>
      <c r="BH86" s="35" t="s">
        <v>75</v>
      </c>
      <c r="BI86" s="34"/>
      <c r="BJ86" s="32">
        <v>6706206.0</v>
      </c>
      <c r="BK86" s="35" t="s">
        <v>41</v>
      </c>
      <c r="BL86" s="37"/>
      <c r="BM86" s="37"/>
      <c r="BN86" s="35" t="s">
        <v>795</v>
      </c>
      <c r="BO86" s="35" t="s">
        <v>3584</v>
      </c>
      <c r="BP86" s="35" t="s">
        <v>3584</v>
      </c>
      <c r="BQ86" s="35" t="s">
        <v>3771</v>
      </c>
      <c r="BR86" s="35" t="s">
        <v>9920</v>
      </c>
      <c r="BS86" s="32">
        <v>25.0</v>
      </c>
      <c r="BT86" s="34"/>
      <c r="BU86" s="35" t="s">
        <v>3773</v>
      </c>
      <c r="BV86" s="34"/>
      <c r="BW86" s="35" t="s">
        <v>9921</v>
      </c>
      <c r="BX86" s="35" t="s">
        <v>9922</v>
      </c>
      <c r="BY86" s="34"/>
      <c r="BZ86" s="34"/>
      <c r="CA86" s="35" t="s">
        <v>3776</v>
      </c>
      <c r="CB86" s="62">
        <v>42736.0</v>
      </c>
      <c r="CC86" s="37"/>
      <c r="CD86" s="34"/>
      <c r="CE86" s="37"/>
      <c r="CF86" s="34"/>
      <c r="CG86" s="35" t="s">
        <v>4102</v>
      </c>
      <c r="CH86" s="34"/>
      <c r="CI86" s="34"/>
      <c r="CJ86" s="35" t="s">
        <v>3590</v>
      </c>
      <c r="CK86" s="34"/>
      <c r="CL86" s="35" t="s">
        <v>3591</v>
      </c>
      <c r="CM86" s="60">
        <v>45552.0</v>
      </c>
      <c r="CN86" s="32">
        <v>20.0</v>
      </c>
      <c r="CO86" s="35" t="s">
        <v>3593</v>
      </c>
      <c r="CP86" s="32">
        <v>845.68</v>
      </c>
      <c r="CQ86" s="35" t="s">
        <v>3593</v>
      </c>
      <c r="CR86" s="35" t="s">
        <v>3594</v>
      </c>
      <c r="CS86" s="34"/>
      <c r="CT86" s="34"/>
      <c r="CU86" s="35" t="s">
        <v>3573</v>
      </c>
      <c r="CV86" s="62">
        <v>43286.0</v>
      </c>
      <c r="CW86" s="32">
        <v>0.35</v>
      </c>
      <c r="CX86" s="34"/>
      <c r="CY86" s="35" t="s">
        <v>3591</v>
      </c>
      <c r="CZ86" s="39">
        <v>0.0</v>
      </c>
      <c r="DA86" s="32">
        <v>19.0</v>
      </c>
      <c r="DB86" s="39">
        <v>0.0</v>
      </c>
      <c r="DC86" s="39">
        <v>0.0</v>
      </c>
      <c r="DD86" s="39">
        <v>0.0</v>
      </c>
      <c r="DE86" s="32">
        <v>17.0</v>
      </c>
      <c r="DF86" s="37"/>
      <c r="DG86" s="37"/>
      <c r="DH86" s="39">
        <v>0.0</v>
      </c>
      <c r="DI86" s="32">
        <v>17.0</v>
      </c>
      <c r="DJ86" s="32" t="s">
        <v>8022</v>
      </c>
      <c r="DK86" s="32">
        <v>66.0</v>
      </c>
      <c r="DL86" s="32" t="s">
        <v>3598</v>
      </c>
      <c r="DM86" s="39">
        <v>0.0</v>
      </c>
      <c r="DN86" s="32" t="s">
        <v>8022</v>
      </c>
      <c r="DO86" s="32">
        <v>66.0</v>
      </c>
      <c r="DP86" s="37"/>
      <c r="DQ86" s="37"/>
      <c r="DR86" s="32" t="s">
        <v>8022</v>
      </c>
      <c r="DS86" s="32">
        <v>65.0</v>
      </c>
      <c r="DT86" s="49">
        <v>2087.0</v>
      </c>
      <c r="DU86" s="32">
        <v>70.0</v>
      </c>
      <c r="DV86" s="39">
        <v>0.0347</v>
      </c>
      <c r="DW86" s="32">
        <v>36.0</v>
      </c>
      <c r="DX86" s="32">
        <v>0.0</v>
      </c>
      <c r="DY86" s="39">
        <v>0.0</v>
      </c>
      <c r="DZ86" s="32">
        <v>23.0</v>
      </c>
      <c r="EA86" s="32">
        <v>3.0</v>
      </c>
      <c r="EB86" s="32">
        <v>11.0</v>
      </c>
      <c r="EC86" s="32">
        <v>7.0</v>
      </c>
      <c r="ED86" s="37"/>
      <c r="EE86" s="32">
        <v>5.0</v>
      </c>
      <c r="EF86" s="35" t="s">
        <v>9923</v>
      </c>
      <c r="EG86" s="32">
        <v>845.68</v>
      </c>
      <c r="EH86" s="60">
        <v>45552.0</v>
      </c>
      <c r="EI86" s="35" t="s">
        <v>3594</v>
      </c>
      <c r="EJ86" s="37"/>
      <c r="EK86" s="37"/>
      <c r="EL86" s="37"/>
      <c r="EM86" s="34"/>
      <c r="EN86" s="37"/>
      <c r="EO86" s="37"/>
      <c r="EP86" s="37"/>
      <c r="EQ86" s="32">
        <v>9.87</v>
      </c>
      <c r="ER86" s="35" t="s">
        <v>8495</v>
      </c>
      <c r="ES86" s="34"/>
      <c r="ET86" s="35" t="s">
        <v>47</v>
      </c>
      <c r="EU86" s="32">
        <v>5.0</v>
      </c>
      <c r="EV86" s="40" t="s">
        <v>3559</v>
      </c>
    </row>
    <row r="87">
      <c r="B87" s="42" t="s">
        <v>8444</v>
      </c>
      <c r="C87" s="45"/>
      <c r="D87" s="43"/>
      <c r="E87" s="42" t="s">
        <v>4560</v>
      </c>
      <c r="F87" s="42" t="s">
        <v>4561</v>
      </c>
      <c r="G87" s="42" t="s">
        <v>5511</v>
      </c>
      <c r="H87" s="42" t="s">
        <v>6078</v>
      </c>
      <c r="I87" s="63">
        <v>45183.0</v>
      </c>
      <c r="J87" s="42" t="s">
        <v>8446</v>
      </c>
      <c r="K87" s="42" t="s">
        <v>8447</v>
      </c>
      <c r="L87" s="42" t="s">
        <v>8448</v>
      </c>
      <c r="M87" s="43"/>
      <c r="N87" s="43"/>
      <c r="O87" s="43"/>
      <c r="P87" s="42" t="s">
        <v>8449</v>
      </c>
      <c r="Q87" s="42"/>
      <c r="R87" s="42"/>
      <c r="S87" s="42"/>
      <c r="T87" s="42"/>
      <c r="U87" s="42"/>
      <c r="V87" s="42"/>
      <c r="W87" s="42"/>
      <c r="X87" s="43"/>
      <c r="Y87" s="42" t="s">
        <v>8449</v>
      </c>
      <c r="Z87" s="42" t="s">
        <v>8445</v>
      </c>
      <c r="AA87" s="42" t="s">
        <v>5481</v>
      </c>
      <c r="AB87" s="45"/>
      <c r="AC87" s="42" t="s">
        <v>5222</v>
      </c>
      <c r="AD87" s="42" t="s">
        <v>5222</v>
      </c>
      <c r="AE87" s="42" t="s">
        <v>3573</v>
      </c>
      <c r="AF87" s="44" t="s">
        <v>8450</v>
      </c>
      <c r="AG87" s="44" t="s">
        <v>8451</v>
      </c>
      <c r="AH87" s="45"/>
      <c r="AI87" s="43"/>
      <c r="AJ87" s="43"/>
      <c r="AK87" s="43"/>
      <c r="AL87" s="41">
        <v>2015.0</v>
      </c>
      <c r="AM87" s="43"/>
      <c r="AN87" s="43"/>
      <c r="AO87" s="43"/>
      <c r="AP87" s="43"/>
      <c r="AQ87" s="43"/>
      <c r="AR87" s="43"/>
      <c r="AS87" s="45"/>
      <c r="AT87" s="45"/>
      <c r="AU87" s="45"/>
      <c r="AV87" s="45"/>
      <c r="AW87" s="45"/>
      <c r="AX87" s="45"/>
      <c r="AY87" s="45"/>
      <c r="AZ87" s="45"/>
      <c r="BA87" s="45"/>
      <c r="BB87" s="45"/>
      <c r="BC87" s="43"/>
      <c r="BD87" s="64"/>
      <c r="BE87" s="42" t="s">
        <v>3581</v>
      </c>
      <c r="BF87" s="42" t="s">
        <v>8452</v>
      </c>
      <c r="BG87" s="43"/>
      <c r="BH87" s="42" t="s">
        <v>75</v>
      </c>
      <c r="BI87" s="43"/>
      <c r="BJ87" s="45"/>
      <c r="BK87" s="42" t="s">
        <v>41</v>
      </c>
      <c r="BL87" s="45"/>
      <c r="BM87" s="45"/>
      <c r="BN87" s="43"/>
      <c r="BO87" s="42" t="s">
        <v>3584</v>
      </c>
      <c r="BP87" s="42" t="s">
        <v>3584</v>
      </c>
      <c r="BQ87" s="42" t="s">
        <v>8453</v>
      </c>
      <c r="BR87" s="43"/>
      <c r="BS87" s="45"/>
      <c r="BT87" s="43"/>
      <c r="BU87" s="42" t="s">
        <v>8454</v>
      </c>
      <c r="BV87" s="43"/>
      <c r="BW87" s="43"/>
      <c r="BX87" s="42" t="s">
        <v>8455</v>
      </c>
      <c r="BY87" s="43"/>
      <c r="BZ87" s="43"/>
      <c r="CA87" s="43"/>
      <c r="CB87" s="45"/>
      <c r="CC87" s="45"/>
      <c r="CD87" s="43"/>
      <c r="CE87" s="45"/>
      <c r="CF87" s="43"/>
      <c r="CG87" s="42" t="s">
        <v>3589</v>
      </c>
      <c r="CH87" s="43"/>
      <c r="CI87" s="43"/>
      <c r="CJ87" s="42" t="s">
        <v>3590</v>
      </c>
      <c r="CK87" s="43"/>
      <c r="CL87" s="42" t="s">
        <v>3591</v>
      </c>
      <c r="CM87" s="65">
        <v>43070.0</v>
      </c>
      <c r="CN87" s="45"/>
      <c r="CO87" s="43"/>
      <c r="CP87" s="45"/>
      <c r="CQ87" s="43"/>
      <c r="CR87" s="42" t="s">
        <v>5222</v>
      </c>
      <c r="CS87" s="43"/>
      <c r="CT87" s="43"/>
      <c r="CU87" s="42" t="s">
        <v>5222</v>
      </c>
      <c r="CV87" s="45"/>
      <c r="CW87" s="45"/>
      <c r="CX87" s="43"/>
      <c r="CY87" s="42" t="s">
        <v>3591</v>
      </c>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3"/>
      <c r="EG87" s="45"/>
      <c r="EH87" s="45"/>
      <c r="EI87" s="43"/>
      <c r="EJ87" s="45"/>
      <c r="EK87" s="45"/>
      <c r="EL87" s="45"/>
      <c r="EM87" s="43"/>
      <c r="EN87" s="45"/>
      <c r="EO87" s="45"/>
      <c r="EP87" s="45"/>
      <c r="EQ87" s="45"/>
      <c r="ER87" s="42" t="s">
        <v>6078</v>
      </c>
      <c r="ES87" s="43"/>
      <c r="ET87" s="43"/>
      <c r="EU87" s="45"/>
      <c r="EV87" s="48" t="s">
        <v>3559</v>
      </c>
    </row>
    <row r="88">
      <c r="B88" s="42" t="s">
        <v>4459</v>
      </c>
      <c r="C88" s="41">
        <v>10.0</v>
      </c>
      <c r="D88" s="42" t="s">
        <v>9924</v>
      </c>
      <c r="E88" s="42" t="s">
        <v>3563</v>
      </c>
      <c r="F88" s="42" t="s">
        <v>3609</v>
      </c>
      <c r="G88" s="42" t="s">
        <v>3610</v>
      </c>
      <c r="H88" s="42" t="s">
        <v>9773</v>
      </c>
      <c r="I88" s="69">
        <v>45901.0</v>
      </c>
      <c r="J88" s="42" t="s">
        <v>4463</v>
      </c>
      <c r="K88" s="42" t="s">
        <v>4464</v>
      </c>
      <c r="L88" s="42" t="s">
        <v>4465</v>
      </c>
      <c r="M88" s="42" t="s">
        <v>4460</v>
      </c>
      <c r="N88" s="42" t="s">
        <v>9925</v>
      </c>
      <c r="O88" s="42" t="s">
        <v>4461</v>
      </c>
      <c r="P88" s="42" t="s">
        <v>4466</v>
      </c>
      <c r="Q88" s="41">
        <v>46.0</v>
      </c>
      <c r="R88" s="42" t="s">
        <v>4379</v>
      </c>
      <c r="S88" s="47">
        <v>0.4</v>
      </c>
      <c r="T88" s="47">
        <v>0.6</v>
      </c>
      <c r="U88" s="42" t="s">
        <v>4379</v>
      </c>
      <c r="V88" s="47">
        <v>0.01</v>
      </c>
      <c r="W88" s="47">
        <v>0.39</v>
      </c>
      <c r="X88" s="43"/>
      <c r="Y88" s="42" t="s">
        <v>4466</v>
      </c>
      <c r="Z88" s="42" t="s">
        <v>4462</v>
      </c>
      <c r="AA88" s="42" t="s">
        <v>3569</v>
      </c>
      <c r="AB88" s="41">
        <v>6.5</v>
      </c>
      <c r="AC88" s="42" t="s">
        <v>3571</v>
      </c>
      <c r="AD88" s="42" t="s">
        <v>3572</v>
      </c>
      <c r="AE88" s="42" t="s">
        <v>3573</v>
      </c>
      <c r="AF88" s="44" t="s">
        <v>4467</v>
      </c>
      <c r="AG88" s="44" t="s">
        <v>4468</v>
      </c>
      <c r="AH88" s="41">
        <v>10.0</v>
      </c>
      <c r="AI88" s="42" t="s">
        <v>9924</v>
      </c>
      <c r="AJ88" s="43"/>
      <c r="AK88" s="43"/>
      <c r="AL88" s="41">
        <v>2018.0</v>
      </c>
      <c r="AM88" s="43"/>
      <c r="AN88" s="42" t="s">
        <v>4471</v>
      </c>
      <c r="AO88" s="42" t="s">
        <v>3579</v>
      </c>
      <c r="AP88" s="42" t="s">
        <v>4472</v>
      </c>
      <c r="AQ88" s="43"/>
      <c r="AR88" s="43"/>
      <c r="AS88" s="45"/>
      <c r="AT88" s="45"/>
      <c r="AU88" s="45"/>
      <c r="AV88" s="45"/>
      <c r="AW88" s="45"/>
      <c r="AX88" s="45"/>
      <c r="AY88" s="45"/>
      <c r="AZ88" s="45"/>
      <c r="BA88" s="45"/>
      <c r="BB88" s="45"/>
      <c r="BC88" s="42" t="s">
        <v>4470</v>
      </c>
      <c r="BD88" s="64"/>
      <c r="BE88" s="42" t="s">
        <v>4473</v>
      </c>
      <c r="BF88" s="42" t="s">
        <v>4474</v>
      </c>
      <c r="BG88" s="43"/>
      <c r="BH88" s="42" t="s">
        <v>530</v>
      </c>
      <c r="BI88" s="42" t="s">
        <v>4475</v>
      </c>
      <c r="BJ88" s="41">
        <v>7658900.0</v>
      </c>
      <c r="BK88" s="42" t="s">
        <v>41</v>
      </c>
      <c r="BL88" s="45"/>
      <c r="BM88" s="45"/>
      <c r="BN88" s="43"/>
      <c r="BO88" s="42" t="s">
        <v>3584</v>
      </c>
      <c r="BP88" s="42" t="s">
        <v>3584</v>
      </c>
      <c r="BQ88" s="42" t="s">
        <v>4476</v>
      </c>
      <c r="BR88" s="42" t="s">
        <v>4477</v>
      </c>
      <c r="BS88" s="41">
        <v>3.0</v>
      </c>
      <c r="BT88" s="43"/>
      <c r="BU88" s="43"/>
      <c r="BV88" s="43"/>
      <c r="BW88" s="42" t="s">
        <v>4478</v>
      </c>
      <c r="BX88" s="43"/>
      <c r="BY88" s="43"/>
      <c r="BZ88" s="43"/>
      <c r="CA88" s="43"/>
      <c r="CB88" s="65">
        <v>43617.0</v>
      </c>
      <c r="CC88" s="45"/>
      <c r="CD88" s="43"/>
      <c r="CE88" s="45"/>
      <c r="CF88" s="43"/>
      <c r="CG88" s="42" t="s">
        <v>3698</v>
      </c>
      <c r="CH88" s="42" t="s">
        <v>3698</v>
      </c>
      <c r="CI88" s="43"/>
      <c r="CJ88" s="42" t="s">
        <v>3573</v>
      </c>
      <c r="CK88" s="43"/>
      <c r="CL88" s="42" t="s">
        <v>3591</v>
      </c>
      <c r="CM88" s="63">
        <v>45015.0</v>
      </c>
      <c r="CN88" s="41">
        <v>6.5</v>
      </c>
      <c r="CO88" s="42" t="s">
        <v>3593</v>
      </c>
      <c r="CP88" s="45"/>
      <c r="CQ88" s="43"/>
      <c r="CR88" s="42" t="s">
        <v>3698</v>
      </c>
      <c r="CS88" s="42" t="s">
        <v>3698</v>
      </c>
      <c r="CT88" s="43"/>
      <c r="CU88" s="42" t="s">
        <v>3573</v>
      </c>
      <c r="CV88" s="45"/>
      <c r="CW88" s="45"/>
      <c r="CX88" s="43"/>
      <c r="CY88" s="42" t="s">
        <v>3591</v>
      </c>
      <c r="CZ88" s="47">
        <v>0.0</v>
      </c>
      <c r="DA88" s="41">
        <v>19.0</v>
      </c>
      <c r="DB88" s="47">
        <v>0.0</v>
      </c>
      <c r="DC88" s="47">
        <v>0.0</v>
      </c>
      <c r="DD88" s="47">
        <v>0.0</v>
      </c>
      <c r="DE88" s="41">
        <v>17.0</v>
      </c>
      <c r="DF88" s="47">
        <v>0.0</v>
      </c>
      <c r="DG88" s="41">
        <v>11.0</v>
      </c>
      <c r="DH88" s="45"/>
      <c r="DI88" s="45"/>
      <c r="DJ88" s="41" t="s">
        <v>8489</v>
      </c>
      <c r="DK88" s="41">
        <v>30.0</v>
      </c>
      <c r="DL88" s="41" t="s">
        <v>3598</v>
      </c>
      <c r="DM88" s="47">
        <v>0.0</v>
      </c>
      <c r="DN88" s="41" t="s">
        <v>4727</v>
      </c>
      <c r="DO88" s="41">
        <v>1.0</v>
      </c>
      <c r="DP88" s="41" t="s">
        <v>4727</v>
      </c>
      <c r="DQ88" s="41">
        <v>34.0</v>
      </c>
      <c r="DR88" s="45"/>
      <c r="DS88" s="45"/>
      <c r="DT88" s="41">
        <v>0.0</v>
      </c>
      <c r="DU88" s="41">
        <v>0.0</v>
      </c>
      <c r="DV88" s="47">
        <v>0.0</v>
      </c>
      <c r="DW88" s="45"/>
      <c r="DX88" s="45"/>
      <c r="DY88" s="45"/>
      <c r="DZ88" s="41">
        <v>17.0</v>
      </c>
      <c r="EA88" s="41">
        <v>5.0</v>
      </c>
      <c r="EB88" s="41">
        <v>8.0</v>
      </c>
      <c r="EC88" s="41">
        <v>7.0</v>
      </c>
      <c r="ED88" s="41">
        <v>1.0</v>
      </c>
      <c r="EE88" s="41">
        <v>2.0</v>
      </c>
      <c r="EF88" s="42" t="s">
        <v>4483</v>
      </c>
      <c r="EG88" s="45"/>
      <c r="EH88" s="45"/>
      <c r="EI88" s="43"/>
      <c r="EJ88" s="45"/>
      <c r="EK88" s="45"/>
      <c r="EL88" s="45"/>
      <c r="EM88" s="43"/>
      <c r="EN88" s="45"/>
      <c r="EO88" s="45"/>
      <c r="EP88" s="45"/>
      <c r="EQ88" s="45"/>
      <c r="ER88" s="42" t="s">
        <v>9773</v>
      </c>
      <c r="ES88" s="43"/>
      <c r="ET88" s="43"/>
      <c r="EU88" s="45"/>
      <c r="EV88" s="48" t="s">
        <v>3559</v>
      </c>
    </row>
    <row r="89">
      <c r="B89" s="42" t="s">
        <v>8491</v>
      </c>
      <c r="C89" s="41">
        <v>15.0</v>
      </c>
      <c r="D89" s="42" t="s">
        <v>9926</v>
      </c>
      <c r="E89" s="42" t="s">
        <v>3563</v>
      </c>
      <c r="F89" s="42" t="s">
        <v>3609</v>
      </c>
      <c r="G89" s="42" t="s">
        <v>3610</v>
      </c>
      <c r="H89" s="42" t="s">
        <v>8495</v>
      </c>
      <c r="I89" s="63">
        <v>45735.0</v>
      </c>
      <c r="J89" s="42" t="s">
        <v>8494</v>
      </c>
      <c r="K89" s="42" t="s">
        <v>8495</v>
      </c>
      <c r="L89" s="42" t="s">
        <v>8496</v>
      </c>
      <c r="M89" s="43"/>
      <c r="N89" s="42" t="s">
        <v>9927</v>
      </c>
      <c r="O89" s="42" t="s">
        <v>8492</v>
      </c>
      <c r="P89" s="42" t="s">
        <v>8497</v>
      </c>
      <c r="Q89" s="42"/>
      <c r="R89" s="42"/>
      <c r="S89" s="42"/>
      <c r="T89" s="42"/>
      <c r="U89" s="42"/>
      <c r="V89" s="42"/>
      <c r="W89" s="42"/>
      <c r="X89" s="43"/>
      <c r="Y89" s="42" t="s">
        <v>8497</v>
      </c>
      <c r="Z89" s="42" t="s">
        <v>8493</v>
      </c>
      <c r="AA89" s="42" t="s">
        <v>4962</v>
      </c>
      <c r="AB89" s="41">
        <v>3.0</v>
      </c>
      <c r="AC89" s="42" t="s">
        <v>3571</v>
      </c>
      <c r="AD89" s="42" t="s">
        <v>3572</v>
      </c>
      <c r="AE89" s="42" t="s">
        <v>3603</v>
      </c>
      <c r="AF89" s="44" t="s">
        <v>8498</v>
      </c>
      <c r="AG89" s="44" t="s">
        <v>8499</v>
      </c>
      <c r="AH89" s="41">
        <v>15.0</v>
      </c>
      <c r="AI89" s="42" t="s">
        <v>9926</v>
      </c>
      <c r="AJ89" s="43"/>
      <c r="AK89" s="43"/>
      <c r="AL89" s="41">
        <v>2017.0</v>
      </c>
      <c r="AM89" s="43"/>
      <c r="AN89" s="42" t="s">
        <v>8502</v>
      </c>
      <c r="AO89" s="42" t="s">
        <v>3579</v>
      </c>
      <c r="AP89" s="42" t="s">
        <v>656</v>
      </c>
      <c r="AQ89" s="43"/>
      <c r="AR89" s="43"/>
      <c r="AS89" s="45"/>
      <c r="AT89" s="45"/>
      <c r="AU89" s="45"/>
      <c r="AV89" s="45"/>
      <c r="AW89" s="45"/>
      <c r="AX89" s="45"/>
      <c r="AY89" s="45"/>
      <c r="AZ89" s="45"/>
      <c r="BA89" s="45"/>
      <c r="BB89" s="45"/>
      <c r="BC89" s="42" t="s">
        <v>8501</v>
      </c>
      <c r="BD89" s="64"/>
      <c r="BE89" s="42" t="s">
        <v>5689</v>
      </c>
      <c r="BF89" s="42" t="s">
        <v>8503</v>
      </c>
      <c r="BG89" s="43"/>
      <c r="BH89" s="42" t="s">
        <v>298</v>
      </c>
      <c r="BI89" s="43"/>
      <c r="BJ89" s="41">
        <v>5801427.0</v>
      </c>
      <c r="BK89" s="42" t="s">
        <v>41</v>
      </c>
      <c r="BL89" s="45"/>
      <c r="BM89" s="45"/>
      <c r="BN89" s="42" t="s">
        <v>659</v>
      </c>
      <c r="BO89" s="42" t="s">
        <v>3584</v>
      </c>
      <c r="BP89" s="42" t="s">
        <v>3584</v>
      </c>
      <c r="BQ89" s="42" t="s">
        <v>8504</v>
      </c>
      <c r="BR89" s="42" t="s">
        <v>8505</v>
      </c>
      <c r="BS89" s="41">
        <v>1.0</v>
      </c>
      <c r="BT89" s="43"/>
      <c r="BU89" s="43"/>
      <c r="BV89" s="43"/>
      <c r="BW89" s="42" t="s">
        <v>8506</v>
      </c>
      <c r="BX89" s="43"/>
      <c r="BY89" s="43"/>
      <c r="BZ89" s="43"/>
      <c r="CA89" s="43"/>
      <c r="CB89" s="65">
        <v>44228.0</v>
      </c>
      <c r="CC89" s="41">
        <v>3.0</v>
      </c>
      <c r="CD89" s="42" t="s">
        <v>3593</v>
      </c>
      <c r="CE89" s="41">
        <v>25.0</v>
      </c>
      <c r="CF89" s="42" t="s">
        <v>3697</v>
      </c>
      <c r="CG89" s="42" t="s">
        <v>3663</v>
      </c>
      <c r="CH89" s="42" t="s">
        <v>3663</v>
      </c>
      <c r="CI89" s="43"/>
      <c r="CJ89" s="42" t="s">
        <v>3663</v>
      </c>
      <c r="CK89" s="43"/>
      <c r="CL89" s="42" t="s">
        <v>3591</v>
      </c>
      <c r="CM89" s="65">
        <v>44228.0</v>
      </c>
      <c r="CN89" s="41">
        <v>3.0</v>
      </c>
      <c r="CO89" s="42" t="s">
        <v>3593</v>
      </c>
      <c r="CP89" s="41">
        <v>25.0</v>
      </c>
      <c r="CQ89" s="42" t="s">
        <v>3697</v>
      </c>
      <c r="CR89" s="42" t="s">
        <v>3663</v>
      </c>
      <c r="CS89" s="42" t="s">
        <v>3663</v>
      </c>
      <c r="CT89" s="43"/>
      <c r="CU89" s="42" t="s">
        <v>3663</v>
      </c>
      <c r="CV89" s="45"/>
      <c r="CW89" s="45"/>
      <c r="CX89" s="43"/>
      <c r="CY89" s="42" t="s">
        <v>3591</v>
      </c>
      <c r="CZ89" s="47">
        <v>0.0</v>
      </c>
      <c r="DA89" s="41">
        <v>19.0</v>
      </c>
      <c r="DB89" s="47">
        <v>0.0</v>
      </c>
      <c r="DC89" s="47">
        <v>0.0</v>
      </c>
      <c r="DD89" s="47">
        <v>0.0</v>
      </c>
      <c r="DE89" s="41">
        <v>17.0</v>
      </c>
      <c r="DF89" s="47">
        <v>0.0</v>
      </c>
      <c r="DG89" s="41">
        <v>11.0</v>
      </c>
      <c r="DH89" s="47">
        <v>0.0</v>
      </c>
      <c r="DI89" s="41">
        <v>17.0</v>
      </c>
      <c r="DJ89" s="41" t="s">
        <v>6633</v>
      </c>
      <c r="DK89" s="41">
        <v>23.0</v>
      </c>
      <c r="DL89" s="41" t="s">
        <v>3598</v>
      </c>
      <c r="DM89" s="47">
        <v>0.0</v>
      </c>
      <c r="DN89" s="41" t="s">
        <v>6633</v>
      </c>
      <c r="DO89" s="41">
        <v>26.0</v>
      </c>
      <c r="DP89" s="41" t="s">
        <v>6515</v>
      </c>
      <c r="DQ89" s="41">
        <v>5.0</v>
      </c>
      <c r="DR89" s="41" t="s">
        <v>5718</v>
      </c>
      <c r="DS89" s="41">
        <v>40.0</v>
      </c>
      <c r="DT89" s="41">
        <v>0.0</v>
      </c>
      <c r="DU89" s="41">
        <v>0.0</v>
      </c>
      <c r="DV89" s="47">
        <v>0.0</v>
      </c>
      <c r="DW89" s="41">
        <v>12.0</v>
      </c>
      <c r="DX89" s="41">
        <v>0.0</v>
      </c>
      <c r="DY89" s="47">
        <v>0.0</v>
      </c>
      <c r="DZ89" s="41">
        <v>10.0</v>
      </c>
      <c r="EA89" s="41">
        <v>3.0</v>
      </c>
      <c r="EB89" s="41">
        <v>1.0</v>
      </c>
      <c r="EC89" s="45"/>
      <c r="ED89" s="45"/>
      <c r="EE89" s="41">
        <v>9.0</v>
      </c>
      <c r="EF89" s="42" t="s">
        <v>6993</v>
      </c>
      <c r="EG89" s="41">
        <v>25.0</v>
      </c>
      <c r="EH89" s="65">
        <v>44228.0</v>
      </c>
      <c r="EI89" s="42" t="s">
        <v>3663</v>
      </c>
      <c r="EJ89" s="45"/>
      <c r="EK89" s="45"/>
      <c r="EL89" s="45"/>
      <c r="EM89" s="43"/>
      <c r="EN89" s="45"/>
      <c r="EO89" s="45"/>
      <c r="EP89" s="45"/>
      <c r="EQ89" s="45"/>
      <c r="ER89" s="42" t="s">
        <v>8495</v>
      </c>
      <c r="ES89" s="43"/>
      <c r="ET89" s="42" t="s">
        <v>47</v>
      </c>
      <c r="EU89" s="41">
        <v>15.0</v>
      </c>
      <c r="EV89" s="48" t="s">
        <v>3559</v>
      </c>
    </row>
    <row r="90">
      <c r="B90" s="42" t="s">
        <v>2389</v>
      </c>
      <c r="C90" s="41">
        <v>5.0</v>
      </c>
      <c r="D90" s="42" t="s">
        <v>8896</v>
      </c>
      <c r="E90" s="42" t="s">
        <v>4560</v>
      </c>
      <c r="F90" s="42" t="s">
        <v>4561</v>
      </c>
      <c r="G90" s="42" t="s">
        <v>66</v>
      </c>
      <c r="H90" s="42" t="s">
        <v>9890</v>
      </c>
      <c r="I90" s="63">
        <v>45940.0</v>
      </c>
      <c r="J90" s="42" t="s">
        <v>8890</v>
      </c>
      <c r="K90" s="42" t="s">
        <v>8891</v>
      </c>
      <c r="L90" s="42" t="s">
        <v>8892</v>
      </c>
      <c r="M90" s="43"/>
      <c r="N90" s="43"/>
      <c r="O90" s="42" t="s">
        <v>8888</v>
      </c>
      <c r="P90" s="42" t="s">
        <v>8893</v>
      </c>
      <c r="Q90" s="45"/>
      <c r="R90" s="43"/>
      <c r="S90" s="45"/>
      <c r="T90" s="45"/>
      <c r="U90" s="43"/>
      <c r="V90" s="45"/>
      <c r="W90" s="45"/>
      <c r="X90" s="43"/>
      <c r="Y90" s="42" t="s">
        <v>8893</v>
      </c>
      <c r="Z90" s="42" t="s">
        <v>8889</v>
      </c>
      <c r="AA90" s="42" t="s">
        <v>5145</v>
      </c>
      <c r="AB90" s="41">
        <v>0.01</v>
      </c>
      <c r="AC90" s="42" t="s">
        <v>3571</v>
      </c>
      <c r="AD90" s="42" t="s">
        <v>3572</v>
      </c>
      <c r="AE90" s="42" t="s">
        <v>5147</v>
      </c>
      <c r="AF90" s="44" t="s">
        <v>8894</v>
      </c>
      <c r="AG90" s="44" t="s">
        <v>8895</v>
      </c>
      <c r="AH90" s="41">
        <v>5.0</v>
      </c>
      <c r="AI90" s="42" t="s">
        <v>8896</v>
      </c>
      <c r="AJ90" s="43"/>
      <c r="AK90" s="43"/>
      <c r="AL90" s="41">
        <v>2015.0</v>
      </c>
      <c r="AM90" s="43"/>
      <c r="AN90" s="42" t="s">
        <v>8898</v>
      </c>
      <c r="AO90" s="42" t="s">
        <v>3579</v>
      </c>
      <c r="AP90" s="42" t="s">
        <v>2392</v>
      </c>
      <c r="AQ90" s="43"/>
      <c r="AR90" s="43"/>
      <c r="AS90" s="45"/>
      <c r="AT90" s="45"/>
      <c r="AU90" s="45"/>
      <c r="AV90" s="45"/>
      <c r="AW90" s="45"/>
      <c r="AX90" s="45"/>
      <c r="AY90" s="45"/>
      <c r="AZ90" s="45"/>
      <c r="BA90" s="45"/>
      <c r="BB90" s="45"/>
      <c r="BC90" s="42" t="s">
        <v>8897</v>
      </c>
      <c r="BD90" s="64"/>
      <c r="BE90" s="42" t="s">
        <v>3654</v>
      </c>
      <c r="BF90" s="42" t="s">
        <v>8899</v>
      </c>
      <c r="BG90" s="43"/>
      <c r="BH90" s="42" t="s">
        <v>147</v>
      </c>
      <c r="BI90" s="43"/>
      <c r="BJ90" s="41">
        <v>93385.0</v>
      </c>
      <c r="BK90" s="42" t="s">
        <v>41</v>
      </c>
      <c r="BL90" s="45" t="str">
        <f>+972 (0)2 673 5043</f>
        <v>#ERROR!</v>
      </c>
      <c r="BM90" s="45"/>
      <c r="BN90" s="43"/>
      <c r="BO90" s="42" t="s">
        <v>3584</v>
      </c>
      <c r="BP90" s="42" t="s">
        <v>3584</v>
      </c>
      <c r="BQ90" s="42" t="s">
        <v>8900</v>
      </c>
      <c r="BR90" s="42" t="s">
        <v>8901</v>
      </c>
      <c r="BS90" s="41">
        <v>1.0</v>
      </c>
      <c r="BT90" s="43"/>
      <c r="BU90" s="43"/>
      <c r="BV90" s="43"/>
      <c r="BW90" s="42" t="s">
        <v>8902</v>
      </c>
      <c r="BX90" s="43"/>
      <c r="BY90" s="43"/>
      <c r="BZ90" s="43"/>
      <c r="CA90" s="43"/>
      <c r="CB90" s="45"/>
      <c r="CC90" s="45"/>
      <c r="CD90" s="43"/>
      <c r="CE90" s="45"/>
      <c r="CF90" s="43"/>
      <c r="CG90" s="42" t="s">
        <v>3589</v>
      </c>
      <c r="CH90" s="43"/>
      <c r="CI90" s="43"/>
      <c r="CJ90" s="42" t="s">
        <v>3590</v>
      </c>
      <c r="CK90" s="43"/>
      <c r="CL90" s="42" t="s">
        <v>3591</v>
      </c>
      <c r="CM90" s="65">
        <v>43739.0</v>
      </c>
      <c r="CN90" s="41">
        <v>0.01</v>
      </c>
      <c r="CO90" s="42" t="s">
        <v>3593</v>
      </c>
      <c r="CP90" s="45"/>
      <c r="CQ90" s="43"/>
      <c r="CR90" s="42" t="s">
        <v>5462</v>
      </c>
      <c r="CS90" s="43"/>
      <c r="CT90" s="43"/>
      <c r="CU90" s="42" t="s">
        <v>3803</v>
      </c>
      <c r="CV90" s="45"/>
      <c r="CW90" s="45"/>
      <c r="CX90" s="43"/>
      <c r="CY90" s="42" t="s">
        <v>3591</v>
      </c>
      <c r="CZ90" s="47">
        <v>0.0</v>
      </c>
      <c r="DA90" s="41">
        <v>19.0</v>
      </c>
      <c r="DB90" s="47">
        <v>0.0</v>
      </c>
      <c r="DC90" s="47">
        <v>0.0</v>
      </c>
      <c r="DD90" s="47">
        <v>0.0</v>
      </c>
      <c r="DE90" s="41">
        <v>17.0</v>
      </c>
      <c r="DF90" s="45"/>
      <c r="DG90" s="45"/>
      <c r="DH90" s="47">
        <v>0.0</v>
      </c>
      <c r="DI90" s="41">
        <v>17.0</v>
      </c>
      <c r="DJ90" s="41" t="s">
        <v>9928</v>
      </c>
      <c r="DK90" s="41">
        <v>35.0</v>
      </c>
      <c r="DL90" s="41" t="s">
        <v>3598</v>
      </c>
      <c r="DM90" s="47">
        <v>0.0</v>
      </c>
      <c r="DN90" s="41" t="s">
        <v>9928</v>
      </c>
      <c r="DO90" s="41">
        <v>36.0</v>
      </c>
      <c r="DP90" s="45"/>
      <c r="DQ90" s="45"/>
      <c r="DR90" s="41" t="s">
        <v>9928</v>
      </c>
      <c r="DS90" s="41">
        <v>34.0</v>
      </c>
      <c r="DT90" s="45"/>
      <c r="DU90" s="45"/>
      <c r="DV90" s="45"/>
      <c r="DW90" s="41">
        <v>10.0</v>
      </c>
      <c r="DX90" s="41">
        <v>0.0</v>
      </c>
      <c r="DY90" s="47">
        <v>0.0</v>
      </c>
      <c r="DZ90" s="45"/>
      <c r="EA90" s="45"/>
      <c r="EB90" s="45"/>
      <c r="EC90" s="45"/>
      <c r="ED90" s="45"/>
      <c r="EE90" s="45"/>
      <c r="EF90" s="43"/>
      <c r="EG90" s="45"/>
      <c r="EH90" s="45"/>
      <c r="EI90" s="43"/>
      <c r="EJ90" s="45"/>
      <c r="EK90" s="45"/>
      <c r="EL90" s="45"/>
      <c r="EM90" s="43"/>
      <c r="EN90" s="45"/>
      <c r="EO90" s="45"/>
      <c r="EP90" s="45"/>
      <c r="EQ90" s="45"/>
      <c r="ER90" s="42" t="s">
        <v>9890</v>
      </c>
      <c r="ES90" s="43"/>
      <c r="ET90" s="43"/>
      <c r="EU90" s="45"/>
      <c r="EV90" s="48" t="s">
        <v>3559</v>
      </c>
    </row>
    <row r="91">
      <c r="B91" s="42" t="s">
        <v>372</v>
      </c>
      <c r="C91" s="41">
        <v>109.0</v>
      </c>
      <c r="D91" s="42" t="s">
        <v>9929</v>
      </c>
      <c r="E91" s="42" t="s">
        <v>3563</v>
      </c>
      <c r="F91" s="42" t="s">
        <v>351</v>
      </c>
      <c r="G91" s="42" t="s">
        <v>4111</v>
      </c>
      <c r="H91" s="42" t="s">
        <v>8495</v>
      </c>
      <c r="I91" s="71">
        <v>45852.0</v>
      </c>
      <c r="J91" s="42" t="s">
        <v>4112</v>
      </c>
      <c r="K91" s="42" t="s">
        <v>9930</v>
      </c>
      <c r="L91" s="42" t="s">
        <v>9931</v>
      </c>
      <c r="M91" s="43"/>
      <c r="N91" s="43"/>
      <c r="O91" s="42" t="s">
        <v>4109</v>
      </c>
      <c r="P91" s="42" t="s">
        <v>4115</v>
      </c>
      <c r="Q91" s="41">
        <v>52.0</v>
      </c>
      <c r="R91" s="42" t="s">
        <v>3602</v>
      </c>
      <c r="S91" s="47">
        <v>0.58</v>
      </c>
      <c r="T91" s="47">
        <v>0.42</v>
      </c>
      <c r="U91" s="42" t="s">
        <v>3603</v>
      </c>
      <c r="V91" s="47">
        <v>0.12</v>
      </c>
      <c r="W91" s="47">
        <v>0.46</v>
      </c>
      <c r="X91" s="43"/>
      <c r="Y91" s="42" t="s">
        <v>4115</v>
      </c>
      <c r="Z91" s="42" t="s">
        <v>9932</v>
      </c>
      <c r="AA91" s="42" t="s">
        <v>3569</v>
      </c>
      <c r="AB91" s="41">
        <v>96.1</v>
      </c>
      <c r="AC91" s="42" t="s">
        <v>3571</v>
      </c>
      <c r="AD91" s="42" t="s">
        <v>3572</v>
      </c>
      <c r="AE91" s="42" t="s">
        <v>3573</v>
      </c>
      <c r="AF91" s="44" t="s">
        <v>4116</v>
      </c>
      <c r="AG91" s="44" t="s">
        <v>4117</v>
      </c>
      <c r="AH91" s="41">
        <v>109.0</v>
      </c>
      <c r="AI91" s="42" t="s">
        <v>9929</v>
      </c>
      <c r="AJ91" s="43"/>
      <c r="AK91" s="43"/>
      <c r="AL91" s="41">
        <v>2017.0</v>
      </c>
      <c r="AM91" s="43"/>
      <c r="AN91" s="42" t="s">
        <v>374</v>
      </c>
      <c r="AO91" s="42" t="s">
        <v>3579</v>
      </c>
      <c r="AP91" s="42" t="s">
        <v>4120</v>
      </c>
      <c r="AQ91" s="43"/>
      <c r="AR91" s="43"/>
      <c r="AS91" s="45"/>
      <c r="AT91" s="45"/>
      <c r="AU91" s="45"/>
      <c r="AV91" s="45"/>
      <c r="AW91" s="45"/>
      <c r="AX91" s="45"/>
      <c r="AY91" s="45"/>
      <c r="AZ91" s="45"/>
      <c r="BA91" s="45"/>
      <c r="BB91" s="45"/>
      <c r="BC91" s="42" t="s">
        <v>4119</v>
      </c>
      <c r="BD91" s="64"/>
      <c r="BE91" s="42" t="s">
        <v>3581</v>
      </c>
      <c r="BF91" s="42" t="s">
        <v>4121</v>
      </c>
      <c r="BG91" s="43"/>
      <c r="BH91" s="42" t="s">
        <v>75</v>
      </c>
      <c r="BI91" s="43"/>
      <c r="BJ91" s="45"/>
      <c r="BK91" s="42" t="s">
        <v>41</v>
      </c>
      <c r="BL91" s="45"/>
      <c r="BM91" s="45"/>
      <c r="BN91" s="42" t="s">
        <v>377</v>
      </c>
      <c r="BO91" s="42" t="s">
        <v>3584</v>
      </c>
      <c r="BP91" s="42" t="s">
        <v>3584</v>
      </c>
      <c r="BQ91" s="42" t="s">
        <v>4122</v>
      </c>
      <c r="BR91" s="42" t="s">
        <v>9933</v>
      </c>
      <c r="BS91" s="41">
        <v>21.0</v>
      </c>
      <c r="BT91" s="43"/>
      <c r="BU91" s="43"/>
      <c r="BV91" s="43"/>
      <c r="BW91" s="42" t="s">
        <v>9934</v>
      </c>
      <c r="BX91" s="43"/>
      <c r="BY91" s="43"/>
      <c r="BZ91" s="43"/>
      <c r="CA91" s="42" t="s">
        <v>3725</v>
      </c>
      <c r="CB91" s="63">
        <v>42990.0</v>
      </c>
      <c r="CC91" s="45"/>
      <c r="CD91" s="43"/>
      <c r="CE91" s="45"/>
      <c r="CF91" s="43"/>
      <c r="CG91" s="42" t="s">
        <v>3589</v>
      </c>
      <c r="CH91" s="43"/>
      <c r="CI91" s="43"/>
      <c r="CJ91" s="42" t="s">
        <v>3590</v>
      </c>
      <c r="CK91" s="43"/>
      <c r="CL91" s="42" t="s">
        <v>3591</v>
      </c>
      <c r="CM91" s="45"/>
      <c r="CN91" s="45"/>
      <c r="CO91" s="43"/>
      <c r="CP91" s="45"/>
      <c r="CQ91" s="43"/>
      <c r="CR91" s="42" t="s">
        <v>3589</v>
      </c>
      <c r="CS91" s="43"/>
      <c r="CT91" s="43"/>
      <c r="CU91" s="42" t="s">
        <v>3590</v>
      </c>
      <c r="CV91" s="45"/>
      <c r="CW91" s="45"/>
      <c r="CX91" s="43"/>
      <c r="CY91" s="42" t="s">
        <v>3591</v>
      </c>
      <c r="CZ91" s="47">
        <v>-0.0089</v>
      </c>
      <c r="DA91" s="41">
        <v>9.0</v>
      </c>
      <c r="DB91" s="47">
        <v>0.0</v>
      </c>
      <c r="DC91" s="47">
        <v>0.0</v>
      </c>
      <c r="DD91" s="47">
        <v>-0.0089</v>
      </c>
      <c r="DE91" s="41">
        <v>9.0</v>
      </c>
      <c r="DF91" s="45"/>
      <c r="DG91" s="45"/>
      <c r="DH91" s="47">
        <v>-0.0089</v>
      </c>
      <c r="DI91" s="41">
        <v>10.0</v>
      </c>
      <c r="DJ91" s="41" t="s">
        <v>9935</v>
      </c>
      <c r="DK91" s="41">
        <v>88.0</v>
      </c>
      <c r="DL91" s="41" t="s">
        <v>3598</v>
      </c>
      <c r="DM91" s="47">
        <v>0.0</v>
      </c>
      <c r="DN91" s="41" t="s">
        <v>9935</v>
      </c>
      <c r="DO91" s="41">
        <v>87.0</v>
      </c>
      <c r="DP91" s="45"/>
      <c r="DQ91" s="45"/>
      <c r="DR91" s="41" t="s">
        <v>9935</v>
      </c>
      <c r="DS91" s="41">
        <v>85.0</v>
      </c>
      <c r="DT91" s="45"/>
      <c r="DU91" s="45"/>
      <c r="DV91" s="45"/>
      <c r="DW91" s="41">
        <v>186.0</v>
      </c>
      <c r="DX91" s="41">
        <v>-1.0</v>
      </c>
      <c r="DY91" s="47">
        <v>-0.0053</v>
      </c>
      <c r="DZ91" s="41">
        <v>119.0</v>
      </c>
      <c r="EA91" s="41">
        <v>26.0</v>
      </c>
      <c r="EB91" s="41">
        <v>64.0</v>
      </c>
      <c r="EC91" s="41">
        <v>36.0</v>
      </c>
      <c r="ED91" s="45"/>
      <c r="EE91" s="41">
        <v>19.0</v>
      </c>
      <c r="EF91" s="42" t="s">
        <v>4129</v>
      </c>
      <c r="EG91" s="41">
        <v>8.9</v>
      </c>
      <c r="EH91" s="63">
        <v>43270.0</v>
      </c>
      <c r="EI91" s="42" t="s">
        <v>3698</v>
      </c>
      <c r="EJ91" s="45"/>
      <c r="EK91" s="45"/>
      <c r="EL91" s="45"/>
      <c r="EM91" s="43"/>
      <c r="EN91" s="45"/>
      <c r="EO91" s="45"/>
      <c r="EP91" s="45"/>
      <c r="EQ91" s="45"/>
      <c r="ER91" s="42" t="s">
        <v>8495</v>
      </c>
      <c r="ES91" s="43"/>
      <c r="ET91" s="42" t="s">
        <v>47</v>
      </c>
      <c r="EU91" s="41">
        <v>4.0</v>
      </c>
      <c r="EV91" s="48" t="s">
        <v>3559</v>
      </c>
    </row>
    <row r="92">
      <c r="B92" s="42" t="s">
        <v>3271</v>
      </c>
      <c r="C92" s="41">
        <v>7.0</v>
      </c>
      <c r="D92" s="42" t="s">
        <v>9212</v>
      </c>
      <c r="E92" s="42" t="s">
        <v>3867</v>
      </c>
      <c r="F92" s="42" t="s">
        <v>3897</v>
      </c>
      <c r="G92" s="42" t="s">
        <v>5092</v>
      </c>
      <c r="H92" s="42" t="s">
        <v>8495</v>
      </c>
      <c r="I92" s="65">
        <v>45627.0</v>
      </c>
      <c r="J92" s="42" t="s">
        <v>9206</v>
      </c>
      <c r="K92" s="42" t="s">
        <v>9207</v>
      </c>
      <c r="L92" s="42" t="s">
        <v>9208</v>
      </c>
      <c r="M92" s="43"/>
      <c r="N92" s="43"/>
      <c r="O92" s="43"/>
      <c r="P92" s="42" t="s">
        <v>9209</v>
      </c>
      <c r="Q92" s="42"/>
      <c r="R92" s="42"/>
      <c r="S92" s="42"/>
      <c r="T92" s="42"/>
      <c r="U92" s="42"/>
      <c r="V92" s="42"/>
      <c r="W92" s="42"/>
      <c r="X92" s="43"/>
      <c r="Y92" s="42" t="s">
        <v>9209</v>
      </c>
      <c r="Z92" s="42" t="s">
        <v>9205</v>
      </c>
      <c r="AA92" s="42" t="s">
        <v>5145</v>
      </c>
      <c r="AB92" s="45"/>
      <c r="AC92" s="42" t="s">
        <v>3571</v>
      </c>
      <c r="AD92" s="42" t="s">
        <v>3572</v>
      </c>
      <c r="AE92" s="42" t="s">
        <v>5147</v>
      </c>
      <c r="AF92" s="44" t="s">
        <v>9210</v>
      </c>
      <c r="AG92" s="44" t="s">
        <v>9211</v>
      </c>
      <c r="AH92" s="41">
        <v>7.0</v>
      </c>
      <c r="AI92" s="42" t="s">
        <v>9212</v>
      </c>
      <c r="AJ92" s="43"/>
      <c r="AK92" s="43"/>
      <c r="AL92" s="41">
        <v>2020.0</v>
      </c>
      <c r="AM92" s="43"/>
      <c r="AN92" s="42" t="s">
        <v>3273</v>
      </c>
      <c r="AO92" s="42" t="s">
        <v>4930</v>
      </c>
      <c r="AP92" s="43"/>
      <c r="AQ92" s="43"/>
      <c r="AR92" s="43"/>
      <c r="AS92" s="45"/>
      <c r="AT92" s="45"/>
      <c r="AU92" s="45"/>
      <c r="AV92" s="45"/>
      <c r="AW92" s="45"/>
      <c r="AX92" s="45"/>
      <c r="AY92" s="45"/>
      <c r="AZ92" s="45"/>
      <c r="BA92" s="45"/>
      <c r="BB92" s="45"/>
      <c r="BC92" s="42" t="s">
        <v>9213</v>
      </c>
      <c r="BD92" s="64"/>
      <c r="BE92" s="42" t="s">
        <v>3581</v>
      </c>
      <c r="BF92" s="42" t="s">
        <v>9214</v>
      </c>
      <c r="BG92" s="43"/>
      <c r="BH92" s="42" t="s">
        <v>75</v>
      </c>
      <c r="BI92" s="43"/>
      <c r="BJ92" s="41">
        <v>6971923.0</v>
      </c>
      <c r="BK92" s="42" t="s">
        <v>41</v>
      </c>
      <c r="BL92" s="45"/>
      <c r="BM92" s="45"/>
      <c r="BN92" s="42" t="s">
        <v>3277</v>
      </c>
      <c r="BO92" s="42" t="s">
        <v>3584</v>
      </c>
      <c r="BP92" s="42" t="s">
        <v>3584</v>
      </c>
      <c r="BQ92" s="42" t="s">
        <v>6423</v>
      </c>
      <c r="BR92" s="42" t="s">
        <v>8467</v>
      </c>
      <c r="BS92" s="41">
        <v>1.0</v>
      </c>
      <c r="BT92" s="43"/>
      <c r="BU92" s="43"/>
      <c r="BV92" s="43"/>
      <c r="BW92" s="42" t="s">
        <v>8468</v>
      </c>
      <c r="BX92" s="43"/>
      <c r="BY92" s="43"/>
      <c r="BZ92" s="43"/>
      <c r="CA92" s="43"/>
      <c r="CB92" s="45"/>
      <c r="CC92" s="45"/>
      <c r="CD92" s="43"/>
      <c r="CE92" s="45"/>
      <c r="CF92" s="43"/>
      <c r="CG92" s="42" t="s">
        <v>3589</v>
      </c>
      <c r="CH92" s="43"/>
      <c r="CI92" s="43"/>
      <c r="CJ92" s="42" t="s">
        <v>3590</v>
      </c>
      <c r="CK92" s="43"/>
      <c r="CL92" s="42" t="s">
        <v>3591</v>
      </c>
      <c r="CM92" s="45"/>
      <c r="CN92" s="45"/>
      <c r="CO92" s="43"/>
      <c r="CP92" s="45"/>
      <c r="CQ92" s="43"/>
      <c r="CR92" s="42" t="s">
        <v>3589</v>
      </c>
      <c r="CS92" s="43"/>
      <c r="CT92" s="43"/>
      <c r="CU92" s="42" t="s">
        <v>3590</v>
      </c>
      <c r="CV92" s="45"/>
      <c r="CW92" s="45"/>
      <c r="CX92" s="43"/>
      <c r="CY92" s="42" t="s">
        <v>3591</v>
      </c>
      <c r="CZ92" s="47">
        <v>0.0</v>
      </c>
      <c r="DA92" s="41">
        <v>19.0</v>
      </c>
      <c r="DB92" s="47">
        <v>0.0</v>
      </c>
      <c r="DC92" s="47">
        <v>0.0</v>
      </c>
      <c r="DD92" s="47">
        <v>0.0</v>
      </c>
      <c r="DE92" s="41">
        <v>17.0</v>
      </c>
      <c r="DF92" s="47">
        <v>0.0</v>
      </c>
      <c r="DG92" s="41">
        <v>11.0</v>
      </c>
      <c r="DH92" s="47">
        <v>0.0</v>
      </c>
      <c r="DI92" s="41">
        <v>17.0</v>
      </c>
      <c r="DJ92" s="41" t="s">
        <v>7642</v>
      </c>
      <c r="DK92" s="41">
        <v>13.0</v>
      </c>
      <c r="DL92" s="41" t="s">
        <v>3598</v>
      </c>
      <c r="DM92" s="47">
        <v>0.0</v>
      </c>
      <c r="DN92" s="41" t="s">
        <v>7642</v>
      </c>
      <c r="DO92" s="41">
        <v>14.0</v>
      </c>
      <c r="DP92" s="41" t="s">
        <v>4727</v>
      </c>
      <c r="DQ92" s="41">
        <v>34.0</v>
      </c>
      <c r="DR92" s="41" t="s">
        <v>7862</v>
      </c>
      <c r="DS92" s="41">
        <v>24.0</v>
      </c>
      <c r="DT92" s="41">
        <v>0.0</v>
      </c>
      <c r="DU92" s="41">
        <v>0.0</v>
      </c>
      <c r="DV92" s="47">
        <v>0.0</v>
      </c>
      <c r="DW92" s="41">
        <v>7.0</v>
      </c>
      <c r="DX92" s="41">
        <v>0.0</v>
      </c>
      <c r="DY92" s="47">
        <v>0.0</v>
      </c>
      <c r="DZ92" s="45"/>
      <c r="EA92" s="45"/>
      <c r="EB92" s="45"/>
      <c r="EC92" s="45"/>
      <c r="ED92" s="45"/>
      <c r="EE92" s="45"/>
      <c r="EF92" s="43"/>
      <c r="EG92" s="45"/>
      <c r="EH92" s="45"/>
      <c r="EI92" s="43"/>
      <c r="EJ92" s="45"/>
      <c r="EK92" s="45"/>
      <c r="EL92" s="45"/>
      <c r="EM92" s="43"/>
      <c r="EN92" s="45"/>
      <c r="EO92" s="45"/>
      <c r="EP92" s="45"/>
      <c r="EQ92" s="45"/>
      <c r="ER92" s="42" t="s">
        <v>8495</v>
      </c>
      <c r="ES92" s="43"/>
      <c r="ET92" s="42" t="s">
        <v>47</v>
      </c>
      <c r="EU92" s="41">
        <v>22.0</v>
      </c>
      <c r="EV92" s="48" t="s">
        <v>3559</v>
      </c>
    </row>
    <row r="93">
      <c r="B93" s="42" t="s">
        <v>9256</v>
      </c>
      <c r="C93" s="41">
        <v>50.0</v>
      </c>
      <c r="D93" s="42" t="s">
        <v>9936</v>
      </c>
      <c r="E93" s="42" t="s">
        <v>3867</v>
      </c>
      <c r="F93" s="42" t="s">
        <v>4199</v>
      </c>
      <c r="G93" s="42" t="s">
        <v>4200</v>
      </c>
      <c r="H93" s="42" t="s">
        <v>4986</v>
      </c>
      <c r="I93" s="63">
        <v>45638.0</v>
      </c>
      <c r="J93" s="42" t="s">
        <v>8168</v>
      </c>
      <c r="K93" s="42" t="s">
        <v>9259</v>
      </c>
      <c r="L93" s="42" t="s">
        <v>9260</v>
      </c>
      <c r="M93" s="43"/>
      <c r="N93" s="43"/>
      <c r="O93" s="42" t="s">
        <v>9257</v>
      </c>
      <c r="P93" s="42" t="s">
        <v>9261</v>
      </c>
      <c r="Q93" s="42"/>
      <c r="R93" s="42"/>
      <c r="S93" s="42"/>
      <c r="T93" s="42"/>
      <c r="U93" s="42"/>
      <c r="V93" s="42"/>
      <c r="W93" s="42"/>
      <c r="X93" s="43"/>
      <c r="Y93" s="42" t="s">
        <v>9261</v>
      </c>
      <c r="Z93" s="42" t="s">
        <v>9258</v>
      </c>
      <c r="AA93" s="42" t="s">
        <v>4962</v>
      </c>
      <c r="AB93" s="45"/>
      <c r="AC93" s="42" t="s">
        <v>3571</v>
      </c>
      <c r="AD93" s="42" t="s">
        <v>5020</v>
      </c>
      <c r="AE93" s="42" t="s">
        <v>3603</v>
      </c>
      <c r="AF93" s="44" t="s">
        <v>9262</v>
      </c>
      <c r="AG93" s="44" t="s">
        <v>9263</v>
      </c>
      <c r="AH93" s="41">
        <v>50.0</v>
      </c>
      <c r="AI93" s="42" t="s">
        <v>9936</v>
      </c>
      <c r="AJ93" s="43"/>
      <c r="AK93" s="43"/>
      <c r="AL93" s="41">
        <v>1988.0</v>
      </c>
      <c r="AM93" s="43"/>
      <c r="AN93" s="43"/>
      <c r="AO93" s="43"/>
      <c r="AP93" s="43"/>
      <c r="AQ93" s="43"/>
      <c r="AR93" s="43"/>
      <c r="AS93" s="45"/>
      <c r="AT93" s="45"/>
      <c r="AU93" s="45"/>
      <c r="AV93" s="45"/>
      <c r="AW93" s="45"/>
      <c r="AX93" s="45"/>
      <c r="AY93" s="45"/>
      <c r="AZ93" s="45"/>
      <c r="BA93" s="45"/>
      <c r="BB93" s="45"/>
      <c r="BC93" s="43"/>
      <c r="BD93" s="64"/>
      <c r="BE93" s="42" t="s">
        <v>3581</v>
      </c>
      <c r="BF93" s="42" t="s">
        <v>9264</v>
      </c>
      <c r="BG93" s="43"/>
      <c r="BH93" s="42" t="s">
        <v>75</v>
      </c>
      <c r="BI93" s="43"/>
      <c r="BJ93" s="41">
        <v>6744326.0</v>
      </c>
      <c r="BK93" s="42" t="s">
        <v>41</v>
      </c>
      <c r="BL93" s="45"/>
      <c r="BM93" s="45"/>
      <c r="BN93" s="43"/>
      <c r="BO93" s="42" t="s">
        <v>3584</v>
      </c>
      <c r="BP93" s="42" t="s">
        <v>3584</v>
      </c>
      <c r="BQ93" s="42" t="s">
        <v>9265</v>
      </c>
      <c r="BR93" s="43"/>
      <c r="BS93" s="45"/>
      <c r="BT93" s="42" t="s">
        <v>9266</v>
      </c>
      <c r="BU93" s="43"/>
      <c r="BV93" s="43"/>
      <c r="BW93" s="43"/>
      <c r="BX93" s="43"/>
      <c r="BY93" s="43"/>
      <c r="BZ93" s="43"/>
      <c r="CA93" s="43"/>
      <c r="CB93" s="63">
        <v>41912.0</v>
      </c>
      <c r="CC93" s="41">
        <v>34.44</v>
      </c>
      <c r="CD93" s="42" t="s">
        <v>3593</v>
      </c>
      <c r="CE93" s="41">
        <v>34.44</v>
      </c>
      <c r="CF93" s="42" t="s">
        <v>3593</v>
      </c>
      <c r="CG93" s="42" t="s">
        <v>4977</v>
      </c>
      <c r="CH93" s="43"/>
      <c r="CI93" s="43"/>
      <c r="CJ93" s="42" t="s">
        <v>3663</v>
      </c>
      <c r="CK93" s="43"/>
      <c r="CL93" s="42" t="s">
        <v>3591</v>
      </c>
      <c r="CM93" s="63">
        <v>41912.0</v>
      </c>
      <c r="CN93" s="41">
        <v>34.44</v>
      </c>
      <c r="CO93" s="42" t="s">
        <v>3593</v>
      </c>
      <c r="CP93" s="41">
        <v>34.44</v>
      </c>
      <c r="CQ93" s="42" t="s">
        <v>3593</v>
      </c>
      <c r="CR93" s="42" t="s">
        <v>4977</v>
      </c>
      <c r="CS93" s="43"/>
      <c r="CT93" s="43"/>
      <c r="CU93" s="42" t="s">
        <v>3663</v>
      </c>
      <c r="CV93" s="45"/>
      <c r="CW93" s="45"/>
      <c r="CX93" s="43"/>
      <c r="CY93" s="42" t="s">
        <v>3591</v>
      </c>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1">
        <v>35.0</v>
      </c>
      <c r="EA93" s="41">
        <v>9.0</v>
      </c>
      <c r="EB93" s="41">
        <v>22.0</v>
      </c>
      <c r="EC93" s="45"/>
      <c r="ED93" s="45"/>
      <c r="EE93" s="41">
        <v>13.0</v>
      </c>
      <c r="EF93" s="42" t="s">
        <v>9268</v>
      </c>
      <c r="EG93" s="41">
        <v>34.44</v>
      </c>
      <c r="EH93" s="63">
        <v>41912.0</v>
      </c>
      <c r="EI93" s="42" t="s">
        <v>4977</v>
      </c>
      <c r="EJ93" s="45"/>
      <c r="EK93" s="45"/>
      <c r="EL93" s="45"/>
      <c r="EM93" s="42" t="s">
        <v>4108</v>
      </c>
      <c r="EN93" s="45"/>
      <c r="EO93" s="45"/>
      <c r="EP93" s="45"/>
      <c r="EQ93" s="45"/>
      <c r="ER93" s="42" t="s">
        <v>4986</v>
      </c>
      <c r="ES93" s="43"/>
      <c r="ET93" s="43"/>
      <c r="EU93" s="45"/>
      <c r="EV93" s="48" t="s">
        <v>3559</v>
      </c>
    </row>
    <row r="94">
      <c r="B94" s="35" t="s">
        <v>1817</v>
      </c>
      <c r="C94" s="32">
        <v>27.0</v>
      </c>
      <c r="D94" s="35" t="s">
        <v>9937</v>
      </c>
      <c r="E94" s="35" t="s">
        <v>3867</v>
      </c>
      <c r="F94" s="35" t="s">
        <v>3868</v>
      </c>
      <c r="G94" s="35" t="s">
        <v>3869</v>
      </c>
      <c r="H94" s="35" t="s">
        <v>3612</v>
      </c>
      <c r="I94" s="60">
        <v>45915.0</v>
      </c>
      <c r="J94" s="35" t="s">
        <v>3870</v>
      </c>
      <c r="K94" s="35" t="s">
        <v>3871</v>
      </c>
      <c r="L94" s="35" t="s">
        <v>3872</v>
      </c>
      <c r="M94" s="34"/>
      <c r="N94" s="34"/>
      <c r="O94" s="35" t="s">
        <v>3864</v>
      </c>
      <c r="P94" s="35" t="s">
        <v>3873</v>
      </c>
      <c r="Q94" s="32">
        <v>53.0</v>
      </c>
      <c r="R94" s="35" t="s">
        <v>3602</v>
      </c>
      <c r="S94" s="39">
        <v>0.84</v>
      </c>
      <c r="T94" s="39">
        <v>0.16</v>
      </c>
      <c r="U94" s="35" t="s">
        <v>3603</v>
      </c>
      <c r="V94" s="39">
        <v>0.06</v>
      </c>
      <c r="W94" s="39">
        <v>0.78</v>
      </c>
      <c r="X94" s="35" t="s">
        <v>9938</v>
      </c>
      <c r="Y94" s="35" t="s">
        <v>3873</v>
      </c>
      <c r="Z94" s="35" t="s">
        <v>3866</v>
      </c>
      <c r="AA94" s="35" t="s">
        <v>3569</v>
      </c>
      <c r="AB94" s="32">
        <v>33.36</v>
      </c>
      <c r="AC94" s="35" t="s">
        <v>3571</v>
      </c>
      <c r="AD94" s="35" t="s">
        <v>3572</v>
      </c>
      <c r="AE94" s="35" t="s">
        <v>3573</v>
      </c>
      <c r="AF94" s="36" t="s">
        <v>3874</v>
      </c>
      <c r="AG94" s="36" t="s">
        <v>3875</v>
      </c>
      <c r="AH94" s="32">
        <v>27.0</v>
      </c>
      <c r="AI94" s="35" t="s">
        <v>9937</v>
      </c>
      <c r="AJ94" s="34"/>
      <c r="AK94" s="34"/>
      <c r="AL94" s="32">
        <v>2013.0</v>
      </c>
      <c r="AM94" s="34"/>
      <c r="AN94" s="35" t="s">
        <v>3878</v>
      </c>
      <c r="AO94" s="35" t="s">
        <v>3685</v>
      </c>
      <c r="AP94" s="35" t="s">
        <v>3879</v>
      </c>
      <c r="AQ94" s="34"/>
      <c r="AR94" s="34"/>
      <c r="AS94" s="37"/>
      <c r="AT94" s="37"/>
      <c r="AU94" s="37"/>
      <c r="AV94" s="37"/>
      <c r="AW94" s="37"/>
      <c r="AX94" s="37"/>
      <c r="AY94" s="37"/>
      <c r="AZ94" s="37"/>
      <c r="BA94" s="37"/>
      <c r="BB94" s="37"/>
      <c r="BC94" s="35" t="s">
        <v>3877</v>
      </c>
      <c r="BD94" s="61"/>
      <c r="BE94" s="35" t="s">
        <v>3581</v>
      </c>
      <c r="BF94" s="35" t="s">
        <v>3880</v>
      </c>
      <c r="BG94" s="35" t="s">
        <v>3881</v>
      </c>
      <c r="BH94" s="35" t="s">
        <v>75</v>
      </c>
      <c r="BI94" s="34"/>
      <c r="BJ94" s="32">
        <v>6655613.0</v>
      </c>
      <c r="BK94" s="35" t="s">
        <v>41</v>
      </c>
      <c r="BL94" s="37"/>
      <c r="BM94" s="37"/>
      <c r="BN94" s="35" t="s">
        <v>1822</v>
      </c>
      <c r="BO94" s="35" t="s">
        <v>3584</v>
      </c>
      <c r="BP94" s="35" t="s">
        <v>3584</v>
      </c>
      <c r="BQ94" s="35" t="s">
        <v>3882</v>
      </c>
      <c r="BR94" s="35" t="s">
        <v>3883</v>
      </c>
      <c r="BS94" s="32">
        <v>15.0</v>
      </c>
      <c r="BT94" s="34"/>
      <c r="BU94" s="35" t="s">
        <v>3884</v>
      </c>
      <c r="BV94" s="34"/>
      <c r="BW94" s="35" t="s">
        <v>3885</v>
      </c>
      <c r="BX94" s="35" t="s">
        <v>3886</v>
      </c>
      <c r="BY94" s="34"/>
      <c r="BZ94" s="34"/>
      <c r="CA94" s="35" t="s">
        <v>3725</v>
      </c>
      <c r="CB94" s="37"/>
      <c r="CC94" s="37"/>
      <c r="CD94" s="34"/>
      <c r="CE94" s="37"/>
      <c r="CF94" s="34"/>
      <c r="CG94" s="35" t="s">
        <v>3589</v>
      </c>
      <c r="CH94" s="34"/>
      <c r="CI94" s="34"/>
      <c r="CJ94" s="35" t="s">
        <v>3590</v>
      </c>
      <c r="CK94" s="34"/>
      <c r="CL94" s="35" t="s">
        <v>3591</v>
      </c>
      <c r="CM94" s="60">
        <v>45735.0</v>
      </c>
      <c r="CN94" s="37"/>
      <c r="CO94" s="34"/>
      <c r="CP94" s="37"/>
      <c r="CQ94" s="34"/>
      <c r="CR94" s="35" t="s">
        <v>3589</v>
      </c>
      <c r="CS94" s="34"/>
      <c r="CT94" s="34"/>
      <c r="CU94" s="35" t="s">
        <v>3590</v>
      </c>
      <c r="CV94" s="62">
        <v>44531.0</v>
      </c>
      <c r="CW94" s="32">
        <v>6.72</v>
      </c>
      <c r="CX94" s="34"/>
      <c r="CY94" s="35" t="s">
        <v>3591</v>
      </c>
      <c r="CZ94" s="39">
        <v>-0.0071</v>
      </c>
      <c r="DA94" s="32">
        <v>10.0</v>
      </c>
      <c r="DB94" s="39">
        <v>0.0</v>
      </c>
      <c r="DC94" s="39">
        <v>0.0</v>
      </c>
      <c r="DD94" s="39">
        <v>-0.0055</v>
      </c>
      <c r="DE94" s="32">
        <v>12.0</v>
      </c>
      <c r="DF94" s="37"/>
      <c r="DG94" s="37"/>
      <c r="DH94" s="39">
        <v>-0.0055</v>
      </c>
      <c r="DI94" s="32">
        <v>13.0</v>
      </c>
      <c r="DJ94" s="32" t="s">
        <v>9939</v>
      </c>
      <c r="DK94" s="32">
        <v>85.0</v>
      </c>
      <c r="DL94" s="32" t="s">
        <v>3598</v>
      </c>
      <c r="DM94" s="39">
        <v>0.0</v>
      </c>
      <c r="DN94" s="32" t="s">
        <v>9940</v>
      </c>
      <c r="DO94" s="32">
        <v>91.0</v>
      </c>
      <c r="DP94" s="37"/>
      <c r="DQ94" s="37"/>
      <c r="DR94" s="32" t="s">
        <v>9940</v>
      </c>
      <c r="DS94" s="32">
        <v>90.0</v>
      </c>
      <c r="DT94" s="37"/>
      <c r="DU94" s="37"/>
      <c r="DV94" s="37"/>
      <c r="DW94" s="32">
        <v>262.0</v>
      </c>
      <c r="DX94" s="32">
        <v>-2.0</v>
      </c>
      <c r="DY94" s="39">
        <v>-0.0076</v>
      </c>
      <c r="DZ94" s="32">
        <v>36.0</v>
      </c>
      <c r="EA94" s="32">
        <v>9.0</v>
      </c>
      <c r="EB94" s="32">
        <v>16.0</v>
      </c>
      <c r="EC94" s="32">
        <v>3.0</v>
      </c>
      <c r="ED94" s="37"/>
      <c r="EE94" s="32">
        <v>17.0</v>
      </c>
      <c r="EF94" s="35" t="s">
        <v>3891</v>
      </c>
      <c r="EG94" s="32">
        <v>42.9</v>
      </c>
      <c r="EH94" s="62">
        <v>44531.0</v>
      </c>
      <c r="EI94" s="35" t="s">
        <v>3594</v>
      </c>
      <c r="EJ94" s="37"/>
      <c r="EK94" s="37"/>
      <c r="EL94" s="37"/>
      <c r="EM94" s="34"/>
      <c r="EN94" s="37"/>
      <c r="EO94" s="37"/>
      <c r="EP94" s="32">
        <v>0.99</v>
      </c>
      <c r="EQ94" s="32">
        <v>0.99</v>
      </c>
      <c r="ER94" s="35" t="s">
        <v>3612</v>
      </c>
      <c r="ES94" s="34"/>
      <c r="ET94" s="35" t="s">
        <v>47</v>
      </c>
      <c r="EU94" s="32">
        <v>11.0</v>
      </c>
      <c r="EV94" s="40" t="s">
        <v>3559</v>
      </c>
    </row>
    <row r="95">
      <c r="B95" s="35" t="s">
        <v>632</v>
      </c>
      <c r="C95" s="32">
        <v>330.0</v>
      </c>
      <c r="D95" s="35" t="s">
        <v>9941</v>
      </c>
      <c r="E95" s="35" t="s">
        <v>3563</v>
      </c>
      <c r="F95" s="35" t="s">
        <v>3609</v>
      </c>
      <c r="G95" s="35" t="s">
        <v>4050</v>
      </c>
      <c r="H95" s="35" t="s">
        <v>8127</v>
      </c>
      <c r="I95" s="60">
        <v>45957.0</v>
      </c>
      <c r="J95" s="35" t="s">
        <v>4510</v>
      </c>
      <c r="K95" s="35" t="s">
        <v>4511</v>
      </c>
      <c r="L95" s="35" t="s">
        <v>4512</v>
      </c>
      <c r="M95" s="34"/>
      <c r="N95" s="34"/>
      <c r="O95" s="35" t="s">
        <v>4507</v>
      </c>
      <c r="P95" s="35" t="s">
        <v>4513</v>
      </c>
      <c r="Q95" s="32">
        <v>77.0</v>
      </c>
      <c r="R95" s="35" t="s">
        <v>3602</v>
      </c>
      <c r="S95" s="39">
        <v>0.98</v>
      </c>
      <c r="T95" s="39">
        <v>0.02</v>
      </c>
      <c r="U95" s="35" t="s">
        <v>4532</v>
      </c>
      <c r="V95" s="39">
        <v>0.75</v>
      </c>
      <c r="W95" s="39">
        <v>0.23</v>
      </c>
      <c r="X95" s="35" t="s">
        <v>4508</v>
      </c>
      <c r="Y95" s="35" t="s">
        <v>4513</v>
      </c>
      <c r="Z95" s="35" t="s">
        <v>4509</v>
      </c>
      <c r="AA95" s="35" t="s">
        <v>3569</v>
      </c>
      <c r="AB95" s="32">
        <v>300.05</v>
      </c>
      <c r="AC95" s="35" t="s">
        <v>3571</v>
      </c>
      <c r="AD95" s="35" t="s">
        <v>3572</v>
      </c>
      <c r="AE95" s="35" t="s">
        <v>3573</v>
      </c>
      <c r="AF95" s="36" t="s">
        <v>4514</v>
      </c>
      <c r="AG95" s="36" t="s">
        <v>4515</v>
      </c>
      <c r="AH95" s="32">
        <v>330.0</v>
      </c>
      <c r="AI95" s="35" t="s">
        <v>9941</v>
      </c>
      <c r="AJ95" s="34"/>
      <c r="AK95" s="34"/>
      <c r="AL95" s="32">
        <v>2011.0</v>
      </c>
      <c r="AM95" s="34"/>
      <c r="AN95" s="35" t="s">
        <v>4518</v>
      </c>
      <c r="AO95" s="35" t="s">
        <v>4519</v>
      </c>
      <c r="AP95" s="35" t="s">
        <v>635</v>
      </c>
      <c r="AQ95" s="34"/>
      <c r="AR95" s="34"/>
      <c r="AS95" s="37"/>
      <c r="AT95" s="37"/>
      <c r="AU95" s="37"/>
      <c r="AV95" s="37"/>
      <c r="AW95" s="37"/>
      <c r="AX95" s="37"/>
      <c r="AY95" s="37"/>
      <c r="AZ95" s="37"/>
      <c r="BA95" s="37"/>
      <c r="BB95" s="37"/>
      <c r="BC95" s="35" t="s">
        <v>4517</v>
      </c>
      <c r="BD95" s="61"/>
      <c r="BE95" s="35" t="s">
        <v>4520</v>
      </c>
      <c r="BF95" s="35" t="s">
        <v>4521</v>
      </c>
      <c r="BG95" s="34"/>
      <c r="BH95" s="35" t="s">
        <v>638</v>
      </c>
      <c r="BI95" s="34"/>
      <c r="BJ95" s="32">
        <v>5623108.0</v>
      </c>
      <c r="BK95" s="35" t="s">
        <v>41</v>
      </c>
      <c r="BL95" s="37"/>
      <c r="BM95" s="37"/>
      <c r="BN95" s="35" t="s">
        <v>639</v>
      </c>
      <c r="BO95" s="35" t="s">
        <v>3584</v>
      </c>
      <c r="BP95" s="35" t="s">
        <v>3584</v>
      </c>
      <c r="BQ95" s="35" t="s">
        <v>4522</v>
      </c>
      <c r="BR95" s="35" t="s">
        <v>4523</v>
      </c>
      <c r="BS95" s="32">
        <v>23.0</v>
      </c>
      <c r="BT95" s="34"/>
      <c r="BU95" s="34"/>
      <c r="BV95" s="34"/>
      <c r="BW95" s="35" t="s">
        <v>4524</v>
      </c>
      <c r="BX95" s="34"/>
      <c r="BY95" s="34"/>
      <c r="BZ95" s="34"/>
      <c r="CA95" s="35" t="s">
        <v>4525</v>
      </c>
      <c r="CB95" s="62">
        <v>41122.0</v>
      </c>
      <c r="CC95" s="32">
        <v>12.0</v>
      </c>
      <c r="CD95" s="35" t="s">
        <v>3593</v>
      </c>
      <c r="CE95" s="37"/>
      <c r="CF95" s="34"/>
      <c r="CG95" s="35" t="s">
        <v>3669</v>
      </c>
      <c r="CH95" s="35" t="s">
        <v>3595</v>
      </c>
      <c r="CI95" s="34"/>
      <c r="CJ95" s="35" t="s">
        <v>3573</v>
      </c>
      <c r="CK95" s="34"/>
      <c r="CL95" s="35" t="s">
        <v>3591</v>
      </c>
      <c r="CM95" s="62">
        <v>45658.0</v>
      </c>
      <c r="CN95" s="37"/>
      <c r="CO95" s="34"/>
      <c r="CP95" s="37"/>
      <c r="CQ95" s="34"/>
      <c r="CR95" s="35" t="s">
        <v>3594</v>
      </c>
      <c r="CS95" s="34"/>
      <c r="CT95" s="34"/>
      <c r="CU95" s="35" t="s">
        <v>3663</v>
      </c>
      <c r="CV95" s="37"/>
      <c r="CW95" s="37"/>
      <c r="CX95" s="34"/>
      <c r="CY95" s="35" t="s">
        <v>3591</v>
      </c>
      <c r="CZ95" s="39">
        <v>-0.0066</v>
      </c>
      <c r="DA95" s="32">
        <v>11.0</v>
      </c>
      <c r="DB95" s="39">
        <v>0.0</v>
      </c>
      <c r="DC95" s="39">
        <v>0.0</v>
      </c>
      <c r="DD95" s="39">
        <v>-0.0066</v>
      </c>
      <c r="DE95" s="32">
        <v>11.0</v>
      </c>
      <c r="DF95" s="39">
        <v>-0.0112</v>
      </c>
      <c r="DG95" s="32">
        <v>8.0</v>
      </c>
      <c r="DH95" s="39">
        <v>-0.002</v>
      </c>
      <c r="DI95" s="32">
        <v>16.0</v>
      </c>
      <c r="DJ95" s="32" t="s">
        <v>9942</v>
      </c>
      <c r="DK95" s="32">
        <v>97.0</v>
      </c>
      <c r="DL95" s="32" t="s">
        <v>3598</v>
      </c>
      <c r="DM95" s="39">
        <v>0.0</v>
      </c>
      <c r="DN95" s="32" t="s">
        <v>9942</v>
      </c>
      <c r="DO95" s="32">
        <v>96.0</v>
      </c>
      <c r="DP95" s="32" t="s">
        <v>9943</v>
      </c>
      <c r="DQ95" s="32">
        <v>84.0</v>
      </c>
      <c r="DR95" s="32" t="s">
        <v>9944</v>
      </c>
      <c r="DS95" s="32">
        <v>98.0</v>
      </c>
      <c r="DT95" s="49">
        <v>1025.0</v>
      </c>
      <c r="DU95" s="32">
        <v>30.0</v>
      </c>
      <c r="DV95" s="39">
        <v>0.0302</v>
      </c>
      <c r="DW95" s="49">
        <v>1053.0</v>
      </c>
      <c r="DX95" s="32">
        <v>-2.0</v>
      </c>
      <c r="DY95" s="39">
        <v>-0.0019</v>
      </c>
      <c r="DZ95" s="32">
        <v>338.0</v>
      </c>
      <c r="EA95" s="32">
        <v>77.0</v>
      </c>
      <c r="EB95" s="32">
        <v>208.0</v>
      </c>
      <c r="EC95" s="32">
        <v>36.0</v>
      </c>
      <c r="ED95" s="37"/>
      <c r="EE95" s="32">
        <v>94.0</v>
      </c>
      <c r="EF95" s="35" t="s">
        <v>4531</v>
      </c>
      <c r="EG95" s="50">
        <v>1000.0</v>
      </c>
      <c r="EH95" s="67">
        <v>44706.0</v>
      </c>
      <c r="EI95" s="35" t="s">
        <v>3594</v>
      </c>
      <c r="EJ95" s="37"/>
      <c r="EK95" s="37"/>
      <c r="EL95" s="37"/>
      <c r="EM95" s="34"/>
      <c r="EN95" s="37"/>
      <c r="EO95" s="37"/>
      <c r="EP95" s="37"/>
      <c r="EQ95" s="32">
        <v>1.42</v>
      </c>
      <c r="ER95" s="35" t="s">
        <v>8127</v>
      </c>
      <c r="ES95" s="34"/>
      <c r="ET95" s="35" t="s">
        <v>47</v>
      </c>
      <c r="EU95" s="32">
        <v>1.0</v>
      </c>
      <c r="EV95" s="40" t="s">
        <v>3559</v>
      </c>
    </row>
    <row r="96">
      <c r="B96" s="42" t="s">
        <v>9335</v>
      </c>
      <c r="C96" s="45"/>
      <c r="D96" s="43"/>
      <c r="E96" s="42" t="s">
        <v>3563</v>
      </c>
      <c r="F96" s="42" t="s">
        <v>3564</v>
      </c>
      <c r="G96" s="42" t="s">
        <v>3565</v>
      </c>
      <c r="H96" s="42" t="s">
        <v>8495</v>
      </c>
      <c r="I96" s="63">
        <v>45991.0</v>
      </c>
      <c r="J96" s="42" t="s">
        <v>9338</v>
      </c>
      <c r="K96" s="42" t="s">
        <v>9339</v>
      </c>
      <c r="L96" s="42" t="s">
        <v>9340</v>
      </c>
      <c r="M96" s="43"/>
      <c r="N96" s="43"/>
      <c r="O96" s="42" t="s">
        <v>9336</v>
      </c>
      <c r="P96" s="42" t="s">
        <v>9341</v>
      </c>
      <c r="Q96" s="45"/>
      <c r="R96" s="43"/>
      <c r="S96" s="45"/>
      <c r="T96" s="45"/>
      <c r="U96" s="43"/>
      <c r="V96" s="45"/>
      <c r="W96" s="45"/>
      <c r="X96" s="43"/>
      <c r="Y96" s="42" t="s">
        <v>9341</v>
      </c>
      <c r="Z96" s="42" t="s">
        <v>9337</v>
      </c>
      <c r="AA96" s="42" t="s">
        <v>4923</v>
      </c>
      <c r="AB96" s="45"/>
      <c r="AC96" s="42" t="s">
        <v>3571</v>
      </c>
      <c r="AD96" s="42" t="s">
        <v>4925</v>
      </c>
      <c r="AE96" s="42" t="s">
        <v>4926</v>
      </c>
      <c r="AF96" s="44" t="s">
        <v>9342</v>
      </c>
      <c r="AG96" s="44" t="s">
        <v>9343</v>
      </c>
      <c r="AH96" s="45"/>
      <c r="AI96" s="43"/>
      <c r="AJ96" s="43"/>
      <c r="AK96" s="43"/>
      <c r="AL96" s="41">
        <v>2017.0</v>
      </c>
      <c r="AM96" s="43"/>
      <c r="AN96" s="42" t="s">
        <v>9345</v>
      </c>
      <c r="AO96" s="42" t="s">
        <v>9346</v>
      </c>
      <c r="AP96" s="43"/>
      <c r="AQ96" s="43"/>
      <c r="AR96" s="43"/>
      <c r="AS96" s="45"/>
      <c r="AT96" s="45"/>
      <c r="AU96" s="45"/>
      <c r="AV96" s="45"/>
      <c r="AW96" s="45"/>
      <c r="AX96" s="45"/>
      <c r="AY96" s="45"/>
      <c r="AZ96" s="45"/>
      <c r="BA96" s="45"/>
      <c r="BB96" s="45"/>
      <c r="BC96" s="42" t="s">
        <v>9344</v>
      </c>
      <c r="BD96" s="64"/>
      <c r="BE96" s="42" t="s">
        <v>3581</v>
      </c>
      <c r="BF96" s="42" t="s">
        <v>9347</v>
      </c>
      <c r="BG96" s="43"/>
      <c r="BH96" s="42" t="s">
        <v>75</v>
      </c>
      <c r="BI96" s="43"/>
      <c r="BJ96" s="45"/>
      <c r="BK96" s="42" t="s">
        <v>41</v>
      </c>
      <c r="BL96" s="45"/>
      <c r="BM96" s="45"/>
      <c r="BN96" s="42" t="s">
        <v>9348</v>
      </c>
      <c r="BO96" s="42" t="s">
        <v>3584</v>
      </c>
      <c r="BP96" s="42" t="s">
        <v>3584</v>
      </c>
      <c r="BQ96" s="43"/>
      <c r="BR96" s="43"/>
      <c r="BS96" s="45"/>
      <c r="BT96" s="43"/>
      <c r="BU96" s="43"/>
      <c r="BV96" s="43"/>
      <c r="BW96" s="43"/>
      <c r="BX96" s="43"/>
      <c r="BY96" s="43"/>
      <c r="BZ96" s="43"/>
      <c r="CA96" s="43"/>
      <c r="CB96" s="45"/>
      <c r="CC96" s="45"/>
      <c r="CD96" s="43"/>
      <c r="CE96" s="45"/>
      <c r="CF96" s="43"/>
      <c r="CG96" s="43"/>
      <c r="CH96" s="43"/>
      <c r="CI96" s="43"/>
      <c r="CJ96" s="43"/>
      <c r="CK96" s="43"/>
      <c r="CL96" s="43"/>
      <c r="CM96" s="45"/>
      <c r="CN96" s="45"/>
      <c r="CO96" s="43"/>
      <c r="CP96" s="45"/>
      <c r="CQ96" s="43"/>
      <c r="CR96" s="43"/>
      <c r="CS96" s="43"/>
      <c r="CT96" s="43"/>
      <c r="CU96" s="43"/>
      <c r="CV96" s="45"/>
      <c r="CW96" s="45"/>
      <c r="CX96" s="43"/>
      <c r="CY96" s="43"/>
      <c r="CZ96" s="47">
        <v>0.0</v>
      </c>
      <c r="DA96" s="41">
        <v>19.0</v>
      </c>
      <c r="DB96" s="47">
        <v>0.0</v>
      </c>
      <c r="DC96" s="47">
        <v>0.0</v>
      </c>
      <c r="DD96" s="47">
        <v>0.0</v>
      </c>
      <c r="DE96" s="41">
        <v>17.0</v>
      </c>
      <c r="DF96" s="45"/>
      <c r="DG96" s="45"/>
      <c r="DH96" s="47">
        <v>0.0</v>
      </c>
      <c r="DI96" s="41">
        <v>17.0</v>
      </c>
      <c r="DJ96" s="41" t="s">
        <v>9945</v>
      </c>
      <c r="DK96" s="41">
        <v>8.0</v>
      </c>
      <c r="DL96" s="41" t="s">
        <v>3598</v>
      </c>
      <c r="DM96" s="47">
        <v>0.0</v>
      </c>
      <c r="DN96" s="41" t="s">
        <v>9945</v>
      </c>
      <c r="DO96" s="41">
        <v>10.0</v>
      </c>
      <c r="DP96" s="45"/>
      <c r="DQ96" s="45"/>
      <c r="DR96" s="41" t="s">
        <v>9945</v>
      </c>
      <c r="DS96" s="41">
        <v>8.0</v>
      </c>
      <c r="DT96" s="45"/>
      <c r="DU96" s="45"/>
      <c r="DV96" s="45"/>
      <c r="DW96" s="41">
        <v>3.0</v>
      </c>
      <c r="DX96" s="41">
        <v>0.0</v>
      </c>
      <c r="DY96" s="47">
        <v>0.0</v>
      </c>
      <c r="DZ96" s="45"/>
      <c r="EA96" s="45"/>
      <c r="EB96" s="45"/>
      <c r="EC96" s="45"/>
      <c r="ED96" s="45"/>
      <c r="EE96" s="45"/>
      <c r="EF96" s="43"/>
      <c r="EG96" s="45"/>
      <c r="EH96" s="45"/>
      <c r="EI96" s="43"/>
      <c r="EJ96" s="45"/>
      <c r="EK96" s="45"/>
      <c r="EL96" s="45"/>
      <c r="EM96" s="43"/>
      <c r="EN96" s="45"/>
      <c r="EO96" s="45"/>
      <c r="EP96" s="45"/>
      <c r="EQ96" s="45"/>
      <c r="ER96" s="42" t="s">
        <v>8495</v>
      </c>
      <c r="ES96" s="43"/>
      <c r="ET96" s="42" t="s">
        <v>47</v>
      </c>
      <c r="EU96" s="41">
        <v>23.0</v>
      </c>
      <c r="EV96" s="48" t="s">
        <v>3559</v>
      </c>
    </row>
    <row r="97">
      <c r="B97" s="35" t="s">
        <v>3042</v>
      </c>
      <c r="C97" s="32">
        <v>7.0</v>
      </c>
      <c r="D97" s="35" t="s">
        <v>4714</v>
      </c>
      <c r="E97" s="35" t="s">
        <v>3563</v>
      </c>
      <c r="F97" s="35" t="s">
        <v>3609</v>
      </c>
      <c r="G97" s="35" t="s">
        <v>3610</v>
      </c>
      <c r="H97" s="35" t="s">
        <v>7279</v>
      </c>
      <c r="I97" s="60">
        <v>45919.0</v>
      </c>
      <c r="J97" s="35" t="s">
        <v>4708</v>
      </c>
      <c r="K97" s="35" t="s">
        <v>4709</v>
      </c>
      <c r="L97" s="35" t="s">
        <v>4710</v>
      </c>
      <c r="M97" s="34"/>
      <c r="N97" s="35" t="s">
        <v>9946</v>
      </c>
      <c r="O97" s="34"/>
      <c r="P97" s="35" t="s">
        <v>4711</v>
      </c>
      <c r="Q97" s="32">
        <v>15.0</v>
      </c>
      <c r="R97" s="35" t="s">
        <v>4379</v>
      </c>
      <c r="S97" s="39">
        <v>0.12</v>
      </c>
      <c r="T97" s="39">
        <v>0.88</v>
      </c>
      <c r="U97" s="35" t="s">
        <v>4379</v>
      </c>
      <c r="V97" s="39">
        <v>0.01</v>
      </c>
      <c r="W97" s="39">
        <v>0.11</v>
      </c>
      <c r="X97" s="34"/>
      <c r="Y97" s="35" t="s">
        <v>4711</v>
      </c>
      <c r="Z97" s="35" t="s">
        <v>4707</v>
      </c>
      <c r="AA97" s="35" t="s">
        <v>3569</v>
      </c>
      <c r="AB97" s="37"/>
      <c r="AC97" s="35" t="s">
        <v>3571</v>
      </c>
      <c r="AD97" s="35" t="s">
        <v>3572</v>
      </c>
      <c r="AE97" s="35" t="s">
        <v>3573</v>
      </c>
      <c r="AF97" s="36" t="s">
        <v>4712</v>
      </c>
      <c r="AG97" s="36" t="s">
        <v>4713</v>
      </c>
      <c r="AH97" s="32">
        <v>7.0</v>
      </c>
      <c r="AI97" s="35" t="s">
        <v>4714</v>
      </c>
      <c r="AJ97" s="34"/>
      <c r="AK97" s="34"/>
      <c r="AL97" s="32">
        <v>2020.0</v>
      </c>
      <c r="AM97" s="34"/>
      <c r="AN97" s="35" t="s">
        <v>4716</v>
      </c>
      <c r="AO97" s="35" t="s">
        <v>4717</v>
      </c>
      <c r="AP97" s="34"/>
      <c r="AQ97" s="34"/>
      <c r="AR97" s="34"/>
      <c r="AS97" s="37"/>
      <c r="AT97" s="37"/>
      <c r="AU97" s="37"/>
      <c r="AV97" s="37"/>
      <c r="AW97" s="37"/>
      <c r="AX97" s="37"/>
      <c r="AY97" s="37"/>
      <c r="AZ97" s="37"/>
      <c r="BA97" s="37"/>
      <c r="BB97" s="37"/>
      <c r="BC97" s="35" t="s">
        <v>4715</v>
      </c>
      <c r="BD97" s="61"/>
      <c r="BE97" s="35" t="s">
        <v>4718</v>
      </c>
      <c r="BF97" s="35" t="s">
        <v>4719</v>
      </c>
      <c r="BG97" s="34"/>
      <c r="BH97" s="35" t="s">
        <v>4720</v>
      </c>
      <c r="BI97" s="34"/>
      <c r="BJ97" s="32">
        <v>4436942.0</v>
      </c>
      <c r="BK97" s="35" t="s">
        <v>41</v>
      </c>
      <c r="BL97" s="37" t="str">
        <f>+972 (0)52 619 4205</f>
        <v>#ERROR!</v>
      </c>
      <c r="BM97" s="37"/>
      <c r="BN97" s="35" t="s">
        <v>3048</v>
      </c>
      <c r="BO97" s="35" t="s">
        <v>3584</v>
      </c>
      <c r="BP97" s="35" t="s">
        <v>3584</v>
      </c>
      <c r="BQ97" s="35" t="s">
        <v>4721</v>
      </c>
      <c r="BR97" s="35" t="s">
        <v>4722</v>
      </c>
      <c r="BS97" s="32">
        <v>3.0</v>
      </c>
      <c r="BT97" s="34"/>
      <c r="BU97" s="34"/>
      <c r="BV97" s="34"/>
      <c r="BW97" s="35" t="s">
        <v>4723</v>
      </c>
      <c r="BX97" s="34"/>
      <c r="BY97" s="34"/>
      <c r="BZ97" s="34"/>
      <c r="CA97" s="34"/>
      <c r="CB97" s="60">
        <v>44215.0</v>
      </c>
      <c r="CC97" s="37"/>
      <c r="CD97" s="34"/>
      <c r="CE97" s="37"/>
      <c r="CF97" s="34"/>
      <c r="CG97" s="35" t="s">
        <v>3802</v>
      </c>
      <c r="CH97" s="35" t="s">
        <v>3802</v>
      </c>
      <c r="CI97" s="34"/>
      <c r="CJ97" s="35" t="s">
        <v>3803</v>
      </c>
      <c r="CK97" s="34"/>
      <c r="CL97" s="35" t="s">
        <v>3591</v>
      </c>
      <c r="CM97" s="37"/>
      <c r="CN97" s="37"/>
      <c r="CO97" s="34"/>
      <c r="CP97" s="37"/>
      <c r="CQ97" s="34"/>
      <c r="CR97" s="35" t="s">
        <v>3669</v>
      </c>
      <c r="CS97" s="34"/>
      <c r="CT97" s="34"/>
      <c r="CU97" s="35" t="s">
        <v>3573</v>
      </c>
      <c r="CV97" s="37"/>
      <c r="CW97" s="37"/>
      <c r="CX97" s="34"/>
      <c r="CY97" s="35" t="s">
        <v>3591</v>
      </c>
      <c r="CZ97" s="39">
        <v>0.0</v>
      </c>
      <c r="DA97" s="32">
        <v>19.0</v>
      </c>
      <c r="DB97" s="39">
        <v>0.0</v>
      </c>
      <c r="DC97" s="39">
        <v>0.0</v>
      </c>
      <c r="DD97" s="39">
        <v>0.0</v>
      </c>
      <c r="DE97" s="32">
        <v>17.0</v>
      </c>
      <c r="DF97" s="39">
        <v>0.0</v>
      </c>
      <c r="DG97" s="32">
        <v>11.0</v>
      </c>
      <c r="DH97" s="39">
        <v>0.0</v>
      </c>
      <c r="DI97" s="32">
        <v>17.0</v>
      </c>
      <c r="DJ97" s="32" t="s">
        <v>9947</v>
      </c>
      <c r="DK97" s="32">
        <v>34.0</v>
      </c>
      <c r="DL97" s="32" t="s">
        <v>3598</v>
      </c>
      <c r="DM97" s="39">
        <v>0.0</v>
      </c>
      <c r="DN97" s="32" t="s">
        <v>5616</v>
      </c>
      <c r="DO97" s="32">
        <v>30.0</v>
      </c>
      <c r="DP97" s="32" t="s">
        <v>4157</v>
      </c>
      <c r="DQ97" s="32">
        <v>19.0</v>
      </c>
      <c r="DR97" s="32" t="s">
        <v>6409</v>
      </c>
      <c r="DS97" s="32">
        <v>44.0</v>
      </c>
      <c r="DT97" s="32">
        <v>0.0</v>
      </c>
      <c r="DU97" s="32">
        <v>0.0</v>
      </c>
      <c r="DV97" s="39">
        <v>0.0</v>
      </c>
      <c r="DW97" s="32">
        <v>14.0</v>
      </c>
      <c r="DX97" s="32">
        <v>0.0</v>
      </c>
      <c r="DY97" s="39">
        <v>0.0</v>
      </c>
      <c r="DZ97" s="37"/>
      <c r="EA97" s="37"/>
      <c r="EB97" s="37"/>
      <c r="EC97" s="37"/>
      <c r="ED97" s="37"/>
      <c r="EE97" s="37"/>
      <c r="EF97" s="34"/>
      <c r="EG97" s="37"/>
      <c r="EH97" s="37"/>
      <c r="EI97" s="34"/>
      <c r="EJ97" s="37"/>
      <c r="EK97" s="37"/>
      <c r="EL97" s="37"/>
      <c r="EM97" s="34"/>
      <c r="EN97" s="37"/>
      <c r="EO97" s="37"/>
      <c r="EP97" s="37"/>
      <c r="EQ97" s="37"/>
      <c r="ER97" s="35" t="s">
        <v>7279</v>
      </c>
      <c r="ES97" s="34"/>
      <c r="ET97" s="35" t="s">
        <v>47</v>
      </c>
      <c r="EU97" s="32">
        <v>9.0</v>
      </c>
      <c r="EV97" s="40" t="s">
        <v>3559</v>
      </c>
    </row>
    <row r="98">
      <c r="B98" s="42" t="s">
        <v>3892</v>
      </c>
      <c r="C98" s="41">
        <v>40.0</v>
      </c>
      <c r="D98" s="42" t="s">
        <v>9948</v>
      </c>
      <c r="E98" s="42" t="s">
        <v>3867</v>
      </c>
      <c r="F98" s="42" t="s">
        <v>3897</v>
      </c>
      <c r="G98" s="42" t="s">
        <v>3898</v>
      </c>
      <c r="H98" s="42" t="s">
        <v>9734</v>
      </c>
      <c r="I98" s="63">
        <v>45880.0</v>
      </c>
      <c r="J98" s="42" t="s">
        <v>3899</v>
      </c>
      <c r="K98" s="42" t="s">
        <v>3900</v>
      </c>
      <c r="L98" s="42" t="s">
        <v>3901</v>
      </c>
      <c r="M98" s="42" t="s">
        <v>3893</v>
      </c>
      <c r="N98" s="42" t="s">
        <v>9949</v>
      </c>
      <c r="O98" s="42" t="s">
        <v>3894</v>
      </c>
      <c r="P98" s="42" t="s">
        <v>3902</v>
      </c>
      <c r="Q98" s="41">
        <v>91.0</v>
      </c>
      <c r="R98" s="42" t="s">
        <v>3602</v>
      </c>
      <c r="S98" s="47">
        <v>0.82</v>
      </c>
      <c r="T98" s="47">
        <v>0.18</v>
      </c>
      <c r="U98" s="42" t="s">
        <v>3603</v>
      </c>
      <c r="V98" s="47">
        <v>0.02</v>
      </c>
      <c r="W98" s="47">
        <v>0.8</v>
      </c>
      <c r="X98" s="42" t="s">
        <v>9950</v>
      </c>
      <c r="Y98" s="42" t="s">
        <v>3902</v>
      </c>
      <c r="Z98" s="42" t="s">
        <v>3896</v>
      </c>
      <c r="AA98" s="42" t="s">
        <v>3569</v>
      </c>
      <c r="AB98" s="41">
        <v>28.5</v>
      </c>
      <c r="AC98" s="42" t="s">
        <v>3571</v>
      </c>
      <c r="AD98" s="42" t="s">
        <v>3572</v>
      </c>
      <c r="AE98" s="42" t="s">
        <v>3573</v>
      </c>
      <c r="AF98" s="44" t="s">
        <v>3903</v>
      </c>
      <c r="AG98" s="44" t="s">
        <v>3904</v>
      </c>
      <c r="AH98" s="41">
        <v>40.0</v>
      </c>
      <c r="AI98" s="42" t="s">
        <v>9948</v>
      </c>
      <c r="AJ98" s="43"/>
      <c r="AK98" s="43"/>
      <c r="AL98" s="41">
        <v>2021.0</v>
      </c>
      <c r="AM98" s="43"/>
      <c r="AN98" s="42" t="s">
        <v>3907</v>
      </c>
      <c r="AO98" s="42" t="s">
        <v>3908</v>
      </c>
      <c r="AP98" s="42" t="s">
        <v>3909</v>
      </c>
      <c r="AQ98" s="43"/>
      <c r="AR98" s="43"/>
      <c r="AS98" s="45"/>
      <c r="AT98" s="45"/>
      <c r="AU98" s="45"/>
      <c r="AV98" s="45"/>
      <c r="AW98" s="45"/>
      <c r="AX98" s="45"/>
      <c r="AY98" s="45"/>
      <c r="AZ98" s="45"/>
      <c r="BA98" s="45"/>
      <c r="BB98" s="45"/>
      <c r="BC98" s="42" t="s">
        <v>3906</v>
      </c>
      <c r="BD98" s="64"/>
      <c r="BE98" s="42" t="s">
        <v>3581</v>
      </c>
      <c r="BF98" s="42" t="s">
        <v>3910</v>
      </c>
      <c r="BG98" s="43"/>
      <c r="BH98" s="42" t="s">
        <v>75</v>
      </c>
      <c r="BI98" s="43"/>
      <c r="BJ98" s="45"/>
      <c r="BK98" s="42" t="s">
        <v>41</v>
      </c>
      <c r="BL98" s="45"/>
      <c r="BM98" s="45"/>
      <c r="BN98" s="42" t="s">
        <v>3911</v>
      </c>
      <c r="BO98" s="42" t="s">
        <v>3584</v>
      </c>
      <c r="BP98" s="42" t="s">
        <v>3584</v>
      </c>
      <c r="BQ98" s="42" t="s">
        <v>3912</v>
      </c>
      <c r="BR98" s="42" t="s">
        <v>3913</v>
      </c>
      <c r="BS98" s="41">
        <v>6.0</v>
      </c>
      <c r="BT98" s="43"/>
      <c r="BU98" s="43"/>
      <c r="BV98" s="43"/>
      <c r="BW98" s="42" t="s">
        <v>3914</v>
      </c>
      <c r="BX98" s="43"/>
      <c r="BY98" s="43"/>
      <c r="BZ98" s="43"/>
      <c r="CA98" s="43"/>
      <c r="CB98" s="65">
        <v>44256.0</v>
      </c>
      <c r="CC98" s="45"/>
      <c r="CD98" s="43"/>
      <c r="CE98" s="45"/>
      <c r="CF98" s="43"/>
      <c r="CG98" s="42" t="s">
        <v>3589</v>
      </c>
      <c r="CH98" s="43"/>
      <c r="CI98" s="43"/>
      <c r="CJ98" s="42" t="s">
        <v>3590</v>
      </c>
      <c r="CK98" s="43"/>
      <c r="CL98" s="42" t="s">
        <v>3591</v>
      </c>
      <c r="CM98" s="63">
        <v>45879.0</v>
      </c>
      <c r="CN98" s="41">
        <v>6.0</v>
      </c>
      <c r="CO98" s="42" t="s">
        <v>3593</v>
      </c>
      <c r="CP98" s="45"/>
      <c r="CQ98" s="43"/>
      <c r="CR98" s="42" t="s">
        <v>3669</v>
      </c>
      <c r="CS98" s="43"/>
      <c r="CT98" s="43"/>
      <c r="CU98" s="42" t="s">
        <v>3573</v>
      </c>
      <c r="CV98" s="45"/>
      <c r="CW98" s="45"/>
      <c r="CX98" s="43"/>
      <c r="CY98" s="42" t="s">
        <v>3591</v>
      </c>
      <c r="CZ98" s="47">
        <v>-0.003</v>
      </c>
      <c r="DA98" s="41">
        <v>15.0</v>
      </c>
      <c r="DB98" s="47">
        <v>0.0</v>
      </c>
      <c r="DC98" s="47">
        <v>0.0</v>
      </c>
      <c r="DD98" s="47">
        <v>0.0</v>
      </c>
      <c r="DE98" s="41">
        <v>17.0</v>
      </c>
      <c r="DF98" s="47">
        <v>0.0</v>
      </c>
      <c r="DG98" s="41">
        <v>11.0</v>
      </c>
      <c r="DH98" s="47">
        <v>0.0</v>
      </c>
      <c r="DI98" s="41">
        <v>17.0</v>
      </c>
      <c r="DJ98" s="41" t="s">
        <v>7662</v>
      </c>
      <c r="DK98" s="41">
        <v>70.0</v>
      </c>
      <c r="DL98" s="41" t="s">
        <v>3598</v>
      </c>
      <c r="DM98" s="47">
        <v>0.0</v>
      </c>
      <c r="DN98" s="41" t="s">
        <v>9951</v>
      </c>
      <c r="DO98" s="41">
        <v>65.0</v>
      </c>
      <c r="DP98" s="41" t="s">
        <v>9952</v>
      </c>
      <c r="DQ98" s="41">
        <v>68.0</v>
      </c>
      <c r="DR98" s="41" t="s">
        <v>9816</v>
      </c>
      <c r="DS98" s="41">
        <v>64.0</v>
      </c>
      <c r="DT98" s="41">
        <v>260.0</v>
      </c>
      <c r="DU98" s="41">
        <v>-1.0</v>
      </c>
      <c r="DV98" s="47">
        <v>-0.0038</v>
      </c>
      <c r="DW98" s="41">
        <v>33.0</v>
      </c>
      <c r="DX98" s="41">
        <v>-1.0</v>
      </c>
      <c r="DY98" s="47">
        <v>-0.0294</v>
      </c>
      <c r="DZ98" s="41">
        <v>13.0</v>
      </c>
      <c r="EA98" s="41">
        <v>5.0</v>
      </c>
      <c r="EB98" s="41">
        <v>5.0</v>
      </c>
      <c r="EC98" s="41">
        <v>1.0</v>
      </c>
      <c r="ED98" s="41">
        <v>1.0</v>
      </c>
      <c r="EE98" s="41">
        <v>7.0</v>
      </c>
      <c r="EF98" s="42" t="s">
        <v>3920</v>
      </c>
      <c r="EG98" s="45"/>
      <c r="EH98" s="45"/>
      <c r="EI98" s="43"/>
      <c r="EJ98" s="45"/>
      <c r="EK98" s="45"/>
      <c r="EL98" s="45"/>
      <c r="EM98" s="42" t="s">
        <v>3921</v>
      </c>
      <c r="EN98" s="45"/>
      <c r="EO98" s="45"/>
      <c r="EP98" s="45"/>
      <c r="EQ98" s="45"/>
      <c r="ER98" s="42" t="s">
        <v>9734</v>
      </c>
      <c r="ES98" s="43"/>
      <c r="ET98" s="42" t="s">
        <v>47</v>
      </c>
      <c r="EU98" s="41">
        <v>3.0</v>
      </c>
      <c r="EV98" s="48" t="s">
        <v>3559</v>
      </c>
    </row>
    <row r="99">
      <c r="B99" s="42" t="s">
        <v>9550</v>
      </c>
      <c r="C99" s="45"/>
      <c r="D99" s="43"/>
      <c r="E99" s="42" t="s">
        <v>3563</v>
      </c>
      <c r="F99" s="42" t="s">
        <v>3564</v>
      </c>
      <c r="G99" s="42" t="s">
        <v>3565</v>
      </c>
      <c r="H99" s="42" t="s">
        <v>3612</v>
      </c>
      <c r="I99" s="63">
        <v>44614.0</v>
      </c>
      <c r="J99" s="42" t="s">
        <v>9553</v>
      </c>
      <c r="K99" s="42" t="s">
        <v>9554</v>
      </c>
      <c r="L99" s="42" t="s">
        <v>9555</v>
      </c>
      <c r="M99" s="43"/>
      <c r="N99" s="42" t="s">
        <v>9953</v>
      </c>
      <c r="O99" s="42" t="s">
        <v>9551</v>
      </c>
      <c r="P99" s="42" t="s">
        <v>9556</v>
      </c>
      <c r="Q99" s="42"/>
      <c r="R99" s="42"/>
      <c r="S99" s="42"/>
      <c r="T99" s="42"/>
      <c r="U99" s="42"/>
      <c r="V99" s="42"/>
      <c r="W99" s="42"/>
      <c r="X99" s="43"/>
      <c r="Y99" s="42" t="s">
        <v>9556</v>
      </c>
      <c r="Z99" s="42" t="s">
        <v>9552</v>
      </c>
      <c r="AA99" s="42" t="s">
        <v>4923</v>
      </c>
      <c r="AB99" s="45"/>
      <c r="AC99" s="42" t="s">
        <v>3571</v>
      </c>
      <c r="AD99" s="42" t="s">
        <v>4925</v>
      </c>
      <c r="AE99" s="42" t="s">
        <v>4926</v>
      </c>
      <c r="AF99" s="44" t="s">
        <v>9557</v>
      </c>
      <c r="AG99" s="44" t="s">
        <v>9558</v>
      </c>
      <c r="AH99" s="45"/>
      <c r="AI99" s="43"/>
      <c r="AJ99" s="43"/>
      <c r="AK99" s="43"/>
      <c r="AL99" s="41">
        <v>2007.0</v>
      </c>
      <c r="AM99" s="43"/>
      <c r="AN99" s="43"/>
      <c r="AO99" s="43"/>
      <c r="AP99" s="43"/>
      <c r="AQ99" s="43"/>
      <c r="AR99" s="43"/>
      <c r="AS99" s="45"/>
      <c r="AT99" s="45"/>
      <c r="AU99" s="45"/>
      <c r="AV99" s="45"/>
      <c r="AW99" s="45"/>
      <c r="AX99" s="45"/>
      <c r="AY99" s="45"/>
      <c r="AZ99" s="45"/>
      <c r="BA99" s="45"/>
      <c r="BB99" s="45"/>
      <c r="BC99" s="43"/>
      <c r="BD99" s="64"/>
      <c r="BE99" s="42" t="s">
        <v>3744</v>
      </c>
      <c r="BF99" s="42" t="s">
        <v>9559</v>
      </c>
      <c r="BG99" s="43"/>
      <c r="BH99" s="42" t="s">
        <v>183</v>
      </c>
      <c r="BI99" s="43"/>
      <c r="BJ99" s="45"/>
      <c r="BK99" s="42" t="s">
        <v>41</v>
      </c>
      <c r="BL99" s="45" t="str">
        <f>+972 (0)8 946 4288</f>
        <v>#ERROR!</v>
      </c>
      <c r="BM99" s="45"/>
      <c r="BN99" s="43"/>
      <c r="BO99" s="42" t="s">
        <v>3584</v>
      </c>
      <c r="BP99" s="42" t="s">
        <v>3584</v>
      </c>
      <c r="BQ99" s="43"/>
      <c r="BR99" s="43"/>
      <c r="BS99" s="45"/>
      <c r="BT99" s="43"/>
      <c r="BU99" s="43"/>
      <c r="BV99" s="43"/>
      <c r="BW99" s="43"/>
      <c r="BX99" s="43"/>
      <c r="BY99" s="43"/>
      <c r="BZ99" s="43"/>
      <c r="CA99" s="43"/>
      <c r="CB99" s="45"/>
      <c r="CC99" s="45"/>
      <c r="CD99" s="43"/>
      <c r="CE99" s="45"/>
      <c r="CF99" s="43"/>
      <c r="CG99" s="43"/>
      <c r="CH99" s="43"/>
      <c r="CI99" s="43"/>
      <c r="CJ99" s="43"/>
      <c r="CK99" s="43"/>
      <c r="CL99" s="43"/>
      <c r="CM99" s="45"/>
      <c r="CN99" s="45"/>
      <c r="CO99" s="43"/>
      <c r="CP99" s="45"/>
      <c r="CQ99" s="43"/>
      <c r="CR99" s="43"/>
      <c r="CS99" s="43"/>
      <c r="CT99" s="43"/>
      <c r="CU99" s="43"/>
      <c r="CV99" s="45"/>
      <c r="CW99" s="45"/>
      <c r="CX99" s="43"/>
      <c r="CY99" s="43"/>
      <c r="CZ99" s="47">
        <v>0.0074</v>
      </c>
      <c r="DA99" s="41">
        <v>92.0</v>
      </c>
      <c r="DB99" s="47">
        <v>0.0</v>
      </c>
      <c r="DC99" s="47">
        <v>0.0</v>
      </c>
      <c r="DD99" s="47">
        <v>0.0074</v>
      </c>
      <c r="DE99" s="41">
        <v>95.0</v>
      </c>
      <c r="DF99" s="47">
        <v>0.0</v>
      </c>
      <c r="DG99" s="41">
        <v>11.0</v>
      </c>
      <c r="DH99" s="47">
        <v>0.0147</v>
      </c>
      <c r="DI99" s="41">
        <v>97.0</v>
      </c>
      <c r="DJ99" s="41" t="s">
        <v>9954</v>
      </c>
      <c r="DK99" s="41">
        <v>78.0</v>
      </c>
      <c r="DL99" s="41" t="s">
        <v>3598</v>
      </c>
      <c r="DM99" s="47">
        <v>0.0</v>
      </c>
      <c r="DN99" s="41" t="s">
        <v>9954</v>
      </c>
      <c r="DO99" s="41">
        <v>76.0</v>
      </c>
      <c r="DP99" s="41" t="s">
        <v>9955</v>
      </c>
      <c r="DQ99" s="41">
        <v>46.0</v>
      </c>
      <c r="DR99" s="41" t="s">
        <v>9632</v>
      </c>
      <c r="DS99" s="41">
        <v>85.0</v>
      </c>
      <c r="DT99" s="41">
        <v>74.0</v>
      </c>
      <c r="DU99" s="41">
        <v>-24.0</v>
      </c>
      <c r="DV99" s="47">
        <v>-0.2449</v>
      </c>
      <c r="DW99" s="41">
        <v>183.0</v>
      </c>
      <c r="DX99" s="41">
        <v>1.0</v>
      </c>
      <c r="DY99" s="47">
        <v>0.0055</v>
      </c>
      <c r="DZ99" s="45"/>
      <c r="EA99" s="45"/>
      <c r="EB99" s="45"/>
      <c r="EC99" s="45"/>
      <c r="ED99" s="45"/>
      <c r="EE99" s="45"/>
      <c r="EF99" s="43"/>
      <c r="EG99" s="45"/>
      <c r="EH99" s="45"/>
      <c r="EI99" s="43"/>
      <c r="EJ99" s="45"/>
      <c r="EK99" s="45"/>
      <c r="EL99" s="45"/>
      <c r="EM99" s="43"/>
      <c r="EN99" s="45"/>
      <c r="EO99" s="45"/>
      <c r="EP99" s="45"/>
      <c r="EQ99" s="45"/>
      <c r="ER99" s="42" t="s">
        <v>3612</v>
      </c>
      <c r="ES99" s="43"/>
      <c r="ET99" s="43"/>
      <c r="EU99" s="45"/>
      <c r="EV99" s="48" t="s">
        <v>3559</v>
      </c>
    </row>
    <row r="100">
      <c r="B100" s="42" t="s">
        <v>5010</v>
      </c>
      <c r="C100" s="41">
        <v>4.0</v>
      </c>
      <c r="D100" s="42" t="s">
        <v>5022</v>
      </c>
      <c r="E100" s="42" t="s">
        <v>4560</v>
      </c>
      <c r="F100" s="42" t="s">
        <v>4561</v>
      </c>
      <c r="G100" s="42" t="s">
        <v>66</v>
      </c>
      <c r="H100" s="42" t="s">
        <v>3612</v>
      </c>
      <c r="I100" s="63">
        <v>45345.0</v>
      </c>
      <c r="J100" s="42" t="s">
        <v>5015</v>
      </c>
      <c r="K100" s="42" t="s">
        <v>5016</v>
      </c>
      <c r="L100" s="42" t="s">
        <v>5017</v>
      </c>
      <c r="M100" s="42" t="s">
        <v>5011</v>
      </c>
      <c r="N100" s="42" t="s">
        <v>5012</v>
      </c>
      <c r="O100" s="42" t="s">
        <v>5013</v>
      </c>
      <c r="P100" s="42" t="s">
        <v>5019</v>
      </c>
      <c r="Q100" s="42"/>
      <c r="R100" s="42"/>
      <c r="S100" s="42"/>
      <c r="T100" s="42"/>
      <c r="U100" s="42"/>
      <c r="V100" s="42"/>
      <c r="W100" s="42"/>
      <c r="X100" s="43"/>
      <c r="Y100" s="42" t="s">
        <v>5019</v>
      </c>
      <c r="Z100" s="42" t="s">
        <v>5014</v>
      </c>
      <c r="AA100" s="42" t="s">
        <v>5018</v>
      </c>
      <c r="AB100" s="45"/>
      <c r="AC100" s="42" t="s">
        <v>3571</v>
      </c>
      <c r="AD100" s="42" t="s">
        <v>5020</v>
      </c>
      <c r="AE100" s="42" t="s">
        <v>3573</v>
      </c>
      <c r="AF100" s="44" t="s">
        <v>5021</v>
      </c>
      <c r="AG100" s="43"/>
      <c r="AH100" s="41">
        <v>4.0</v>
      </c>
      <c r="AI100" s="42" t="s">
        <v>5022</v>
      </c>
      <c r="AJ100" s="43"/>
      <c r="AK100" s="43"/>
      <c r="AL100" s="41">
        <v>1968.0</v>
      </c>
      <c r="AM100" s="43"/>
      <c r="AN100" s="43"/>
      <c r="AO100" s="43"/>
      <c r="AP100" s="43"/>
      <c r="AQ100" s="43"/>
      <c r="AR100" s="43"/>
      <c r="AS100" s="45"/>
      <c r="AT100" s="45"/>
      <c r="AU100" s="45"/>
      <c r="AV100" s="45"/>
      <c r="AW100" s="45"/>
      <c r="AX100" s="45"/>
      <c r="AY100" s="45"/>
      <c r="AZ100" s="45"/>
      <c r="BA100" s="45"/>
      <c r="BB100" s="45"/>
      <c r="BC100" s="43"/>
      <c r="BD100" s="64"/>
      <c r="BE100" s="42" t="s">
        <v>5023</v>
      </c>
      <c r="BF100" s="42" t="s">
        <v>5024</v>
      </c>
      <c r="BG100" s="43"/>
      <c r="BH100" s="42" t="s">
        <v>87</v>
      </c>
      <c r="BI100" s="43"/>
      <c r="BJ100" s="41">
        <v>4060000.0</v>
      </c>
      <c r="BK100" s="42" t="s">
        <v>41</v>
      </c>
      <c r="BL100" s="45"/>
      <c r="BM100" s="45"/>
      <c r="BN100" s="43"/>
      <c r="BO100" s="42" t="s">
        <v>3584</v>
      </c>
      <c r="BP100" s="42" t="s">
        <v>3584</v>
      </c>
      <c r="BQ100" s="42" t="s">
        <v>5025</v>
      </c>
      <c r="BR100" s="43"/>
      <c r="BS100" s="45"/>
      <c r="BT100" s="42" t="s">
        <v>5026</v>
      </c>
      <c r="BU100" s="42" t="s">
        <v>5027</v>
      </c>
      <c r="BV100" s="43"/>
      <c r="BW100" s="43"/>
      <c r="BX100" s="42" t="s">
        <v>5028</v>
      </c>
      <c r="BY100" s="43"/>
      <c r="BZ100" s="43"/>
      <c r="CA100" s="43"/>
      <c r="CB100" s="65">
        <v>39448.0</v>
      </c>
      <c r="CC100" s="45"/>
      <c r="CD100" s="43"/>
      <c r="CE100" s="45"/>
      <c r="CF100" s="43"/>
      <c r="CG100" s="42" t="s">
        <v>3594</v>
      </c>
      <c r="CH100" s="43"/>
      <c r="CI100" s="43"/>
      <c r="CJ100" s="42" t="s">
        <v>3573</v>
      </c>
      <c r="CK100" s="43"/>
      <c r="CL100" s="42" t="s">
        <v>3591</v>
      </c>
      <c r="CM100" s="65">
        <v>43556.0</v>
      </c>
      <c r="CN100" s="45"/>
      <c r="CO100" s="43"/>
      <c r="CP100" s="45"/>
      <c r="CQ100" s="43"/>
      <c r="CR100" s="42" t="s">
        <v>4977</v>
      </c>
      <c r="CS100" s="43"/>
      <c r="CT100" s="43"/>
      <c r="CU100" s="42" t="s">
        <v>3663</v>
      </c>
      <c r="CV100" s="45"/>
      <c r="CW100" s="45"/>
      <c r="CX100" s="43"/>
      <c r="CY100" s="42" t="s">
        <v>3591</v>
      </c>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3"/>
      <c r="EG100" s="45"/>
      <c r="EH100" s="45"/>
      <c r="EI100" s="43"/>
      <c r="EJ100" s="45"/>
      <c r="EK100" s="45"/>
      <c r="EL100" s="45"/>
      <c r="EM100" s="43"/>
      <c r="EN100" s="45"/>
      <c r="EO100" s="45"/>
      <c r="EP100" s="45"/>
      <c r="EQ100" s="45"/>
      <c r="ER100" s="42" t="s">
        <v>3612</v>
      </c>
      <c r="ES100" s="43"/>
      <c r="ET100" s="43"/>
      <c r="EU100" s="45"/>
      <c r="EV100" s="48" t="s">
        <v>3559</v>
      </c>
    </row>
    <row r="101">
      <c r="B101" s="42" t="s">
        <v>7455</v>
      </c>
      <c r="C101" s="45"/>
      <c r="D101" s="43"/>
      <c r="E101" s="42" t="s">
        <v>3563</v>
      </c>
      <c r="F101" s="42" t="s">
        <v>3564</v>
      </c>
      <c r="G101" s="42" t="s">
        <v>7458</v>
      </c>
      <c r="H101" s="42" t="s">
        <v>3612</v>
      </c>
      <c r="I101" s="70">
        <v>45803.0</v>
      </c>
      <c r="J101" s="42" t="s">
        <v>7459</v>
      </c>
      <c r="K101" s="42" t="s">
        <v>5513</v>
      </c>
      <c r="L101" s="42" t="s">
        <v>7460</v>
      </c>
      <c r="M101" s="43"/>
      <c r="N101" s="43"/>
      <c r="O101" s="42" t="s">
        <v>7456</v>
      </c>
      <c r="P101" s="42" t="s">
        <v>7461</v>
      </c>
      <c r="Q101" s="45"/>
      <c r="R101" s="43"/>
      <c r="S101" s="45"/>
      <c r="T101" s="45"/>
      <c r="U101" s="43"/>
      <c r="V101" s="45"/>
      <c r="W101" s="45"/>
      <c r="X101" s="43"/>
      <c r="Y101" s="42" t="s">
        <v>7461</v>
      </c>
      <c r="Z101" s="42" t="s">
        <v>7457</v>
      </c>
      <c r="AA101" s="42" t="s">
        <v>5018</v>
      </c>
      <c r="AB101" s="41">
        <v>17.0</v>
      </c>
      <c r="AC101" s="42" t="s">
        <v>3571</v>
      </c>
      <c r="AD101" s="42" t="s">
        <v>5020</v>
      </c>
      <c r="AE101" s="42" t="s">
        <v>3573</v>
      </c>
      <c r="AF101" s="44" t="s">
        <v>7462</v>
      </c>
      <c r="AG101" s="43"/>
      <c r="AH101" s="45"/>
      <c r="AI101" s="43"/>
      <c r="AJ101" s="43"/>
      <c r="AK101" s="43"/>
      <c r="AL101" s="41">
        <v>1991.0</v>
      </c>
      <c r="AM101" s="43"/>
      <c r="AN101" s="43"/>
      <c r="AO101" s="43"/>
      <c r="AP101" s="43"/>
      <c r="AQ101" s="43"/>
      <c r="AR101" s="43"/>
      <c r="AS101" s="45"/>
      <c r="AT101" s="45"/>
      <c r="AU101" s="45"/>
      <c r="AV101" s="45"/>
      <c r="AW101" s="45"/>
      <c r="AX101" s="45"/>
      <c r="AY101" s="45"/>
      <c r="AZ101" s="45"/>
      <c r="BA101" s="45"/>
      <c r="BB101" s="45"/>
      <c r="BC101" s="43"/>
      <c r="BD101" s="64"/>
      <c r="BE101" s="42" t="s">
        <v>3581</v>
      </c>
      <c r="BF101" s="42" t="s">
        <v>7463</v>
      </c>
      <c r="BG101" s="43"/>
      <c r="BH101" s="42" t="s">
        <v>75</v>
      </c>
      <c r="BI101" s="43"/>
      <c r="BJ101" s="41">
        <v>6998923.0</v>
      </c>
      <c r="BK101" s="42" t="s">
        <v>41</v>
      </c>
      <c r="BL101" s="45"/>
      <c r="BM101" s="45"/>
      <c r="BN101" s="43"/>
      <c r="BO101" s="42" t="s">
        <v>3584</v>
      </c>
      <c r="BP101" s="42" t="s">
        <v>3584</v>
      </c>
      <c r="BQ101" s="42" t="s">
        <v>7464</v>
      </c>
      <c r="BR101" s="43"/>
      <c r="BS101" s="45"/>
      <c r="BT101" s="42" t="s">
        <v>9956</v>
      </c>
      <c r="BU101" s="42" t="s">
        <v>7466</v>
      </c>
      <c r="BV101" s="43"/>
      <c r="BW101" s="43"/>
      <c r="BX101" s="42" t="s">
        <v>7467</v>
      </c>
      <c r="BY101" s="43"/>
      <c r="BZ101" s="43"/>
      <c r="CA101" s="42" t="s">
        <v>7468</v>
      </c>
      <c r="CB101" s="65">
        <v>33239.0</v>
      </c>
      <c r="CC101" s="41">
        <v>3.0</v>
      </c>
      <c r="CD101" s="42" t="s">
        <v>3593</v>
      </c>
      <c r="CE101" s="45"/>
      <c r="CF101" s="43"/>
      <c r="CG101" s="42" t="s">
        <v>3669</v>
      </c>
      <c r="CH101" s="43"/>
      <c r="CI101" s="43"/>
      <c r="CJ101" s="42" t="s">
        <v>3573</v>
      </c>
      <c r="CK101" s="43"/>
      <c r="CL101" s="42" t="s">
        <v>3591</v>
      </c>
      <c r="CM101" s="45"/>
      <c r="CN101" s="45"/>
      <c r="CO101" s="43"/>
      <c r="CP101" s="45"/>
      <c r="CQ101" s="43"/>
      <c r="CR101" s="42" t="s">
        <v>4977</v>
      </c>
      <c r="CS101" s="43"/>
      <c r="CT101" s="43"/>
      <c r="CU101" s="42" t="s">
        <v>3663</v>
      </c>
      <c r="CV101" s="45"/>
      <c r="CW101" s="45"/>
      <c r="CX101" s="43"/>
      <c r="CY101" s="42" t="s">
        <v>3591</v>
      </c>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1">
        <v>1.0</v>
      </c>
      <c r="EA101" s="41">
        <v>1.0</v>
      </c>
      <c r="EB101" s="45"/>
      <c r="EC101" s="45"/>
      <c r="ED101" s="45"/>
      <c r="EE101" s="41">
        <v>1.0</v>
      </c>
      <c r="EF101" s="43"/>
      <c r="EG101" s="41">
        <v>34.0</v>
      </c>
      <c r="EH101" s="63">
        <v>36965.0</v>
      </c>
      <c r="EI101" s="42" t="s">
        <v>3594</v>
      </c>
      <c r="EJ101" s="45"/>
      <c r="EK101" s="45"/>
      <c r="EL101" s="45"/>
      <c r="EM101" s="43"/>
      <c r="EN101" s="45"/>
      <c r="EO101" s="45"/>
      <c r="EP101" s="45"/>
      <c r="EQ101" s="45"/>
      <c r="ER101" s="42" t="s">
        <v>3612</v>
      </c>
      <c r="ES101" s="43"/>
      <c r="ET101" s="42" t="s">
        <v>47</v>
      </c>
      <c r="EU101" s="41">
        <v>16.0</v>
      </c>
      <c r="EV101" s="48" t="s">
        <v>3559</v>
      </c>
    </row>
    <row r="102">
      <c r="B102" s="42" t="s">
        <v>5802</v>
      </c>
      <c r="C102" s="41">
        <v>11.0</v>
      </c>
      <c r="D102" s="42" t="s">
        <v>5810</v>
      </c>
      <c r="E102" s="42" t="s">
        <v>3563</v>
      </c>
      <c r="F102" s="42" t="s">
        <v>351</v>
      </c>
      <c r="G102" s="42" t="s">
        <v>4111</v>
      </c>
      <c r="H102" s="42" t="s">
        <v>6078</v>
      </c>
      <c r="I102" s="63">
        <v>45183.0</v>
      </c>
      <c r="J102" s="42" t="s">
        <v>5805</v>
      </c>
      <c r="K102" s="42" t="s">
        <v>5806</v>
      </c>
      <c r="L102" s="42" t="s">
        <v>5807</v>
      </c>
      <c r="M102" s="43"/>
      <c r="N102" s="43"/>
      <c r="O102" s="42" t="s">
        <v>5803</v>
      </c>
      <c r="P102" s="42" t="s">
        <v>5808</v>
      </c>
      <c r="Q102" s="42"/>
      <c r="R102" s="42"/>
      <c r="S102" s="42"/>
      <c r="T102" s="42"/>
      <c r="U102" s="42"/>
      <c r="V102" s="42"/>
      <c r="W102" s="42"/>
      <c r="X102" s="43"/>
      <c r="Y102" s="42" t="s">
        <v>5808</v>
      </c>
      <c r="Z102" s="42" t="s">
        <v>5804</v>
      </c>
      <c r="AA102" s="42" t="s">
        <v>5018</v>
      </c>
      <c r="AB102" s="41">
        <v>23.0</v>
      </c>
      <c r="AC102" s="42" t="s">
        <v>3571</v>
      </c>
      <c r="AD102" s="42" t="s">
        <v>5020</v>
      </c>
      <c r="AE102" s="42" t="s">
        <v>3573</v>
      </c>
      <c r="AF102" s="44" t="s">
        <v>5809</v>
      </c>
      <c r="AG102" s="43"/>
      <c r="AH102" s="41">
        <v>11.0</v>
      </c>
      <c r="AI102" s="42" t="s">
        <v>5810</v>
      </c>
      <c r="AJ102" s="43"/>
      <c r="AK102" s="43"/>
      <c r="AL102" s="41">
        <v>1999.0</v>
      </c>
      <c r="AM102" s="43"/>
      <c r="AN102" s="43"/>
      <c r="AO102" s="43"/>
      <c r="AP102" s="43"/>
      <c r="AQ102" s="43"/>
      <c r="AR102" s="43"/>
      <c r="AS102" s="45"/>
      <c r="AT102" s="45"/>
      <c r="AU102" s="45"/>
      <c r="AV102" s="45"/>
      <c r="AW102" s="45"/>
      <c r="AX102" s="45"/>
      <c r="AY102" s="45"/>
      <c r="AZ102" s="45"/>
      <c r="BA102" s="45"/>
      <c r="BB102" s="45"/>
      <c r="BC102" s="43"/>
      <c r="BD102" s="64"/>
      <c r="BE102" s="42" t="s">
        <v>5689</v>
      </c>
      <c r="BF102" s="42" t="s">
        <v>5811</v>
      </c>
      <c r="BG102" s="42" t="s">
        <v>5812</v>
      </c>
      <c r="BH102" s="42" t="s">
        <v>298</v>
      </c>
      <c r="BI102" s="43"/>
      <c r="BJ102" s="41">
        <v>4250410.0</v>
      </c>
      <c r="BK102" s="42" t="s">
        <v>41</v>
      </c>
      <c r="BL102" s="45"/>
      <c r="BM102" s="45"/>
      <c r="BN102" s="43"/>
      <c r="BO102" s="42" t="s">
        <v>3584</v>
      </c>
      <c r="BP102" s="42" t="s">
        <v>3584</v>
      </c>
      <c r="BQ102" s="42" t="s">
        <v>5813</v>
      </c>
      <c r="BR102" s="43"/>
      <c r="BS102" s="45"/>
      <c r="BT102" s="42" t="s">
        <v>5814</v>
      </c>
      <c r="BU102" s="42" t="s">
        <v>5815</v>
      </c>
      <c r="BV102" s="43"/>
      <c r="BW102" s="43"/>
      <c r="BX102" s="42" t="s">
        <v>5816</v>
      </c>
      <c r="BY102" s="43"/>
      <c r="BZ102" s="43"/>
      <c r="CA102" s="42" t="s">
        <v>5817</v>
      </c>
      <c r="CB102" s="45"/>
      <c r="CC102" s="41">
        <v>15.0</v>
      </c>
      <c r="CD102" s="42" t="s">
        <v>3697</v>
      </c>
      <c r="CE102" s="45"/>
      <c r="CF102" s="43"/>
      <c r="CG102" s="42" t="s">
        <v>3669</v>
      </c>
      <c r="CH102" s="43"/>
      <c r="CI102" s="43"/>
      <c r="CJ102" s="42" t="s">
        <v>3573</v>
      </c>
      <c r="CK102" s="43"/>
      <c r="CL102" s="42" t="s">
        <v>3591</v>
      </c>
      <c r="CM102" s="63">
        <v>41442.0</v>
      </c>
      <c r="CN102" s="45"/>
      <c r="CO102" s="43"/>
      <c r="CP102" s="45"/>
      <c r="CQ102" s="43"/>
      <c r="CR102" s="42" t="s">
        <v>4977</v>
      </c>
      <c r="CS102" s="43"/>
      <c r="CT102" s="43"/>
      <c r="CU102" s="42" t="s">
        <v>3663</v>
      </c>
      <c r="CV102" s="45"/>
      <c r="CW102" s="45"/>
      <c r="CX102" s="43"/>
      <c r="CY102" s="42" t="s">
        <v>3591</v>
      </c>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1">
        <v>71.0</v>
      </c>
      <c r="EA102" s="41">
        <v>21.0</v>
      </c>
      <c r="EB102" s="41">
        <v>11.0</v>
      </c>
      <c r="EC102" s="45"/>
      <c r="ED102" s="45"/>
      <c r="EE102" s="41">
        <v>60.0</v>
      </c>
      <c r="EF102" s="42" t="s">
        <v>5819</v>
      </c>
      <c r="EG102" s="45"/>
      <c r="EH102" s="45"/>
      <c r="EI102" s="43"/>
      <c r="EJ102" s="45"/>
      <c r="EK102" s="45"/>
      <c r="EL102" s="45"/>
      <c r="EM102" s="43"/>
      <c r="EN102" s="45"/>
      <c r="EO102" s="45"/>
      <c r="EP102" s="45"/>
      <c r="EQ102" s="45"/>
      <c r="ER102" s="42" t="s">
        <v>6078</v>
      </c>
      <c r="ES102" s="43"/>
      <c r="ET102" s="43"/>
      <c r="EU102" s="45"/>
      <c r="EV102" s="48" t="s">
        <v>3559</v>
      </c>
    </row>
    <row r="103">
      <c r="B103" s="35" t="s">
        <v>5068</v>
      </c>
      <c r="C103" s="32">
        <v>23.0</v>
      </c>
      <c r="D103" s="35" t="s">
        <v>5078</v>
      </c>
      <c r="E103" s="35" t="s">
        <v>3563</v>
      </c>
      <c r="F103" s="35" t="s">
        <v>3564</v>
      </c>
      <c r="G103" s="35" t="s">
        <v>3565</v>
      </c>
      <c r="H103" s="35" t="s">
        <v>5722</v>
      </c>
      <c r="I103" s="60">
        <v>45888.0</v>
      </c>
      <c r="J103" s="35" t="s">
        <v>5072</v>
      </c>
      <c r="K103" s="35" t="s">
        <v>5073</v>
      </c>
      <c r="L103" s="35" t="s">
        <v>5074</v>
      </c>
      <c r="M103" s="34"/>
      <c r="N103" s="34"/>
      <c r="O103" s="35" t="s">
        <v>5069</v>
      </c>
      <c r="P103" s="35" t="s">
        <v>5076</v>
      </c>
      <c r="Q103" s="37"/>
      <c r="R103" s="34"/>
      <c r="S103" s="37"/>
      <c r="T103" s="37"/>
      <c r="U103" s="34"/>
      <c r="V103" s="37"/>
      <c r="W103" s="37"/>
      <c r="X103" s="35" t="s">
        <v>9957</v>
      </c>
      <c r="Y103" s="35" t="s">
        <v>5076</v>
      </c>
      <c r="Z103" s="35" t="s">
        <v>5071</v>
      </c>
      <c r="AA103" s="35" t="s">
        <v>5075</v>
      </c>
      <c r="AB103" s="32">
        <v>7.69</v>
      </c>
      <c r="AC103" s="35" t="s">
        <v>3571</v>
      </c>
      <c r="AD103" s="35" t="s">
        <v>5020</v>
      </c>
      <c r="AE103" s="35" t="s">
        <v>4391</v>
      </c>
      <c r="AF103" s="36" t="s">
        <v>5077</v>
      </c>
      <c r="AG103" s="34"/>
      <c r="AH103" s="32">
        <v>23.0</v>
      </c>
      <c r="AI103" s="35" t="s">
        <v>5078</v>
      </c>
      <c r="AJ103" s="34"/>
      <c r="AK103" s="34"/>
      <c r="AL103" s="32">
        <v>2006.0</v>
      </c>
      <c r="AM103" s="34"/>
      <c r="AN103" s="34"/>
      <c r="AO103" s="34"/>
      <c r="AP103" s="34"/>
      <c r="AQ103" s="34"/>
      <c r="AR103" s="34"/>
      <c r="AS103" s="37"/>
      <c r="AT103" s="37"/>
      <c r="AU103" s="37"/>
      <c r="AV103" s="37"/>
      <c r="AW103" s="37"/>
      <c r="AX103" s="37"/>
      <c r="AY103" s="37"/>
      <c r="AZ103" s="37"/>
      <c r="BA103" s="37"/>
      <c r="BB103" s="37"/>
      <c r="BC103" s="34"/>
      <c r="BD103" s="61"/>
      <c r="BE103" s="35" t="s">
        <v>3581</v>
      </c>
      <c r="BF103" s="35" t="s">
        <v>5079</v>
      </c>
      <c r="BG103" s="34"/>
      <c r="BH103" s="35" t="s">
        <v>75</v>
      </c>
      <c r="BI103" s="34"/>
      <c r="BJ103" s="37"/>
      <c r="BK103" s="35" t="s">
        <v>41</v>
      </c>
      <c r="BL103" s="37"/>
      <c r="BM103" s="37"/>
      <c r="BN103" s="34"/>
      <c r="BO103" s="35" t="s">
        <v>3584</v>
      </c>
      <c r="BP103" s="35" t="s">
        <v>3584</v>
      </c>
      <c r="BQ103" s="35" t="s">
        <v>5080</v>
      </c>
      <c r="BR103" s="34"/>
      <c r="BS103" s="37"/>
      <c r="BT103" s="35" t="s">
        <v>5081</v>
      </c>
      <c r="BU103" s="35" t="s">
        <v>5082</v>
      </c>
      <c r="BV103" s="35" t="s">
        <v>5083</v>
      </c>
      <c r="BW103" s="34"/>
      <c r="BX103" s="35" t="s">
        <v>5084</v>
      </c>
      <c r="BY103" s="35" t="s">
        <v>5085</v>
      </c>
      <c r="BZ103" s="34"/>
      <c r="CA103" s="34"/>
      <c r="CB103" s="37"/>
      <c r="CC103" s="37"/>
      <c r="CD103" s="34"/>
      <c r="CE103" s="37"/>
      <c r="CF103" s="34"/>
      <c r="CG103" s="35" t="s">
        <v>3802</v>
      </c>
      <c r="CH103" s="35" t="s">
        <v>3802</v>
      </c>
      <c r="CI103" s="34"/>
      <c r="CJ103" s="35" t="s">
        <v>3803</v>
      </c>
      <c r="CK103" s="34"/>
      <c r="CL103" s="35" t="s">
        <v>3591</v>
      </c>
      <c r="CM103" s="68">
        <v>44685.0</v>
      </c>
      <c r="CN103" s="37"/>
      <c r="CO103" s="34"/>
      <c r="CP103" s="37"/>
      <c r="CQ103" s="34"/>
      <c r="CR103" s="35" t="s">
        <v>5005</v>
      </c>
      <c r="CS103" s="35" t="s">
        <v>5087</v>
      </c>
      <c r="CT103" s="34"/>
      <c r="CU103" s="35" t="s">
        <v>4989</v>
      </c>
      <c r="CV103" s="37"/>
      <c r="CW103" s="37"/>
      <c r="CX103" s="34"/>
      <c r="CY103" s="35" t="s">
        <v>3591</v>
      </c>
      <c r="CZ103" s="37"/>
      <c r="DA103" s="37"/>
      <c r="DB103" s="37"/>
      <c r="DC103" s="37"/>
      <c r="DD103" s="37"/>
      <c r="DE103" s="37"/>
      <c r="DF103" s="37"/>
      <c r="DG103" s="37"/>
      <c r="DH103" s="37"/>
      <c r="DI103" s="37"/>
      <c r="DJ103" s="37"/>
      <c r="DK103" s="37"/>
      <c r="DL103" s="37"/>
      <c r="DM103" s="37"/>
      <c r="DN103" s="37"/>
      <c r="DO103" s="37"/>
      <c r="DP103" s="37"/>
      <c r="DQ103" s="37"/>
      <c r="DR103" s="37"/>
      <c r="DS103" s="37"/>
      <c r="DT103" s="37"/>
      <c r="DU103" s="37"/>
      <c r="DV103" s="37"/>
      <c r="DW103" s="37"/>
      <c r="DX103" s="37"/>
      <c r="DY103" s="37"/>
      <c r="DZ103" s="37"/>
      <c r="EA103" s="37"/>
      <c r="EB103" s="37"/>
      <c r="EC103" s="37"/>
      <c r="ED103" s="37"/>
      <c r="EE103" s="37"/>
      <c r="EF103" s="34"/>
      <c r="EG103" s="37"/>
      <c r="EH103" s="37"/>
      <c r="EI103" s="34"/>
      <c r="EJ103" s="37"/>
      <c r="EK103" s="37"/>
      <c r="EL103" s="37"/>
      <c r="EM103" s="34"/>
      <c r="EN103" s="37"/>
      <c r="EO103" s="37"/>
      <c r="EP103" s="37"/>
      <c r="EQ103" s="37"/>
      <c r="ER103" s="35" t="s">
        <v>5722</v>
      </c>
      <c r="ES103" s="34"/>
      <c r="ET103" s="34"/>
      <c r="EU103" s="37"/>
      <c r="EV103" s="40" t="s">
        <v>3559</v>
      </c>
    </row>
    <row r="104">
      <c r="B104" s="42" t="s">
        <v>5521</v>
      </c>
      <c r="C104" s="41">
        <v>0.0</v>
      </c>
      <c r="D104" s="42" t="s">
        <v>9958</v>
      </c>
      <c r="E104" s="42" t="s">
        <v>4560</v>
      </c>
      <c r="F104" s="42" t="s">
        <v>4561</v>
      </c>
      <c r="G104" s="42" t="s">
        <v>66</v>
      </c>
      <c r="H104" s="42" t="s">
        <v>3612</v>
      </c>
      <c r="I104" s="63">
        <v>45638.0</v>
      </c>
      <c r="J104" s="42" t="s">
        <v>5527</v>
      </c>
      <c r="K104" s="42" t="s">
        <v>5528</v>
      </c>
      <c r="L104" s="42" t="s">
        <v>5529</v>
      </c>
      <c r="M104" s="42" t="s">
        <v>5522</v>
      </c>
      <c r="N104" s="42" t="s">
        <v>5523</v>
      </c>
      <c r="O104" s="42" t="s">
        <v>5524</v>
      </c>
      <c r="P104" s="42" t="s">
        <v>5530</v>
      </c>
      <c r="Q104" s="42"/>
      <c r="R104" s="42"/>
      <c r="S104" s="42"/>
      <c r="T104" s="42"/>
      <c r="U104" s="42"/>
      <c r="V104" s="42"/>
      <c r="W104" s="42"/>
      <c r="X104" s="42" t="s">
        <v>9959</v>
      </c>
      <c r="Y104" s="42" t="s">
        <v>5530</v>
      </c>
      <c r="Z104" s="42" t="s">
        <v>5526</v>
      </c>
      <c r="AA104" s="42" t="s">
        <v>5018</v>
      </c>
      <c r="AB104" s="41">
        <v>800.86</v>
      </c>
      <c r="AC104" s="42" t="s">
        <v>5222</v>
      </c>
      <c r="AD104" s="42" t="s">
        <v>5020</v>
      </c>
      <c r="AE104" s="42" t="s">
        <v>3738</v>
      </c>
      <c r="AF104" s="44" t="s">
        <v>5531</v>
      </c>
      <c r="AG104" s="43"/>
      <c r="AH104" s="41">
        <v>85.0</v>
      </c>
      <c r="AI104" s="42" t="s">
        <v>9958</v>
      </c>
      <c r="AJ104" s="43"/>
      <c r="AK104" s="43"/>
      <c r="AL104" s="41">
        <v>2007.0</v>
      </c>
      <c r="AM104" s="43"/>
      <c r="AN104" s="43"/>
      <c r="AO104" s="43"/>
      <c r="AP104" s="43"/>
      <c r="AQ104" s="43"/>
      <c r="AR104" s="43"/>
      <c r="AS104" s="41">
        <v>6.9</v>
      </c>
      <c r="AT104" s="45"/>
      <c r="AU104" s="45"/>
      <c r="AV104" s="45"/>
      <c r="AW104" s="45"/>
      <c r="AX104" s="45"/>
      <c r="AY104" s="45"/>
      <c r="AZ104" s="45"/>
      <c r="BA104" s="45"/>
      <c r="BB104" s="41" t="s">
        <v>5532</v>
      </c>
      <c r="BC104" s="43"/>
      <c r="BD104" s="64"/>
      <c r="BE104" s="42" t="s">
        <v>3581</v>
      </c>
      <c r="BF104" s="42" t="s">
        <v>5533</v>
      </c>
      <c r="BG104" s="43"/>
      <c r="BH104" s="42" t="s">
        <v>75</v>
      </c>
      <c r="BI104" s="43"/>
      <c r="BJ104" s="45"/>
      <c r="BK104" s="42" t="s">
        <v>41</v>
      </c>
      <c r="BL104" s="45"/>
      <c r="BM104" s="45"/>
      <c r="BN104" s="43"/>
      <c r="BO104" s="42" t="s">
        <v>3584</v>
      </c>
      <c r="BP104" s="42" t="s">
        <v>3584</v>
      </c>
      <c r="BQ104" s="42" t="s">
        <v>5534</v>
      </c>
      <c r="BR104" s="43"/>
      <c r="BS104" s="45"/>
      <c r="BT104" s="42" t="s">
        <v>5535</v>
      </c>
      <c r="BU104" s="42" t="s">
        <v>5536</v>
      </c>
      <c r="BV104" s="43"/>
      <c r="BW104" s="43"/>
      <c r="BX104" s="42" t="s">
        <v>5537</v>
      </c>
      <c r="BY104" s="43"/>
      <c r="BZ104" s="42" t="s">
        <v>5538</v>
      </c>
      <c r="CA104" s="42" t="s">
        <v>5539</v>
      </c>
      <c r="CB104" s="63">
        <v>39469.0</v>
      </c>
      <c r="CC104" s="41">
        <v>110.75</v>
      </c>
      <c r="CD104" s="42" t="s">
        <v>3593</v>
      </c>
      <c r="CE104" s="45"/>
      <c r="CF104" s="43"/>
      <c r="CG104" s="42" t="s">
        <v>3669</v>
      </c>
      <c r="CH104" s="42" t="s">
        <v>3595</v>
      </c>
      <c r="CI104" s="43"/>
      <c r="CJ104" s="42" t="s">
        <v>3573</v>
      </c>
      <c r="CK104" s="43"/>
      <c r="CL104" s="42" t="s">
        <v>3591</v>
      </c>
      <c r="CM104" s="63">
        <v>41467.0</v>
      </c>
      <c r="CN104" s="41">
        <v>12.0</v>
      </c>
      <c r="CO104" s="42" t="s">
        <v>3593</v>
      </c>
      <c r="CP104" s="41">
        <v>12.0</v>
      </c>
      <c r="CQ104" s="42" t="s">
        <v>3697</v>
      </c>
      <c r="CR104" s="42" t="s">
        <v>4977</v>
      </c>
      <c r="CS104" s="43"/>
      <c r="CT104" s="43"/>
      <c r="CU104" s="42" t="s">
        <v>3663</v>
      </c>
      <c r="CV104" s="63">
        <v>41232.0</v>
      </c>
      <c r="CW104" s="45"/>
      <c r="CX104" s="43"/>
      <c r="CY104" s="42" t="s">
        <v>3591</v>
      </c>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3"/>
      <c r="EG104" s="41">
        <v>12.0</v>
      </c>
      <c r="EH104" s="63">
        <v>41467.0</v>
      </c>
      <c r="EI104" s="42" t="s">
        <v>4977</v>
      </c>
      <c r="EJ104" s="45"/>
      <c r="EK104" s="45"/>
      <c r="EL104" s="45"/>
      <c r="EM104" s="42" t="s">
        <v>4248</v>
      </c>
      <c r="EN104" s="45"/>
      <c r="EO104" s="45"/>
      <c r="EP104" s="45"/>
      <c r="EQ104" s="41">
        <v>1.82</v>
      </c>
      <c r="ER104" s="42" t="s">
        <v>3612</v>
      </c>
      <c r="ES104" s="43"/>
      <c r="ET104" s="42" t="s">
        <v>47</v>
      </c>
      <c r="EU104" s="41">
        <v>1.0</v>
      </c>
      <c r="EV104" s="48" t="s">
        <v>3559</v>
      </c>
    </row>
    <row r="105">
      <c r="B105" s="35" t="s">
        <v>609</v>
      </c>
      <c r="C105" s="37"/>
      <c r="D105" s="34"/>
      <c r="E105" s="35" t="s">
        <v>6535</v>
      </c>
      <c r="F105" s="35" t="s">
        <v>6536</v>
      </c>
      <c r="G105" s="35" t="s">
        <v>6536</v>
      </c>
      <c r="H105" s="35" t="s">
        <v>7279</v>
      </c>
      <c r="I105" s="60">
        <v>45638.0</v>
      </c>
      <c r="J105" s="35" t="s">
        <v>6537</v>
      </c>
      <c r="K105" s="35" t="s">
        <v>6538</v>
      </c>
      <c r="L105" s="35" t="s">
        <v>6539</v>
      </c>
      <c r="M105" s="35" t="s">
        <v>6531</v>
      </c>
      <c r="N105" s="35" t="s">
        <v>6532</v>
      </c>
      <c r="O105" s="35" t="s">
        <v>6533</v>
      </c>
      <c r="P105" s="35" t="s">
        <v>6540</v>
      </c>
      <c r="Q105" s="35"/>
      <c r="R105" s="35"/>
      <c r="S105" s="35"/>
      <c r="T105" s="35"/>
      <c r="U105" s="35"/>
      <c r="V105" s="35"/>
      <c r="W105" s="35"/>
      <c r="X105" s="34"/>
      <c r="Y105" s="35" t="s">
        <v>6540</v>
      </c>
      <c r="Z105" s="35" t="s">
        <v>6534</v>
      </c>
      <c r="AA105" s="35" t="s">
        <v>5018</v>
      </c>
      <c r="AB105" s="32">
        <v>12.0</v>
      </c>
      <c r="AC105" s="35" t="s">
        <v>3571</v>
      </c>
      <c r="AD105" s="35" t="s">
        <v>5020</v>
      </c>
      <c r="AE105" s="35" t="s">
        <v>3573</v>
      </c>
      <c r="AF105" s="36" t="s">
        <v>6541</v>
      </c>
      <c r="AG105" s="34"/>
      <c r="AH105" s="37"/>
      <c r="AI105" s="34"/>
      <c r="AJ105" s="34"/>
      <c r="AK105" s="34"/>
      <c r="AL105" s="32">
        <v>2008.0</v>
      </c>
      <c r="AM105" s="34"/>
      <c r="AN105" s="34"/>
      <c r="AO105" s="34"/>
      <c r="AP105" s="34"/>
      <c r="AQ105" s="34"/>
      <c r="AR105" s="34"/>
      <c r="AS105" s="37"/>
      <c r="AT105" s="37"/>
      <c r="AU105" s="37"/>
      <c r="AV105" s="37"/>
      <c r="AW105" s="37"/>
      <c r="AX105" s="37"/>
      <c r="AY105" s="37"/>
      <c r="AZ105" s="37"/>
      <c r="BA105" s="37"/>
      <c r="BB105" s="37"/>
      <c r="BC105" s="34"/>
      <c r="BD105" s="61"/>
      <c r="BE105" s="35" t="s">
        <v>3851</v>
      </c>
      <c r="BF105" s="35" t="s">
        <v>6542</v>
      </c>
      <c r="BG105" s="35" t="s">
        <v>6543</v>
      </c>
      <c r="BH105" s="35" t="s">
        <v>616</v>
      </c>
      <c r="BI105" s="34"/>
      <c r="BJ105" s="32">
        <v>5290002.0</v>
      </c>
      <c r="BK105" s="35" t="s">
        <v>41</v>
      </c>
      <c r="BL105" s="37"/>
      <c r="BM105" s="37"/>
      <c r="BN105" s="34"/>
      <c r="BO105" s="35" t="s">
        <v>3584</v>
      </c>
      <c r="BP105" s="35" t="s">
        <v>3584</v>
      </c>
      <c r="BQ105" s="35" t="s">
        <v>6544</v>
      </c>
      <c r="BR105" s="34"/>
      <c r="BS105" s="37"/>
      <c r="BT105" s="34"/>
      <c r="BU105" s="35" t="s">
        <v>6545</v>
      </c>
      <c r="BV105" s="34"/>
      <c r="BW105" s="34"/>
      <c r="BX105" s="35" t="s">
        <v>6546</v>
      </c>
      <c r="BY105" s="34"/>
      <c r="BZ105" s="34"/>
      <c r="CA105" s="34"/>
      <c r="CB105" s="60">
        <v>39931.0</v>
      </c>
      <c r="CC105" s="32">
        <v>12.0</v>
      </c>
      <c r="CD105" s="35" t="s">
        <v>3593</v>
      </c>
      <c r="CE105" s="37"/>
      <c r="CF105" s="34"/>
      <c r="CG105" s="35" t="s">
        <v>3669</v>
      </c>
      <c r="CH105" s="35" t="s">
        <v>3595</v>
      </c>
      <c r="CI105" s="34"/>
      <c r="CJ105" s="35" t="s">
        <v>3573</v>
      </c>
      <c r="CK105" s="34"/>
      <c r="CL105" s="35" t="s">
        <v>3591</v>
      </c>
      <c r="CM105" s="67">
        <v>43251.0</v>
      </c>
      <c r="CN105" s="32">
        <v>0.2</v>
      </c>
      <c r="CO105" s="35" t="s">
        <v>3593</v>
      </c>
      <c r="CP105" s="32">
        <v>0.2</v>
      </c>
      <c r="CQ105" s="35" t="s">
        <v>3593</v>
      </c>
      <c r="CR105" s="35" t="s">
        <v>4977</v>
      </c>
      <c r="CS105" s="34"/>
      <c r="CT105" s="34"/>
      <c r="CU105" s="35" t="s">
        <v>3663</v>
      </c>
      <c r="CV105" s="37"/>
      <c r="CW105" s="37"/>
      <c r="CX105" s="34"/>
      <c r="CY105" s="35" t="s">
        <v>3591</v>
      </c>
      <c r="CZ105" s="37"/>
      <c r="DA105" s="37"/>
      <c r="DB105" s="37"/>
      <c r="DC105" s="37"/>
      <c r="DD105" s="37"/>
      <c r="DE105" s="37"/>
      <c r="DF105" s="37"/>
      <c r="DG105" s="37"/>
      <c r="DH105" s="37"/>
      <c r="DI105" s="37"/>
      <c r="DJ105" s="37"/>
      <c r="DK105" s="37"/>
      <c r="DL105" s="37"/>
      <c r="DM105" s="37"/>
      <c r="DN105" s="37"/>
      <c r="DO105" s="37"/>
      <c r="DP105" s="37"/>
      <c r="DQ105" s="37"/>
      <c r="DR105" s="37"/>
      <c r="DS105" s="37"/>
      <c r="DT105" s="37"/>
      <c r="DU105" s="37"/>
      <c r="DV105" s="37"/>
      <c r="DW105" s="37"/>
      <c r="DX105" s="37"/>
      <c r="DY105" s="37"/>
      <c r="DZ105" s="32">
        <v>20.0</v>
      </c>
      <c r="EA105" s="32">
        <v>8.0</v>
      </c>
      <c r="EB105" s="32">
        <v>3.0</v>
      </c>
      <c r="EC105" s="37"/>
      <c r="ED105" s="37"/>
      <c r="EE105" s="32">
        <v>17.0</v>
      </c>
      <c r="EF105" s="35" t="s">
        <v>6549</v>
      </c>
      <c r="EG105" s="32">
        <v>0.2</v>
      </c>
      <c r="EH105" s="67">
        <v>43251.0</v>
      </c>
      <c r="EI105" s="35" t="s">
        <v>4977</v>
      </c>
      <c r="EJ105" s="37"/>
      <c r="EK105" s="37"/>
      <c r="EL105" s="37"/>
      <c r="EM105" s="34"/>
      <c r="EN105" s="37"/>
      <c r="EO105" s="37"/>
      <c r="EP105" s="37"/>
      <c r="EQ105" s="37"/>
      <c r="ER105" s="35" t="s">
        <v>7279</v>
      </c>
      <c r="ES105" s="34"/>
      <c r="ET105" s="35" t="s">
        <v>47</v>
      </c>
      <c r="EU105" s="32">
        <v>7.0</v>
      </c>
      <c r="EV105" s="40" t="s">
        <v>3559</v>
      </c>
    </row>
    <row r="106">
      <c r="B106" s="42" t="s">
        <v>8180</v>
      </c>
      <c r="C106" s="41">
        <v>45.0</v>
      </c>
      <c r="D106" s="42" t="s">
        <v>8189</v>
      </c>
      <c r="E106" s="42" t="s">
        <v>3563</v>
      </c>
      <c r="F106" s="42" t="s">
        <v>3609</v>
      </c>
      <c r="G106" s="42" t="s">
        <v>3610</v>
      </c>
      <c r="H106" s="42" t="s">
        <v>8495</v>
      </c>
      <c r="I106" s="63">
        <v>45576.0</v>
      </c>
      <c r="J106" s="42" t="s">
        <v>8185</v>
      </c>
      <c r="K106" s="42" t="s">
        <v>6762</v>
      </c>
      <c r="L106" s="42" t="s">
        <v>8186</v>
      </c>
      <c r="M106" s="42" t="s">
        <v>8181</v>
      </c>
      <c r="N106" s="43"/>
      <c r="O106" s="42" t="s">
        <v>8182</v>
      </c>
      <c r="P106" s="42" t="s">
        <v>8187</v>
      </c>
      <c r="Q106" s="42"/>
      <c r="R106" s="42"/>
      <c r="S106" s="42"/>
      <c r="T106" s="42"/>
      <c r="U106" s="42"/>
      <c r="V106" s="42"/>
      <c r="W106" s="42"/>
      <c r="X106" s="42" t="s">
        <v>8183</v>
      </c>
      <c r="Y106" s="42" t="s">
        <v>8187</v>
      </c>
      <c r="Z106" s="42" t="s">
        <v>8184</v>
      </c>
      <c r="AA106" s="42" t="s">
        <v>5018</v>
      </c>
      <c r="AB106" s="41">
        <v>67.4</v>
      </c>
      <c r="AC106" s="42" t="s">
        <v>5222</v>
      </c>
      <c r="AD106" s="42" t="s">
        <v>5222</v>
      </c>
      <c r="AE106" s="42" t="s">
        <v>3573</v>
      </c>
      <c r="AF106" s="44" t="s">
        <v>8188</v>
      </c>
      <c r="AG106" s="43"/>
      <c r="AH106" s="41">
        <v>45.0</v>
      </c>
      <c r="AI106" s="42" t="s">
        <v>8189</v>
      </c>
      <c r="AJ106" s="43"/>
      <c r="AK106" s="43"/>
      <c r="AL106" s="41">
        <v>2009.0</v>
      </c>
      <c r="AM106" s="43"/>
      <c r="AN106" s="43"/>
      <c r="AO106" s="43"/>
      <c r="AP106" s="43"/>
      <c r="AQ106" s="43"/>
      <c r="AR106" s="43"/>
      <c r="AS106" s="45"/>
      <c r="AT106" s="45"/>
      <c r="AU106" s="45"/>
      <c r="AV106" s="45"/>
      <c r="AW106" s="45"/>
      <c r="AX106" s="45"/>
      <c r="AY106" s="45"/>
      <c r="AZ106" s="45"/>
      <c r="BA106" s="45"/>
      <c r="BB106" s="45"/>
      <c r="BC106" s="43"/>
      <c r="BD106" s="64"/>
      <c r="BE106" s="42" t="s">
        <v>8190</v>
      </c>
      <c r="BF106" s="42" t="s">
        <v>8191</v>
      </c>
      <c r="BG106" s="43"/>
      <c r="BH106" s="42" t="s">
        <v>8192</v>
      </c>
      <c r="BI106" s="43"/>
      <c r="BJ106" s="41">
        <v>5540084.0</v>
      </c>
      <c r="BK106" s="42" t="s">
        <v>41</v>
      </c>
      <c r="BL106" s="45"/>
      <c r="BM106" s="45"/>
      <c r="BN106" s="42" t="s">
        <v>8193</v>
      </c>
      <c r="BO106" s="42" t="s">
        <v>3584</v>
      </c>
      <c r="BP106" s="42" t="s">
        <v>3584</v>
      </c>
      <c r="BQ106" s="42" t="s">
        <v>8194</v>
      </c>
      <c r="BR106" s="43"/>
      <c r="BS106" s="45"/>
      <c r="BT106" s="43"/>
      <c r="BU106" s="42" t="s">
        <v>8195</v>
      </c>
      <c r="BV106" s="43"/>
      <c r="BW106" s="43"/>
      <c r="BX106" s="42" t="s">
        <v>8196</v>
      </c>
      <c r="BY106" s="43"/>
      <c r="BZ106" s="43"/>
      <c r="CA106" s="42" t="s">
        <v>3725</v>
      </c>
      <c r="CB106" s="45"/>
      <c r="CC106" s="41">
        <v>0.3</v>
      </c>
      <c r="CD106" s="42" t="s">
        <v>3593</v>
      </c>
      <c r="CE106" s="45"/>
      <c r="CF106" s="43"/>
      <c r="CG106" s="42" t="s">
        <v>3802</v>
      </c>
      <c r="CH106" s="42" t="s">
        <v>3802</v>
      </c>
      <c r="CI106" s="43"/>
      <c r="CJ106" s="42" t="s">
        <v>3803</v>
      </c>
      <c r="CK106" s="43"/>
      <c r="CL106" s="42" t="s">
        <v>3591</v>
      </c>
      <c r="CM106" s="63">
        <v>43703.0</v>
      </c>
      <c r="CN106" s="45"/>
      <c r="CO106" s="43"/>
      <c r="CP106" s="45"/>
      <c r="CQ106" s="43"/>
      <c r="CR106" s="42" t="s">
        <v>5222</v>
      </c>
      <c r="CS106" s="43"/>
      <c r="CT106" s="43"/>
      <c r="CU106" s="42" t="s">
        <v>5222</v>
      </c>
      <c r="CV106" s="45"/>
      <c r="CW106" s="45"/>
      <c r="CX106" s="43"/>
      <c r="CY106" s="42" t="s">
        <v>3591</v>
      </c>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1">
        <v>20.0</v>
      </c>
      <c r="EA106" s="41">
        <v>11.0</v>
      </c>
      <c r="EB106" s="41">
        <v>4.0</v>
      </c>
      <c r="EC106" s="45"/>
      <c r="ED106" s="45"/>
      <c r="EE106" s="41">
        <v>16.0</v>
      </c>
      <c r="EF106" s="42" t="s">
        <v>8199</v>
      </c>
      <c r="EG106" s="41">
        <v>153.1</v>
      </c>
      <c r="EH106" s="63">
        <v>42935.0</v>
      </c>
      <c r="EI106" s="42" t="s">
        <v>3594</v>
      </c>
      <c r="EJ106" s="45"/>
      <c r="EK106" s="45"/>
      <c r="EL106" s="45"/>
      <c r="EM106" s="42" t="s">
        <v>4108</v>
      </c>
      <c r="EN106" s="45"/>
      <c r="EO106" s="45"/>
      <c r="EP106" s="41">
        <v>2.36</v>
      </c>
      <c r="EQ106" s="41">
        <v>2.36</v>
      </c>
      <c r="ER106" s="42" t="s">
        <v>8495</v>
      </c>
      <c r="ES106" s="43"/>
      <c r="ET106" s="42" t="s">
        <v>47</v>
      </c>
      <c r="EU106" s="41">
        <v>6.0</v>
      </c>
      <c r="EV106" s="48" t="s">
        <v>3559</v>
      </c>
    </row>
    <row r="107">
      <c r="B107" s="35" t="s">
        <v>9538</v>
      </c>
      <c r="C107" s="37"/>
      <c r="D107" s="34"/>
      <c r="E107" s="35" t="s">
        <v>4560</v>
      </c>
      <c r="F107" s="35" t="s">
        <v>4561</v>
      </c>
      <c r="G107" s="35" t="s">
        <v>66</v>
      </c>
      <c r="H107" s="35" t="s">
        <v>3612</v>
      </c>
      <c r="I107" s="60">
        <v>45671.0</v>
      </c>
      <c r="J107" s="35" t="s">
        <v>6997</v>
      </c>
      <c r="K107" s="35" t="s">
        <v>8447</v>
      </c>
      <c r="L107" s="35" t="s">
        <v>9540</v>
      </c>
      <c r="M107" s="34"/>
      <c r="N107" s="34"/>
      <c r="O107" s="34"/>
      <c r="P107" s="35" t="s">
        <v>9541</v>
      </c>
      <c r="Q107" s="35"/>
      <c r="R107" s="35"/>
      <c r="S107" s="35"/>
      <c r="T107" s="35"/>
      <c r="U107" s="35"/>
      <c r="V107" s="35"/>
      <c r="W107" s="35"/>
      <c r="X107" s="34"/>
      <c r="Y107" s="35" t="s">
        <v>9541</v>
      </c>
      <c r="Z107" s="35" t="s">
        <v>9539</v>
      </c>
      <c r="AA107" s="35" t="s">
        <v>5481</v>
      </c>
      <c r="AB107" s="37"/>
      <c r="AC107" s="35" t="s">
        <v>5222</v>
      </c>
      <c r="AD107" s="35" t="s">
        <v>3572</v>
      </c>
      <c r="AE107" s="35" t="s">
        <v>5147</v>
      </c>
      <c r="AF107" s="36" t="s">
        <v>9542</v>
      </c>
      <c r="AG107" s="34"/>
      <c r="AH107" s="37"/>
      <c r="AI107" s="34"/>
      <c r="AJ107" s="34"/>
      <c r="AK107" s="34"/>
      <c r="AL107" s="32">
        <v>2010.0</v>
      </c>
      <c r="AM107" s="34"/>
      <c r="AN107" s="35" t="s">
        <v>9544</v>
      </c>
      <c r="AO107" s="35" t="s">
        <v>265</v>
      </c>
      <c r="AP107" s="34"/>
      <c r="AQ107" s="34"/>
      <c r="AR107" s="34"/>
      <c r="AS107" s="37"/>
      <c r="AT107" s="37"/>
      <c r="AU107" s="37"/>
      <c r="AV107" s="37"/>
      <c r="AW107" s="37"/>
      <c r="AX107" s="37"/>
      <c r="AY107" s="37"/>
      <c r="AZ107" s="37"/>
      <c r="BA107" s="37"/>
      <c r="BB107" s="37"/>
      <c r="BC107" s="35" t="s">
        <v>9543</v>
      </c>
      <c r="BD107" s="61"/>
      <c r="BE107" s="35" t="s">
        <v>3581</v>
      </c>
      <c r="BF107" s="34"/>
      <c r="BG107" s="34"/>
      <c r="BH107" s="35" t="s">
        <v>75</v>
      </c>
      <c r="BI107" s="34"/>
      <c r="BJ107" s="37"/>
      <c r="BK107" s="35" t="s">
        <v>41</v>
      </c>
      <c r="BL107" s="37"/>
      <c r="BM107" s="37"/>
      <c r="BN107" s="34"/>
      <c r="BO107" s="35" t="s">
        <v>3584</v>
      </c>
      <c r="BP107" s="35" t="s">
        <v>3584</v>
      </c>
      <c r="BQ107" s="35" t="s">
        <v>9545</v>
      </c>
      <c r="BR107" s="34"/>
      <c r="BS107" s="37"/>
      <c r="BT107" s="34"/>
      <c r="BU107" s="35" t="s">
        <v>9546</v>
      </c>
      <c r="BV107" s="34"/>
      <c r="BW107" s="34"/>
      <c r="BX107" s="35" t="s">
        <v>9547</v>
      </c>
      <c r="BY107" s="34"/>
      <c r="BZ107" s="34"/>
      <c r="CA107" s="34"/>
      <c r="CB107" s="37"/>
      <c r="CC107" s="37"/>
      <c r="CD107" s="34"/>
      <c r="CE107" s="37"/>
      <c r="CF107" s="34"/>
      <c r="CG107" s="35" t="s">
        <v>3589</v>
      </c>
      <c r="CH107" s="34"/>
      <c r="CI107" s="34"/>
      <c r="CJ107" s="35" t="s">
        <v>3590</v>
      </c>
      <c r="CK107" s="34"/>
      <c r="CL107" s="35" t="s">
        <v>3591</v>
      </c>
      <c r="CM107" s="62">
        <v>41487.0</v>
      </c>
      <c r="CN107" s="37"/>
      <c r="CO107" s="34"/>
      <c r="CP107" s="37"/>
      <c r="CQ107" s="34"/>
      <c r="CR107" s="35" t="s">
        <v>5222</v>
      </c>
      <c r="CS107" s="34"/>
      <c r="CT107" s="34"/>
      <c r="CU107" s="35" t="s">
        <v>5222</v>
      </c>
      <c r="CV107" s="37"/>
      <c r="CW107" s="37"/>
      <c r="CX107" s="34"/>
      <c r="CY107" s="35" t="s">
        <v>3591</v>
      </c>
      <c r="CZ107" s="37"/>
      <c r="DA107" s="37"/>
      <c r="DB107" s="37"/>
      <c r="DC107" s="37"/>
      <c r="DD107" s="37"/>
      <c r="DE107" s="37"/>
      <c r="DF107" s="37"/>
      <c r="DG107" s="37"/>
      <c r="DH107" s="37"/>
      <c r="DI107" s="37"/>
      <c r="DJ107" s="37"/>
      <c r="DK107" s="37"/>
      <c r="DL107" s="37"/>
      <c r="DM107" s="37"/>
      <c r="DN107" s="37"/>
      <c r="DO107" s="37"/>
      <c r="DP107" s="37"/>
      <c r="DQ107" s="37"/>
      <c r="DR107" s="37"/>
      <c r="DS107" s="37"/>
      <c r="DT107" s="37"/>
      <c r="DU107" s="37"/>
      <c r="DV107" s="37"/>
      <c r="DW107" s="37"/>
      <c r="DX107" s="37"/>
      <c r="DY107" s="37"/>
      <c r="DZ107" s="37"/>
      <c r="EA107" s="37"/>
      <c r="EB107" s="37"/>
      <c r="EC107" s="37"/>
      <c r="ED107" s="37"/>
      <c r="EE107" s="37"/>
      <c r="EF107" s="34"/>
      <c r="EG107" s="37"/>
      <c r="EH107" s="37"/>
      <c r="EI107" s="34"/>
      <c r="EJ107" s="37"/>
      <c r="EK107" s="37"/>
      <c r="EL107" s="37"/>
      <c r="EM107" s="34"/>
      <c r="EN107" s="37"/>
      <c r="EO107" s="37"/>
      <c r="EP107" s="37"/>
      <c r="EQ107" s="37"/>
      <c r="ER107" s="35" t="s">
        <v>3612</v>
      </c>
      <c r="ES107" s="34"/>
      <c r="ET107" s="34"/>
      <c r="EU107" s="37"/>
      <c r="EV107" s="40" t="s">
        <v>3559</v>
      </c>
    </row>
    <row r="108">
      <c r="B108" s="35" t="s">
        <v>5476</v>
      </c>
      <c r="C108" s="37"/>
      <c r="D108" s="34"/>
      <c r="E108" s="35" t="s">
        <v>3563</v>
      </c>
      <c r="F108" s="35" t="s">
        <v>3564</v>
      </c>
      <c r="G108" s="35" t="s">
        <v>5478</v>
      </c>
      <c r="H108" s="35" t="s">
        <v>3612</v>
      </c>
      <c r="I108" s="60">
        <v>45183.0</v>
      </c>
      <c r="J108" s="35" t="s">
        <v>5479</v>
      </c>
      <c r="K108" s="35" t="s">
        <v>3612</v>
      </c>
      <c r="L108" s="35" t="s">
        <v>5480</v>
      </c>
      <c r="M108" s="34"/>
      <c r="N108" s="34"/>
      <c r="O108" s="34"/>
      <c r="P108" s="35" t="s">
        <v>5482</v>
      </c>
      <c r="Q108" s="35"/>
      <c r="R108" s="35"/>
      <c r="S108" s="35"/>
      <c r="T108" s="35"/>
      <c r="U108" s="35"/>
      <c r="V108" s="35"/>
      <c r="W108" s="35"/>
      <c r="X108" s="34"/>
      <c r="Y108" s="35" t="s">
        <v>5482</v>
      </c>
      <c r="Z108" s="35" t="s">
        <v>5477</v>
      </c>
      <c r="AA108" s="35" t="s">
        <v>5481</v>
      </c>
      <c r="AB108" s="37"/>
      <c r="AC108" s="35" t="s">
        <v>5222</v>
      </c>
      <c r="AD108" s="35" t="s">
        <v>5222</v>
      </c>
      <c r="AE108" s="35" t="s">
        <v>5147</v>
      </c>
      <c r="AF108" s="36" t="s">
        <v>5483</v>
      </c>
      <c r="AG108" s="34"/>
      <c r="AH108" s="37"/>
      <c r="AI108" s="34"/>
      <c r="AJ108" s="34"/>
      <c r="AK108" s="34"/>
      <c r="AL108" s="32">
        <v>2010.0</v>
      </c>
      <c r="AM108" s="34"/>
      <c r="AN108" s="34"/>
      <c r="AO108" s="34"/>
      <c r="AP108" s="34"/>
      <c r="AQ108" s="34"/>
      <c r="AR108" s="34"/>
      <c r="AS108" s="37"/>
      <c r="AT108" s="37"/>
      <c r="AU108" s="37"/>
      <c r="AV108" s="37"/>
      <c r="AW108" s="37"/>
      <c r="AX108" s="37"/>
      <c r="AY108" s="37"/>
      <c r="AZ108" s="37"/>
      <c r="BA108" s="37"/>
      <c r="BB108" s="37"/>
      <c r="BC108" s="34"/>
      <c r="BD108" s="61"/>
      <c r="BE108" s="35" t="s">
        <v>3581</v>
      </c>
      <c r="BF108" s="34"/>
      <c r="BG108" s="34"/>
      <c r="BH108" s="35" t="s">
        <v>75</v>
      </c>
      <c r="BI108" s="34"/>
      <c r="BJ108" s="37"/>
      <c r="BK108" s="35" t="s">
        <v>41</v>
      </c>
      <c r="BL108" s="37"/>
      <c r="BM108" s="37"/>
      <c r="BN108" s="34"/>
      <c r="BO108" s="35" t="s">
        <v>3584</v>
      </c>
      <c r="BP108" s="35" t="s">
        <v>3584</v>
      </c>
      <c r="BQ108" s="35" t="s">
        <v>5484</v>
      </c>
      <c r="BR108" s="34"/>
      <c r="BS108" s="37"/>
      <c r="BT108" s="34"/>
      <c r="BU108" s="35" t="s">
        <v>5485</v>
      </c>
      <c r="BV108" s="34"/>
      <c r="BW108" s="34"/>
      <c r="BX108" s="35" t="s">
        <v>5486</v>
      </c>
      <c r="BY108" s="34"/>
      <c r="BZ108" s="34"/>
      <c r="CA108" s="34"/>
      <c r="CB108" s="37"/>
      <c r="CC108" s="37"/>
      <c r="CD108" s="34"/>
      <c r="CE108" s="37"/>
      <c r="CF108" s="34"/>
      <c r="CG108" s="35" t="s">
        <v>3589</v>
      </c>
      <c r="CH108" s="34"/>
      <c r="CI108" s="34"/>
      <c r="CJ108" s="35" t="s">
        <v>3590</v>
      </c>
      <c r="CK108" s="34"/>
      <c r="CL108" s="35" t="s">
        <v>3591</v>
      </c>
      <c r="CM108" s="60">
        <v>44029.0</v>
      </c>
      <c r="CN108" s="37"/>
      <c r="CO108" s="34"/>
      <c r="CP108" s="37"/>
      <c r="CQ108" s="34"/>
      <c r="CR108" s="35" t="s">
        <v>5222</v>
      </c>
      <c r="CS108" s="34"/>
      <c r="CT108" s="34"/>
      <c r="CU108" s="35" t="s">
        <v>5222</v>
      </c>
      <c r="CV108" s="37"/>
      <c r="CW108" s="37"/>
      <c r="CX108" s="34"/>
      <c r="CY108" s="35" t="s">
        <v>3591</v>
      </c>
      <c r="CZ108" s="37"/>
      <c r="DA108" s="37"/>
      <c r="DB108" s="37"/>
      <c r="DC108" s="37"/>
      <c r="DD108" s="37"/>
      <c r="DE108" s="37"/>
      <c r="DF108" s="37"/>
      <c r="DG108" s="37"/>
      <c r="DH108" s="37"/>
      <c r="DI108" s="37"/>
      <c r="DJ108" s="37"/>
      <c r="DK108" s="37"/>
      <c r="DL108" s="37"/>
      <c r="DM108" s="37"/>
      <c r="DN108" s="37"/>
      <c r="DO108" s="37"/>
      <c r="DP108" s="37"/>
      <c r="DQ108" s="37"/>
      <c r="DR108" s="37"/>
      <c r="DS108" s="37"/>
      <c r="DT108" s="37"/>
      <c r="DU108" s="37"/>
      <c r="DV108" s="37"/>
      <c r="DW108" s="37"/>
      <c r="DX108" s="37"/>
      <c r="DY108" s="37"/>
      <c r="DZ108" s="37"/>
      <c r="EA108" s="37"/>
      <c r="EB108" s="37"/>
      <c r="EC108" s="37"/>
      <c r="ED108" s="37"/>
      <c r="EE108" s="37"/>
      <c r="EF108" s="34"/>
      <c r="EG108" s="37"/>
      <c r="EH108" s="37"/>
      <c r="EI108" s="34"/>
      <c r="EJ108" s="37"/>
      <c r="EK108" s="37"/>
      <c r="EL108" s="37"/>
      <c r="EM108" s="34"/>
      <c r="EN108" s="37"/>
      <c r="EO108" s="37"/>
      <c r="EP108" s="37"/>
      <c r="EQ108" s="37"/>
      <c r="ER108" s="35" t="s">
        <v>3612</v>
      </c>
      <c r="ES108" s="34"/>
      <c r="ET108" s="34"/>
      <c r="EU108" s="37"/>
      <c r="EV108" s="40" t="s">
        <v>3559</v>
      </c>
    </row>
    <row r="109">
      <c r="B109" s="35" t="s">
        <v>9408</v>
      </c>
      <c r="C109" s="37"/>
      <c r="D109" s="34"/>
      <c r="E109" s="35" t="s">
        <v>3563</v>
      </c>
      <c r="F109" s="35" t="s">
        <v>3564</v>
      </c>
      <c r="G109" s="35" t="s">
        <v>7458</v>
      </c>
      <c r="H109" s="35" t="s">
        <v>9890</v>
      </c>
      <c r="I109" s="60">
        <v>45183.0</v>
      </c>
      <c r="J109" s="35" t="s">
        <v>9411</v>
      </c>
      <c r="K109" s="35" t="s">
        <v>9412</v>
      </c>
      <c r="L109" s="35" t="s">
        <v>9413</v>
      </c>
      <c r="M109" s="34"/>
      <c r="N109" s="34"/>
      <c r="O109" s="35" t="s">
        <v>9409</v>
      </c>
      <c r="P109" s="35" t="s">
        <v>9414</v>
      </c>
      <c r="Q109" s="35"/>
      <c r="R109" s="35"/>
      <c r="S109" s="35"/>
      <c r="T109" s="35"/>
      <c r="U109" s="35"/>
      <c r="V109" s="35"/>
      <c r="W109" s="35"/>
      <c r="X109" s="34"/>
      <c r="Y109" s="35" t="s">
        <v>9414</v>
      </c>
      <c r="Z109" s="35" t="s">
        <v>9410</v>
      </c>
      <c r="AA109" s="35" t="s">
        <v>5481</v>
      </c>
      <c r="AB109" s="37"/>
      <c r="AC109" s="35" t="s">
        <v>5222</v>
      </c>
      <c r="AD109" s="35" t="s">
        <v>5222</v>
      </c>
      <c r="AE109" s="35" t="s">
        <v>5147</v>
      </c>
      <c r="AF109" s="34"/>
      <c r="AG109" s="34"/>
      <c r="AH109" s="37"/>
      <c r="AI109" s="34"/>
      <c r="AJ109" s="34"/>
      <c r="AK109" s="34"/>
      <c r="AL109" s="32">
        <v>2010.0</v>
      </c>
      <c r="AM109" s="34"/>
      <c r="AN109" s="34"/>
      <c r="AO109" s="34"/>
      <c r="AP109" s="34"/>
      <c r="AQ109" s="34"/>
      <c r="AR109" s="34"/>
      <c r="AS109" s="37"/>
      <c r="AT109" s="37"/>
      <c r="AU109" s="37"/>
      <c r="AV109" s="37"/>
      <c r="AW109" s="37"/>
      <c r="AX109" s="37"/>
      <c r="AY109" s="37"/>
      <c r="AZ109" s="37"/>
      <c r="BA109" s="37"/>
      <c r="BB109" s="37"/>
      <c r="BC109" s="34"/>
      <c r="BD109" s="61"/>
      <c r="BE109" s="35" t="s">
        <v>3581</v>
      </c>
      <c r="BF109" s="34"/>
      <c r="BG109" s="34"/>
      <c r="BH109" s="35" t="s">
        <v>75</v>
      </c>
      <c r="BI109" s="34"/>
      <c r="BJ109" s="37"/>
      <c r="BK109" s="35" t="s">
        <v>41</v>
      </c>
      <c r="BL109" s="37"/>
      <c r="BM109" s="37"/>
      <c r="BN109" s="34"/>
      <c r="BO109" s="35" t="s">
        <v>3584</v>
      </c>
      <c r="BP109" s="35" t="s">
        <v>3584</v>
      </c>
      <c r="BQ109" s="35" t="s">
        <v>9415</v>
      </c>
      <c r="BR109" s="34"/>
      <c r="BS109" s="37"/>
      <c r="BT109" s="34"/>
      <c r="BU109" s="35" t="s">
        <v>9416</v>
      </c>
      <c r="BV109" s="34"/>
      <c r="BW109" s="34"/>
      <c r="BX109" s="35" t="s">
        <v>9417</v>
      </c>
      <c r="BY109" s="34"/>
      <c r="BZ109" s="34"/>
      <c r="CA109" s="34"/>
      <c r="CB109" s="37"/>
      <c r="CC109" s="37"/>
      <c r="CD109" s="34"/>
      <c r="CE109" s="37"/>
      <c r="CF109" s="34"/>
      <c r="CG109" s="35" t="s">
        <v>3589</v>
      </c>
      <c r="CH109" s="34"/>
      <c r="CI109" s="34"/>
      <c r="CJ109" s="35" t="s">
        <v>3590</v>
      </c>
      <c r="CK109" s="34"/>
      <c r="CL109" s="35" t="s">
        <v>3591</v>
      </c>
      <c r="CM109" s="37"/>
      <c r="CN109" s="37"/>
      <c r="CO109" s="34"/>
      <c r="CP109" s="37"/>
      <c r="CQ109" s="34"/>
      <c r="CR109" s="35" t="s">
        <v>5222</v>
      </c>
      <c r="CS109" s="34"/>
      <c r="CT109" s="34"/>
      <c r="CU109" s="35" t="s">
        <v>5222</v>
      </c>
      <c r="CV109" s="37"/>
      <c r="CW109" s="37"/>
      <c r="CX109" s="34"/>
      <c r="CY109" s="35" t="s">
        <v>3591</v>
      </c>
      <c r="CZ109" s="37"/>
      <c r="DA109" s="37"/>
      <c r="DB109" s="37"/>
      <c r="DC109" s="37"/>
      <c r="DD109" s="37"/>
      <c r="DE109" s="37"/>
      <c r="DF109" s="37"/>
      <c r="DG109" s="37"/>
      <c r="DH109" s="37"/>
      <c r="DI109" s="37"/>
      <c r="DJ109" s="37"/>
      <c r="DK109" s="37"/>
      <c r="DL109" s="37"/>
      <c r="DM109" s="37"/>
      <c r="DN109" s="37"/>
      <c r="DO109" s="37"/>
      <c r="DP109" s="37"/>
      <c r="DQ109" s="37"/>
      <c r="DR109" s="37"/>
      <c r="DS109" s="37"/>
      <c r="DT109" s="37"/>
      <c r="DU109" s="37"/>
      <c r="DV109" s="37"/>
      <c r="DW109" s="37"/>
      <c r="DX109" s="37"/>
      <c r="DY109" s="37"/>
      <c r="DZ109" s="32">
        <v>4.0</v>
      </c>
      <c r="EA109" s="32">
        <v>2.0</v>
      </c>
      <c r="EB109" s="37"/>
      <c r="EC109" s="37"/>
      <c r="ED109" s="37"/>
      <c r="EE109" s="32">
        <v>4.0</v>
      </c>
      <c r="EF109" s="34"/>
      <c r="EG109" s="37"/>
      <c r="EH109" s="37"/>
      <c r="EI109" s="34"/>
      <c r="EJ109" s="37"/>
      <c r="EK109" s="37"/>
      <c r="EL109" s="37"/>
      <c r="EM109" s="34"/>
      <c r="EN109" s="37"/>
      <c r="EO109" s="37"/>
      <c r="EP109" s="37"/>
      <c r="EQ109" s="37"/>
      <c r="ER109" s="35" t="s">
        <v>9890</v>
      </c>
      <c r="ES109" s="34"/>
      <c r="ET109" s="34"/>
      <c r="EU109" s="37"/>
      <c r="EV109" s="40" t="s">
        <v>3559</v>
      </c>
    </row>
    <row r="110">
      <c r="B110" s="42" t="s">
        <v>7165</v>
      </c>
      <c r="C110" s="45"/>
      <c r="D110" s="43"/>
      <c r="E110" s="42" t="s">
        <v>4560</v>
      </c>
      <c r="F110" s="42" t="s">
        <v>4561</v>
      </c>
      <c r="G110" s="42" t="s">
        <v>66</v>
      </c>
      <c r="H110" s="42" t="s">
        <v>3612</v>
      </c>
      <c r="I110" s="63">
        <v>45890.0</v>
      </c>
      <c r="J110" s="42" t="s">
        <v>6997</v>
      </c>
      <c r="K110" s="42" t="s">
        <v>5513</v>
      </c>
      <c r="L110" s="42" t="s">
        <v>7168</v>
      </c>
      <c r="M110" s="43"/>
      <c r="N110" s="43"/>
      <c r="O110" s="42" t="s">
        <v>7166</v>
      </c>
      <c r="P110" s="42" t="s">
        <v>7169</v>
      </c>
      <c r="Q110" s="45"/>
      <c r="R110" s="43"/>
      <c r="S110" s="45"/>
      <c r="T110" s="45"/>
      <c r="U110" s="43"/>
      <c r="V110" s="45"/>
      <c r="W110" s="45"/>
      <c r="X110" s="43"/>
      <c r="Y110" s="42" t="s">
        <v>7169</v>
      </c>
      <c r="Z110" s="42" t="s">
        <v>7167</v>
      </c>
      <c r="AA110" s="42" t="s">
        <v>5018</v>
      </c>
      <c r="AB110" s="41">
        <v>3.0</v>
      </c>
      <c r="AC110" s="42" t="s">
        <v>3571</v>
      </c>
      <c r="AD110" s="42" t="s">
        <v>5020</v>
      </c>
      <c r="AE110" s="42" t="s">
        <v>3573</v>
      </c>
      <c r="AF110" s="44" t="s">
        <v>7170</v>
      </c>
      <c r="AG110" s="43"/>
      <c r="AH110" s="45"/>
      <c r="AI110" s="43"/>
      <c r="AJ110" s="43"/>
      <c r="AK110" s="43"/>
      <c r="AL110" s="41">
        <v>2011.0</v>
      </c>
      <c r="AM110" s="43"/>
      <c r="AN110" s="43"/>
      <c r="AO110" s="43"/>
      <c r="AP110" s="43"/>
      <c r="AQ110" s="43"/>
      <c r="AR110" s="43"/>
      <c r="AS110" s="45"/>
      <c r="AT110" s="45"/>
      <c r="AU110" s="45"/>
      <c r="AV110" s="45"/>
      <c r="AW110" s="45"/>
      <c r="AX110" s="45"/>
      <c r="AY110" s="45"/>
      <c r="AZ110" s="45"/>
      <c r="BA110" s="45"/>
      <c r="BB110" s="45"/>
      <c r="BC110" s="43"/>
      <c r="BD110" s="64"/>
      <c r="BE110" s="42" t="s">
        <v>3851</v>
      </c>
      <c r="BF110" s="42" t="s">
        <v>7171</v>
      </c>
      <c r="BG110" s="43"/>
      <c r="BH110" s="42" t="s">
        <v>616</v>
      </c>
      <c r="BI110" s="43"/>
      <c r="BJ110" s="41">
        <v>52523.0</v>
      </c>
      <c r="BK110" s="42" t="s">
        <v>41</v>
      </c>
      <c r="BL110" s="45" t="str">
        <f>+972 (0)74 702 0972</f>
        <v>#ERROR!</v>
      </c>
      <c r="BM110" s="45" t="str">
        <f>+972 (0)3 761 7182</f>
        <v>#ERROR!</v>
      </c>
      <c r="BN110" s="42" t="s">
        <v>7172</v>
      </c>
      <c r="BO110" s="42" t="s">
        <v>3584</v>
      </c>
      <c r="BP110" s="42" t="s">
        <v>3584</v>
      </c>
      <c r="BQ110" s="42" t="s">
        <v>7173</v>
      </c>
      <c r="BR110" s="43"/>
      <c r="BS110" s="45"/>
      <c r="BT110" s="42" t="s">
        <v>5692</v>
      </c>
      <c r="BU110" s="42" t="s">
        <v>7174</v>
      </c>
      <c r="BV110" s="43"/>
      <c r="BW110" s="43"/>
      <c r="BX110" s="42" t="s">
        <v>7175</v>
      </c>
      <c r="BY110" s="43"/>
      <c r="BZ110" s="43"/>
      <c r="CA110" s="42" t="s">
        <v>7176</v>
      </c>
      <c r="CB110" s="45"/>
      <c r="CC110" s="41">
        <v>2.75</v>
      </c>
      <c r="CD110" s="42" t="s">
        <v>3593</v>
      </c>
      <c r="CE110" s="45"/>
      <c r="CF110" s="43"/>
      <c r="CG110" s="42" t="s">
        <v>3669</v>
      </c>
      <c r="CH110" s="43"/>
      <c r="CI110" s="43"/>
      <c r="CJ110" s="42" t="s">
        <v>3573</v>
      </c>
      <c r="CK110" s="43"/>
      <c r="CL110" s="42" t="s">
        <v>3591</v>
      </c>
      <c r="CM110" s="63">
        <v>41374.0</v>
      </c>
      <c r="CN110" s="41">
        <v>8.5</v>
      </c>
      <c r="CO110" s="42" t="s">
        <v>3593</v>
      </c>
      <c r="CP110" s="41">
        <v>8.5</v>
      </c>
      <c r="CQ110" s="42" t="s">
        <v>3697</v>
      </c>
      <c r="CR110" s="42" t="s">
        <v>4977</v>
      </c>
      <c r="CS110" s="43"/>
      <c r="CT110" s="43"/>
      <c r="CU110" s="42" t="s">
        <v>3663</v>
      </c>
      <c r="CV110" s="65">
        <v>41366.0</v>
      </c>
      <c r="CW110" s="41">
        <v>0.15</v>
      </c>
      <c r="CX110" s="43"/>
      <c r="CY110" s="42" t="s">
        <v>3591</v>
      </c>
      <c r="CZ110" s="45"/>
      <c r="DA110" s="45"/>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3"/>
      <c r="EG110" s="41">
        <v>8.5</v>
      </c>
      <c r="EH110" s="63">
        <v>41374.0</v>
      </c>
      <c r="EI110" s="42" t="s">
        <v>4977</v>
      </c>
      <c r="EJ110" s="45"/>
      <c r="EK110" s="45"/>
      <c r="EL110" s="45"/>
      <c r="EM110" s="43"/>
      <c r="EN110" s="45"/>
      <c r="EO110" s="45"/>
      <c r="EP110" s="45"/>
      <c r="EQ110" s="45"/>
      <c r="ER110" s="42" t="s">
        <v>3612</v>
      </c>
      <c r="ES110" s="43"/>
      <c r="ET110" s="42" t="s">
        <v>47</v>
      </c>
      <c r="EU110" s="41">
        <v>27.0</v>
      </c>
      <c r="EV110" s="48" t="s">
        <v>3559</v>
      </c>
    </row>
    <row r="111">
      <c r="B111" s="42" t="s">
        <v>5508</v>
      </c>
      <c r="C111" s="45"/>
      <c r="D111" s="43"/>
      <c r="E111" s="42" t="s">
        <v>4560</v>
      </c>
      <c r="F111" s="42" t="s">
        <v>4561</v>
      </c>
      <c r="G111" s="42" t="s">
        <v>5511</v>
      </c>
      <c r="H111" s="42" t="s">
        <v>5219</v>
      </c>
      <c r="I111" s="63">
        <v>45183.0</v>
      </c>
      <c r="J111" s="42" t="s">
        <v>5512</v>
      </c>
      <c r="K111" s="42" t="s">
        <v>5513</v>
      </c>
      <c r="L111" s="42" t="s">
        <v>5514</v>
      </c>
      <c r="M111" s="43"/>
      <c r="N111" s="43"/>
      <c r="O111" s="42" t="s">
        <v>5509</v>
      </c>
      <c r="P111" s="42" t="s">
        <v>5515</v>
      </c>
      <c r="Q111" s="42"/>
      <c r="R111" s="42"/>
      <c r="S111" s="42"/>
      <c r="T111" s="42"/>
      <c r="U111" s="42"/>
      <c r="V111" s="42"/>
      <c r="W111" s="42"/>
      <c r="X111" s="43"/>
      <c r="Y111" s="42" t="s">
        <v>5515</v>
      </c>
      <c r="Z111" s="42" t="s">
        <v>5510</v>
      </c>
      <c r="AA111" s="42" t="s">
        <v>5481</v>
      </c>
      <c r="AB111" s="45"/>
      <c r="AC111" s="42" t="s">
        <v>5222</v>
      </c>
      <c r="AD111" s="42" t="s">
        <v>5222</v>
      </c>
      <c r="AE111" s="42" t="s">
        <v>5147</v>
      </c>
      <c r="AF111" s="44" t="s">
        <v>5516</v>
      </c>
      <c r="AG111" s="43"/>
      <c r="AH111" s="45"/>
      <c r="AI111" s="43"/>
      <c r="AJ111" s="43"/>
      <c r="AK111" s="43"/>
      <c r="AL111" s="41">
        <v>2011.0</v>
      </c>
      <c r="AM111" s="43"/>
      <c r="AN111" s="43"/>
      <c r="AO111" s="43"/>
      <c r="AP111" s="43"/>
      <c r="AQ111" s="43"/>
      <c r="AR111" s="43"/>
      <c r="AS111" s="45"/>
      <c r="AT111" s="45"/>
      <c r="AU111" s="45"/>
      <c r="AV111" s="45"/>
      <c r="AW111" s="45"/>
      <c r="AX111" s="45"/>
      <c r="AY111" s="45"/>
      <c r="AZ111" s="45"/>
      <c r="BA111" s="45"/>
      <c r="BB111" s="45"/>
      <c r="BC111" s="43"/>
      <c r="BD111" s="64"/>
      <c r="BE111" s="42" t="s">
        <v>3581</v>
      </c>
      <c r="BF111" s="43"/>
      <c r="BG111" s="43"/>
      <c r="BH111" s="42" t="s">
        <v>75</v>
      </c>
      <c r="BI111" s="43"/>
      <c r="BJ111" s="45"/>
      <c r="BK111" s="42" t="s">
        <v>41</v>
      </c>
      <c r="BL111" s="45"/>
      <c r="BM111" s="45"/>
      <c r="BN111" s="43"/>
      <c r="BO111" s="42" t="s">
        <v>3584</v>
      </c>
      <c r="BP111" s="42" t="s">
        <v>3584</v>
      </c>
      <c r="BQ111" s="42" t="s">
        <v>5517</v>
      </c>
      <c r="BR111" s="43"/>
      <c r="BS111" s="45"/>
      <c r="BT111" s="43"/>
      <c r="BU111" s="42" t="s">
        <v>5518</v>
      </c>
      <c r="BV111" s="43"/>
      <c r="BW111" s="43"/>
      <c r="BX111" s="42" t="s">
        <v>5519</v>
      </c>
      <c r="BY111" s="43"/>
      <c r="BZ111" s="43"/>
      <c r="CA111" s="43"/>
      <c r="CB111" s="65">
        <v>41275.0</v>
      </c>
      <c r="CC111" s="45"/>
      <c r="CD111" s="43"/>
      <c r="CE111" s="45"/>
      <c r="CF111" s="43"/>
      <c r="CG111" s="42" t="s">
        <v>3589</v>
      </c>
      <c r="CH111" s="43"/>
      <c r="CI111" s="43"/>
      <c r="CJ111" s="42" t="s">
        <v>3590</v>
      </c>
      <c r="CK111" s="43"/>
      <c r="CL111" s="42" t="s">
        <v>3591</v>
      </c>
      <c r="CM111" s="65">
        <v>43862.0</v>
      </c>
      <c r="CN111" s="45"/>
      <c r="CO111" s="43"/>
      <c r="CP111" s="45"/>
      <c r="CQ111" s="43"/>
      <c r="CR111" s="42" t="s">
        <v>5222</v>
      </c>
      <c r="CS111" s="43"/>
      <c r="CT111" s="43"/>
      <c r="CU111" s="42" t="s">
        <v>5222</v>
      </c>
      <c r="CV111" s="45"/>
      <c r="CW111" s="45"/>
      <c r="CX111" s="43"/>
      <c r="CY111" s="42" t="s">
        <v>3591</v>
      </c>
      <c r="CZ111" s="45"/>
      <c r="DA111" s="45"/>
      <c r="DB111" s="45"/>
      <c r="DC111" s="45"/>
      <c r="DD111" s="45"/>
      <c r="DE111" s="45"/>
      <c r="DF111" s="45"/>
      <c r="DG111" s="45"/>
      <c r="DH111" s="45"/>
      <c r="DI111" s="45"/>
      <c r="DJ111" s="45"/>
      <c r="DK111" s="45"/>
      <c r="DL111" s="45"/>
      <c r="DM111" s="45"/>
      <c r="DN111" s="45"/>
      <c r="DO111" s="45"/>
      <c r="DP111" s="45"/>
      <c r="DQ111" s="45"/>
      <c r="DR111" s="45"/>
      <c r="DS111" s="45"/>
      <c r="DT111" s="45"/>
      <c r="DU111" s="45"/>
      <c r="DV111" s="45"/>
      <c r="DW111" s="45"/>
      <c r="DX111" s="45"/>
      <c r="DY111" s="45"/>
      <c r="DZ111" s="45"/>
      <c r="EA111" s="45"/>
      <c r="EB111" s="45"/>
      <c r="EC111" s="45"/>
      <c r="ED111" s="45"/>
      <c r="EE111" s="45"/>
      <c r="EF111" s="43"/>
      <c r="EG111" s="45"/>
      <c r="EH111" s="45"/>
      <c r="EI111" s="43"/>
      <c r="EJ111" s="45"/>
      <c r="EK111" s="45"/>
      <c r="EL111" s="45"/>
      <c r="EM111" s="43"/>
      <c r="EN111" s="45"/>
      <c r="EO111" s="45"/>
      <c r="EP111" s="45"/>
      <c r="EQ111" s="45"/>
      <c r="ER111" s="42" t="s">
        <v>5219</v>
      </c>
      <c r="ES111" s="43"/>
      <c r="ET111" s="43"/>
      <c r="EU111" s="45"/>
      <c r="EV111" s="48" t="s">
        <v>3559</v>
      </c>
    </row>
    <row r="112">
      <c r="B112" s="42" t="s">
        <v>8915</v>
      </c>
      <c r="C112" s="41">
        <v>19.0</v>
      </c>
      <c r="D112" s="42" t="s">
        <v>8925</v>
      </c>
      <c r="E112" s="42" t="s">
        <v>3563</v>
      </c>
      <c r="F112" s="42" t="s">
        <v>6667</v>
      </c>
      <c r="G112" s="42" t="s">
        <v>6668</v>
      </c>
      <c r="H112" s="42" t="s">
        <v>8250</v>
      </c>
      <c r="I112" s="63">
        <v>45771.0</v>
      </c>
      <c r="J112" s="42" t="s">
        <v>8920</v>
      </c>
      <c r="K112" s="42" t="s">
        <v>8921</v>
      </c>
      <c r="L112" s="42" t="s">
        <v>8922</v>
      </c>
      <c r="M112" s="42" t="s">
        <v>8916</v>
      </c>
      <c r="N112" s="43"/>
      <c r="O112" s="42" t="s">
        <v>8917</v>
      </c>
      <c r="P112" s="42" t="s">
        <v>8923</v>
      </c>
      <c r="Q112" s="45"/>
      <c r="R112" s="43"/>
      <c r="S112" s="45"/>
      <c r="T112" s="45"/>
      <c r="U112" s="43"/>
      <c r="V112" s="45"/>
      <c r="W112" s="45"/>
      <c r="X112" s="42" t="s">
        <v>9960</v>
      </c>
      <c r="Y112" s="42" t="s">
        <v>8923</v>
      </c>
      <c r="Z112" s="42" t="s">
        <v>8919</v>
      </c>
      <c r="AA112" s="42" t="s">
        <v>4962</v>
      </c>
      <c r="AB112" s="45"/>
      <c r="AC112" s="42" t="s">
        <v>3571</v>
      </c>
      <c r="AD112" s="42" t="s">
        <v>5020</v>
      </c>
      <c r="AE112" s="42" t="s">
        <v>3603</v>
      </c>
      <c r="AF112" s="44" t="s">
        <v>8924</v>
      </c>
      <c r="AG112" s="43"/>
      <c r="AH112" s="41">
        <v>19.0</v>
      </c>
      <c r="AI112" s="42" t="s">
        <v>8925</v>
      </c>
      <c r="AJ112" s="43"/>
      <c r="AK112" s="43"/>
      <c r="AL112" s="41">
        <v>2012.0</v>
      </c>
      <c r="AM112" s="43"/>
      <c r="AN112" s="43"/>
      <c r="AO112" s="43"/>
      <c r="AP112" s="43"/>
      <c r="AQ112" s="43"/>
      <c r="AR112" s="43"/>
      <c r="AS112" s="45"/>
      <c r="AT112" s="45"/>
      <c r="AU112" s="45"/>
      <c r="AV112" s="45"/>
      <c r="AW112" s="45"/>
      <c r="AX112" s="45"/>
      <c r="AY112" s="45"/>
      <c r="AZ112" s="45"/>
      <c r="BA112" s="45"/>
      <c r="BB112" s="45"/>
      <c r="BC112" s="43"/>
      <c r="BD112" s="64"/>
      <c r="BE112" s="42" t="s">
        <v>3851</v>
      </c>
      <c r="BF112" s="42" t="s">
        <v>8926</v>
      </c>
      <c r="BG112" s="42" t="s">
        <v>8927</v>
      </c>
      <c r="BH112" s="42" t="s">
        <v>616</v>
      </c>
      <c r="BI112" s="43"/>
      <c r="BJ112" s="41">
        <v>5252247.0</v>
      </c>
      <c r="BK112" s="42" t="s">
        <v>41</v>
      </c>
      <c r="BL112" s="45"/>
      <c r="BM112" s="45"/>
      <c r="BN112" s="43"/>
      <c r="BO112" s="42" t="s">
        <v>3584</v>
      </c>
      <c r="BP112" s="42" t="s">
        <v>3584</v>
      </c>
      <c r="BQ112" s="42" t="s">
        <v>8928</v>
      </c>
      <c r="BR112" s="43"/>
      <c r="BS112" s="45"/>
      <c r="BT112" s="42" t="s">
        <v>338</v>
      </c>
      <c r="BU112" s="43"/>
      <c r="BV112" s="43"/>
      <c r="BW112" s="43"/>
      <c r="BX112" s="43"/>
      <c r="BY112" s="43"/>
      <c r="BZ112" s="43"/>
      <c r="CA112" s="42" t="s">
        <v>8929</v>
      </c>
      <c r="CB112" s="63">
        <v>42569.0</v>
      </c>
      <c r="CC112" s="45"/>
      <c r="CD112" s="43"/>
      <c r="CE112" s="45"/>
      <c r="CF112" s="43"/>
      <c r="CG112" s="42" t="s">
        <v>4977</v>
      </c>
      <c r="CH112" s="43"/>
      <c r="CI112" s="43"/>
      <c r="CJ112" s="42" t="s">
        <v>3663</v>
      </c>
      <c r="CK112" s="43"/>
      <c r="CL112" s="42" t="s">
        <v>3591</v>
      </c>
      <c r="CM112" s="63">
        <v>42569.0</v>
      </c>
      <c r="CN112" s="45"/>
      <c r="CO112" s="43"/>
      <c r="CP112" s="45"/>
      <c r="CQ112" s="43"/>
      <c r="CR112" s="42" t="s">
        <v>4977</v>
      </c>
      <c r="CS112" s="43"/>
      <c r="CT112" s="43"/>
      <c r="CU112" s="42" t="s">
        <v>3663</v>
      </c>
      <c r="CV112" s="45"/>
      <c r="CW112" s="45"/>
      <c r="CX112" s="43"/>
      <c r="CY112" s="42" t="s">
        <v>3591</v>
      </c>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3"/>
      <c r="EG112" s="45"/>
      <c r="EH112" s="45"/>
      <c r="EI112" s="43"/>
      <c r="EJ112" s="45"/>
      <c r="EK112" s="45"/>
      <c r="EL112" s="45"/>
      <c r="EM112" s="43"/>
      <c r="EN112" s="45"/>
      <c r="EO112" s="45"/>
      <c r="EP112" s="45"/>
      <c r="EQ112" s="45"/>
      <c r="ER112" s="42" t="s">
        <v>8250</v>
      </c>
      <c r="ES112" s="43"/>
      <c r="ET112" s="42" t="s">
        <v>47</v>
      </c>
      <c r="EU112" s="41">
        <v>4.0</v>
      </c>
      <c r="EV112" s="48" t="s">
        <v>3559</v>
      </c>
    </row>
    <row r="113">
      <c r="B113" s="35" t="s">
        <v>7882</v>
      </c>
      <c r="C113" s="32">
        <v>4.0</v>
      </c>
      <c r="D113" s="35" t="s">
        <v>7889</v>
      </c>
      <c r="E113" s="35" t="s">
        <v>4560</v>
      </c>
      <c r="F113" s="35" t="s">
        <v>4561</v>
      </c>
      <c r="G113" s="35" t="s">
        <v>66</v>
      </c>
      <c r="H113" s="35" t="s">
        <v>3612</v>
      </c>
      <c r="I113" s="60">
        <v>45183.0</v>
      </c>
      <c r="J113" s="35" t="s">
        <v>4562</v>
      </c>
      <c r="K113" s="35" t="s">
        <v>7885</v>
      </c>
      <c r="L113" s="35" t="s">
        <v>7886</v>
      </c>
      <c r="M113" s="34"/>
      <c r="N113" s="34"/>
      <c r="O113" s="35" t="s">
        <v>7883</v>
      </c>
      <c r="P113" s="35" t="s">
        <v>7887</v>
      </c>
      <c r="Q113" s="35"/>
      <c r="R113" s="35"/>
      <c r="S113" s="35"/>
      <c r="T113" s="35"/>
      <c r="U113" s="35"/>
      <c r="V113" s="35"/>
      <c r="W113" s="35"/>
      <c r="X113" s="34"/>
      <c r="Y113" s="35" t="s">
        <v>7887</v>
      </c>
      <c r="Z113" s="35" t="s">
        <v>7884</v>
      </c>
      <c r="AA113" s="35" t="s">
        <v>5018</v>
      </c>
      <c r="AB113" s="37"/>
      <c r="AC113" s="35" t="s">
        <v>5222</v>
      </c>
      <c r="AD113" s="35" t="s">
        <v>5222</v>
      </c>
      <c r="AE113" s="35" t="s">
        <v>3573</v>
      </c>
      <c r="AF113" s="36" t="s">
        <v>7888</v>
      </c>
      <c r="AG113" s="34"/>
      <c r="AH113" s="32">
        <v>4.0</v>
      </c>
      <c r="AI113" s="35" t="s">
        <v>7889</v>
      </c>
      <c r="AJ113" s="34"/>
      <c r="AK113" s="34"/>
      <c r="AL113" s="32">
        <v>2012.0</v>
      </c>
      <c r="AM113" s="34"/>
      <c r="AN113" s="34"/>
      <c r="AO113" s="34"/>
      <c r="AP113" s="34"/>
      <c r="AQ113" s="34"/>
      <c r="AR113" s="34"/>
      <c r="AS113" s="37"/>
      <c r="AT113" s="37"/>
      <c r="AU113" s="37"/>
      <c r="AV113" s="37"/>
      <c r="AW113" s="37"/>
      <c r="AX113" s="37"/>
      <c r="AY113" s="37"/>
      <c r="AZ113" s="37"/>
      <c r="BA113" s="37"/>
      <c r="BB113" s="37"/>
      <c r="BC113" s="34"/>
      <c r="BD113" s="61"/>
      <c r="BE113" s="35" t="s">
        <v>7890</v>
      </c>
      <c r="BF113" s="35" t="s">
        <v>7891</v>
      </c>
      <c r="BG113" s="34"/>
      <c r="BH113" s="35" t="s">
        <v>7892</v>
      </c>
      <c r="BI113" s="34"/>
      <c r="BJ113" s="32">
        <v>4809900.0</v>
      </c>
      <c r="BK113" s="35" t="s">
        <v>41</v>
      </c>
      <c r="BL113" s="37"/>
      <c r="BM113" s="37"/>
      <c r="BN113" s="34"/>
      <c r="BO113" s="35" t="s">
        <v>3584</v>
      </c>
      <c r="BP113" s="35" t="s">
        <v>3584</v>
      </c>
      <c r="BQ113" s="35" t="s">
        <v>7893</v>
      </c>
      <c r="BR113" s="34"/>
      <c r="BS113" s="37"/>
      <c r="BT113" s="34"/>
      <c r="BU113" s="35" t="s">
        <v>7894</v>
      </c>
      <c r="BV113" s="34"/>
      <c r="BW113" s="34"/>
      <c r="BX113" s="35" t="s">
        <v>7895</v>
      </c>
      <c r="BY113" s="34"/>
      <c r="BZ113" s="34"/>
      <c r="CA113" s="34"/>
      <c r="CB113" s="37"/>
      <c r="CC113" s="37"/>
      <c r="CD113" s="34"/>
      <c r="CE113" s="37"/>
      <c r="CF113" s="34"/>
      <c r="CG113" s="35" t="s">
        <v>3698</v>
      </c>
      <c r="CH113" s="35" t="s">
        <v>3698</v>
      </c>
      <c r="CI113" s="34"/>
      <c r="CJ113" s="35" t="s">
        <v>3573</v>
      </c>
      <c r="CK113" s="34"/>
      <c r="CL113" s="35" t="s">
        <v>3591</v>
      </c>
      <c r="CM113" s="62">
        <v>43405.0</v>
      </c>
      <c r="CN113" s="37"/>
      <c r="CO113" s="34"/>
      <c r="CP113" s="37"/>
      <c r="CQ113" s="34"/>
      <c r="CR113" s="35" t="s">
        <v>5222</v>
      </c>
      <c r="CS113" s="34"/>
      <c r="CT113" s="34"/>
      <c r="CU113" s="35" t="s">
        <v>5222</v>
      </c>
      <c r="CV113" s="37"/>
      <c r="CW113" s="37"/>
      <c r="CX113" s="34"/>
      <c r="CY113" s="35" t="s">
        <v>3591</v>
      </c>
      <c r="CZ113" s="37"/>
      <c r="DA113" s="37"/>
      <c r="DB113" s="37"/>
      <c r="DC113" s="37"/>
      <c r="DD113" s="37"/>
      <c r="DE113" s="37"/>
      <c r="DF113" s="37"/>
      <c r="DG113" s="37"/>
      <c r="DH113" s="37"/>
      <c r="DI113" s="37"/>
      <c r="DJ113" s="37"/>
      <c r="DK113" s="37"/>
      <c r="DL113" s="37"/>
      <c r="DM113" s="37"/>
      <c r="DN113" s="37"/>
      <c r="DO113" s="37"/>
      <c r="DP113" s="37"/>
      <c r="DQ113" s="37"/>
      <c r="DR113" s="37"/>
      <c r="DS113" s="37"/>
      <c r="DT113" s="37"/>
      <c r="DU113" s="37"/>
      <c r="DV113" s="37"/>
      <c r="DW113" s="37"/>
      <c r="DX113" s="37"/>
      <c r="DY113" s="37"/>
      <c r="DZ113" s="37"/>
      <c r="EA113" s="37"/>
      <c r="EB113" s="37"/>
      <c r="EC113" s="37"/>
      <c r="ED113" s="37"/>
      <c r="EE113" s="37"/>
      <c r="EF113" s="34"/>
      <c r="EG113" s="37"/>
      <c r="EH113" s="37"/>
      <c r="EI113" s="34"/>
      <c r="EJ113" s="37"/>
      <c r="EK113" s="37"/>
      <c r="EL113" s="37"/>
      <c r="EM113" s="34"/>
      <c r="EN113" s="37"/>
      <c r="EO113" s="37"/>
      <c r="EP113" s="37"/>
      <c r="EQ113" s="37"/>
      <c r="ER113" s="35" t="s">
        <v>3612</v>
      </c>
      <c r="ES113" s="34"/>
      <c r="ET113" s="34"/>
      <c r="EU113" s="37"/>
      <c r="EV113" s="40" t="s">
        <v>3559</v>
      </c>
    </row>
    <row r="114">
      <c r="B114" s="42" t="s">
        <v>9490</v>
      </c>
      <c r="C114" s="45"/>
      <c r="D114" s="43"/>
      <c r="E114" s="42" t="s">
        <v>3563</v>
      </c>
      <c r="F114" s="42" t="s">
        <v>3564</v>
      </c>
      <c r="G114" s="42" t="s">
        <v>7458</v>
      </c>
      <c r="H114" s="42" t="s">
        <v>3612</v>
      </c>
      <c r="I114" s="63">
        <v>45957.0</v>
      </c>
      <c r="J114" s="42" t="s">
        <v>9493</v>
      </c>
      <c r="K114" s="42" t="s">
        <v>5513</v>
      </c>
      <c r="L114" s="42" t="s">
        <v>9494</v>
      </c>
      <c r="M114" s="43"/>
      <c r="N114" s="43"/>
      <c r="O114" s="42" t="s">
        <v>9491</v>
      </c>
      <c r="P114" s="42" t="s">
        <v>9495</v>
      </c>
      <c r="Q114" s="45"/>
      <c r="R114" s="43"/>
      <c r="S114" s="45"/>
      <c r="T114" s="45"/>
      <c r="U114" s="43"/>
      <c r="V114" s="45"/>
      <c r="W114" s="45"/>
      <c r="X114" s="43"/>
      <c r="Y114" s="42" t="s">
        <v>9495</v>
      </c>
      <c r="Z114" s="42" t="s">
        <v>9492</v>
      </c>
      <c r="AA114" s="42" t="s">
        <v>5018</v>
      </c>
      <c r="AB114" s="41">
        <v>0.14</v>
      </c>
      <c r="AC114" s="42" t="s">
        <v>5222</v>
      </c>
      <c r="AD114" s="42" t="s">
        <v>5222</v>
      </c>
      <c r="AE114" s="42" t="s">
        <v>3573</v>
      </c>
      <c r="AF114" s="44" t="s">
        <v>9496</v>
      </c>
      <c r="AG114" s="43"/>
      <c r="AH114" s="45"/>
      <c r="AI114" s="43"/>
      <c r="AJ114" s="43"/>
      <c r="AK114" s="43"/>
      <c r="AL114" s="41">
        <v>2013.0</v>
      </c>
      <c r="AM114" s="43"/>
      <c r="AN114" s="43"/>
      <c r="AO114" s="43"/>
      <c r="AP114" s="43"/>
      <c r="AQ114" s="43"/>
      <c r="AR114" s="43"/>
      <c r="AS114" s="45"/>
      <c r="AT114" s="45"/>
      <c r="AU114" s="45"/>
      <c r="AV114" s="45"/>
      <c r="AW114" s="45"/>
      <c r="AX114" s="45"/>
      <c r="AY114" s="45"/>
      <c r="AZ114" s="45"/>
      <c r="BA114" s="45"/>
      <c r="BB114" s="45"/>
      <c r="BC114" s="43"/>
      <c r="BD114" s="64"/>
      <c r="BE114" s="42" t="s">
        <v>3851</v>
      </c>
      <c r="BF114" s="42" t="s">
        <v>9497</v>
      </c>
      <c r="BG114" s="43"/>
      <c r="BH114" s="42" t="s">
        <v>616</v>
      </c>
      <c r="BI114" s="43"/>
      <c r="BJ114" s="41">
        <v>69719.0</v>
      </c>
      <c r="BK114" s="42" t="s">
        <v>41</v>
      </c>
      <c r="BL114" s="45"/>
      <c r="BM114" s="45"/>
      <c r="BN114" s="43"/>
      <c r="BO114" s="42" t="s">
        <v>3584</v>
      </c>
      <c r="BP114" s="42" t="s">
        <v>3584</v>
      </c>
      <c r="BQ114" s="42" t="s">
        <v>9498</v>
      </c>
      <c r="BR114" s="43"/>
      <c r="BS114" s="45"/>
      <c r="BT114" s="43"/>
      <c r="BU114" s="42" t="s">
        <v>9499</v>
      </c>
      <c r="BV114" s="43"/>
      <c r="BW114" s="43"/>
      <c r="BX114" s="42" t="s">
        <v>9500</v>
      </c>
      <c r="BY114" s="43"/>
      <c r="BZ114" s="42" t="s">
        <v>9501</v>
      </c>
      <c r="CA114" s="43"/>
      <c r="CB114" s="45"/>
      <c r="CC114" s="41">
        <v>0.1</v>
      </c>
      <c r="CD114" s="42" t="s">
        <v>3593</v>
      </c>
      <c r="CE114" s="45"/>
      <c r="CF114" s="43"/>
      <c r="CG114" s="42" t="s">
        <v>4102</v>
      </c>
      <c r="CH114" s="43"/>
      <c r="CI114" s="43"/>
      <c r="CJ114" s="42" t="s">
        <v>3590</v>
      </c>
      <c r="CK114" s="43"/>
      <c r="CL114" s="42" t="s">
        <v>3591</v>
      </c>
      <c r="CM114" s="65">
        <v>43344.0</v>
      </c>
      <c r="CN114" s="45"/>
      <c r="CO114" s="43"/>
      <c r="CP114" s="45"/>
      <c r="CQ114" s="43"/>
      <c r="CR114" s="42" t="s">
        <v>5222</v>
      </c>
      <c r="CS114" s="43"/>
      <c r="CT114" s="43"/>
      <c r="CU114" s="42" t="s">
        <v>5222</v>
      </c>
      <c r="CV114" s="45"/>
      <c r="CW114" s="45"/>
      <c r="CX114" s="43"/>
      <c r="CY114" s="42" t="s">
        <v>3591</v>
      </c>
      <c r="CZ114" s="45"/>
      <c r="DA114" s="45"/>
      <c r="DB114" s="45"/>
      <c r="DC114" s="45"/>
      <c r="DD114" s="45"/>
      <c r="DE114" s="45"/>
      <c r="DF114" s="45"/>
      <c r="DG114" s="45"/>
      <c r="DH114" s="45"/>
      <c r="DI114" s="45"/>
      <c r="DJ114" s="45"/>
      <c r="DK114" s="45"/>
      <c r="DL114" s="45"/>
      <c r="DM114" s="45"/>
      <c r="DN114" s="45"/>
      <c r="DO114" s="45"/>
      <c r="DP114" s="45"/>
      <c r="DQ114" s="45"/>
      <c r="DR114" s="45"/>
      <c r="DS114" s="45"/>
      <c r="DT114" s="45"/>
      <c r="DU114" s="45"/>
      <c r="DV114" s="45"/>
      <c r="DW114" s="45"/>
      <c r="DX114" s="45"/>
      <c r="DY114" s="45"/>
      <c r="DZ114" s="41">
        <v>5.0</v>
      </c>
      <c r="EA114" s="41">
        <v>1.0</v>
      </c>
      <c r="EB114" s="41">
        <v>1.0</v>
      </c>
      <c r="EC114" s="45"/>
      <c r="ED114" s="45"/>
      <c r="EE114" s="41">
        <v>4.0</v>
      </c>
      <c r="EF114" s="42" t="s">
        <v>9502</v>
      </c>
      <c r="EG114" s="45"/>
      <c r="EH114" s="45"/>
      <c r="EI114" s="43"/>
      <c r="EJ114" s="45"/>
      <c r="EK114" s="45"/>
      <c r="EL114" s="45"/>
      <c r="EM114" s="43"/>
      <c r="EN114" s="45"/>
      <c r="EO114" s="45"/>
      <c r="EP114" s="45"/>
      <c r="EQ114" s="45"/>
      <c r="ER114" s="42" t="s">
        <v>3612</v>
      </c>
      <c r="ES114" s="43"/>
      <c r="ET114" s="43"/>
      <c r="EU114" s="45"/>
      <c r="EV114" s="48" t="s">
        <v>3559</v>
      </c>
    </row>
    <row r="115">
      <c r="B115" s="42" t="s">
        <v>6016</v>
      </c>
      <c r="C115" s="41">
        <v>29.0</v>
      </c>
      <c r="D115" s="42" t="s">
        <v>9961</v>
      </c>
      <c r="E115" s="42" t="s">
        <v>3563</v>
      </c>
      <c r="F115" s="42" t="s">
        <v>4648</v>
      </c>
      <c r="G115" s="42" t="s">
        <v>4649</v>
      </c>
      <c r="H115" s="42" t="s">
        <v>9792</v>
      </c>
      <c r="I115" s="63">
        <v>45894.0</v>
      </c>
      <c r="J115" s="42" t="s">
        <v>6020</v>
      </c>
      <c r="K115" s="42" t="s">
        <v>6021</v>
      </c>
      <c r="L115" s="42" t="s">
        <v>6022</v>
      </c>
      <c r="M115" s="42" t="s">
        <v>6017</v>
      </c>
      <c r="N115" s="43"/>
      <c r="O115" s="42" t="s">
        <v>6018</v>
      </c>
      <c r="P115" s="42" t="s">
        <v>6023</v>
      </c>
      <c r="Q115" s="45"/>
      <c r="R115" s="43"/>
      <c r="S115" s="45"/>
      <c r="T115" s="45"/>
      <c r="U115" s="43"/>
      <c r="V115" s="45"/>
      <c r="W115" s="45"/>
      <c r="X115" s="43"/>
      <c r="Y115" s="42" t="s">
        <v>6023</v>
      </c>
      <c r="Z115" s="42" t="s">
        <v>6019</v>
      </c>
      <c r="AA115" s="42" t="s">
        <v>5018</v>
      </c>
      <c r="AB115" s="41">
        <v>8.51</v>
      </c>
      <c r="AC115" s="42" t="s">
        <v>3571</v>
      </c>
      <c r="AD115" s="42" t="s">
        <v>5020</v>
      </c>
      <c r="AE115" s="42" t="s">
        <v>5413</v>
      </c>
      <c r="AF115" s="44" t="s">
        <v>6024</v>
      </c>
      <c r="AG115" s="43"/>
      <c r="AH115" s="41">
        <v>29.0</v>
      </c>
      <c r="AI115" s="42" t="s">
        <v>9961</v>
      </c>
      <c r="AJ115" s="43"/>
      <c r="AK115" s="43"/>
      <c r="AL115" s="41">
        <v>2013.0</v>
      </c>
      <c r="AM115" s="43"/>
      <c r="AN115" s="43"/>
      <c r="AO115" s="43"/>
      <c r="AP115" s="43"/>
      <c r="AQ115" s="43"/>
      <c r="AR115" s="43"/>
      <c r="AS115" s="45"/>
      <c r="AT115" s="45"/>
      <c r="AU115" s="45"/>
      <c r="AV115" s="45"/>
      <c r="AW115" s="45"/>
      <c r="AX115" s="45"/>
      <c r="AY115" s="41">
        <v>1.71</v>
      </c>
      <c r="AZ115" s="45"/>
      <c r="BA115" s="45"/>
      <c r="BB115" s="45"/>
      <c r="BC115" s="43"/>
      <c r="BD115" s="64"/>
      <c r="BE115" s="42" t="s">
        <v>3622</v>
      </c>
      <c r="BF115" s="42" t="s">
        <v>6026</v>
      </c>
      <c r="BG115" s="43"/>
      <c r="BH115" s="42" t="s">
        <v>3625</v>
      </c>
      <c r="BI115" s="43"/>
      <c r="BJ115" s="41">
        <v>30889.0</v>
      </c>
      <c r="BK115" s="42" t="s">
        <v>41</v>
      </c>
      <c r="BL115" s="45"/>
      <c r="BM115" s="45"/>
      <c r="BN115" s="43"/>
      <c r="BO115" s="42" t="s">
        <v>3584</v>
      </c>
      <c r="BP115" s="42" t="s">
        <v>3584</v>
      </c>
      <c r="BQ115" s="42" t="s">
        <v>6027</v>
      </c>
      <c r="BR115" s="43"/>
      <c r="BS115" s="45"/>
      <c r="BT115" s="42" t="s">
        <v>6028</v>
      </c>
      <c r="BU115" s="42" t="s">
        <v>6029</v>
      </c>
      <c r="BV115" s="43"/>
      <c r="BW115" s="43"/>
      <c r="BX115" s="42" t="s">
        <v>6030</v>
      </c>
      <c r="BY115" s="43"/>
      <c r="BZ115" s="43"/>
      <c r="CA115" s="43"/>
      <c r="CB115" s="45"/>
      <c r="CC115" s="45"/>
      <c r="CD115" s="43"/>
      <c r="CE115" s="45"/>
      <c r="CF115" s="43"/>
      <c r="CG115" s="42" t="s">
        <v>3589</v>
      </c>
      <c r="CH115" s="43"/>
      <c r="CI115" s="43"/>
      <c r="CJ115" s="42" t="s">
        <v>3590</v>
      </c>
      <c r="CK115" s="43"/>
      <c r="CL115" s="42" t="s">
        <v>3591</v>
      </c>
      <c r="CM115" s="63">
        <v>45046.0</v>
      </c>
      <c r="CN115" s="41">
        <v>2.5</v>
      </c>
      <c r="CO115" s="42" t="s">
        <v>3593</v>
      </c>
      <c r="CP115" s="41">
        <v>2.5</v>
      </c>
      <c r="CQ115" s="42" t="s">
        <v>3697</v>
      </c>
      <c r="CR115" s="42" t="s">
        <v>4977</v>
      </c>
      <c r="CS115" s="43"/>
      <c r="CT115" s="43"/>
      <c r="CU115" s="42" t="s">
        <v>3663</v>
      </c>
      <c r="CV115" s="45"/>
      <c r="CW115" s="45"/>
      <c r="CX115" s="43"/>
      <c r="CY115" s="42" t="s">
        <v>3591</v>
      </c>
      <c r="CZ115" s="45"/>
      <c r="DA115" s="45"/>
      <c r="DB115" s="45"/>
      <c r="DC115" s="45"/>
      <c r="DD115" s="45"/>
      <c r="DE115" s="45"/>
      <c r="DF115" s="45"/>
      <c r="DG115" s="45"/>
      <c r="DH115" s="45"/>
      <c r="DI115" s="45"/>
      <c r="DJ115" s="45"/>
      <c r="DK115" s="45"/>
      <c r="DL115" s="45"/>
      <c r="DM115" s="45"/>
      <c r="DN115" s="45"/>
      <c r="DO115" s="45"/>
      <c r="DP115" s="45"/>
      <c r="DQ115" s="45"/>
      <c r="DR115" s="45"/>
      <c r="DS115" s="45"/>
      <c r="DT115" s="45"/>
      <c r="DU115" s="45"/>
      <c r="DV115" s="45"/>
      <c r="DW115" s="45"/>
      <c r="DX115" s="45"/>
      <c r="DY115" s="45"/>
      <c r="DZ115" s="41">
        <v>4.0</v>
      </c>
      <c r="EA115" s="41">
        <v>3.0</v>
      </c>
      <c r="EB115" s="45"/>
      <c r="EC115" s="45"/>
      <c r="ED115" s="45"/>
      <c r="EE115" s="41">
        <v>4.0</v>
      </c>
      <c r="EF115" s="43"/>
      <c r="EG115" s="41">
        <v>2.5</v>
      </c>
      <c r="EH115" s="63">
        <v>45046.0</v>
      </c>
      <c r="EI115" s="42" t="s">
        <v>4977</v>
      </c>
      <c r="EJ115" s="45"/>
      <c r="EK115" s="45"/>
      <c r="EL115" s="45"/>
      <c r="EM115" s="43"/>
      <c r="EN115" s="45"/>
      <c r="EO115" s="45"/>
      <c r="EP115" s="41">
        <v>0.67</v>
      </c>
      <c r="EQ115" s="41">
        <v>0.67</v>
      </c>
      <c r="ER115" s="42" t="s">
        <v>9792</v>
      </c>
      <c r="ES115" s="43"/>
      <c r="ET115" s="43"/>
      <c r="EU115" s="45"/>
      <c r="EV115" s="48" t="s">
        <v>3559</v>
      </c>
    </row>
    <row r="116">
      <c r="B116" s="35" t="s">
        <v>7007</v>
      </c>
      <c r="C116" s="32">
        <v>30.0</v>
      </c>
      <c r="D116" s="35" t="s">
        <v>7016</v>
      </c>
      <c r="E116" s="35" t="s">
        <v>3563</v>
      </c>
      <c r="F116" s="35" t="s">
        <v>3609</v>
      </c>
      <c r="G116" s="35" t="s">
        <v>3610</v>
      </c>
      <c r="H116" s="35" t="s">
        <v>3612</v>
      </c>
      <c r="I116" s="62">
        <v>45965.0</v>
      </c>
      <c r="J116" s="35" t="s">
        <v>7012</v>
      </c>
      <c r="K116" s="35" t="s">
        <v>5684</v>
      </c>
      <c r="L116" s="35" t="s">
        <v>7013</v>
      </c>
      <c r="M116" s="34"/>
      <c r="N116" s="35" t="s">
        <v>7008</v>
      </c>
      <c r="O116" s="35" t="s">
        <v>7009</v>
      </c>
      <c r="P116" s="35" t="s">
        <v>7014</v>
      </c>
      <c r="Q116" s="37"/>
      <c r="R116" s="34"/>
      <c r="S116" s="37"/>
      <c r="T116" s="37"/>
      <c r="U116" s="34"/>
      <c r="V116" s="37"/>
      <c r="W116" s="37"/>
      <c r="X116" s="35" t="s">
        <v>7010</v>
      </c>
      <c r="Y116" s="35" t="s">
        <v>7014</v>
      </c>
      <c r="Z116" s="35" t="s">
        <v>7011</v>
      </c>
      <c r="AA116" s="35" t="s">
        <v>5018</v>
      </c>
      <c r="AB116" s="32">
        <v>15.08</v>
      </c>
      <c r="AC116" s="35" t="s">
        <v>3571</v>
      </c>
      <c r="AD116" s="35" t="s">
        <v>5020</v>
      </c>
      <c r="AE116" s="35" t="s">
        <v>3573</v>
      </c>
      <c r="AF116" s="36" t="s">
        <v>7015</v>
      </c>
      <c r="AG116" s="34"/>
      <c r="AH116" s="32">
        <v>30.0</v>
      </c>
      <c r="AI116" s="35" t="s">
        <v>7016</v>
      </c>
      <c r="AJ116" s="34"/>
      <c r="AK116" s="34"/>
      <c r="AL116" s="32">
        <v>2014.0</v>
      </c>
      <c r="AM116" s="34"/>
      <c r="AN116" s="34"/>
      <c r="AO116" s="34"/>
      <c r="AP116" s="34"/>
      <c r="AQ116" s="34"/>
      <c r="AR116" s="34"/>
      <c r="AS116" s="37"/>
      <c r="AT116" s="37"/>
      <c r="AU116" s="37"/>
      <c r="AV116" s="37"/>
      <c r="AW116" s="37"/>
      <c r="AX116" s="37"/>
      <c r="AY116" s="37"/>
      <c r="AZ116" s="37"/>
      <c r="BA116" s="37"/>
      <c r="BB116" s="37"/>
      <c r="BC116" s="34"/>
      <c r="BD116" s="61"/>
      <c r="BE116" s="35" t="s">
        <v>3581</v>
      </c>
      <c r="BF116" s="35" t="s">
        <v>7017</v>
      </c>
      <c r="BG116" s="34"/>
      <c r="BH116" s="35" t="s">
        <v>75</v>
      </c>
      <c r="BI116" s="34"/>
      <c r="BJ116" s="32">
        <v>6789208.0</v>
      </c>
      <c r="BK116" s="35" t="s">
        <v>41</v>
      </c>
      <c r="BL116" s="37"/>
      <c r="BM116" s="37"/>
      <c r="BN116" s="34"/>
      <c r="BO116" s="35" t="s">
        <v>3584</v>
      </c>
      <c r="BP116" s="35" t="s">
        <v>3584</v>
      </c>
      <c r="BQ116" s="35" t="s">
        <v>7018</v>
      </c>
      <c r="BR116" s="34"/>
      <c r="BS116" s="37"/>
      <c r="BT116" s="35" t="s">
        <v>7019</v>
      </c>
      <c r="BU116" s="35" t="s">
        <v>7020</v>
      </c>
      <c r="BV116" s="34"/>
      <c r="BW116" s="34"/>
      <c r="BX116" s="35" t="s">
        <v>7021</v>
      </c>
      <c r="BY116" s="34"/>
      <c r="BZ116" s="34"/>
      <c r="CA116" s="34"/>
      <c r="CB116" s="62">
        <v>42317.0</v>
      </c>
      <c r="CC116" s="32">
        <v>4.0</v>
      </c>
      <c r="CD116" s="35" t="s">
        <v>3593</v>
      </c>
      <c r="CE116" s="37"/>
      <c r="CF116" s="34"/>
      <c r="CG116" s="35" t="s">
        <v>3802</v>
      </c>
      <c r="CH116" s="35" t="s">
        <v>3802</v>
      </c>
      <c r="CI116" s="34"/>
      <c r="CJ116" s="35" t="s">
        <v>3803</v>
      </c>
      <c r="CK116" s="34"/>
      <c r="CL116" s="35" t="s">
        <v>3591</v>
      </c>
      <c r="CM116" s="62">
        <v>44445.0</v>
      </c>
      <c r="CN116" s="32">
        <v>12.0</v>
      </c>
      <c r="CO116" s="35" t="s">
        <v>3593</v>
      </c>
      <c r="CP116" s="32">
        <v>12.0</v>
      </c>
      <c r="CQ116" s="35" t="s">
        <v>3697</v>
      </c>
      <c r="CR116" s="35" t="s">
        <v>4977</v>
      </c>
      <c r="CS116" s="34"/>
      <c r="CT116" s="34"/>
      <c r="CU116" s="35" t="s">
        <v>3663</v>
      </c>
      <c r="CV116" s="37"/>
      <c r="CW116" s="37"/>
      <c r="CX116" s="34"/>
      <c r="CY116" s="35" t="s">
        <v>3591</v>
      </c>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49">
        <v>5009.0</v>
      </c>
      <c r="EA116" s="49">
        <v>1486.0</v>
      </c>
      <c r="EB116" s="49">
        <v>2628.0</v>
      </c>
      <c r="EC116" s="32">
        <v>246.0</v>
      </c>
      <c r="ED116" s="32">
        <v>84.0</v>
      </c>
      <c r="EE116" s="49">
        <v>2135.0</v>
      </c>
      <c r="EF116" s="35" t="s">
        <v>7025</v>
      </c>
      <c r="EG116" s="32">
        <v>12.0</v>
      </c>
      <c r="EH116" s="62">
        <v>44445.0</v>
      </c>
      <c r="EI116" s="35" t="s">
        <v>4977</v>
      </c>
      <c r="EJ116" s="37"/>
      <c r="EK116" s="37"/>
      <c r="EL116" s="37"/>
      <c r="EM116" s="34"/>
      <c r="EN116" s="37"/>
      <c r="EO116" s="37"/>
      <c r="EP116" s="37"/>
      <c r="EQ116" s="37"/>
      <c r="ER116" s="35" t="s">
        <v>3612</v>
      </c>
      <c r="ES116" s="34"/>
      <c r="ET116" s="35" t="s">
        <v>47</v>
      </c>
      <c r="EU116" s="32">
        <v>17.0</v>
      </c>
      <c r="EV116" s="40" t="s">
        <v>3559</v>
      </c>
    </row>
    <row r="117">
      <c r="B117" s="35" t="s">
        <v>9235</v>
      </c>
      <c r="C117" s="37"/>
      <c r="D117" s="34"/>
      <c r="E117" s="35" t="s">
        <v>3563</v>
      </c>
      <c r="F117" s="35" t="s">
        <v>3564</v>
      </c>
      <c r="G117" s="35" t="s">
        <v>3565</v>
      </c>
      <c r="H117" s="35" t="s">
        <v>8127</v>
      </c>
      <c r="I117" s="62">
        <v>45932.0</v>
      </c>
      <c r="J117" s="35" t="s">
        <v>5929</v>
      </c>
      <c r="K117" s="35" t="s">
        <v>9237</v>
      </c>
      <c r="L117" s="35" t="s">
        <v>9238</v>
      </c>
      <c r="M117" s="34"/>
      <c r="N117" s="34"/>
      <c r="O117" s="34"/>
      <c r="P117" s="35" t="s">
        <v>9239</v>
      </c>
      <c r="Q117" s="37"/>
      <c r="R117" s="34"/>
      <c r="S117" s="37"/>
      <c r="T117" s="37"/>
      <c r="U117" s="34"/>
      <c r="V117" s="37"/>
      <c r="W117" s="37"/>
      <c r="X117" s="34"/>
      <c r="Y117" s="35" t="s">
        <v>9239</v>
      </c>
      <c r="Z117" s="35" t="s">
        <v>9236</v>
      </c>
      <c r="AA117" s="35" t="s">
        <v>5481</v>
      </c>
      <c r="AB117" s="37"/>
      <c r="AC117" s="35" t="s">
        <v>5222</v>
      </c>
      <c r="AD117" s="35" t="s">
        <v>5222</v>
      </c>
      <c r="AE117" s="35" t="s">
        <v>5147</v>
      </c>
      <c r="AF117" s="36" t="s">
        <v>9240</v>
      </c>
      <c r="AG117" s="34"/>
      <c r="AH117" s="37"/>
      <c r="AI117" s="34"/>
      <c r="AJ117" s="34"/>
      <c r="AK117" s="34"/>
      <c r="AL117" s="32">
        <v>2014.0</v>
      </c>
      <c r="AM117" s="34"/>
      <c r="AN117" s="34"/>
      <c r="AO117" s="34"/>
      <c r="AP117" s="34"/>
      <c r="AQ117" s="34"/>
      <c r="AR117" s="34"/>
      <c r="AS117" s="37"/>
      <c r="AT117" s="37"/>
      <c r="AU117" s="37"/>
      <c r="AV117" s="37"/>
      <c r="AW117" s="37"/>
      <c r="AX117" s="37"/>
      <c r="AY117" s="37"/>
      <c r="AZ117" s="37"/>
      <c r="BA117" s="37"/>
      <c r="BB117" s="37"/>
      <c r="BC117" s="34"/>
      <c r="BD117" s="61"/>
      <c r="BE117" s="35" t="s">
        <v>7480</v>
      </c>
      <c r="BF117" s="34"/>
      <c r="BG117" s="34"/>
      <c r="BH117" s="35" t="s">
        <v>7481</v>
      </c>
      <c r="BI117" s="34"/>
      <c r="BJ117" s="37"/>
      <c r="BK117" s="35" t="s">
        <v>41</v>
      </c>
      <c r="BL117" s="37"/>
      <c r="BM117" s="37"/>
      <c r="BN117" s="34"/>
      <c r="BO117" s="35" t="s">
        <v>3584</v>
      </c>
      <c r="BP117" s="35" t="s">
        <v>3584</v>
      </c>
      <c r="BQ117" s="35" t="s">
        <v>9241</v>
      </c>
      <c r="BR117" s="34"/>
      <c r="BS117" s="37"/>
      <c r="BT117" s="34"/>
      <c r="BU117" s="35" t="s">
        <v>5904</v>
      </c>
      <c r="BV117" s="34"/>
      <c r="BW117" s="34"/>
      <c r="BX117" s="35" t="s">
        <v>5905</v>
      </c>
      <c r="BY117" s="34"/>
      <c r="BZ117" s="34"/>
      <c r="CA117" s="34"/>
      <c r="CB117" s="62">
        <v>43040.0</v>
      </c>
      <c r="CC117" s="37"/>
      <c r="CD117" s="34"/>
      <c r="CE117" s="37"/>
      <c r="CF117" s="34"/>
      <c r="CG117" s="35" t="s">
        <v>3589</v>
      </c>
      <c r="CH117" s="34"/>
      <c r="CI117" s="34"/>
      <c r="CJ117" s="35" t="s">
        <v>3590</v>
      </c>
      <c r="CK117" s="34"/>
      <c r="CL117" s="35" t="s">
        <v>3591</v>
      </c>
      <c r="CM117" s="62">
        <v>45931.0</v>
      </c>
      <c r="CN117" s="37"/>
      <c r="CO117" s="34"/>
      <c r="CP117" s="37"/>
      <c r="CQ117" s="34"/>
      <c r="CR117" s="35" t="s">
        <v>5222</v>
      </c>
      <c r="CS117" s="34"/>
      <c r="CT117" s="34"/>
      <c r="CU117" s="35" t="s">
        <v>5222</v>
      </c>
      <c r="CV117" s="37"/>
      <c r="CW117" s="37"/>
      <c r="CX117" s="34"/>
      <c r="CY117" s="35" t="s">
        <v>3591</v>
      </c>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4"/>
      <c r="EG117" s="37"/>
      <c r="EH117" s="37"/>
      <c r="EI117" s="34"/>
      <c r="EJ117" s="37"/>
      <c r="EK117" s="37"/>
      <c r="EL117" s="37"/>
      <c r="EM117" s="34"/>
      <c r="EN117" s="37"/>
      <c r="EO117" s="37"/>
      <c r="EP117" s="37"/>
      <c r="EQ117" s="37"/>
      <c r="ER117" s="35" t="s">
        <v>8127</v>
      </c>
      <c r="ES117" s="34"/>
      <c r="ET117" s="35" t="s">
        <v>47</v>
      </c>
      <c r="EU117" s="32">
        <v>6.0</v>
      </c>
      <c r="EV117" s="40" t="s">
        <v>3559</v>
      </c>
    </row>
    <row r="118">
      <c r="B118" s="35" t="s">
        <v>9156</v>
      </c>
      <c r="C118" s="32">
        <v>3.0</v>
      </c>
      <c r="D118" s="35" t="s">
        <v>9962</v>
      </c>
      <c r="E118" s="35" t="s">
        <v>4560</v>
      </c>
      <c r="F118" s="35" t="s">
        <v>4561</v>
      </c>
      <c r="G118" s="35" t="s">
        <v>66</v>
      </c>
      <c r="H118" s="35" t="s">
        <v>3612</v>
      </c>
      <c r="I118" s="60">
        <v>45925.0</v>
      </c>
      <c r="J118" s="35" t="s">
        <v>6997</v>
      </c>
      <c r="K118" s="35" t="s">
        <v>9159</v>
      </c>
      <c r="L118" s="35" t="s">
        <v>9160</v>
      </c>
      <c r="M118" s="34"/>
      <c r="N118" s="34"/>
      <c r="O118" s="35" t="s">
        <v>9157</v>
      </c>
      <c r="P118" s="35" t="s">
        <v>9161</v>
      </c>
      <c r="Q118" s="37"/>
      <c r="R118" s="34"/>
      <c r="S118" s="37"/>
      <c r="T118" s="37"/>
      <c r="U118" s="34"/>
      <c r="V118" s="37"/>
      <c r="W118" s="37"/>
      <c r="X118" s="34"/>
      <c r="Y118" s="35" t="s">
        <v>9161</v>
      </c>
      <c r="Z118" s="35" t="s">
        <v>9158</v>
      </c>
      <c r="AA118" s="35" t="s">
        <v>5018</v>
      </c>
      <c r="AB118" s="32">
        <v>1.02</v>
      </c>
      <c r="AC118" s="35" t="s">
        <v>5222</v>
      </c>
      <c r="AD118" s="35" t="s">
        <v>5222</v>
      </c>
      <c r="AE118" s="35" t="s">
        <v>3573</v>
      </c>
      <c r="AF118" s="36" t="s">
        <v>9162</v>
      </c>
      <c r="AG118" s="34"/>
      <c r="AH118" s="32">
        <v>3.0</v>
      </c>
      <c r="AI118" s="35" t="s">
        <v>9962</v>
      </c>
      <c r="AJ118" s="34"/>
      <c r="AK118" s="34"/>
      <c r="AL118" s="32">
        <v>2014.0</v>
      </c>
      <c r="AM118" s="34"/>
      <c r="AN118" s="34"/>
      <c r="AO118" s="34"/>
      <c r="AP118" s="34"/>
      <c r="AQ118" s="34"/>
      <c r="AR118" s="34"/>
      <c r="AS118" s="37"/>
      <c r="AT118" s="37"/>
      <c r="AU118" s="37"/>
      <c r="AV118" s="37"/>
      <c r="AW118" s="37"/>
      <c r="AX118" s="37"/>
      <c r="AY118" s="37"/>
      <c r="AZ118" s="37"/>
      <c r="BA118" s="37"/>
      <c r="BB118" s="37"/>
      <c r="BC118" s="34"/>
      <c r="BD118" s="61"/>
      <c r="BE118" s="35" t="s">
        <v>3581</v>
      </c>
      <c r="BF118" s="35" t="s">
        <v>9164</v>
      </c>
      <c r="BG118" s="34"/>
      <c r="BH118" s="35" t="s">
        <v>75</v>
      </c>
      <c r="BI118" s="34"/>
      <c r="BJ118" s="32">
        <v>71724.0</v>
      </c>
      <c r="BK118" s="35" t="s">
        <v>41</v>
      </c>
      <c r="BL118" s="37"/>
      <c r="BM118" s="37"/>
      <c r="BN118" s="35" t="s">
        <v>9165</v>
      </c>
      <c r="BO118" s="35" t="s">
        <v>3584</v>
      </c>
      <c r="BP118" s="35" t="s">
        <v>3584</v>
      </c>
      <c r="BQ118" s="35" t="s">
        <v>9166</v>
      </c>
      <c r="BR118" s="35" t="s">
        <v>9167</v>
      </c>
      <c r="BS118" s="32">
        <v>1.0</v>
      </c>
      <c r="BT118" s="34"/>
      <c r="BU118" s="35" t="s">
        <v>9168</v>
      </c>
      <c r="BV118" s="34"/>
      <c r="BW118" s="35" t="s">
        <v>9169</v>
      </c>
      <c r="BX118" s="35" t="s">
        <v>9170</v>
      </c>
      <c r="BY118" s="34"/>
      <c r="BZ118" s="34"/>
      <c r="CA118" s="34"/>
      <c r="CB118" s="62">
        <v>41640.0</v>
      </c>
      <c r="CC118" s="32">
        <v>0.55</v>
      </c>
      <c r="CD118" s="35" t="s">
        <v>3593</v>
      </c>
      <c r="CE118" s="37"/>
      <c r="CF118" s="34"/>
      <c r="CG118" s="35" t="s">
        <v>3589</v>
      </c>
      <c r="CH118" s="34"/>
      <c r="CI118" s="34"/>
      <c r="CJ118" s="35" t="s">
        <v>3590</v>
      </c>
      <c r="CK118" s="34"/>
      <c r="CL118" s="35" t="s">
        <v>3591</v>
      </c>
      <c r="CM118" s="60">
        <v>45863.0</v>
      </c>
      <c r="CN118" s="37"/>
      <c r="CO118" s="34"/>
      <c r="CP118" s="37"/>
      <c r="CQ118" s="34"/>
      <c r="CR118" s="35" t="s">
        <v>5222</v>
      </c>
      <c r="CS118" s="34"/>
      <c r="CT118" s="34"/>
      <c r="CU118" s="35" t="s">
        <v>5222</v>
      </c>
      <c r="CV118" s="37"/>
      <c r="CW118" s="37"/>
      <c r="CX118" s="34"/>
      <c r="CY118" s="35" t="s">
        <v>3591</v>
      </c>
      <c r="CZ118" s="37"/>
      <c r="DA118" s="37"/>
      <c r="DB118" s="37"/>
      <c r="DC118" s="37"/>
      <c r="DD118" s="37"/>
      <c r="DE118" s="37"/>
      <c r="DF118" s="37"/>
      <c r="DG118" s="37"/>
      <c r="DH118" s="37"/>
      <c r="DI118" s="37"/>
      <c r="DJ118" s="37"/>
      <c r="DK118" s="37"/>
      <c r="DL118" s="37"/>
      <c r="DM118" s="37"/>
      <c r="DN118" s="37"/>
      <c r="DO118" s="37"/>
      <c r="DP118" s="37"/>
      <c r="DQ118" s="37"/>
      <c r="DR118" s="37"/>
      <c r="DS118" s="37"/>
      <c r="DT118" s="37"/>
      <c r="DU118" s="37"/>
      <c r="DV118" s="37"/>
      <c r="DW118" s="37"/>
      <c r="DX118" s="37"/>
      <c r="DY118" s="37"/>
      <c r="DZ118" s="32">
        <v>6.0</v>
      </c>
      <c r="EA118" s="32">
        <v>3.0</v>
      </c>
      <c r="EB118" s="37"/>
      <c r="EC118" s="37"/>
      <c r="ED118" s="37"/>
      <c r="EE118" s="32">
        <v>6.0</v>
      </c>
      <c r="EF118" s="34"/>
      <c r="EG118" s="32">
        <v>6.6</v>
      </c>
      <c r="EH118" s="60">
        <v>44404.0</v>
      </c>
      <c r="EI118" s="35" t="s">
        <v>3594</v>
      </c>
      <c r="EJ118" s="37"/>
      <c r="EK118" s="37"/>
      <c r="EL118" s="37"/>
      <c r="EM118" s="34"/>
      <c r="EN118" s="37"/>
      <c r="EO118" s="37"/>
      <c r="EP118" s="37"/>
      <c r="EQ118" s="37"/>
      <c r="ER118" s="35" t="s">
        <v>3612</v>
      </c>
      <c r="ES118" s="34"/>
      <c r="ET118" s="35" t="s">
        <v>47</v>
      </c>
      <c r="EU118" s="32">
        <v>34.0</v>
      </c>
      <c r="EV118" s="40" t="s">
        <v>3559</v>
      </c>
    </row>
    <row r="119">
      <c r="B119" s="35" t="s">
        <v>5448</v>
      </c>
      <c r="C119" s="32">
        <v>2.0</v>
      </c>
      <c r="D119" s="35" t="s">
        <v>9963</v>
      </c>
      <c r="E119" s="35" t="s">
        <v>4560</v>
      </c>
      <c r="F119" s="35" t="s">
        <v>4561</v>
      </c>
      <c r="G119" s="35" t="s">
        <v>66</v>
      </c>
      <c r="H119" s="35" t="s">
        <v>3612</v>
      </c>
      <c r="I119" s="60">
        <v>45565.0</v>
      </c>
      <c r="J119" s="35" t="s">
        <v>4562</v>
      </c>
      <c r="K119" s="35" t="s">
        <v>5451</v>
      </c>
      <c r="L119" s="35" t="s">
        <v>5452</v>
      </c>
      <c r="M119" s="34"/>
      <c r="N119" s="34"/>
      <c r="O119" s="35" t="s">
        <v>5449</v>
      </c>
      <c r="P119" s="35" t="s">
        <v>5453</v>
      </c>
      <c r="Q119" s="35"/>
      <c r="R119" s="35"/>
      <c r="S119" s="35"/>
      <c r="T119" s="35"/>
      <c r="U119" s="35"/>
      <c r="V119" s="35"/>
      <c r="W119" s="35"/>
      <c r="X119" s="34"/>
      <c r="Y119" s="35" t="s">
        <v>5453</v>
      </c>
      <c r="Z119" s="35" t="s">
        <v>5450</v>
      </c>
      <c r="AA119" s="35" t="s">
        <v>5018</v>
      </c>
      <c r="AB119" s="32">
        <v>2.82</v>
      </c>
      <c r="AC119" s="35" t="s">
        <v>5222</v>
      </c>
      <c r="AD119" s="35" t="s">
        <v>5222</v>
      </c>
      <c r="AE119" s="35" t="s">
        <v>3573</v>
      </c>
      <c r="AF119" s="36" t="s">
        <v>5454</v>
      </c>
      <c r="AG119" s="34"/>
      <c r="AH119" s="32">
        <v>2.0</v>
      </c>
      <c r="AI119" s="35" t="s">
        <v>9963</v>
      </c>
      <c r="AJ119" s="34"/>
      <c r="AK119" s="34"/>
      <c r="AL119" s="32">
        <v>2014.0</v>
      </c>
      <c r="AM119" s="34"/>
      <c r="AN119" s="34"/>
      <c r="AO119" s="34"/>
      <c r="AP119" s="34"/>
      <c r="AQ119" s="34"/>
      <c r="AR119" s="34"/>
      <c r="AS119" s="37"/>
      <c r="AT119" s="37"/>
      <c r="AU119" s="37"/>
      <c r="AV119" s="37"/>
      <c r="AW119" s="37"/>
      <c r="AX119" s="37"/>
      <c r="AY119" s="37"/>
      <c r="AZ119" s="37"/>
      <c r="BA119" s="37"/>
      <c r="BB119" s="37"/>
      <c r="BC119" s="34"/>
      <c r="BD119" s="61"/>
      <c r="BE119" s="35" t="s">
        <v>5456</v>
      </c>
      <c r="BF119" s="34"/>
      <c r="BG119" s="34"/>
      <c r="BH119" s="35" t="s">
        <v>5457</v>
      </c>
      <c r="BI119" s="34"/>
      <c r="BJ119" s="32">
        <v>9984500.0</v>
      </c>
      <c r="BK119" s="35" t="s">
        <v>41</v>
      </c>
      <c r="BL119" s="37" t="str">
        <f>+972 (0)54 458 0413</f>
        <v>#ERROR!</v>
      </c>
      <c r="BM119" s="37"/>
      <c r="BN119" s="34"/>
      <c r="BO119" s="35" t="s">
        <v>3584</v>
      </c>
      <c r="BP119" s="35" t="s">
        <v>3584</v>
      </c>
      <c r="BQ119" s="35" t="s">
        <v>5458</v>
      </c>
      <c r="BR119" s="34"/>
      <c r="BS119" s="37"/>
      <c r="BT119" s="34"/>
      <c r="BU119" s="35" t="s">
        <v>5459</v>
      </c>
      <c r="BV119" s="34"/>
      <c r="BW119" s="34"/>
      <c r="BX119" s="35" t="s">
        <v>5460</v>
      </c>
      <c r="BY119" s="34"/>
      <c r="BZ119" s="34"/>
      <c r="CA119" s="35" t="s">
        <v>5461</v>
      </c>
      <c r="CB119" s="62">
        <v>42370.0</v>
      </c>
      <c r="CC119" s="32">
        <v>0.25</v>
      </c>
      <c r="CD119" s="35" t="s">
        <v>3593</v>
      </c>
      <c r="CE119" s="37"/>
      <c r="CF119" s="34"/>
      <c r="CG119" s="35" t="s">
        <v>5462</v>
      </c>
      <c r="CH119" s="34"/>
      <c r="CI119" s="34"/>
      <c r="CJ119" s="35" t="s">
        <v>3803</v>
      </c>
      <c r="CK119" s="34"/>
      <c r="CL119" s="35" t="s">
        <v>3591</v>
      </c>
      <c r="CM119" s="62">
        <v>45261.0</v>
      </c>
      <c r="CN119" s="37"/>
      <c r="CO119" s="34"/>
      <c r="CP119" s="37"/>
      <c r="CQ119" s="34"/>
      <c r="CR119" s="35" t="s">
        <v>5222</v>
      </c>
      <c r="CS119" s="34"/>
      <c r="CT119" s="34"/>
      <c r="CU119" s="35" t="s">
        <v>5222</v>
      </c>
      <c r="CV119" s="37"/>
      <c r="CW119" s="37"/>
      <c r="CX119" s="34"/>
      <c r="CY119" s="35" t="s">
        <v>3591</v>
      </c>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2">
        <v>5.0</v>
      </c>
      <c r="EA119" s="32">
        <v>1.0</v>
      </c>
      <c r="EB119" s="37"/>
      <c r="EC119" s="37"/>
      <c r="ED119" s="37"/>
      <c r="EE119" s="32">
        <v>5.0</v>
      </c>
      <c r="EF119" s="34"/>
      <c r="EG119" s="32">
        <v>9.21</v>
      </c>
      <c r="EH119" s="62">
        <v>43709.0</v>
      </c>
      <c r="EI119" s="35" t="s">
        <v>3698</v>
      </c>
      <c r="EJ119" s="37"/>
      <c r="EK119" s="37"/>
      <c r="EL119" s="37"/>
      <c r="EM119" s="34"/>
      <c r="EN119" s="37"/>
      <c r="EO119" s="37"/>
      <c r="EP119" s="37"/>
      <c r="EQ119" s="37"/>
      <c r="ER119" s="35" t="s">
        <v>3612</v>
      </c>
      <c r="ES119" s="34"/>
      <c r="ET119" s="35" t="s">
        <v>47</v>
      </c>
      <c r="EU119" s="32">
        <v>28.0</v>
      </c>
      <c r="EV119" s="40" t="s">
        <v>3559</v>
      </c>
    </row>
    <row r="120">
      <c r="B120" s="35" t="s">
        <v>8214</v>
      </c>
      <c r="C120" s="32">
        <v>135.0</v>
      </c>
      <c r="D120" s="35" t="s">
        <v>9964</v>
      </c>
      <c r="E120" s="35" t="s">
        <v>3867</v>
      </c>
      <c r="F120" s="35" t="s">
        <v>3897</v>
      </c>
      <c r="G120" s="35" t="s">
        <v>4689</v>
      </c>
      <c r="H120" s="35" t="s">
        <v>9792</v>
      </c>
      <c r="I120" s="60">
        <v>45973.0</v>
      </c>
      <c r="J120" s="35" t="s">
        <v>7339</v>
      </c>
      <c r="K120" s="35" t="s">
        <v>8219</v>
      </c>
      <c r="L120" s="35" t="s">
        <v>8220</v>
      </c>
      <c r="M120" s="34"/>
      <c r="N120" s="35" t="s">
        <v>8215</v>
      </c>
      <c r="O120" s="35" t="s">
        <v>8216</v>
      </c>
      <c r="P120" s="35" t="s">
        <v>8221</v>
      </c>
      <c r="Q120" s="37"/>
      <c r="R120" s="34"/>
      <c r="S120" s="37"/>
      <c r="T120" s="37"/>
      <c r="U120" s="34"/>
      <c r="V120" s="37"/>
      <c r="W120" s="37"/>
      <c r="X120" s="35" t="s">
        <v>9965</v>
      </c>
      <c r="Y120" s="35" t="s">
        <v>8221</v>
      </c>
      <c r="Z120" s="35" t="s">
        <v>8218</v>
      </c>
      <c r="AA120" s="35" t="s">
        <v>5018</v>
      </c>
      <c r="AB120" s="32">
        <v>240.77</v>
      </c>
      <c r="AC120" s="35" t="s">
        <v>5412</v>
      </c>
      <c r="AD120" s="35" t="s">
        <v>5020</v>
      </c>
      <c r="AE120" s="35" t="s">
        <v>5413</v>
      </c>
      <c r="AF120" s="36" t="s">
        <v>8222</v>
      </c>
      <c r="AG120" s="34"/>
      <c r="AH120" s="32">
        <v>135.0</v>
      </c>
      <c r="AI120" s="35" t="s">
        <v>9964</v>
      </c>
      <c r="AJ120" s="34"/>
      <c r="AK120" s="34"/>
      <c r="AL120" s="32">
        <v>2015.0</v>
      </c>
      <c r="AM120" s="34"/>
      <c r="AN120" s="35" t="s">
        <v>8225</v>
      </c>
      <c r="AO120" s="35" t="s">
        <v>7673</v>
      </c>
      <c r="AP120" s="34"/>
      <c r="AQ120" s="34"/>
      <c r="AR120" s="34"/>
      <c r="AS120" s="32">
        <v>7.51</v>
      </c>
      <c r="AT120" s="32">
        <v>3.84</v>
      </c>
      <c r="AU120" s="32">
        <v>-74.78</v>
      </c>
      <c r="AV120" s="32">
        <v>-80.44</v>
      </c>
      <c r="AW120" s="32">
        <v>-73.39</v>
      </c>
      <c r="AX120" s="32">
        <v>-74.56</v>
      </c>
      <c r="AY120" s="32">
        <v>52.37</v>
      </c>
      <c r="AZ120" s="32">
        <v>-75.11</v>
      </c>
      <c r="BA120" s="39">
        <v>0.7966</v>
      </c>
      <c r="BB120" s="32" t="s">
        <v>7527</v>
      </c>
      <c r="BC120" s="35" t="s">
        <v>8224</v>
      </c>
      <c r="BD120" s="61"/>
      <c r="BE120" s="35" t="s">
        <v>3718</v>
      </c>
      <c r="BF120" s="35" t="s">
        <v>8226</v>
      </c>
      <c r="BG120" s="35" t="s">
        <v>8227</v>
      </c>
      <c r="BH120" s="35" t="s">
        <v>552</v>
      </c>
      <c r="BI120" s="34"/>
      <c r="BJ120" s="37"/>
      <c r="BK120" s="35" t="s">
        <v>41</v>
      </c>
      <c r="BL120" s="37"/>
      <c r="BM120" s="37"/>
      <c r="BN120" s="34"/>
      <c r="BO120" s="35" t="s">
        <v>3584</v>
      </c>
      <c r="BP120" s="35" t="s">
        <v>3584</v>
      </c>
      <c r="BQ120" s="35" t="s">
        <v>8228</v>
      </c>
      <c r="BR120" s="34"/>
      <c r="BS120" s="37"/>
      <c r="BT120" s="33" t="s">
        <v>8229</v>
      </c>
      <c r="BU120" s="35" t="s">
        <v>8230</v>
      </c>
      <c r="BV120" s="34"/>
      <c r="BW120" s="34"/>
      <c r="BX120" s="35" t="s">
        <v>9966</v>
      </c>
      <c r="BY120" s="34"/>
      <c r="BZ120" s="34"/>
      <c r="CA120" s="35" t="s">
        <v>8232</v>
      </c>
      <c r="CB120" s="62">
        <v>42339.0</v>
      </c>
      <c r="CC120" s="32">
        <v>0.1</v>
      </c>
      <c r="CD120" s="35" t="s">
        <v>3593</v>
      </c>
      <c r="CE120" s="37"/>
      <c r="CF120" s="34"/>
      <c r="CG120" s="35" t="s">
        <v>3698</v>
      </c>
      <c r="CH120" s="35" t="s">
        <v>7593</v>
      </c>
      <c r="CI120" s="34"/>
      <c r="CJ120" s="35" t="s">
        <v>3573</v>
      </c>
      <c r="CK120" s="34"/>
      <c r="CL120" s="35" t="s">
        <v>3591</v>
      </c>
      <c r="CM120" s="60">
        <v>45218.0</v>
      </c>
      <c r="CN120" s="37"/>
      <c r="CO120" s="34"/>
      <c r="CP120" s="37"/>
      <c r="CQ120" s="34"/>
      <c r="CR120" s="35" t="s">
        <v>4977</v>
      </c>
      <c r="CS120" s="34"/>
      <c r="CT120" s="34"/>
      <c r="CU120" s="35" t="s">
        <v>3663</v>
      </c>
      <c r="CV120" s="37"/>
      <c r="CW120" s="37"/>
      <c r="CX120" s="34"/>
      <c r="CY120" s="35" t="s">
        <v>3591</v>
      </c>
      <c r="CZ120" s="37"/>
      <c r="DA120" s="37"/>
      <c r="DB120" s="37"/>
      <c r="DC120" s="37"/>
      <c r="DD120" s="37"/>
      <c r="DE120" s="37"/>
      <c r="DF120" s="37"/>
      <c r="DG120" s="37"/>
      <c r="DH120" s="37"/>
      <c r="DI120" s="37"/>
      <c r="DJ120" s="37"/>
      <c r="DK120" s="37"/>
      <c r="DL120" s="37"/>
      <c r="DM120" s="37"/>
      <c r="DN120" s="37"/>
      <c r="DO120" s="37"/>
      <c r="DP120" s="37"/>
      <c r="DQ120" s="37"/>
      <c r="DR120" s="37"/>
      <c r="DS120" s="37"/>
      <c r="DT120" s="37"/>
      <c r="DU120" s="37"/>
      <c r="DV120" s="37"/>
      <c r="DW120" s="37"/>
      <c r="DX120" s="37"/>
      <c r="DY120" s="37"/>
      <c r="DZ120" s="32">
        <v>37.0</v>
      </c>
      <c r="EA120" s="32">
        <v>21.0</v>
      </c>
      <c r="EB120" s="32">
        <v>18.0</v>
      </c>
      <c r="EC120" s="32">
        <v>2.0</v>
      </c>
      <c r="ED120" s="37"/>
      <c r="EE120" s="32">
        <v>17.0</v>
      </c>
      <c r="EF120" s="35" t="s">
        <v>8235</v>
      </c>
      <c r="EG120" s="50">
        <v>1322.0</v>
      </c>
      <c r="EH120" s="60">
        <v>44421.0</v>
      </c>
      <c r="EI120" s="35" t="s">
        <v>4775</v>
      </c>
      <c r="EJ120" s="37"/>
      <c r="EK120" s="37"/>
      <c r="EL120" s="37"/>
      <c r="EM120" s="34"/>
      <c r="EN120" s="37"/>
      <c r="EO120" s="37"/>
      <c r="EP120" s="37"/>
      <c r="EQ120" s="32">
        <v>4.13</v>
      </c>
      <c r="ER120" s="35" t="s">
        <v>9792</v>
      </c>
      <c r="ES120" s="34"/>
      <c r="ET120" s="34"/>
      <c r="EU120" s="37"/>
      <c r="EV120" s="40" t="s">
        <v>3559</v>
      </c>
    </row>
    <row r="121">
      <c r="B121" s="42" t="s">
        <v>7292</v>
      </c>
      <c r="C121" s="41">
        <v>7.0</v>
      </c>
      <c r="D121" s="42" t="s">
        <v>9967</v>
      </c>
      <c r="E121" s="42" t="s">
        <v>4560</v>
      </c>
      <c r="F121" s="42" t="s">
        <v>4561</v>
      </c>
      <c r="G121" s="42" t="s">
        <v>66</v>
      </c>
      <c r="H121" s="42" t="s">
        <v>8127</v>
      </c>
      <c r="I121" s="70">
        <v>45789.0</v>
      </c>
      <c r="J121" s="42" t="s">
        <v>7296</v>
      </c>
      <c r="K121" s="42" t="s">
        <v>7297</v>
      </c>
      <c r="L121" s="42" t="s">
        <v>7298</v>
      </c>
      <c r="M121" s="43"/>
      <c r="N121" s="42" t="s">
        <v>7293</v>
      </c>
      <c r="O121" s="42" t="s">
        <v>7294</v>
      </c>
      <c r="P121" s="42" t="s">
        <v>7299</v>
      </c>
      <c r="Q121" s="45"/>
      <c r="R121" s="43"/>
      <c r="S121" s="45"/>
      <c r="T121" s="45"/>
      <c r="U121" s="43"/>
      <c r="V121" s="45"/>
      <c r="W121" s="45"/>
      <c r="X121" s="43"/>
      <c r="Y121" s="42" t="s">
        <v>7299</v>
      </c>
      <c r="Z121" s="42" t="s">
        <v>7295</v>
      </c>
      <c r="AA121" s="42" t="s">
        <v>5018</v>
      </c>
      <c r="AB121" s="41">
        <v>1.41</v>
      </c>
      <c r="AC121" s="42" t="s">
        <v>5222</v>
      </c>
      <c r="AD121" s="42" t="s">
        <v>5222</v>
      </c>
      <c r="AE121" s="42" t="s">
        <v>3573</v>
      </c>
      <c r="AF121" s="44" t="s">
        <v>7300</v>
      </c>
      <c r="AG121" s="43"/>
      <c r="AH121" s="41">
        <v>7.0</v>
      </c>
      <c r="AI121" s="42" t="s">
        <v>9967</v>
      </c>
      <c r="AJ121" s="43"/>
      <c r="AK121" s="43"/>
      <c r="AL121" s="41">
        <v>2015.0</v>
      </c>
      <c r="AM121" s="43"/>
      <c r="AN121" s="43"/>
      <c r="AO121" s="43"/>
      <c r="AP121" s="43"/>
      <c r="AQ121" s="43"/>
      <c r="AR121" s="43"/>
      <c r="AS121" s="45"/>
      <c r="AT121" s="45"/>
      <c r="AU121" s="45"/>
      <c r="AV121" s="45"/>
      <c r="AW121" s="45"/>
      <c r="AX121" s="45"/>
      <c r="AY121" s="45"/>
      <c r="AZ121" s="45"/>
      <c r="BA121" s="45"/>
      <c r="BB121" s="45"/>
      <c r="BC121" s="43"/>
      <c r="BD121" s="64"/>
      <c r="BE121" s="42" t="s">
        <v>3581</v>
      </c>
      <c r="BF121" s="42" t="s">
        <v>7302</v>
      </c>
      <c r="BG121" s="43"/>
      <c r="BH121" s="42" t="s">
        <v>75</v>
      </c>
      <c r="BI121" s="43"/>
      <c r="BJ121" s="41">
        <v>6789807.0</v>
      </c>
      <c r="BK121" s="42" t="s">
        <v>41</v>
      </c>
      <c r="BL121" s="45"/>
      <c r="BM121" s="45"/>
      <c r="BN121" s="43"/>
      <c r="BO121" s="42" t="s">
        <v>3584</v>
      </c>
      <c r="BP121" s="42" t="s">
        <v>3584</v>
      </c>
      <c r="BQ121" s="42" t="s">
        <v>7303</v>
      </c>
      <c r="BR121" s="43"/>
      <c r="BS121" s="45"/>
      <c r="BT121" s="43"/>
      <c r="BU121" s="42" t="s">
        <v>7304</v>
      </c>
      <c r="BV121" s="43"/>
      <c r="BW121" s="43"/>
      <c r="BX121" s="42" t="s">
        <v>7305</v>
      </c>
      <c r="BY121" s="43"/>
      <c r="BZ121" s="43"/>
      <c r="CA121" s="42" t="s">
        <v>5779</v>
      </c>
      <c r="CB121" s="65">
        <v>42463.0</v>
      </c>
      <c r="CC121" s="41">
        <v>0.08</v>
      </c>
      <c r="CD121" s="42" t="s">
        <v>3593</v>
      </c>
      <c r="CE121" s="45"/>
      <c r="CF121" s="43"/>
      <c r="CG121" s="42" t="s">
        <v>5781</v>
      </c>
      <c r="CH121" s="43"/>
      <c r="CI121" s="43"/>
      <c r="CJ121" s="42" t="s">
        <v>3803</v>
      </c>
      <c r="CK121" s="43"/>
      <c r="CL121" s="42" t="s">
        <v>3591</v>
      </c>
      <c r="CM121" s="65">
        <v>44958.0</v>
      </c>
      <c r="CN121" s="45"/>
      <c r="CO121" s="43"/>
      <c r="CP121" s="45"/>
      <c r="CQ121" s="43"/>
      <c r="CR121" s="42" t="s">
        <v>5222</v>
      </c>
      <c r="CS121" s="43"/>
      <c r="CT121" s="43"/>
      <c r="CU121" s="42" t="s">
        <v>5222</v>
      </c>
      <c r="CV121" s="65">
        <v>43709.0</v>
      </c>
      <c r="CW121" s="41">
        <v>0.1</v>
      </c>
      <c r="CX121" s="43"/>
      <c r="CY121" s="42" t="s">
        <v>3591</v>
      </c>
      <c r="CZ121" s="45"/>
      <c r="DA121" s="45"/>
      <c r="DB121" s="45"/>
      <c r="DC121" s="45"/>
      <c r="DD121" s="45"/>
      <c r="DE121" s="45"/>
      <c r="DF121" s="45"/>
      <c r="DG121" s="45"/>
      <c r="DH121" s="45"/>
      <c r="DI121" s="45"/>
      <c r="DJ121" s="45"/>
      <c r="DK121" s="45"/>
      <c r="DL121" s="45"/>
      <c r="DM121" s="45"/>
      <c r="DN121" s="45"/>
      <c r="DO121" s="45"/>
      <c r="DP121" s="45"/>
      <c r="DQ121" s="45"/>
      <c r="DR121" s="45"/>
      <c r="DS121" s="45"/>
      <c r="DT121" s="45"/>
      <c r="DU121" s="45"/>
      <c r="DV121" s="45"/>
      <c r="DW121" s="45"/>
      <c r="DX121" s="45"/>
      <c r="DY121" s="45"/>
      <c r="DZ121" s="45"/>
      <c r="EA121" s="45"/>
      <c r="EB121" s="45"/>
      <c r="EC121" s="45"/>
      <c r="ED121" s="45"/>
      <c r="EE121" s="45"/>
      <c r="EF121" s="43"/>
      <c r="EG121" s="41">
        <v>10.0</v>
      </c>
      <c r="EH121" s="63">
        <v>43031.0</v>
      </c>
      <c r="EI121" s="42" t="s">
        <v>3589</v>
      </c>
      <c r="EJ121" s="45"/>
      <c r="EK121" s="45"/>
      <c r="EL121" s="45"/>
      <c r="EM121" s="43"/>
      <c r="EN121" s="45"/>
      <c r="EO121" s="45"/>
      <c r="EP121" s="45"/>
      <c r="EQ121" s="45"/>
      <c r="ER121" s="42" t="s">
        <v>8127</v>
      </c>
      <c r="ES121" s="43"/>
      <c r="ET121" s="42" t="s">
        <v>47</v>
      </c>
      <c r="EU121" s="41">
        <v>3.0</v>
      </c>
      <c r="EV121" s="48" t="s">
        <v>3559</v>
      </c>
    </row>
    <row r="122">
      <c r="B122" s="35" t="s">
        <v>9300</v>
      </c>
      <c r="C122" s="32">
        <v>45.0</v>
      </c>
      <c r="D122" s="35" t="s">
        <v>9308</v>
      </c>
      <c r="E122" s="35" t="s">
        <v>3563</v>
      </c>
      <c r="F122" s="35" t="s">
        <v>3564</v>
      </c>
      <c r="G122" s="35" t="s">
        <v>3565</v>
      </c>
      <c r="H122" s="35" t="s">
        <v>8495</v>
      </c>
      <c r="I122" s="60">
        <v>45776.0</v>
      </c>
      <c r="J122" s="35" t="s">
        <v>4303</v>
      </c>
      <c r="K122" s="35" t="s">
        <v>3811</v>
      </c>
      <c r="L122" s="35" t="s">
        <v>9305</v>
      </c>
      <c r="M122" s="35" t="s">
        <v>9301</v>
      </c>
      <c r="N122" s="34"/>
      <c r="O122" s="35" t="s">
        <v>9302</v>
      </c>
      <c r="P122" s="35" t="s">
        <v>9306</v>
      </c>
      <c r="Q122" s="37"/>
      <c r="R122" s="34"/>
      <c r="S122" s="37"/>
      <c r="T122" s="37"/>
      <c r="U122" s="34"/>
      <c r="V122" s="37"/>
      <c r="W122" s="37"/>
      <c r="X122" s="35" t="s">
        <v>9968</v>
      </c>
      <c r="Y122" s="35" t="s">
        <v>9306</v>
      </c>
      <c r="Z122" s="35" t="s">
        <v>9304</v>
      </c>
      <c r="AA122" s="35" t="s">
        <v>5018</v>
      </c>
      <c r="AB122" s="32">
        <v>8.08</v>
      </c>
      <c r="AC122" s="35" t="s">
        <v>3571</v>
      </c>
      <c r="AD122" s="35" t="s">
        <v>5020</v>
      </c>
      <c r="AE122" s="35" t="s">
        <v>3573</v>
      </c>
      <c r="AF122" s="36" t="s">
        <v>9307</v>
      </c>
      <c r="AG122" s="34"/>
      <c r="AH122" s="32">
        <v>45.0</v>
      </c>
      <c r="AI122" s="35" t="s">
        <v>9308</v>
      </c>
      <c r="AJ122" s="34"/>
      <c r="AK122" s="34"/>
      <c r="AL122" s="32">
        <v>2015.0</v>
      </c>
      <c r="AM122" s="34"/>
      <c r="AN122" s="34"/>
      <c r="AO122" s="34"/>
      <c r="AP122" s="34"/>
      <c r="AQ122" s="34"/>
      <c r="AR122" s="34"/>
      <c r="AS122" s="37"/>
      <c r="AT122" s="37"/>
      <c r="AU122" s="37"/>
      <c r="AV122" s="37"/>
      <c r="AW122" s="37"/>
      <c r="AX122" s="37"/>
      <c r="AY122" s="37"/>
      <c r="AZ122" s="37"/>
      <c r="BA122" s="37"/>
      <c r="BB122" s="37"/>
      <c r="BC122" s="34"/>
      <c r="BD122" s="61"/>
      <c r="BE122" s="35" t="s">
        <v>5629</v>
      </c>
      <c r="BF122" s="35" t="s">
        <v>9309</v>
      </c>
      <c r="BG122" s="34"/>
      <c r="BH122" s="35" t="s">
        <v>1407</v>
      </c>
      <c r="BI122" s="34"/>
      <c r="BJ122" s="32">
        <v>6037604.0</v>
      </c>
      <c r="BK122" s="35" t="s">
        <v>41</v>
      </c>
      <c r="BL122" s="37"/>
      <c r="BM122" s="37"/>
      <c r="BN122" s="34"/>
      <c r="BO122" s="35" t="s">
        <v>3584</v>
      </c>
      <c r="BP122" s="35" t="s">
        <v>3584</v>
      </c>
      <c r="BQ122" s="35" t="s">
        <v>9310</v>
      </c>
      <c r="BR122" s="35" t="s">
        <v>9311</v>
      </c>
      <c r="BS122" s="32">
        <v>1.0</v>
      </c>
      <c r="BT122" s="35" t="s">
        <v>9312</v>
      </c>
      <c r="BU122" s="35" t="s">
        <v>9313</v>
      </c>
      <c r="BV122" s="34"/>
      <c r="BW122" s="35" t="s">
        <v>9314</v>
      </c>
      <c r="BX122" s="35" t="s">
        <v>9315</v>
      </c>
      <c r="BY122" s="34"/>
      <c r="BZ122" s="34"/>
      <c r="CA122" s="35" t="s">
        <v>6280</v>
      </c>
      <c r="CB122" s="37"/>
      <c r="CC122" s="32">
        <v>0.03</v>
      </c>
      <c r="CD122" s="35" t="s">
        <v>3593</v>
      </c>
      <c r="CE122" s="37"/>
      <c r="CF122" s="34"/>
      <c r="CG122" s="35" t="s">
        <v>3589</v>
      </c>
      <c r="CH122" s="34"/>
      <c r="CI122" s="34"/>
      <c r="CJ122" s="35" t="s">
        <v>3590</v>
      </c>
      <c r="CK122" s="34"/>
      <c r="CL122" s="35" t="s">
        <v>3591</v>
      </c>
      <c r="CM122" s="62">
        <v>44019.0</v>
      </c>
      <c r="CN122" s="37"/>
      <c r="CO122" s="34"/>
      <c r="CP122" s="37"/>
      <c r="CQ122" s="34"/>
      <c r="CR122" s="35" t="s">
        <v>4977</v>
      </c>
      <c r="CS122" s="34"/>
      <c r="CT122" s="34"/>
      <c r="CU122" s="35" t="s">
        <v>3663</v>
      </c>
      <c r="CV122" s="37"/>
      <c r="CW122" s="37"/>
      <c r="CX122" s="34"/>
      <c r="CY122" s="35" t="s">
        <v>3591</v>
      </c>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2">
        <v>56.0</v>
      </c>
      <c r="EA122" s="32">
        <v>7.0</v>
      </c>
      <c r="EB122" s="32">
        <v>35.0</v>
      </c>
      <c r="EC122" s="32">
        <v>11.0</v>
      </c>
      <c r="ED122" s="37"/>
      <c r="EE122" s="32">
        <v>10.0</v>
      </c>
      <c r="EF122" s="35" t="s">
        <v>9317</v>
      </c>
      <c r="EG122" s="32">
        <v>43.54</v>
      </c>
      <c r="EH122" s="60">
        <v>43389.0</v>
      </c>
      <c r="EI122" s="35" t="s">
        <v>3698</v>
      </c>
      <c r="EJ122" s="37"/>
      <c r="EK122" s="37"/>
      <c r="EL122" s="37"/>
      <c r="EM122" s="34"/>
      <c r="EN122" s="37"/>
      <c r="EO122" s="37"/>
      <c r="EP122" s="37"/>
      <c r="EQ122" s="37"/>
      <c r="ER122" s="35" t="s">
        <v>8495</v>
      </c>
      <c r="ES122" s="34"/>
      <c r="ET122" s="35" t="s">
        <v>47</v>
      </c>
      <c r="EU122" s="32">
        <v>12.0</v>
      </c>
      <c r="EV122" s="40" t="s">
        <v>3559</v>
      </c>
    </row>
    <row r="123">
      <c r="B123" s="42" t="s">
        <v>2428</v>
      </c>
      <c r="C123" s="45"/>
      <c r="D123" s="43"/>
      <c r="E123" s="42" t="s">
        <v>4560</v>
      </c>
      <c r="F123" s="42" t="s">
        <v>4561</v>
      </c>
      <c r="G123" s="42" t="s">
        <v>66</v>
      </c>
      <c r="H123" s="42" t="s">
        <v>3612</v>
      </c>
      <c r="I123" s="65">
        <v>45756.0</v>
      </c>
      <c r="J123" s="42" t="s">
        <v>6981</v>
      </c>
      <c r="K123" s="42" t="s">
        <v>3612</v>
      </c>
      <c r="L123" s="42" t="s">
        <v>6982</v>
      </c>
      <c r="M123" s="43"/>
      <c r="N123" s="43"/>
      <c r="O123" s="42" t="s">
        <v>6979</v>
      </c>
      <c r="P123" s="42" t="s">
        <v>6983</v>
      </c>
      <c r="Q123" s="45"/>
      <c r="R123" s="43"/>
      <c r="S123" s="45"/>
      <c r="T123" s="45"/>
      <c r="U123" s="43"/>
      <c r="V123" s="45"/>
      <c r="W123" s="45"/>
      <c r="X123" s="43"/>
      <c r="Y123" s="42" t="s">
        <v>6983</v>
      </c>
      <c r="Z123" s="42" t="s">
        <v>6980</v>
      </c>
      <c r="AA123" s="42" t="s">
        <v>6039</v>
      </c>
      <c r="AB123" s="41">
        <v>0.57</v>
      </c>
      <c r="AC123" s="42" t="s">
        <v>6041</v>
      </c>
      <c r="AD123" s="42" t="s">
        <v>3572</v>
      </c>
      <c r="AE123" s="42" t="s">
        <v>5147</v>
      </c>
      <c r="AF123" s="43"/>
      <c r="AG123" s="43"/>
      <c r="AH123" s="45"/>
      <c r="AI123" s="43"/>
      <c r="AJ123" s="43"/>
      <c r="AK123" s="43"/>
      <c r="AL123" s="41">
        <v>2015.0</v>
      </c>
      <c r="AM123" s="43"/>
      <c r="AN123" s="42" t="s">
        <v>6985</v>
      </c>
      <c r="AO123" s="42" t="s">
        <v>4312</v>
      </c>
      <c r="AP123" s="43"/>
      <c r="AQ123" s="43"/>
      <c r="AR123" s="43"/>
      <c r="AS123" s="45"/>
      <c r="AT123" s="45"/>
      <c r="AU123" s="45"/>
      <c r="AV123" s="45"/>
      <c r="AW123" s="45"/>
      <c r="AX123" s="45"/>
      <c r="AY123" s="45"/>
      <c r="AZ123" s="45"/>
      <c r="BA123" s="45"/>
      <c r="BB123" s="45"/>
      <c r="BC123" s="42" t="s">
        <v>6984</v>
      </c>
      <c r="BD123" s="64"/>
      <c r="BE123" s="42" t="s">
        <v>6986</v>
      </c>
      <c r="BF123" s="42" t="s">
        <v>6987</v>
      </c>
      <c r="BG123" s="43"/>
      <c r="BH123" s="42" t="s">
        <v>6988</v>
      </c>
      <c r="BI123" s="43"/>
      <c r="BJ123" s="45"/>
      <c r="BK123" s="42" t="s">
        <v>41</v>
      </c>
      <c r="BL123" s="45"/>
      <c r="BM123" s="45"/>
      <c r="BN123" s="43"/>
      <c r="BO123" s="42" t="s">
        <v>3584</v>
      </c>
      <c r="BP123" s="42" t="s">
        <v>3584</v>
      </c>
      <c r="BQ123" s="42" t="s">
        <v>6989</v>
      </c>
      <c r="BR123" s="43"/>
      <c r="BS123" s="45"/>
      <c r="BT123" s="43"/>
      <c r="BU123" s="43"/>
      <c r="BV123" s="43"/>
      <c r="BW123" s="43"/>
      <c r="BX123" s="43"/>
      <c r="BY123" s="43"/>
      <c r="BZ123" s="43"/>
      <c r="CA123" s="42" t="s">
        <v>6990</v>
      </c>
      <c r="CB123" s="65">
        <v>43983.0</v>
      </c>
      <c r="CC123" s="41">
        <v>0.57</v>
      </c>
      <c r="CD123" s="42" t="s">
        <v>3593</v>
      </c>
      <c r="CE123" s="45"/>
      <c r="CF123" s="43"/>
      <c r="CG123" s="42" t="s">
        <v>5462</v>
      </c>
      <c r="CH123" s="43"/>
      <c r="CI123" s="43"/>
      <c r="CJ123" s="42" t="s">
        <v>3803</v>
      </c>
      <c r="CK123" s="43"/>
      <c r="CL123" s="42" t="s">
        <v>3591</v>
      </c>
      <c r="CM123" s="65">
        <v>43983.0</v>
      </c>
      <c r="CN123" s="41">
        <v>0.57</v>
      </c>
      <c r="CO123" s="42" t="s">
        <v>3593</v>
      </c>
      <c r="CP123" s="45"/>
      <c r="CQ123" s="43"/>
      <c r="CR123" s="42" t="s">
        <v>5462</v>
      </c>
      <c r="CS123" s="43"/>
      <c r="CT123" s="43"/>
      <c r="CU123" s="42" t="s">
        <v>3803</v>
      </c>
      <c r="CV123" s="45"/>
      <c r="CW123" s="45"/>
      <c r="CX123" s="43"/>
      <c r="CY123" s="42" t="s">
        <v>3591</v>
      </c>
      <c r="CZ123" s="45"/>
      <c r="DA123" s="45"/>
      <c r="DB123" s="45"/>
      <c r="DC123" s="45"/>
      <c r="DD123" s="45"/>
      <c r="DE123" s="45"/>
      <c r="DF123" s="45"/>
      <c r="DG123" s="45"/>
      <c r="DH123" s="45"/>
      <c r="DI123" s="45"/>
      <c r="DJ123" s="45"/>
      <c r="DK123" s="45"/>
      <c r="DL123" s="45"/>
      <c r="DM123" s="45"/>
      <c r="DN123" s="45"/>
      <c r="DO123" s="45"/>
      <c r="DP123" s="45"/>
      <c r="DQ123" s="45"/>
      <c r="DR123" s="45"/>
      <c r="DS123" s="45"/>
      <c r="DT123" s="45"/>
      <c r="DU123" s="45"/>
      <c r="DV123" s="45"/>
      <c r="DW123" s="45"/>
      <c r="DX123" s="45"/>
      <c r="DY123" s="45"/>
      <c r="DZ123" s="41">
        <v>2.0</v>
      </c>
      <c r="EA123" s="41">
        <v>1.0</v>
      </c>
      <c r="EB123" s="45"/>
      <c r="EC123" s="41">
        <v>1.0</v>
      </c>
      <c r="ED123" s="45"/>
      <c r="EE123" s="41">
        <v>1.0</v>
      </c>
      <c r="EF123" s="42" t="s">
        <v>6993</v>
      </c>
      <c r="EG123" s="45"/>
      <c r="EH123" s="45"/>
      <c r="EI123" s="43"/>
      <c r="EJ123" s="45"/>
      <c r="EK123" s="45"/>
      <c r="EL123" s="45"/>
      <c r="EM123" s="43"/>
      <c r="EN123" s="45"/>
      <c r="EO123" s="45"/>
      <c r="EP123" s="45"/>
      <c r="EQ123" s="45"/>
      <c r="ER123" s="42" t="s">
        <v>3612</v>
      </c>
      <c r="ES123" s="43"/>
      <c r="ET123" s="42" t="s">
        <v>47</v>
      </c>
      <c r="EU123" s="41">
        <v>35.0</v>
      </c>
      <c r="EV123" s="48" t="s">
        <v>3559</v>
      </c>
    </row>
    <row r="124">
      <c r="B124" s="42" t="s">
        <v>7256</v>
      </c>
      <c r="C124" s="45"/>
      <c r="D124" s="43"/>
      <c r="E124" s="42" t="s">
        <v>4560</v>
      </c>
      <c r="F124" s="42" t="s">
        <v>6034</v>
      </c>
      <c r="G124" s="42" t="s">
        <v>6035</v>
      </c>
      <c r="H124" s="42" t="s">
        <v>3612</v>
      </c>
      <c r="I124" s="63">
        <v>45183.0</v>
      </c>
      <c r="J124" s="42" t="s">
        <v>7259</v>
      </c>
      <c r="K124" s="42" t="s">
        <v>7260</v>
      </c>
      <c r="L124" s="42" t="s">
        <v>7261</v>
      </c>
      <c r="M124" s="43"/>
      <c r="N124" s="43"/>
      <c r="O124" s="42" t="s">
        <v>7257</v>
      </c>
      <c r="P124" s="42" t="s">
        <v>7262</v>
      </c>
      <c r="Q124" s="42"/>
      <c r="R124" s="42"/>
      <c r="S124" s="42"/>
      <c r="T124" s="42"/>
      <c r="U124" s="42"/>
      <c r="V124" s="42"/>
      <c r="W124" s="42"/>
      <c r="X124" s="43"/>
      <c r="Y124" s="42" t="s">
        <v>7262</v>
      </c>
      <c r="Z124" s="42" t="s">
        <v>7258</v>
      </c>
      <c r="AA124" s="42" t="s">
        <v>5018</v>
      </c>
      <c r="AB124" s="41">
        <v>0.2</v>
      </c>
      <c r="AC124" s="42" t="s">
        <v>5222</v>
      </c>
      <c r="AD124" s="42" t="s">
        <v>5222</v>
      </c>
      <c r="AE124" s="42" t="s">
        <v>3573</v>
      </c>
      <c r="AF124" s="44" t="s">
        <v>7263</v>
      </c>
      <c r="AG124" s="43"/>
      <c r="AH124" s="45"/>
      <c r="AI124" s="43"/>
      <c r="AJ124" s="43"/>
      <c r="AK124" s="43"/>
      <c r="AL124" s="41">
        <v>2015.0</v>
      </c>
      <c r="AM124" s="43"/>
      <c r="AN124" s="43"/>
      <c r="AO124" s="43"/>
      <c r="AP124" s="43"/>
      <c r="AQ124" s="43"/>
      <c r="AR124" s="43"/>
      <c r="AS124" s="45"/>
      <c r="AT124" s="45"/>
      <c r="AU124" s="45"/>
      <c r="AV124" s="45"/>
      <c r="AW124" s="45"/>
      <c r="AX124" s="45"/>
      <c r="AY124" s="45"/>
      <c r="AZ124" s="45"/>
      <c r="BA124" s="45"/>
      <c r="BB124" s="45"/>
      <c r="BC124" s="43"/>
      <c r="BD124" s="64"/>
      <c r="BE124" s="42" t="s">
        <v>3581</v>
      </c>
      <c r="BF124" s="42" t="s">
        <v>7264</v>
      </c>
      <c r="BG124" s="43"/>
      <c r="BH124" s="42" t="s">
        <v>75</v>
      </c>
      <c r="BI124" s="43"/>
      <c r="BJ124" s="45"/>
      <c r="BK124" s="42" t="s">
        <v>41</v>
      </c>
      <c r="BL124" s="45"/>
      <c r="BM124" s="45"/>
      <c r="BN124" s="43"/>
      <c r="BO124" s="42" t="s">
        <v>3584</v>
      </c>
      <c r="BP124" s="42" t="s">
        <v>3584</v>
      </c>
      <c r="BQ124" s="42" t="s">
        <v>7265</v>
      </c>
      <c r="BR124" s="43"/>
      <c r="BS124" s="45"/>
      <c r="BT124" s="43"/>
      <c r="BU124" s="42" t="s">
        <v>7266</v>
      </c>
      <c r="BV124" s="43"/>
      <c r="BW124" s="43"/>
      <c r="BX124" s="42" t="s">
        <v>7267</v>
      </c>
      <c r="BY124" s="43"/>
      <c r="BZ124" s="43"/>
      <c r="CA124" s="43"/>
      <c r="CB124" s="63">
        <v>42632.0</v>
      </c>
      <c r="CC124" s="41">
        <v>0.2</v>
      </c>
      <c r="CD124" s="42" t="s">
        <v>3593</v>
      </c>
      <c r="CE124" s="45"/>
      <c r="CF124" s="43"/>
      <c r="CG124" s="42" t="s">
        <v>3669</v>
      </c>
      <c r="CH124" s="43"/>
      <c r="CI124" s="43"/>
      <c r="CJ124" s="42" t="s">
        <v>3573</v>
      </c>
      <c r="CK124" s="43"/>
      <c r="CL124" s="42" t="s">
        <v>3591</v>
      </c>
      <c r="CM124" s="63">
        <v>44298.0</v>
      </c>
      <c r="CN124" s="45"/>
      <c r="CO124" s="43"/>
      <c r="CP124" s="45"/>
      <c r="CQ124" s="43"/>
      <c r="CR124" s="42" t="s">
        <v>5222</v>
      </c>
      <c r="CS124" s="43"/>
      <c r="CT124" s="43"/>
      <c r="CU124" s="42" t="s">
        <v>5222</v>
      </c>
      <c r="CV124" s="45"/>
      <c r="CW124" s="45"/>
      <c r="CX124" s="43"/>
      <c r="CY124" s="42" t="s">
        <v>3591</v>
      </c>
      <c r="CZ124" s="45"/>
      <c r="DA124" s="45"/>
      <c r="DB124" s="45"/>
      <c r="DC124" s="45"/>
      <c r="DD124" s="45"/>
      <c r="DE124" s="45"/>
      <c r="DF124" s="45"/>
      <c r="DG124" s="45"/>
      <c r="DH124" s="45"/>
      <c r="DI124" s="45"/>
      <c r="DJ124" s="45"/>
      <c r="DK124" s="45"/>
      <c r="DL124" s="45"/>
      <c r="DM124" s="45"/>
      <c r="DN124" s="45"/>
      <c r="DO124" s="45"/>
      <c r="DP124" s="45"/>
      <c r="DQ124" s="45"/>
      <c r="DR124" s="45"/>
      <c r="DS124" s="45"/>
      <c r="DT124" s="45"/>
      <c r="DU124" s="45"/>
      <c r="DV124" s="45"/>
      <c r="DW124" s="45"/>
      <c r="DX124" s="45"/>
      <c r="DY124" s="45"/>
      <c r="DZ124" s="45"/>
      <c r="EA124" s="45"/>
      <c r="EB124" s="45"/>
      <c r="EC124" s="45"/>
      <c r="ED124" s="45"/>
      <c r="EE124" s="45"/>
      <c r="EF124" s="43"/>
      <c r="EG124" s="45"/>
      <c r="EH124" s="45"/>
      <c r="EI124" s="43"/>
      <c r="EJ124" s="45"/>
      <c r="EK124" s="45"/>
      <c r="EL124" s="45"/>
      <c r="EM124" s="43"/>
      <c r="EN124" s="45"/>
      <c r="EO124" s="45"/>
      <c r="EP124" s="45"/>
      <c r="EQ124" s="45"/>
      <c r="ER124" s="42" t="s">
        <v>3612</v>
      </c>
      <c r="ES124" s="43"/>
      <c r="ET124" s="42" t="s">
        <v>47</v>
      </c>
      <c r="EU124" s="41">
        <v>36.0</v>
      </c>
      <c r="EV124" s="48" t="s">
        <v>3559</v>
      </c>
    </row>
    <row r="125">
      <c r="B125" s="35" t="s">
        <v>9055</v>
      </c>
      <c r="C125" s="37"/>
      <c r="D125" s="34"/>
      <c r="E125" s="35" t="s">
        <v>3867</v>
      </c>
      <c r="F125" s="35" t="s">
        <v>3897</v>
      </c>
      <c r="G125" s="35" t="s">
        <v>3898</v>
      </c>
      <c r="H125" s="35" t="s">
        <v>3612</v>
      </c>
      <c r="I125" s="60">
        <v>45183.0</v>
      </c>
      <c r="J125" s="35" t="s">
        <v>6151</v>
      </c>
      <c r="K125" s="35" t="s">
        <v>9059</v>
      </c>
      <c r="L125" s="35" t="s">
        <v>9060</v>
      </c>
      <c r="M125" s="34"/>
      <c r="N125" s="34"/>
      <c r="O125" s="35" t="s">
        <v>9056</v>
      </c>
      <c r="P125" s="35" t="s">
        <v>9061</v>
      </c>
      <c r="Q125" s="35"/>
      <c r="R125" s="35"/>
      <c r="S125" s="35"/>
      <c r="T125" s="35"/>
      <c r="U125" s="35"/>
      <c r="V125" s="35"/>
      <c r="W125" s="35"/>
      <c r="X125" s="35" t="s">
        <v>9057</v>
      </c>
      <c r="Y125" s="35" t="s">
        <v>9061</v>
      </c>
      <c r="Z125" s="35" t="s">
        <v>9058</v>
      </c>
      <c r="AA125" s="35" t="s">
        <v>5018</v>
      </c>
      <c r="AB125" s="32">
        <v>2.0</v>
      </c>
      <c r="AC125" s="35" t="s">
        <v>3571</v>
      </c>
      <c r="AD125" s="35" t="s">
        <v>5020</v>
      </c>
      <c r="AE125" s="35" t="s">
        <v>3573</v>
      </c>
      <c r="AF125" s="36" t="s">
        <v>9062</v>
      </c>
      <c r="AG125" s="34"/>
      <c r="AH125" s="37"/>
      <c r="AI125" s="34"/>
      <c r="AJ125" s="34"/>
      <c r="AK125" s="34"/>
      <c r="AL125" s="32">
        <v>2015.0</v>
      </c>
      <c r="AM125" s="34"/>
      <c r="AN125" s="34"/>
      <c r="AO125" s="34"/>
      <c r="AP125" s="34"/>
      <c r="AQ125" s="34"/>
      <c r="AR125" s="34"/>
      <c r="AS125" s="37"/>
      <c r="AT125" s="37"/>
      <c r="AU125" s="37"/>
      <c r="AV125" s="37"/>
      <c r="AW125" s="37"/>
      <c r="AX125" s="37"/>
      <c r="AY125" s="37"/>
      <c r="AZ125" s="37"/>
      <c r="BA125" s="37"/>
      <c r="BB125" s="37"/>
      <c r="BC125" s="34"/>
      <c r="BD125" s="61"/>
      <c r="BE125" s="35" t="s">
        <v>3581</v>
      </c>
      <c r="BF125" s="35" t="s">
        <v>9063</v>
      </c>
      <c r="BG125" s="34"/>
      <c r="BH125" s="35" t="s">
        <v>75</v>
      </c>
      <c r="BI125" s="34"/>
      <c r="BJ125" s="37"/>
      <c r="BK125" s="35" t="s">
        <v>41</v>
      </c>
      <c r="BL125" s="37"/>
      <c r="BM125" s="37"/>
      <c r="BN125" s="34"/>
      <c r="BO125" s="35" t="s">
        <v>3584</v>
      </c>
      <c r="BP125" s="35" t="s">
        <v>3584</v>
      </c>
      <c r="BQ125" s="35" t="s">
        <v>9064</v>
      </c>
      <c r="BR125" s="34"/>
      <c r="BS125" s="37"/>
      <c r="BT125" s="35" t="s">
        <v>9065</v>
      </c>
      <c r="BU125" s="35" t="s">
        <v>9066</v>
      </c>
      <c r="BV125" s="34"/>
      <c r="BW125" s="34"/>
      <c r="BX125" s="35" t="s">
        <v>9067</v>
      </c>
      <c r="BY125" s="34"/>
      <c r="BZ125" s="34"/>
      <c r="CA125" s="34"/>
      <c r="CB125" s="37"/>
      <c r="CC125" s="32">
        <v>2.0</v>
      </c>
      <c r="CD125" s="35" t="s">
        <v>3593</v>
      </c>
      <c r="CE125" s="37"/>
      <c r="CF125" s="34"/>
      <c r="CG125" s="35" t="s">
        <v>3698</v>
      </c>
      <c r="CH125" s="35" t="s">
        <v>3698</v>
      </c>
      <c r="CI125" s="34"/>
      <c r="CJ125" s="35" t="s">
        <v>3573</v>
      </c>
      <c r="CK125" s="34"/>
      <c r="CL125" s="35" t="s">
        <v>3591</v>
      </c>
      <c r="CM125" s="62">
        <v>42956.0</v>
      </c>
      <c r="CN125" s="37"/>
      <c r="CO125" s="34"/>
      <c r="CP125" s="37"/>
      <c r="CQ125" s="34"/>
      <c r="CR125" s="35" t="s">
        <v>4977</v>
      </c>
      <c r="CS125" s="34"/>
      <c r="CT125" s="34"/>
      <c r="CU125" s="35" t="s">
        <v>3663</v>
      </c>
      <c r="CV125" s="37"/>
      <c r="CW125" s="37"/>
      <c r="CX125" s="34"/>
      <c r="CY125" s="35" t="s">
        <v>3591</v>
      </c>
      <c r="CZ125" s="37"/>
      <c r="DA125" s="37"/>
      <c r="DB125" s="37"/>
      <c r="DC125" s="37"/>
      <c r="DD125" s="37"/>
      <c r="DE125" s="37"/>
      <c r="DF125" s="37"/>
      <c r="DG125" s="37"/>
      <c r="DH125" s="37"/>
      <c r="DI125" s="37"/>
      <c r="DJ125" s="37"/>
      <c r="DK125" s="37"/>
      <c r="DL125" s="37"/>
      <c r="DM125" s="37"/>
      <c r="DN125" s="37"/>
      <c r="DO125" s="37"/>
      <c r="DP125" s="37"/>
      <c r="DQ125" s="37"/>
      <c r="DR125" s="37"/>
      <c r="DS125" s="37"/>
      <c r="DT125" s="37"/>
      <c r="DU125" s="37"/>
      <c r="DV125" s="37"/>
      <c r="DW125" s="37"/>
      <c r="DX125" s="37"/>
      <c r="DY125" s="37"/>
      <c r="DZ125" s="32">
        <v>1.0</v>
      </c>
      <c r="EA125" s="32">
        <v>1.0</v>
      </c>
      <c r="EB125" s="32">
        <v>1.0</v>
      </c>
      <c r="EC125" s="37"/>
      <c r="ED125" s="37"/>
      <c r="EE125" s="37"/>
      <c r="EF125" s="35" t="s">
        <v>4954</v>
      </c>
      <c r="EG125" s="37"/>
      <c r="EH125" s="37"/>
      <c r="EI125" s="34"/>
      <c r="EJ125" s="37"/>
      <c r="EK125" s="37"/>
      <c r="EL125" s="37"/>
      <c r="EM125" s="34"/>
      <c r="EN125" s="37"/>
      <c r="EO125" s="37"/>
      <c r="EP125" s="37"/>
      <c r="EQ125" s="37"/>
      <c r="ER125" s="35" t="s">
        <v>3612</v>
      </c>
      <c r="ES125" s="34"/>
      <c r="ET125" s="35" t="s">
        <v>47</v>
      </c>
      <c r="EU125" s="32">
        <v>30.0</v>
      </c>
      <c r="EV125" s="40" t="s">
        <v>3559</v>
      </c>
    </row>
    <row r="126">
      <c r="B126" s="35" t="s">
        <v>5310</v>
      </c>
      <c r="C126" s="37"/>
      <c r="D126" s="34"/>
      <c r="E126" s="35" t="s">
        <v>3867</v>
      </c>
      <c r="F126" s="35" t="s">
        <v>3868</v>
      </c>
      <c r="G126" s="35" t="s">
        <v>3869</v>
      </c>
      <c r="H126" s="35" t="s">
        <v>3612</v>
      </c>
      <c r="I126" s="60">
        <v>45183.0</v>
      </c>
      <c r="J126" s="35" t="s">
        <v>5313</v>
      </c>
      <c r="K126" s="35" t="s">
        <v>3612</v>
      </c>
      <c r="L126" s="35" t="s">
        <v>5314</v>
      </c>
      <c r="M126" s="34"/>
      <c r="N126" s="35" t="s">
        <v>9969</v>
      </c>
      <c r="O126" s="35" t="s">
        <v>5311</v>
      </c>
      <c r="P126" s="35" t="s">
        <v>5315</v>
      </c>
      <c r="Q126" s="35"/>
      <c r="R126" s="35"/>
      <c r="S126" s="35"/>
      <c r="T126" s="35"/>
      <c r="U126" s="35"/>
      <c r="V126" s="35"/>
      <c r="W126" s="35"/>
      <c r="X126" s="34"/>
      <c r="Y126" s="35" t="s">
        <v>5315</v>
      </c>
      <c r="Z126" s="35" t="s">
        <v>5312</v>
      </c>
      <c r="AA126" s="35" t="s">
        <v>5018</v>
      </c>
      <c r="AB126" s="32">
        <v>1.52</v>
      </c>
      <c r="AC126" s="35" t="s">
        <v>5222</v>
      </c>
      <c r="AD126" s="35" t="s">
        <v>5222</v>
      </c>
      <c r="AE126" s="35" t="s">
        <v>3573</v>
      </c>
      <c r="AF126" s="36" t="s">
        <v>5316</v>
      </c>
      <c r="AG126" s="34"/>
      <c r="AH126" s="37"/>
      <c r="AI126" s="34"/>
      <c r="AJ126" s="34"/>
      <c r="AK126" s="34"/>
      <c r="AL126" s="32">
        <v>2015.0</v>
      </c>
      <c r="AM126" s="34"/>
      <c r="AN126" s="34"/>
      <c r="AO126" s="34"/>
      <c r="AP126" s="34"/>
      <c r="AQ126" s="34"/>
      <c r="AR126" s="34"/>
      <c r="AS126" s="37"/>
      <c r="AT126" s="37"/>
      <c r="AU126" s="37"/>
      <c r="AV126" s="37"/>
      <c r="AW126" s="37"/>
      <c r="AX126" s="37"/>
      <c r="AY126" s="37"/>
      <c r="AZ126" s="37"/>
      <c r="BA126" s="37"/>
      <c r="BB126" s="37"/>
      <c r="BC126" s="34"/>
      <c r="BD126" s="61"/>
      <c r="BE126" s="35" t="s">
        <v>3581</v>
      </c>
      <c r="BF126" s="35" t="s">
        <v>5317</v>
      </c>
      <c r="BG126" s="34"/>
      <c r="BH126" s="35" t="s">
        <v>75</v>
      </c>
      <c r="BI126" s="34"/>
      <c r="BJ126" s="37"/>
      <c r="BK126" s="35" t="s">
        <v>41</v>
      </c>
      <c r="BL126" s="37"/>
      <c r="BM126" s="37"/>
      <c r="BN126" s="34"/>
      <c r="BO126" s="35" t="s">
        <v>3584</v>
      </c>
      <c r="BP126" s="35" t="s">
        <v>3584</v>
      </c>
      <c r="BQ126" s="35" t="s">
        <v>5318</v>
      </c>
      <c r="BR126" s="34"/>
      <c r="BS126" s="37"/>
      <c r="BT126" s="34"/>
      <c r="BU126" s="34"/>
      <c r="BV126" s="34"/>
      <c r="BW126" s="34"/>
      <c r="BX126" s="34"/>
      <c r="BY126" s="34"/>
      <c r="BZ126" s="34"/>
      <c r="CA126" s="34"/>
      <c r="CB126" s="62">
        <v>42826.0</v>
      </c>
      <c r="CC126" s="32">
        <v>0.35</v>
      </c>
      <c r="CD126" s="35" t="s">
        <v>3593</v>
      </c>
      <c r="CE126" s="37"/>
      <c r="CF126" s="34"/>
      <c r="CG126" s="35" t="s">
        <v>5320</v>
      </c>
      <c r="CH126" s="34"/>
      <c r="CI126" s="34"/>
      <c r="CJ126" s="35" t="s">
        <v>3803</v>
      </c>
      <c r="CK126" s="34"/>
      <c r="CL126" s="35" t="s">
        <v>3591</v>
      </c>
      <c r="CM126" s="62">
        <v>43282.0</v>
      </c>
      <c r="CN126" s="37"/>
      <c r="CO126" s="34"/>
      <c r="CP126" s="37"/>
      <c r="CQ126" s="34"/>
      <c r="CR126" s="35" t="s">
        <v>5222</v>
      </c>
      <c r="CS126" s="34"/>
      <c r="CT126" s="34"/>
      <c r="CU126" s="35" t="s">
        <v>5222</v>
      </c>
      <c r="CV126" s="37"/>
      <c r="CW126" s="37"/>
      <c r="CX126" s="34"/>
      <c r="CY126" s="35" t="s">
        <v>3591</v>
      </c>
      <c r="CZ126" s="37"/>
      <c r="DA126" s="37"/>
      <c r="DB126" s="37"/>
      <c r="DC126" s="37"/>
      <c r="DD126" s="37"/>
      <c r="DE126" s="37"/>
      <c r="DF126" s="37"/>
      <c r="DG126" s="37"/>
      <c r="DH126" s="37"/>
      <c r="DI126" s="37"/>
      <c r="DJ126" s="37"/>
      <c r="DK126" s="37"/>
      <c r="DL126" s="37"/>
      <c r="DM126" s="37"/>
      <c r="DN126" s="37"/>
      <c r="DO126" s="37"/>
      <c r="DP126" s="37"/>
      <c r="DQ126" s="37"/>
      <c r="DR126" s="37"/>
      <c r="DS126" s="37"/>
      <c r="DT126" s="37"/>
      <c r="DU126" s="37"/>
      <c r="DV126" s="37"/>
      <c r="DW126" s="37"/>
      <c r="DX126" s="37"/>
      <c r="DY126" s="37"/>
      <c r="DZ126" s="37"/>
      <c r="EA126" s="37"/>
      <c r="EB126" s="37"/>
      <c r="EC126" s="37"/>
      <c r="ED126" s="37"/>
      <c r="EE126" s="37"/>
      <c r="EF126" s="34"/>
      <c r="EG126" s="37"/>
      <c r="EH126" s="37"/>
      <c r="EI126" s="34"/>
      <c r="EJ126" s="37"/>
      <c r="EK126" s="37"/>
      <c r="EL126" s="37"/>
      <c r="EM126" s="34"/>
      <c r="EN126" s="37"/>
      <c r="EO126" s="37"/>
      <c r="EP126" s="37"/>
      <c r="EQ126" s="37"/>
      <c r="ER126" s="35" t="s">
        <v>3612</v>
      </c>
      <c r="ES126" s="34"/>
      <c r="ET126" s="35" t="s">
        <v>47</v>
      </c>
      <c r="EU126" s="32">
        <v>32.0</v>
      </c>
      <c r="EV126" s="40" t="s">
        <v>3559</v>
      </c>
    </row>
    <row r="127">
      <c r="B127" s="33" t="s">
        <v>7336</v>
      </c>
      <c r="C127" s="37"/>
      <c r="D127" s="34"/>
      <c r="E127" s="35" t="s">
        <v>3867</v>
      </c>
      <c r="F127" s="35" t="s">
        <v>3897</v>
      </c>
      <c r="G127" s="35" t="s">
        <v>4689</v>
      </c>
      <c r="H127" s="35" t="s">
        <v>3612</v>
      </c>
      <c r="I127" s="60">
        <v>45183.0</v>
      </c>
      <c r="J127" s="35" t="s">
        <v>7339</v>
      </c>
      <c r="K127" s="35" t="s">
        <v>3612</v>
      </c>
      <c r="L127" s="35" t="s">
        <v>7340</v>
      </c>
      <c r="M127" s="34"/>
      <c r="N127" s="34"/>
      <c r="O127" s="35" t="s">
        <v>7337</v>
      </c>
      <c r="P127" s="35" t="s">
        <v>7341</v>
      </c>
      <c r="Q127" s="35"/>
      <c r="R127" s="35"/>
      <c r="S127" s="35"/>
      <c r="T127" s="35"/>
      <c r="U127" s="35"/>
      <c r="V127" s="35"/>
      <c r="W127" s="35"/>
      <c r="X127" s="34"/>
      <c r="Y127" s="35" t="s">
        <v>7341</v>
      </c>
      <c r="Z127" s="35" t="s">
        <v>7338</v>
      </c>
      <c r="AA127" s="35" t="s">
        <v>5481</v>
      </c>
      <c r="AB127" s="37"/>
      <c r="AC127" s="35" t="s">
        <v>5222</v>
      </c>
      <c r="AD127" s="35" t="s">
        <v>5222</v>
      </c>
      <c r="AE127" s="35" t="s">
        <v>5147</v>
      </c>
      <c r="AF127" s="36" t="s">
        <v>7342</v>
      </c>
      <c r="AG127" s="34"/>
      <c r="AH127" s="37"/>
      <c r="AI127" s="34"/>
      <c r="AJ127" s="34"/>
      <c r="AK127" s="34"/>
      <c r="AL127" s="32">
        <v>2015.0</v>
      </c>
      <c r="AM127" s="34"/>
      <c r="AN127" s="34"/>
      <c r="AO127" s="34"/>
      <c r="AP127" s="34"/>
      <c r="AQ127" s="34"/>
      <c r="AR127" s="34"/>
      <c r="AS127" s="37"/>
      <c r="AT127" s="37"/>
      <c r="AU127" s="37"/>
      <c r="AV127" s="37"/>
      <c r="AW127" s="37"/>
      <c r="AX127" s="37"/>
      <c r="AY127" s="37"/>
      <c r="AZ127" s="37"/>
      <c r="BA127" s="37"/>
      <c r="BB127" s="37"/>
      <c r="BC127" s="34"/>
      <c r="BD127" s="61"/>
      <c r="BE127" s="35" t="s">
        <v>3581</v>
      </c>
      <c r="BF127" s="34"/>
      <c r="BG127" s="34"/>
      <c r="BH127" s="35" t="s">
        <v>75</v>
      </c>
      <c r="BI127" s="34"/>
      <c r="BJ127" s="37"/>
      <c r="BK127" s="35" t="s">
        <v>41</v>
      </c>
      <c r="BL127" s="37"/>
      <c r="BM127" s="37"/>
      <c r="BN127" s="34"/>
      <c r="BO127" s="35" t="s">
        <v>3584</v>
      </c>
      <c r="BP127" s="35" t="s">
        <v>3584</v>
      </c>
      <c r="BQ127" s="35" t="s">
        <v>7343</v>
      </c>
      <c r="BR127" s="34"/>
      <c r="BS127" s="37"/>
      <c r="BT127" s="34"/>
      <c r="BU127" s="35" t="s">
        <v>7344</v>
      </c>
      <c r="BV127" s="34"/>
      <c r="BW127" s="34"/>
      <c r="BX127" s="35" t="s">
        <v>7345</v>
      </c>
      <c r="BY127" s="34"/>
      <c r="BZ127" s="34"/>
      <c r="CA127" s="34"/>
      <c r="CB127" s="37"/>
      <c r="CC127" s="37"/>
      <c r="CD127" s="34"/>
      <c r="CE127" s="37"/>
      <c r="CF127" s="34"/>
      <c r="CG127" s="35" t="s">
        <v>3589</v>
      </c>
      <c r="CH127" s="34"/>
      <c r="CI127" s="34"/>
      <c r="CJ127" s="35" t="s">
        <v>3590</v>
      </c>
      <c r="CK127" s="34"/>
      <c r="CL127" s="35" t="s">
        <v>3591</v>
      </c>
      <c r="CM127" s="62">
        <v>42461.0</v>
      </c>
      <c r="CN127" s="37"/>
      <c r="CO127" s="34"/>
      <c r="CP127" s="37"/>
      <c r="CQ127" s="34"/>
      <c r="CR127" s="35" t="s">
        <v>5222</v>
      </c>
      <c r="CS127" s="34"/>
      <c r="CT127" s="34"/>
      <c r="CU127" s="35" t="s">
        <v>5222</v>
      </c>
      <c r="CV127" s="37"/>
      <c r="CW127" s="37"/>
      <c r="CX127" s="34"/>
      <c r="CY127" s="35" t="s">
        <v>3591</v>
      </c>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4"/>
      <c r="EG127" s="37"/>
      <c r="EH127" s="37"/>
      <c r="EI127" s="34"/>
      <c r="EJ127" s="37"/>
      <c r="EK127" s="37"/>
      <c r="EL127" s="37"/>
      <c r="EM127" s="34"/>
      <c r="EN127" s="37"/>
      <c r="EO127" s="37"/>
      <c r="EP127" s="37"/>
      <c r="EQ127" s="37"/>
      <c r="ER127" s="35" t="s">
        <v>3612</v>
      </c>
      <c r="ES127" s="34"/>
      <c r="ET127" s="34"/>
      <c r="EU127" s="37"/>
      <c r="EV127" s="40" t="s">
        <v>3559</v>
      </c>
    </row>
    <row r="128">
      <c r="B128" s="35" t="s">
        <v>5679</v>
      </c>
      <c r="C128" s="32">
        <v>6.0</v>
      </c>
      <c r="D128" s="35" t="s">
        <v>9970</v>
      </c>
      <c r="E128" s="35" t="s">
        <v>3563</v>
      </c>
      <c r="F128" s="35" t="s">
        <v>3609</v>
      </c>
      <c r="G128" s="35" t="s">
        <v>3610</v>
      </c>
      <c r="H128" s="35" t="s">
        <v>3612</v>
      </c>
      <c r="I128" s="60">
        <v>45498.0</v>
      </c>
      <c r="J128" s="35" t="s">
        <v>5683</v>
      </c>
      <c r="K128" s="35" t="s">
        <v>5684</v>
      </c>
      <c r="L128" s="35" t="s">
        <v>5685</v>
      </c>
      <c r="M128" s="34"/>
      <c r="N128" s="34"/>
      <c r="O128" s="35" t="s">
        <v>5680</v>
      </c>
      <c r="P128" s="35" t="s">
        <v>5686</v>
      </c>
      <c r="Q128" s="35"/>
      <c r="R128" s="35"/>
      <c r="S128" s="35"/>
      <c r="T128" s="35"/>
      <c r="U128" s="35"/>
      <c r="V128" s="35"/>
      <c r="W128" s="35"/>
      <c r="X128" s="35" t="s">
        <v>5681</v>
      </c>
      <c r="Y128" s="35" t="s">
        <v>5686</v>
      </c>
      <c r="Z128" s="35" t="s">
        <v>5682</v>
      </c>
      <c r="AA128" s="35" t="s">
        <v>5018</v>
      </c>
      <c r="AB128" s="32">
        <v>3.96</v>
      </c>
      <c r="AC128" s="35" t="s">
        <v>3571</v>
      </c>
      <c r="AD128" s="35" t="s">
        <v>5020</v>
      </c>
      <c r="AE128" s="35" t="s">
        <v>3573</v>
      </c>
      <c r="AF128" s="36" t="s">
        <v>5687</v>
      </c>
      <c r="AG128" s="34"/>
      <c r="AH128" s="32">
        <v>6.0</v>
      </c>
      <c r="AI128" s="35" t="s">
        <v>9970</v>
      </c>
      <c r="AJ128" s="34"/>
      <c r="AK128" s="34"/>
      <c r="AL128" s="32">
        <v>2016.0</v>
      </c>
      <c r="AM128" s="34"/>
      <c r="AN128" s="34"/>
      <c r="AO128" s="34"/>
      <c r="AP128" s="34"/>
      <c r="AQ128" s="34"/>
      <c r="AR128" s="34"/>
      <c r="AS128" s="32">
        <v>6.0</v>
      </c>
      <c r="AT128" s="37"/>
      <c r="AU128" s="37"/>
      <c r="AV128" s="37"/>
      <c r="AW128" s="37"/>
      <c r="AX128" s="37"/>
      <c r="AY128" s="37"/>
      <c r="AZ128" s="37"/>
      <c r="BA128" s="39">
        <v>3.0</v>
      </c>
      <c r="BB128" s="32" t="s">
        <v>4859</v>
      </c>
      <c r="BC128" s="34"/>
      <c r="BD128" s="61"/>
      <c r="BE128" s="35" t="s">
        <v>5689</v>
      </c>
      <c r="BF128" s="35" t="s">
        <v>5690</v>
      </c>
      <c r="BG128" s="34"/>
      <c r="BH128" s="35" t="s">
        <v>298</v>
      </c>
      <c r="BI128" s="34"/>
      <c r="BJ128" s="32">
        <v>4220669.0</v>
      </c>
      <c r="BK128" s="35" t="s">
        <v>41</v>
      </c>
      <c r="BL128" s="37"/>
      <c r="BM128" s="37"/>
      <c r="BN128" s="34"/>
      <c r="BO128" s="35" t="s">
        <v>3584</v>
      </c>
      <c r="BP128" s="35" t="s">
        <v>3584</v>
      </c>
      <c r="BQ128" s="35" t="s">
        <v>5691</v>
      </c>
      <c r="BR128" s="34"/>
      <c r="BS128" s="37"/>
      <c r="BT128" s="35" t="s">
        <v>5692</v>
      </c>
      <c r="BU128" s="35" t="s">
        <v>5693</v>
      </c>
      <c r="BV128" s="34"/>
      <c r="BW128" s="34"/>
      <c r="BX128" s="35" t="s">
        <v>5694</v>
      </c>
      <c r="BY128" s="34"/>
      <c r="BZ128" s="34"/>
      <c r="CA128" s="34"/>
      <c r="CB128" s="37"/>
      <c r="CC128" s="37"/>
      <c r="CD128" s="34"/>
      <c r="CE128" s="37"/>
      <c r="CF128" s="34"/>
      <c r="CG128" s="35" t="s">
        <v>3589</v>
      </c>
      <c r="CH128" s="34"/>
      <c r="CI128" s="34"/>
      <c r="CJ128" s="35" t="s">
        <v>3590</v>
      </c>
      <c r="CK128" s="34"/>
      <c r="CL128" s="35" t="s">
        <v>3591</v>
      </c>
      <c r="CM128" s="62">
        <v>44810.0</v>
      </c>
      <c r="CN128" s="37"/>
      <c r="CO128" s="34"/>
      <c r="CP128" s="37"/>
      <c r="CQ128" s="34"/>
      <c r="CR128" s="35" t="s">
        <v>4977</v>
      </c>
      <c r="CS128" s="34"/>
      <c r="CT128" s="34"/>
      <c r="CU128" s="35" t="s">
        <v>3663</v>
      </c>
      <c r="CV128" s="37"/>
      <c r="CW128" s="37"/>
      <c r="CX128" s="34"/>
      <c r="CY128" s="35" t="s">
        <v>3591</v>
      </c>
      <c r="CZ128" s="37"/>
      <c r="DA128" s="37"/>
      <c r="DB128" s="37"/>
      <c r="DC128" s="37"/>
      <c r="DD128" s="37"/>
      <c r="DE128" s="37"/>
      <c r="DF128" s="37"/>
      <c r="DG128" s="37"/>
      <c r="DH128" s="37"/>
      <c r="DI128" s="37"/>
      <c r="DJ128" s="37"/>
      <c r="DK128" s="37"/>
      <c r="DL128" s="37"/>
      <c r="DM128" s="37"/>
      <c r="DN128" s="37"/>
      <c r="DO128" s="37"/>
      <c r="DP128" s="37"/>
      <c r="DQ128" s="37"/>
      <c r="DR128" s="37"/>
      <c r="DS128" s="37"/>
      <c r="DT128" s="37"/>
      <c r="DU128" s="37"/>
      <c r="DV128" s="37"/>
      <c r="DW128" s="37"/>
      <c r="DX128" s="37"/>
      <c r="DY128" s="37"/>
      <c r="DZ128" s="32">
        <v>1.0</v>
      </c>
      <c r="EA128" s="32">
        <v>1.0</v>
      </c>
      <c r="EB128" s="37"/>
      <c r="EC128" s="37"/>
      <c r="ED128" s="37"/>
      <c r="EE128" s="32">
        <v>1.0</v>
      </c>
      <c r="EF128" s="34"/>
      <c r="EG128" s="37"/>
      <c r="EH128" s="37"/>
      <c r="EI128" s="34"/>
      <c r="EJ128" s="37"/>
      <c r="EK128" s="37"/>
      <c r="EL128" s="37"/>
      <c r="EM128" s="34"/>
      <c r="EN128" s="37"/>
      <c r="EO128" s="37"/>
      <c r="EP128" s="37"/>
      <c r="EQ128" s="37"/>
      <c r="ER128" s="35" t="s">
        <v>3612</v>
      </c>
      <c r="ES128" s="34"/>
      <c r="ET128" s="35" t="s">
        <v>47</v>
      </c>
      <c r="EU128" s="32">
        <v>25.0</v>
      </c>
      <c r="EV128" s="40" t="s">
        <v>3559</v>
      </c>
    </row>
    <row r="129">
      <c r="B129" s="42" t="s">
        <v>1437</v>
      </c>
      <c r="C129" s="41">
        <v>80.0</v>
      </c>
      <c r="D129" s="42" t="s">
        <v>9971</v>
      </c>
      <c r="E129" s="42" t="s">
        <v>4560</v>
      </c>
      <c r="F129" s="42" t="s">
        <v>4561</v>
      </c>
      <c r="G129" s="42" t="s">
        <v>66</v>
      </c>
      <c r="H129" s="42" t="s">
        <v>3612</v>
      </c>
      <c r="I129" s="65">
        <v>45966.0</v>
      </c>
      <c r="J129" s="42" t="s">
        <v>7029</v>
      </c>
      <c r="K129" s="42" t="s">
        <v>7030</v>
      </c>
      <c r="L129" s="42" t="s">
        <v>7031</v>
      </c>
      <c r="M129" s="43"/>
      <c r="N129" s="43"/>
      <c r="O129" s="42" t="s">
        <v>7026</v>
      </c>
      <c r="P129" s="42" t="s">
        <v>7032</v>
      </c>
      <c r="Q129" s="45"/>
      <c r="R129" s="43"/>
      <c r="S129" s="45"/>
      <c r="T129" s="45"/>
      <c r="U129" s="43"/>
      <c r="V129" s="45"/>
      <c r="W129" s="45"/>
      <c r="X129" s="42" t="s">
        <v>7027</v>
      </c>
      <c r="Y129" s="42" t="s">
        <v>7032</v>
      </c>
      <c r="Z129" s="42" t="s">
        <v>7028</v>
      </c>
      <c r="AA129" s="42" t="s">
        <v>5018</v>
      </c>
      <c r="AB129" s="41">
        <v>60.0</v>
      </c>
      <c r="AC129" s="42" t="s">
        <v>5222</v>
      </c>
      <c r="AD129" s="42" t="s">
        <v>5222</v>
      </c>
      <c r="AE129" s="42" t="s">
        <v>3573</v>
      </c>
      <c r="AF129" s="44" t="s">
        <v>7033</v>
      </c>
      <c r="AG129" s="43"/>
      <c r="AH129" s="41">
        <v>80.0</v>
      </c>
      <c r="AI129" s="42" t="s">
        <v>9971</v>
      </c>
      <c r="AJ129" s="43"/>
      <c r="AK129" s="43"/>
      <c r="AL129" s="41">
        <v>2016.0</v>
      </c>
      <c r="AM129" s="43"/>
      <c r="AN129" s="43"/>
      <c r="AO129" s="43"/>
      <c r="AP129" s="43"/>
      <c r="AQ129" s="43"/>
      <c r="AR129" s="43"/>
      <c r="AS129" s="45"/>
      <c r="AT129" s="45"/>
      <c r="AU129" s="45"/>
      <c r="AV129" s="45"/>
      <c r="AW129" s="45"/>
      <c r="AX129" s="45"/>
      <c r="AY129" s="45"/>
      <c r="AZ129" s="45"/>
      <c r="BA129" s="45"/>
      <c r="BB129" s="45"/>
      <c r="BC129" s="43"/>
      <c r="BD129" s="64"/>
      <c r="BE129" s="42" t="s">
        <v>5917</v>
      </c>
      <c r="BF129" s="42" t="s">
        <v>7035</v>
      </c>
      <c r="BG129" s="42" t="s">
        <v>7036</v>
      </c>
      <c r="BH129" s="42" t="s">
        <v>1442</v>
      </c>
      <c r="BI129" s="43"/>
      <c r="BJ129" s="41">
        <v>7210202.0</v>
      </c>
      <c r="BK129" s="42" t="s">
        <v>41</v>
      </c>
      <c r="BL129" s="45"/>
      <c r="BM129" s="45"/>
      <c r="BN129" s="43"/>
      <c r="BO129" s="42" t="s">
        <v>3584</v>
      </c>
      <c r="BP129" s="42" t="s">
        <v>3584</v>
      </c>
      <c r="BQ129" s="42" t="s">
        <v>7037</v>
      </c>
      <c r="BR129" s="43"/>
      <c r="BS129" s="45"/>
      <c r="BT129" s="43"/>
      <c r="BU129" s="42" t="s">
        <v>7038</v>
      </c>
      <c r="BV129" s="43"/>
      <c r="BW129" s="43"/>
      <c r="BX129" s="42" t="s">
        <v>7039</v>
      </c>
      <c r="BY129" s="43"/>
      <c r="BZ129" s="43"/>
      <c r="CA129" s="43"/>
      <c r="CB129" s="63">
        <v>42776.0</v>
      </c>
      <c r="CC129" s="45"/>
      <c r="CD129" s="43"/>
      <c r="CE129" s="45"/>
      <c r="CF129" s="43"/>
      <c r="CG129" s="42" t="s">
        <v>3589</v>
      </c>
      <c r="CH129" s="43"/>
      <c r="CI129" s="43"/>
      <c r="CJ129" s="42" t="s">
        <v>3590</v>
      </c>
      <c r="CK129" s="43"/>
      <c r="CL129" s="42" t="s">
        <v>3591</v>
      </c>
      <c r="CM129" s="70">
        <v>45805.0</v>
      </c>
      <c r="CN129" s="45"/>
      <c r="CO129" s="43"/>
      <c r="CP129" s="45"/>
      <c r="CQ129" s="43"/>
      <c r="CR129" s="42" t="s">
        <v>5222</v>
      </c>
      <c r="CS129" s="43"/>
      <c r="CT129" s="43"/>
      <c r="CU129" s="42" t="s">
        <v>5222</v>
      </c>
      <c r="CV129" s="45"/>
      <c r="CW129" s="45"/>
      <c r="CX129" s="43"/>
      <c r="CY129" s="42" t="s">
        <v>3591</v>
      </c>
      <c r="CZ129" s="45"/>
      <c r="DA129" s="45"/>
      <c r="DB129" s="45"/>
      <c r="DC129" s="45"/>
      <c r="DD129" s="45"/>
      <c r="DE129" s="45"/>
      <c r="DF129" s="45"/>
      <c r="DG129" s="45"/>
      <c r="DH129" s="45"/>
      <c r="DI129" s="45"/>
      <c r="DJ129" s="45"/>
      <c r="DK129" s="45"/>
      <c r="DL129" s="45"/>
      <c r="DM129" s="45"/>
      <c r="DN129" s="45"/>
      <c r="DO129" s="45"/>
      <c r="DP129" s="45"/>
      <c r="DQ129" s="45"/>
      <c r="DR129" s="45"/>
      <c r="DS129" s="45"/>
      <c r="DT129" s="45"/>
      <c r="DU129" s="45"/>
      <c r="DV129" s="45"/>
      <c r="DW129" s="45"/>
      <c r="DX129" s="45"/>
      <c r="DY129" s="45"/>
      <c r="DZ129" s="41">
        <v>41.0</v>
      </c>
      <c r="EA129" s="41">
        <v>3.0</v>
      </c>
      <c r="EB129" s="41">
        <v>33.0</v>
      </c>
      <c r="EC129" s="41">
        <v>2.0</v>
      </c>
      <c r="ED129" s="45"/>
      <c r="EE129" s="41">
        <v>6.0</v>
      </c>
      <c r="EF129" s="42" t="s">
        <v>4160</v>
      </c>
      <c r="EG129" s="41">
        <v>96.51</v>
      </c>
      <c r="EH129" s="65">
        <v>43620.0</v>
      </c>
      <c r="EI129" s="42" t="s">
        <v>3669</v>
      </c>
      <c r="EJ129" s="45"/>
      <c r="EK129" s="45"/>
      <c r="EL129" s="45"/>
      <c r="EM129" s="43"/>
      <c r="EN129" s="45"/>
      <c r="EO129" s="45"/>
      <c r="EP129" s="45"/>
      <c r="EQ129" s="41">
        <v>7.83</v>
      </c>
      <c r="ER129" s="42" t="s">
        <v>3612</v>
      </c>
      <c r="ES129" s="43"/>
      <c r="ET129" s="42" t="s">
        <v>47</v>
      </c>
      <c r="EU129" s="41">
        <v>6.0</v>
      </c>
      <c r="EV129" s="48" t="s">
        <v>3559</v>
      </c>
    </row>
    <row r="130">
      <c r="B130" s="42" t="s">
        <v>8783</v>
      </c>
      <c r="C130" s="41">
        <v>56.0</v>
      </c>
      <c r="D130" s="42" t="s">
        <v>9972</v>
      </c>
      <c r="E130" s="42" t="s">
        <v>3563</v>
      </c>
      <c r="F130" s="42" t="s">
        <v>3564</v>
      </c>
      <c r="G130" s="42" t="s">
        <v>3642</v>
      </c>
      <c r="H130" s="42" t="s">
        <v>8250</v>
      </c>
      <c r="I130" s="63">
        <v>45944.0</v>
      </c>
      <c r="J130" s="42" t="s">
        <v>8787</v>
      </c>
      <c r="K130" s="42" t="s">
        <v>8788</v>
      </c>
      <c r="L130" s="42" t="s">
        <v>8789</v>
      </c>
      <c r="M130" s="43"/>
      <c r="N130" s="42" t="s">
        <v>9973</v>
      </c>
      <c r="O130" s="42" t="s">
        <v>8784</v>
      </c>
      <c r="P130" s="42" t="s">
        <v>8790</v>
      </c>
      <c r="Q130" s="45"/>
      <c r="R130" s="43"/>
      <c r="S130" s="45"/>
      <c r="T130" s="45"/>
      <c r="U130" s="43"/>
      <c r="V130" s="45"/>
      <c r="W130" s="45"/>
      <c r="X130" s="42" t="s">
        <v>8785</v>
      </c>
      <c r="Y130" s="42" t="s">
        <v>8790</v>
      </c>
      <c r="Z130" s="42" t="s">
        <v>8786</v>
      </c>
      <c r="AA130" s="42" t="s">
        <v>5018</v>
      </c>
      <c r="AB130" s="41">
        <v>17.0</v>
      </c>
      <c r="AC130" s="42" t="s">
        <v>3571</v>
      </c>
      <c r="AD130" s="42" t="s">
        <v>5020</v>
      </c>
      <c r="AE130" s="42" t="s">
        <v>3573</v>
      </c>
      <c r="AF130" s="44" t="s">
        <v>8791</v>
      </c>
      <c r="AG130" s="43"/>
      <c r="AH130" s="41">
        <v>56.0</v>
      </c>
      <c r="AI130" s="42" t="s">
        <v>9972</v>
      </c>
      <c r="AJ130" s="43"/>
      <c r="AK130" s="43"/>
      <c r="AL130" s="41">
        <v>2016.0</v>
      </c>
      <c r="AM130" s="43"/>
      <c r="AN130" s="43"/>
      <c r="AO130" s="43"/>
      <c r="AP130" s="43"/>
      <c r="AQ130" s="43"/>
      <c r="AR130" s="43"/>
      <c r="AS130" s="45"/>
      <c r="AT130" s="45"/>
      <c r="AU130" s="45"/>
      <c r="AV130" s="45"/>
      <c r="AW130" s="45"/>
      <c r="AX130" s="45"/>
      <c r="AY130" s="45"/>
      <c r="AZ130" s="45"/>
      <c r="BA130" s="45"/>
      <c r="BB130" s="45"/>
      <c r="BC130" s="43"/>
      <c r="BD130" s="64"/>
      <c r="BE130" s="42" t="s">
        <v>3581</v>
      </c>
      <c r="BF130" s="42" t="s">
        <v>8793</v>
      </c>
      <c r="BG130" s="43"/>
      <c r="BH130" s="42" t="s">
        <v>75</v>
      </c>
      <c r="BI130" s="43"/>
      <c r="BJ130" s="41">
        <v>6971901.0</v>
      </c>
      <c r="BK130" s="42" t="s">
        <v>41</v>
      </c>
      <c r="BL130" s="45"/>
      <c r="BM130" s="45"/>
      <c r="BN130" s="43"/>
      <c r="BO130" s="42" t="s">
        <v>3584</v>
      </c>
      <c r="BP130" s="42" t="s">
        <v>3584</v>
      </c>
      <c r="BQ130" s="42" t="s">
        <v>8794</v>
      </c>
      <c r="BR130" s="43"/>
      <c r="BS130" s="45"/>
      <c r="BT130" s="42" t="s">
        <v>769</v>
      </c>
      <c r="BU130" s="42" t="s">
        <v>8795</v>
      </c>
      <c r="BV130" s="43"/>
      <c r="BW130" s="43"/>
      <c r="BX130" s="42" t="s">
        <v>8796</v>
      </c>
      <c r="BY130" s="43"/>
      <c r="BZ130" s="43"/>
      <c r="CA130" s="43"/>
      <c r="CB130" s="63">
        <v>43208.0</v>
      </c>
      <c r="CC130" s="45"/>
      <c r="CD130" s="43"/>
      <c r="CE130" s="45"/>
      <c r="CF130" s="43"/>
      <c r="CG130" s="42" t="s">
        <v>3589</v>
      </c>
      <c r="CH130" s="43"/>
      <c r="CI130" s="43"/>
      <c r="CJ130" s="42" t="s">
        <v>3590</v>
      </c>
      <c r="CK130" s="43"/>
      <c r="CL130" s="42" t="s">
        <v>3591</v>
      </c>
      <c r="CM130" s="65">
        <v>44508.0</v>
      </c>
      <c r="CN130" s="45"/>
      <c r="CO130" s="43"/>
      <c r="CP130" s="45"/>
      <c r="CQ130" s="43"/>
      <c r="CR130" s="42" t="s">
        <v>4977</v>
      </c>
      <c r="CS130" s="43"/>
      <c r="CT130" s="43"/>
      <c r="CU130" s="42" t="s">
        <v>3663</v>
      </c>
      <c r="CV130" s="45"/>
      <c r="CW130" s="45"/>
      <c r="CX130" s="43"/>
      <c r="CY130" s="42" t="s">
        <v>3591</v>
      </c>
      <c r="CZ130" s="45"/>
      <c r="DA130" s="45"/>
      <c r="DB130" s="45"/>
      <c r="DC130" s="45"/>
      <c r="DD130" s="45"/>
      <c r="DE130" s="45"/>
      <c r="DF130" s="45"/>
      <c r="DG130" s="45"/>
      <c r="DH130" s="45"/>
      <c r="DI130" s="45"/>
      <c r="DJ130" s="45"/>
      <c r="DK130" s="45"/>
      <c r="DL130" s="45"/>
      <c r="DM130" s="45"/>
      <c r="DN130" s="45"/>
      <c r="DO130" s="45"/>
      <c r="DP130" s="45"/>
      <c r="DQ130" s="45"/>
      <c r="DR130" s="45"/>
      <c r="DS130" s="45"/>
      <c r="DT130" s="45"/>
      <c r="DU130" s="45"/>
      <c r="DV130" s="45"/>
      <c r="DW130" s="45"/>
      <c r="DX130" s="45"/>
      <c r="DY130" s="45"/>
      <c r="DZ130" s="41">
        <v>59.0</v>
      </c>
      <c r="EA130" s="41">
        <v>14.0</v>
      </c>
      <c r="EB130" s="41">
        <v>25.0</v>
      </c>
      <c r="EC130" s="41">
        <v>7.0</v>
      </c>
      <c r="ED130" s="45"/>
      <c r="EE130" s="41">
        <v>27.0</v>
      </c>
      <c r="EF130" s="42" t="s">
        <v>8799</v>
      </c>
      <c r="EG130" s="45"/>
      <c r="EH130" s="45"/>
      <c r="EI130" s="43"/>
      <c r="EJ130" s="45"/>
      <c r="EK130" s="45"/>
      <c r="EL130" s="45"/>
      <c r="EM130" s="43"/>
      <c r="EN130" s="45"/>
      <c r="EO130" s="45"/>
      <c r="EP130" s="45"/>
      <c r="EQ130" s="45"/>
      <c r="ER130" s="42" t="s">
        <v>8250</v>
      </c>
      <c r="ES130" s="43"/>
      <c r="ET130" s="42" t="s">
        <v>47</v>
      </c>
      <c r="EU130" s="41">
        <v>3.0</v>
      </c>
      <c r="EV130" s="48" t="s">
        <v>3559</v>
      </c>
    </row>
    <row r="131">
      <c r="B131" s="35" t="s">
        <v>5663</v>
      </c>
      <c r="C131" s="32">
        <v>37.0</v>
      </c>
      <c r="D131" s="35" t="s">
        <v>9974</v>
      </c>
      <c r="E131" s="35" t="s">
        <v>3563</v>
      </c>
      <c r="F131" s="35" t="s">
        <v>3564</v>
      </c>
      <c r="G131" s="35" t="s">
        <v>3565</v>
      </c>
      <c r="H131" s="35" t="s">
        <v>6037</v>
      </c>
      <c r="I131" s="60">
        <v>45820.0</v>
      </c>
      <c r="J131" s="35" t="s">
        <v>5667</v>
      </c>
      <c r="K131" s="35" t="s">
        <v>3811</v>
      </c>
      <c r="L131" s="35" t="s">
        <v>5668</v>
      </c>
      <c r="M131" s="34"/>
      <c r="N131" s="34"/>
      <c r="O131" s="35" t="s">
        <v>5664</v>
      </c>
      <c r="P131" s="35" t="s">
        <v>5669</v>
      </c>
      <c r="Q131" s="37"/>
      <c r="R131" s="34"/>
      <c r="S131" s="37"/>
      <c r="T131" s="37"/>
      <c r="U131" s="34"/>
      <c r="V131" s="37"/>
      <c r="W131" s="37"/>
      <c r="X131" s="35" t="s">
        <v>9975</v>
      </c>
      <c r="Y131" s="35" t="s">
        <v>5669</v>
      </c>
      <c r="Z131" s="35" t="s">
        <v>5666</v>
      </c>
      <c r="AA131" s="35" t="s">
        <v>5018</v>
      </c>
      <c r="AB131" s="32">
        <v>23.8</v>
      </c>
      <c r="AC131" s="35" t="s">
        <v>5222</v>
      </c>
      <c r="AD131" s="35" t="s">
        <v>5222</v>
      </c>
      <c r="AE131" s="35" t="s">
        <v>3573</v>
      </c>
      <c r="AF131" s="36" t="s">
        <v>5670</v>
      </c>
      <c r="AG131" s="34"/>
      <c r="AH131" s="32">
        <v>37.0</v>
      </c>
      <c r="AI131" s="35" t="s">
        <v>9974</v>
      </c>
      <c r="AJ131" s="34"/>
      <c r="AK131" s="34"/>
      <c r="AL131" s="32">
        <v>2016.0</v>
      </c>
      <c r="AM131" s="34"/>
      <c r="AN131" s="34"/>
      <c r="AO131" s="34"/>
      <c r="AP131" s="34"/>
      <c r="AQ131" s="34"/>
      <c r="AR131" s="34"/>
      <c r="AS131" s="37"/>
      <c r="AT131" s="37"/>
      <c r="AU131" s="37"/>
      <c r="AV131" s="37"/>
      <c r="AW131" s="37"/>
      <c r="AX131" s="37"/>
      <c r="AY131" s="37"/>
      <c r="AZ131" s="37"/>
      <c r="BA131" s="37"/>
      <c r="BB131" s="37"/>
      <c r="BC131" s="34"/>
      <c r="BD131" s="61"/>
      <c r="BE131" s="35" t="s">
        <v>3581</v>
      </c>
      <c r="BF131" s="35" t="s">
        <v>5672</v>
      </c>
      <c r="BG131" s="34"/>
      <c r="BH131" s="35" t="s">
        <v>75</v>
      </c>
      <c r="BI131" s="34"/>
      <c r="BJ131" s="37"/>
      <c r="BK131" s="35" t="s">
        <v>41</v>
      </c>
      <c r="BL131" s="37"/>
      <c r="BM131" s="37"/>
      <c r="BN131" s="34"/>
      <c r="BO131" s="35" t="s">
        <v>3584</v>
      </c>
      <c r="BP131" s="35" t="s">
        <v>3584</v>
      </c>
      <c r="BQ131" s="35" t="s">
        <v>5673</v>
      </c>
      <c r="BR131" s="34"/>
      <c r="BS131" s="37"/>
      <c r="BT131" s="34"/>
      <c r="BU131" s="35" t="s">
        <v>5674</v>
      </c>
      <c r="BV131" s="34"/>
      <c r="BW131" s="34"/>
      <c r="BX131" s="35" t="s">
        <v>5675</v>
      </c>
      <c r="BY131" s="34"/>
      <c r="BZ131" s="34"/>
      <c r="CA131" s="35" t="s">
        <v>3660</v>
      </c>
      <c r="CB131" s="62">
        <v>42370.0</v>
      </c>
      <c r="CC131" s="37"/>
      <c r="CD131" s="34"/>
      <c r="CE131" s="37"/>
      <c r="CF131" s="34"/>
      <c r="CG131" s="35" t="s">
        <v>3662</v>
      </c>
      <c r="CH131" s="34"/>
      <c r="CI131" s="34"/>
      <c r="CJ131" s="35" t="s">
        <v>3663</v>
      </c>
      <c r="CK131" s="34"/>
      <c r="CL131" s="35" t="s">
        <v>3591</v>
      </c>
      <c r="CM131" s="62">
        <v>44896.0</v>
      </c>
      <c r="CN131" s="37"/>
      <c r="CO131" s="34"/>
      <c r="CP131" s="37"/>
      <c r="CQ131" s="34"/>
      <c r="CR131" s="35" t="s">
        <v>5222</v>
      </c>
      <c r="CS131" s="34"/>
      <c r="CT131" s="34"/>
      <c r="CU131" s="35" t="s">
        <v>5222</v>
      </c>
      <c r="CV131" s="62">
        <v>43070.0</v>
      </c>
      <c r="CW131" s="32">
        <v>0.9</v>
      </c>
      <c r="CX131" s="34"/>
      <c r="CY131" s="35" t="s">
        <v>3591</v>
      </c>
      <c r="CZ131" s="37"/>
      <c r="DA131" s="37"/>
      <c r="DB131" s="37"/>
      <c r="DC131" s="37"/>
      <c r="DD131" s="37"/>
      <c r="DE131" s="37"/>
      <c r="DF131" s="37"/>
      <c r="DG131" s="37"/>
      <c r="DH131" s="37"/>
      <c r="DI131" s="37"/>
      <c r="DJ131" s="37"/>
      <c r="DK131" s="37"/>
      <c r="DL131" s="37"/>
      <c r="DM131" s="37"/>
      <c r="DN131" s="37"/>
      <c r="DO131" s="37"/>
      <c r="DP131" s="37"/>
      <c r="DQ131" s="37"/>
      <c r="DR131" s="37"/>
      <c r="DS131" s="37"/>
      <c r="DT131" s="37"/>
      <c r="DU131" s="37"/>
      <c r="DV131" s="37"/>
      <c r="DW131" s="37"/>
      <c r="DX131" s="37"/>
      <c r="DY131" s="37"/>
      <c r="DZ131" s="37"/>
      <c r="EA131" s="37"/>
      <c r="EB131" s="37"/>
      <c r="EC131" s="37"/>
      <c r="ED131" s="37"/>
      <c r="EE131" s="37"/>
      <c r="EF131" s="34"/>
      <c r="EG131" s="32">
        <v>47.76</v>
      </c>
      <c r="EH131" s="60">
        <v>44404.0</v>
      </c>
      <c r="EI131" s="35" t="s">
        <v>3594</v>
      </c>
      <c r="EJ131" s="37"/>
      <c r="EK131" s="37"/>
      <c r="EL131" s="37"/>
      <c r="EM131" s="34"/>
      <c r="EN131" s="37"/>
      <c r="EO131" s="37"/>
      <c r="EP131" s="32">
        <v>1.19</v>
      </c>
      <c r="EQ131" s="32">
        <v>1.19</v>
      </c>
      <c r="ER131" s="35" t="s">
        <v>6037</v>
      </c>
      <c r="ES131" s="34"/>
      <c r="ET131" s="35" t="s">
        <v>47</v>
      </c>
      <c r="EU131" s="32">
        <v>4.0</v>
      </c>
      <c r="EV131" s="40" t="s">
        <v>3559</v>
      </c>
    </row>
    <row r="132">
      <c r="B132" s="35" t="s">
        <v>6715</v>
      </c>
      <c r="C132" s="32">
        <v>15.0</v>
      </c>
      <c r="D132" s="35" t="s">
        <v>9976</v>
      </c>
      <c r="E132" s="35" t="s">
        <v>3563</v>
      </c>
      <c r="F132" s="35" t="s">
        <v>3564</v>
      </c>
      <c r="G132" s="35" t="s">
        <v>3565</v>
      </c>
      <c r="H132" s="35" t="s">
        <v>3612</v>
      </c>
      <c r="I132" s="60">
        <v>45733.0</v>
      </c>
      <c r="J132" s="35" t="s">
        <v>4303</v>
      </c>
      <c r="K132" s="35" t="s">
        <v>6719</v>
      </c>
      <c r="L132" s="35" t="s">
        <v>6720</v>
      </c>
      <c r="M132" s="34"/>
      <c r="N132" s="34"/>
      <c r="O132" s="35" t="s">
        <v>6716</v>
      </c>
      <c r="P132" s="35" t="s">
        <v>6721</v>
      </c>
      <c r="Q132" s="35"/>
      <c r="R132" s="35"/>
      <c r="S132" s="35"/>
      <c r="T132" s="35"/>
      <c r="U132" s="35"/>
      <c r="V132" s="35"/>
      <c r="W132" s="35"/>
      <c r="X132" s="35" t="s">
        <v>6717</v>
      </c>
      <c r="Y132" s="35" t="s">
        <v>6721</v>
      </c>
      <c r="Z132" s="35" t="s">
        <v>6718</v>
      </c>
      <c r="AA132" s="35" t="s">
        <v>5018</v>
      </c>
      <c r="AB132" s="32">
        <v>4.5</v>
      </c>
      <c r="AC132" s="35" t="s">
        <v>3571</v>
      </c>
      <c r="AD132" s="35" t="s">
        <v>5020</v>
      </c>
      <c r="AE132" s="35" t="s">
        <v>3573</v>
      </c>
      <c r="AF132" s="36" t="s">
        <v>6722</v>
      </c>
      <c r="AG132" s="34"/>
      <c r="AH132" s="32">
        <v>15.0</v>
      </c>
      <c r="AI132" s="35" t="s">
        <v>9976</v>
      </c>
      <c r="AJ132" s="34"/>
      <c r="AK132" s="34"/>
      <c r="AL132" s="32">
        <v>2016.0</v>
      </c>
      <c r="AM132" s="34"/>
      <c r="AN132" s="34"/>
      <c r="AO132" s="34"/>
      <c r="AP132" s="34"/>
      <c r="AQ132" s="34"/>
      <c r="AR132" s="34"/>
      <c r="AS132" s="37"/>
      <c r="AT132" s="37"/>
      <c r="AU132" s="37"/>
      <c r="AV132" s="37"/>
      <c r="AW132" s="37"/>
      <c r="AX132" s="37"/>
      <c r="AY132" s="37"/>
      <c r="AZ132" s="37"/>
      <c r="BA132" s="37"/>
      <c r="BB132" s="37"/>
      <c r="BC132" s="34"/>
      <c r="BD132" s="61"/>
      <c r="BE132" s="35" t="s">
        <v>3581</v>
      </c>
      <c r="BF132" s="35" t="s">
        <v>6724</v>
      </c>
      <c r="BG132" s="35" t="s">
        <v>6725</v>
      </c>
      <c r="BH132" s="35" t="s">
        <v>75</v>
      </c>
      <c r="BI132" s="34"/>
      <c r="BJ132" s="37"/>
      <c r="BK132" s="35" t="s">
        <v>41</v>
      </c>
      <c r="BL132" s="37"/>
      <c r="BM132" s="37"/>
      <c r="BN132" s="34"/>
      <c r="BO132" s="35" t="s">
        <v>3584</v>
      </c>
      <c r="BP132" s="35" t="s">
        <v>3584</v>
      </c>
      <c r="BQ132" s="35" t="s">
        <v>6726</v>
      </c>
      <c r="BR132" s="34"/>
      <c r="BS132" s="37"/>
      <c r="BT132" s="35" t="s">
        <v>6727</v>
      </c>
      <c r="BU132" s="35" t="s">
        <v>6728</v>
      </c>
      <c r="BV132" s="34"/>
      <c r="BW132" s="34"/>
      <c r="BX132" s="35" t="s">
        <v>6729</v>
      </c>
      <c r="BY132" s="34"/>
      <c r="BZ132" s="34"/>
      <c r="CA132" s="35" t="s">
        <v>3725</v>
      </c>
      <c r="CB132" s="37"/>
      <c r="CC132" s="37"/>
      <c r="CD132" s="34"/>
      <c r="CE132" s="37"/>
      <c r="CF132" s="34"/>
      <c r="CG132" s="35" t="s">
        <v>3589</v>
      </c>
      <c r="CH132" s="34"/>
      <c r="CI132" s="34"/>
      <c r="CJ132" s="35" t="s">
        <v>3590</v>
      </c>
      <c r="CK132" s="34"/>
      <c r="CL132" s="35" t="s">
        <v>3591</v>
      </c>
      <c r="CM132" s="62">
        <v>44105.0</v>
      </c>
      <c r="CN132" s="37"/>
      <c r="CO132" s="34"/>
      <c r="CP132" s="37"/>
      <c r="CQ132" s="34"/>
      <c r="CR132" s="35" t="s">
        <v>4977</v>
      </c>
      <c r="CS132" s="34"/>
      <c r="CT132" s="34"/>
      <c r="CU132" s="35" t="s">
        <v>3663</v>
      </c>
      <c r="CV132" s="37"/>
      <c r="CW132" s="37"/>
      <c r="CX132" s="34"/>
      <c r="CY132" s="35" t="s">
        <v>3591</v>
      </c>
      <c r="CZ132" s="37"/>
      <c r="DA132" s="37"/>
      <c r="DB132" s="37"/>
      <c r="DC132" s="37"/>
      <c r="DD132" s="37"/>
      <c r="DE132" s="37"/>
      <c r="DF132" s="37"/>
      <c r="DG132" s="37"/>
      <c r="DH132" s="37"/>
      <c r="DI132" s="37"/>
      <c r="DJ132" s="37"/>
      <c r="DK132" s="37"/>
      <c r="DL132" s="37"/>
      <c r="DM132" s="37"/>
      <c r="DN132" s="37"/>
      <c r="DO132" s="37"/>
      <c r="DP132" s="37"/>
      <c r="DQ132" s="37"/>
      <c r="DR132" s="37"/>
      <c r="DS132" s="37"/>
      <c r="DT132" s="37"/>
      <c r="DU132" s="37"/>
      <c r="DV132" s="37"/>
      <c r="DW132" s="37"/>
      <c r="DX132" s="37"/>
      <c r="DY132" s="37"/>
      <c r="DZ132" s="32">
        <v>1.0</v>
      </c>
      <c r="EA132" s="32">
        <v>1.0</v>
      </c>
      <c r="EB132" s="37"/>
      <c r="EC132" s="37"/>
      <c r="ED132" s="37"/>
      <c r="EE132" s="32">
        <v>1.0</v>
      </c>
      <c r="EF132" s="34"/>
      <c r="EG132" s="32">
        <v>7.56</v>
      </c>
      <c r="EH132" s="62">
        <v>42767.0</v>
      </c>
      <c r="EI132" s="35" t="s">
        <v>3698</v>
      </c>
      <c r="EJ132" s="37"/>
      <c r="EK132" s="37"/>
      <c r="EL132" s="37"/>
      <c r="EM132" s="34"/>
      <c r="EN132" s="37"/>
      <c r="EO132" s="37"/>
      <c r="EP132" s="37"/>
      <c r="EQ132" s="37"/>
      <c r="ER132" s="35" t="s">
        <v>3612</v>
      </c>
      <c r="ES132" s="34"/>
      <c r="ET132" s="35" t="s">
        <v>47</v>
      </c>
      <c r="EU132" s="32">
        <v>23.0</v>
      </c>
      <c r="EV132" s="40" t="s">
        <v>3559</v>
      </c>
    </row>
    <row r="133">
      <c r="B133" s="35" t="s">
        <v>6329</v>
      </c>
      <c r="C133" s="37"/>
      <c r="D133" s="34"/>
      <c r="E133" s="35" t="s">
        <v>30</v>
      </c>
      <c r="F133" s="35" t="s">
        <v>6331</v>
      </c>
      <c r="G133" s="35" t="s">
        <v>6331</v>
      </c>
      <c r="H133" s="35" t="s">
        <v>7279</v>
      </c>
      <c r="I133" s="60">
        <v>45408.0</v>
      </c>
      <c r="J133" s="35" t="s">
        <v>6332</v>
      </c>
      <c r="K133" s="35" t="s">
        <v>6333</v>
      </c>
      <c r="L133" s="35" t="s">
        <v>6334</v>
      </c>
      <c r="M133" s="34"/>
      <c r="N133" s="34"/>
      <c r="O133" s="34"/>
      <c r="P133" s="35" t="s">
        <v>6335</v>
      </c>
      <c r="Q133" s="35"/>
      <c r="R133" s="35"/>
      <c r="S133" s="35"/>
      <c r="T133" s="35"/>
      <c r="U133" s="35"/>
      <c r="V133" s="35"/>
      <c r="W133" s="35"/>
      <c r="X133" s="34"/>
      <c r="Y133" s="35" t="s">
        <v>6335</v>
      </c>
      <c r="Z133" s="35" t="s">
        <v>6330</v>
      </c>
      <c r="AA133" s="35" t="s">
        <v>5018</v>
      </c>
      <c r="AB133" s="32">
        <v>17.7</v>
      </c>
      <c r="AC133" s="35" t="s">
        <v>6336</v>
      </c>
      <c r="AD133" s="35" t="s">
        <v>3572</v>
      </c>
      <c r="AE133" s="35" t="s">
        <v>3573</v>
      </c>
      <c r="AF133" s="34"/>
      <c r="AG133" s="34"/>
      <c r="AH133" s="37"/>
      <c r="AI133" s="34"/>
      <c r="AJ133" s="34"/>
      <c r="AK133" s="34"/>
      <c r="AL133" s="32">
        <v>2016.0</v>
      </c>
      <c r="AM133" s="34"/>
      <c r="AN133" s="34"/>
      <c r="AO133" s="34"/>
      <c r="AP133" s="34"/>
      <c r="AQ133" s="34"/>
      <c r="AR133" s="34"/>
      <c r="AS133" s="37"/>
      <c r="AT133" s="37"/>
      <c r="AU133" s="37"/>
      <c r="AV133" s="37"/>
      <c r="AW133" s="37"/>
      <c r="AX133" s="37"/>
      <c r="AY133" s="37"/>
      <c r="AZ133" s="37"/>
      <c r="BA133" s="37"/>
      <c r="BB133" s="37"/>
      <c r="BC133" s="34"/>
      <c r="BD133" s="61"/>
      <c r="BE133" s="35" t="s">
        <v>4448</v>
      </c>
      <c r="BF133" s="35" t="s">
        <v>6337</v>
      </c>
      <c r="BG133" s="35" t="s">
        <v>6338</v>
      </c>
      <c r="BH133" s="35" t="s">
        <v>485</v>
      </c>
      <c r="BI133" s="34"/>
      <c r="BJ133" s="32">
        <v>3100401.0</v>
      </c>
      <c r="BK133" s="35" t="s">
        <v>41</v>
      </c>
      <c r="BL133" s="37"/>
      <c r="BM133" s="37"/>
      <c r="BN133" s="34"/>
      <c r="BO133" s="35" t="s">
        <v>3584</v>
      </c>
      <c r="BP133" s="35" t="s">
        <v>3584</v>
      </c>
      <c r="BQ133" s="35" t="s">
        <v>6339</v>
      </c>
      <c r="BR133" s="34"/>
      <c r="BS133" s="37"/>
      <c r="BT133" s="34"/>
      <c r="BU133" s="34"/>
      <c r="BV133" s="34"/>
      <c r="BW133" s="34"/>
      <c r="BX133" s="34"/>
      <c r="BY133" s="34"/>
      <c r="BZ133" s="34"/>
      <c r="CA133" s="34"/>
      <c r="CB133" s="62">
        <v>42552.0</v>
      </c>
      <c r="CC133" s="32">
        <v>17.7</v>
      </c>
      <c r="CD133" s="35" t="s">
        <v>3593</v>
      </c>
      <c r="CE133" s="32">
        <v>88.5</v>
      </c>
      <c r="CF133" s="35" t="s">
        <v>3593</v>
      </c>
      <c r="CG133" s="35" t="s">
        <v>3669</v>
      </c>
      <c r="CH133" s="35" t="s">
        <v>3595</v>
      </c>
      <c r="CI133" s="34"/>
      <c r="CJ133" s="35" t="s">
        <v>3573</v>
      </c>
      <c r="CK133" s="34"/>
      <c r="CL133" s="35" t="s">
        <v>3591</v>
      </c>
      <c r="CM133" s="62">
        <v>45231.0</v>
      </c>
      <c r="CN133" s="37"/>
      <c r="CO133" s="34"/>
      <c r="CP133" s="37"/>
      <c r="CQ133" s="34"/>
      <c r="CR133" s="35" t="s">
        <v>3830</v>
      </c>
      <c r="CS133" s="34"/>
      <c r="CT133" s="34"/>
      <c r="CU133" s="35" t="s">
        <v>3590</v>
      </c>
      <c r="CV133" s="37"/>
      <c r="CW133" s="37"/>
      <c r="CX133" s="34"/>
      <c r="CY133" s="35" t="s">
        <v>3591</v>
      </c>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4"/>
      <c r="EG133" s="32">
        <v>88.5</v>
      </c>
      <c r="EH133" s="62">
        <v>42552.0</v>
      </c>
      <c r="EI133" s="35" t="s">
        <v>3669</v>
      </c>
      <c r="EJ133" s="37"/>
      <c r="EK133" s="37"/>
      <c r="EL133" s="37"/>
      <c r="EM133" s="34"/>
      <c r="EN133" s="37"/>
      <c r="EO133" s="37"/>
      <c r="EP133" s="37"/>
      <c r="EQ133" s="37"/>
      <c r="ER133" s="35" t="s">
        <v>7279</v>
      </c>
      <c r="ES133" s="34"/>
      <c r="ET133" s="35" t="s">
        <v>47</v>
      </c>
      <c r="EU133" s="32">
        <v>6.0</v>
      </c>
      <c r="EV133" s="40" t="s">
        <v>3559</v>
      </c>
    </row>
    <row r="134">
      <c r="B134" s="42" t="s">
        <v>9131</v>
      </c>
      <c r="C134" s="45"/>
      <c r="D134" s="43"/>
      <c r="E134" s="42" t="s">
        <v>3563</v>
      </c>
      <c r="F134" s="42" t="s">
        <v>3564</v>
      </c>
      <c r="G134" s="42" t="s">
        <v>3565</v>
      </c>
      <c r="H134" s="42" t="s">
        <v>9621</v>
      </c>
      <c r="I134" s="63">
        <v>45183.0</v>
      </c>
      <c r="J134" s="42" t="s">
        <v>5929</v>
      </c>
      <c r="K134" s="42" t="s">
        <v>9134</v>
      </c>
      <c r="L134" s="42" t="s">
        <v>9135</v>
      </c>
      <c r="M134" s="43"/>
      <c r="N134" s="42" t="s">
        <v>9977</v>
      </c>
      <c r="O134" s="42" t="s">
        <v>9132</v>
      </c>
      <c r="P134" s="42" t="s">
        <v>9136</v>
      </c>
      <c r="Q134" s="42"/>
      <c r="R134" s="42"/>
      <c r="S134" s="42"/>
      <c r="T134" s="42"/>
      <c r="U134" s="42"/>
      <c r="V134" s="42"/>
      <c r="W134" s="42"/>
      <c r="X134" s="43"/>
      <c r="Y134" s="42" t="s">
        <v>9136</v>
      </c>
      <c r="Z134" s="42" t="s">
        <v>9133</v>
      </c>
      <c r="AA134" s="42" t="s">
        <v>5481</v>
      </c>
      <c r="AB134" s="45"/>
      <c r="AC134" s="42" t="s">
        <v>5222</v>
      </c>
      <c r="AD134" s="42" t="s">
        <v>5222</v>
      </c>
      <c r="AE134" s="42" t="s">
        <v>5147</v>
      </c>
      <c r="AF134" s="44" t="s">
        <v>9137</v>
      </c>
      <c r="AG134" s="43"/>
      <c r="AH134" s="45"/>
      <c r="AI134" s="43"/>
      <c r="AJ134" s="43"/>
      <c r="AK134" s="43"/>
      <c r="AL134" s="41">
        <v>2016.0</v>
      </c>
      <c r="AM134" s="43"/>
      <c r="AN134" s="43"/>
      <c r="AO134" s="43"/>
      <c r="AP134" s="43"/>
      <c r="AQ134" s="43"/>
      <c r="AR134" s="43"/>
      <c r="AS134" s="45"/>
      <c r="AT134" s="45"/>
      <c r="AU134" s="45"/>
      <c r="AV134" s="45"/>
      <c r="AW134" s="45"/>
      <c r="AX134" s="45"/>
      <c r="AY134" s="45"/>
      <c r="AZ134" s="45"/>
      <c r="BA134" s="45"/>
      <c r="BB134" s="45"/>
      <c r="BC134" s="43"/>
      <c r="BD134" s="64"/>
      <c r="BE134" s="42" t="s">
        <v>4448</v>
      </c>
      <c r="BF134" s="42" t="s">
        <v>9138</v>
      </c>
      <c r="BG134" s="43"/>
      <c r="BH134" s="42" t="s">
        <v>485</v>
      </c>
      <c r="BI134" s="43"/>
      <c r="BJ134" s="45"/>
      <c r="BK134" s="42" t="s">
        <v>41</v>
      </c>
      <c r="BL134" s="45"/>
      <c r="BM134" s="45"/>
      <c r="BN134" s="42" t="s">
        <v>9139</v>
      </c>
      <c r="BO134" s="42" t="s">
        <v>3584</v>
      </c>
      <c r="BP134" s="42" t="s">
        <v>3584</v>
      </c>
      <c r="BQ134" s="42" t="s">
        <v>9140</v>
      </c>
      <c r="BR134" s="43"/>
      <c r="BS134" s="45"/>
      <c r="BT134" s="43"/>
      <c r="BU134" s="42" t="s">
        <v>9141</v>
      </c>
      <c r="BV134" s="43"/>
      <c r="BW134" s="43"/>
      <c r="BX134" s="42" t="s">
        <v>9142</v>
      </c>
      <c r="BY134" s="43"/>
      <c r="BZ134" s="43"/>
      <c r="CA134" s="43"/>
      <c r="CB134" s="63">
        <v>43187.0</v>
      </c>
      <c r="CC134" s="45"/>
      <c r="CD134" s="43"/>
      <c r="CE134" s="45"/>
      <c r="CF134" s="43"/>
      <c r="CG134" s="42" t="s">
        <v>3589</v>
      </c>
      <c r="CH134" s="43"/>
      <c r="CI134" s="43"/>
      <c r="CJ134" s="42" t="s">
        <v>3590</v>
      </c>
      <c r="CK134" s="43"/>
      <c r="CL134" s="42" t="s">
        <v>3591</v>
      </c>
      <c r="CM134" s="65">
        <v>43739.0</v>
      </c>
      <c r="CN134" s="45"/>
      <c r="CO134" s="43"/>
      <c r="CP134" s="45"/>
      <c r="CQ134" s="43"/>
      <c r="CR134" s="42" t="s">
        <v>5222</v>
      </c>
      <c r="CS134" s="43"/>
      <c r="CT134" s="43"/>
      <c r="CU134" s="42" t="s">
        <v>5222</v>
      </c>
      <c r="CV134" s="45"/>
      <c r="CW134" s="45"/>
      <c r="CX134" s="43"/>
      <c r="CY134" s="42" t="s">
        <v>3591</v>
      </c>
      <c r="CZ134" s="45"/>
      <c r="DA134" s="45"/>
      <c r="DB134" s="45"/>
      <c r="DC134" s="45"/>
      <c r="DD134" s="45"/>
      <c r="DE134" s="45"/>
      <c r="DF134" s="45"/>
      <c r="DG134" s="45"/>
      <c r="DH134" s="45"/>
      <c r="DI134" s="45"/>
      <c r="DJ134" s="45"/>
      <c r="DK134" s="45"/>
      <c r="DL134" s="45"/>
      <c r="DM134" s="45"/>
      <c r="DN134" s="45"/>
      <c r="DO134" s="45"/>
      <c r="DP134" s="45"/>
      <c r="DQ134" s="45"/>
      <c r="DR134" s="45"/>
      <c r="DS134" s="45"/>
      <c r="DT134" s="45"/>
      <c r="DU134" s="45"/>
      <c r="DV134" s="45"/>
      <c r="DW134" s="45"/>
      <c r="DX134" s="45"/>
      <c r="DY134" s="45"/>
      <c r="DZ134" s="45"/>
      <c r="EA134" s="45"/>
      <c r="EB134" s="45"/>
      <c r="EC134" s="45"/>
      <c r="ED134" s="45"/>
      <c r="EE134" s="45"/>
      <c r="EF134" s="43"/>
      <c r="EG134" s="45"/>
      <c r="EH134" s="45"/>
      <c r="EI134" s="43"/>
      <c r="EJ134" s="45"/>
      <c r="EK134" s="45"/>
      <c r="EL134" s="45"/>
      <c r="EM134" s="43"/>
      <c r="EN134" s="45"/>
      <c r="EO134" s="45"/>
      <c r="EP134" s="45"/>
      <c r="EQ134" s="45"/>
      <c r="ER134" s="42" t="s">
        <v>9621</v>
      </c>
      <c r="ES134" s="43"/>
      <c r="ET134" s="42" t="s">
        <v>47</v>
      </c>
      <c r="EU134" s="41">
        <v>4.0</v>
      </c>
      <c r="EV134" s="48" t="s">
        <v>3559</v>
      </c>
    </row>
    <row r="135">
      <c r="B135" s="35" t="s">
        <v>8704</v>
      </c>
      <c r="C135" s="37"/>
      <c r="D135" s="34"/>
      <c r="E135" s="35" t="s">
        <v>4560</v>
      </c>
      <c r="F135" s="35" t="s">
        <v>4561</v>
      </c>
      <c r="G135" s="35" t="s">
        <v>66</v>
      </c>
      <c r="H135" s="35" t="s">
        <v>3612</v>
      </c>
      <c r="I135" s="60">
        <v>45183.0</v>
      </c>
      <c r="J135" s="35" t="s">
        <v>8706</v>
      </c>
      <c r="K135" s="35" t="s">
        <v>3612</v>
      </c>
      <c r="L135" s="35" t="s">
        <v>8707</v>
      </c>
      <c r="M135" s="34"/>
      <c r="N135" s="34"/>
      <c r="O135" s="34"/>
      <c r="P135" s="35" t="s">
        <v>8708</v>
      </c>
      <c r="Q135" s="35"/>
      <c r="R135" s="35"/>
      <c r="S135" s="35"/>
      <c r="T135" s="35"/>
      <c r="U135" s="35"/>
      <c r="V135" s="35"/>
      <c r="W135" s="35"/>
      <c r="X135" s="34"/>
      <c r="Y135" s="35" t="s">
        <v>8708</v>
      </c>
      <c r="Z135" s="35" t="s">
        <v>8705</v>
      </c>
      <c r="AA135" s="35" t="s">
        <v>5481</v>
      </c>
      <c r="AB135" s="37"/>
      <c r="AC135" s="35" t="s">
        <v>5222</v>
      </c>
      <c r="AD135" s="35" t="s">
        <v>5222</v>
      </c>
      <c r="AE135" s="35" t="s">
        <v>8709</v>
      </c>
      <c r="AF135" s="36" t="s">
        <v>8710</v>
      </c>
      <c r="AG135" s="34"/>
      <c r="AH135" s="37"/>
      <c r="AI135" s="34"/>
      <c r="AJ135" s="34"/>
      <c r="AK135" s="34"/>
      <c r="AL135" s="32">
        <v>2016.0</v>
      </c>
      <c r="AM135" s="34"/>
      <c r="AN135" s="34"/>
      <c r="AO135" s="34"/>
      <c r="AP135" s="34"/>
      <c r="AQ135" s="34"/>
      <c r="AR135" s="34"/>
      <c r="AS135" s="37"/>
      <c r="AT135" s="37"/>
      <c r="AU135" s="37"/>
      <c r="AV135" s="37"/>
      <c r="AW135" s="37"/>
      <c r="AX135" s="37"/>
      <c r="AY135" s="37"/>
      <c r="AZ135" s="37"/>
      <c r="BA135" s="37"/>
      <c r="BB135" s="37"/>
      <c r="BC135" s="34"/>
      <c r="BD135" s="61"/>
      <c r="BE135" s="35" t="s">
        <v>3654</v>
      </c>
      <c r="BF135" s="35" t="s">
        <v>8711</v>
      </c>
      <c r="BG135" s="34"/>
      <c r="BH135" s="35" t="s">
        <v>147</v>
      </c>
      <c r="BI135" s="34"/>
      <c r="BJ135" s="37"/>
      <c r="BK135" s="35" t="s">
        <v>41</v>
      </c>
      <c r="BL135" s="37"/>
      <c r="BM135" s="37"/>
      <c r="BN135" s="34"/>
      <c r="BO135" s="35" t="s">
        <v>3584</v>
      </c>
      <c r="BP135" s="35" t="s">
        <v>3584</v>
      </c>
      <c r="BQ135" s="35" t="s">
        <v>8712</v>
      </c>
      <c r="BR135" s="34"/>
      <c r="BS135" s="37"/>
      <c r="BT135" s="34"/>
      <c r="BU135" s="35" t="s">
        <v>8713</v>
      </c>
      <c r="BV135" s="34"/>
      <c r="BW135" s="34"/>
      <c r="BX135" s="35" t="s">
        <v>8714</v>
      </c>
      <c r="BY135" s="34"/>
      <c r="BZ135" s="34"/>
      <c r="CA135" s="34"/>
      <c r="CB135" s="62">
        <v>42887.0</v>
      </c>
      <c r="CC135" s="32">
        <v>0.06</v>
      </c>
      <c r="CD135" s="35" t="s">
        <v>3593</v>
      </c>
      <c r="CE135" s="37"/>
      <c r="CF135" s="34"/>
      <c r="CG135" s="35" t="s">
        <v>4102</v>
      </c>
      <c r="CH135" s="34"/>
      <c r="CI135" s="34"/>
      <c r="CJ135" s="35" t="s">
        <v>3590</v>
      </c>
      <c r="CK135" s="34"/>
      <c r="CL135" s="35" t="s">
        <v>3591</v>
      </c>
      <c r="CM135" s="62">
        <v>43405.0</v>
      </c>
      <c r="CN135" s="37"/>
      <c r="CO135" s="34"/>
      <c r="CP135" s="37"/>
      <c r="CQ135" s="34"/>
      <c r="CR135" s="35" t="s">
        <v>5222</v>
      </c>
      <c r="CS135" s="34"/>
      <c r="CT135" s="34"/>
      <c r="CU135" s="35" t="s">
        <v>5222</v>
      </c>
      <c r="CV135" s="37"/>
      <c r="CW135" s="37"/>
      <c r="CX135" s="34"/>
      <c r="CY135" s="35" t="s">
        <v>3591</v>
      </c>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4"/>
      <c r="EG135" s="37"/>
      <c r="EH135" s="37"/>
      <c r="EI135" s="34"/>
      <c r="EJ135" s="37"/>
      <c r="EK135" s="37"/>
      <c r="EL135" s="37"/>
      <c r="EM135" s="34"/>
      <c r="EN135" s="37"/>
      <c r="EO135" s="37"/>
      <c r="EP135" s="37"/>
      <c r="EQ135" s="37"/>
      <c r="ER135" s="35" t="s">
        <v>3612</v>
      </c>
      <c r="ES135" s="34"/>
      <c r="ET135" s="34"/>
      <c r="EU135" s="37"/>
      <c r="EV135" s="40" t="s">
        <v>3559</v>
      </c>
    </row>
    <row r="136">
      <c r="B136" s="35" t="s">
        <v>7616</v>
      </c>
      <c r="C136" s="32">
        <v>34.0</v>
      </c>
      <c r="D136" s="35" t="s">
        <v>9978</v>
      </c>
      <c r="E136" s="35" t="s">
        <v>3563</v>
      </c>
      <c r="F136" s="35" t="s">
        <v>3609</v>
      </c>
      <c r="G136" s="35" t="s">
        <v>3610</v>
      </c>
      <c r="H136" s="35" t="s">
        <v>9979</v>
      </c>
      <c r="I136" s="62">
        <v>45632.0</v>
      </c>
      <c r="J136" s="35" t="s">
        <v>7620</v>
      </c>
      <c r="K136" s="35" t="s">
        <v>7621</v>
      </c>
      <c r="L136" s="35" t="s">
        <v>7622</v>
      </c>
      <c r="M136" s="35" t="s">
        <v>7617</v>
      </c>
      <c r="N136" s="34"/>
      <c r="O136" s="35" t="s">
        <v>7618</v>
      </c>
      <c r="P136" s="35" t="s">
        <v>7623</v>
      </c>
      <c r="Q136" s="35"/>
      <c r="R136" s="35"/>
      <c r="S136" s="35"/>
      <c r="T136" s="35"/>
      <c r="U136" s="35"/>
      <c r="V136" s="35"/>
      <c r="W136" s="35"/>
      <c r="X136" s="34"/>
      <c r="Y136" s="35" t="s">
        <v>7623</v>
      </c>
      <c r="Z136" s="35" t="s">
        <v>7619</v>
      </c>
      <c r="AA136" s="35" t="s">
        <v>5018</v>
      </c>
      <c r="AB136" s="32">
        <v>17.0</v>
      </c>
      <c r="AC136" s="35" t="s">
        <v>5222</v>
      </c>
      <c r="AD136" s="35" t="s">
        <v>5222</v>
      </c>
      <c r="AE136" s="35" t="s">
        <v>3573</v>
      </c>
      <c r="AF136" s="36" t="s">
        <v>7624</v>
      </c>
      <c r="AG136" s="34"/>
      <c r="AH136" s="32">
        <v>34.0</v>
      </c>
      <c r="AI136" s="35" t="s">
        <v>9978</v>
      </c>
      <c r="AJ136" s="34"/>
      <c r="AK136" s="34"/>
      <c r="AL136" s="32">
        <v>2017.0</v>
      </c>
      <c r="AM136" s="34"/>
      <c r="AN136" s="34"/>
      <c r="AO136" s="34"/>
      <c r="AP136" s="34"/>
      <c r="AQ136" s="34"/>
      <c r="AR136" s="34"/>
      <c r="AS136" s="37"/>
      <c r="AT136" s="37"/>
      <c r="AU136" s="37"/>
      <c r="AV136" s="37"/>
      <c r="AW136" s="37"/>
      <c r="AX136" s="37"/>
      <c r="AY136" s="37"/>
      <c r="AZ136" s="37"/>
      <c r="BA136" s="37"/>
      <c r="BB136" s="37"/>
      <c r="BC136" s="34"/>
      <c r="BD136" s="61"/>
      <c r="BE136" s="35" t="s">
        <v>3581</v>
      </c>
      <c r="BF136" s="35" t="s">
        <v>3582</v>
      </c>
      <c r="BG136" s="34"/>
      <c r="BH136" s="35" t="s">
        <v>75</v>
      </c>
      <c r="BI136" s="34"/>
      <c r="BJ136" s="32">
        <v>6789139.0</v>
      </c>
      <c r="BK136" s="35" t="s">
        <v>41</v>
      </c>
      <c r="BL136" s="37"/>
      <c r="BM136" s="37"/>
      <c r="BN136" s="34"/>
      <c r="BO136" s="35" t="s">
        <v>3584</v>
      </c>
      <c r="BP136" s="35" t="s">
        <v>3584</v>
      </c>
      <c r="BQ136" s="35" t="s">
        <v>7626</v>
      </c>
      <c r="BR136" s="34"/>
      <c r="BS136" s="37"/>
      <c r="BT136" s="34"/>
      <c r="BU136" s="35" t="s">
        <v>7627</v>
      </c>
      <c r="BV136" s="34"/>
      <c r="BW136" s="34"/>
      <c r="BX136" s="35" t="s">
        <v>7628</v>
      </c>
      <c r="BY136" s="34"/>
      <c r="BZ136" s="34"/>
      <c r="CA136" s="35" t="s">
        <v>6280</v>
      </c>
      <c r="CB136" s="37"/>
      <c r="CC136" s="37"/>
      <c r="CD136" s="34"/>
      <c r="CE136" s="37"/>
      <c r="CF136" s="34"/>
      <c r="CG136" s="35" t="s">
        <v>3589</v>
      </c>
      <c r="CH136" s="34"/>
      <c r="CI136" s="34"/>
      <c r="CJ136" s="35" t="s">
        <v>3590</v>
      </c>
      <c r="CK136" s="34"/>
      <c r="CL136" s="35" t="s">
        <v>3591</v>
      </c>
      <c r="CM136" s="60">
        <v>45180.0</v>
      </c>
      <c r="CN136" s="37"/>
      <c r="CO136" s="34"/>
      <c r="CP136" s="37"/>
      <c r="CQ136" s="34"/>
      <c r="CR136" s="35" t="s">
        <v>5222</v>
      </c>
      <c r="CS136" s="34"/>
      <c r="CT136" s="34"/>
      <c r="CU136" s="35" t="s">
        <v>5222</v>
      </c>
      <c r="CV136" s="37"/>
      <c r="CW136" s="37"/>
      <c r="CX136" s="34"/>
      <c r="CY136" s="35" t="s">
        <v>3591</v>
      </c>
      <c r="CZ136" s="37"/>
      <c r="DA136" s="37"/>
      <c r="DB136" s="37"/>
      <c r="DC136" s="37"/>
      <c r="DD136" s="37"/>
      <c r="DE136" s="37"/>
      <c r="DF136" s="37"/>
      <c r="DG136" s="37"/>
      <c r="DH136" s="37"/>
      <c r="DI136" s="37"/>
      <c r="DJ136" s="37"/>
      <c r="DK136" s="37"/>
      <c r="DL136" s="37"/>
      <c r="DM136" s="37"/>
      <c r="DN136" s="37"/>
      <c r="DO136" s="37"/>
      <c r="DP136" s="37"/>
      <c r="DQ136" s="37"/>
      <c r="DR136" s="37"/>
      <c r="DS136" s="37"/>
      <c r="DT136" s="37"/>
      <c r="DU136" s="37"/>
      <c r="DV136" s="37"/>
      <c r="DW136" s="37"/>
      <c r="DX136" s="37"/>
      <c r="DY136" s="37"/>
      <c r="DZ136" s="32">
        <v>10.0</v>
      </c>
      <c r="EA136" s="32">
        <v>3.0</v>
      </c>
      <c r="EB136" s="32">
        <v>2.0</v>
      </c>
      <c r="EC136" s="37"/>
      <c r="ED136" s="37"/>
      <c r="EE136" s="32">
        <v>8.0</v>
      </c>
      <c r="EF136" s="35" t="s">
        <v>7631</v>
      </c>
      <c r="EG136" s="32">
        <v>27.6</v>
      </c>
      <c r="EH136" s="60">
        <v>43418.0</v>
      </c>
      <c r="EI136" s="35" t="s">
        <v>3698</v>
      </c>
      <c r="EJ136" s="37"/>
      <c r="EK136" s="37"/>
      <c r="EL136" s="37"/>
      <c r="EM136" s="34"/>
      <c r="EN136" s="37"/>
      <c r="EO136" s="37"/>
      <c r="EP136" s="37"/>
      <c r="EQ136" s="37"/>
      <c r="ER136" s="35" t="s">
        <v>9979</v>
      </c>
      <c r="ES136" s="34"/>
      <c r="ET136" s="34"/>
      <c r="EU136" s="37"/>
      <c r="EV136" s="40" t="s">
        <v>3559</v>
      </c>
    </row>
    <row r="137">
      <c r="B137" s="35" t="s">
        <v>5488</v>
      </c>
      <c r="C137" s="32">
        <v>11.0</v>
      </c>
      <c r="D137" s="35" t="s">
        <v>9980</v>
      </c>
      <c r="E137" s="35" t="s">
        <v>3563</v>
      </c>
      <c r="F137" s="35" t="s">
        <v>3564</v>
      </c>
      <c r="G137" s="35" t="s">
        <v>2368</v>
      </c>
      <c r="H137" s="35" t="s">
        <v>9979</v>
      </c>
      <c r="I137" s="62">
        <v>45358.0</v>
      </c>
      <c r="J137" s="35" t="s">
        <v>5492</v>
      </c>
      <c r="K137" s="35" t="s">
        <v>5493</v>
      </c>
      <c r="L137" s="35" t="s">
        <v>5494</v>
      </c>
      <c r="M137" s="34"/>
      <c r="N137" s="35" t="s">
        <v>9981</v>
      </c>
      <c r="O137" s="35" t="s">
        <v>5489</v>
      </c>
      <c r="P137" s="35" t="s">
        <v>5495</v>
      </c>
      <c r="Q137" s="35"/>
      <c r="R137" s="35"/>
      <c r="S137" s="35"/>
      <c r="T137" s="35"/>
      <c r="U137" s="35"/>
      <c r="V137" s="35"/>
      <c r="W137" s="35"/>
      <c r="X137" s="35" t="s">
        <v>9982</v>
      </c>
      <c r="Y137" s="35" t="s">
        <v>5495</v>
      </c>
      <c r="Z137" s="35" t="s">
        <v>5491</v>
      </c>
      <c r="AA137" s="35" t="s">
        <v>5018</v>
      </c>
      <c r="AB137" s="32">
        <v>6.0</v>
      </c>
      <c r="AC137" s="35" t="s">
        <v>5496</v>
      </c>
      <c r="AD137" s="35" t="s">
        <v>5222</v>
      </c>
      <c r="AE137" s="35" t="s">
        <v>3573</v>
      </c>
      <c r="AF137" s="36" t="s">
        <v>5497</v>
      </c>
      <c r="AG137" s="34"/>
      <c r="AH137" s="32">
        <v>11.0</v>
      </c>
      <c r="AI137" s="35" t="s">
        <v>9980</v>
      </c>
      <c r="AJ137" s="34"/>
      <c r="AK137" s="34"/>
      <c r="AL137" s="32">
        <v>2017.0</v>
      </c>
      <c r="AM137" s="34"/>
      <c r="AN137" s="34"/>
      <c r="AO137" s="34"/>
      <c r="AP137" s="34"/>
      <c r="AQ137" s="34"/>
      <c r="AR137" s="34"/>
      <c r="AS137" s="37"/>
      <c r="AT137" s="37"/>
      <c r="AU137" s="37"/>
      <c r="AV137" s="37"/>
      <c r="AW137" s="37"/>
      <c r="AX137" s="37"/>
      <c r="AY137" s="37"/>
      <c r="AZ137" s="37"/>
      <c r="BA137" s="37"/>
      <c r="BB137" s="37"/>
      <c r="BC137" s="34"/>
      <c r="BD137" s="61"/>
      <c r="BE137" s="35" t="s">
        <v>3581</v>
      </c>
      <c r="BF137" s="35" t="s">
        <v>5499</v>
      </c>
      <c r="BG137" s="35" t="s">
        <v>5500</v>
      </c>
      <c r="BH137" s="35" t="s">
        <v>75</v>
      </c>
      <c r="BI137" s="34"/>
      <c r="BJ137" s="32">
        <v>6971901.0</v>
      </c>
      <c r="BK137" s="35" t="s">
        <v>41</v>
      </c>
      <c r="BL137" s="37"/>
      <c r="BM137" s="37"/>
      <c r="BN137" s="34"/>
      <c r="BO137" s="35" t="s">
        <v>3584</v>
      </c>
      <c r="BP137" s="35" t="s">
        <v>3584</v>
      </c>
      <c r="BQ137" s="35" t="s">
        <v>5501</v>
      </c>
      <c r="BR137" s="34"/>
      <c r="BS137" s="37"/>
      <c r="BT137" s="34"/>
      <c r="BU137" s="35" t="s">
        <v>5502</v>
      </c>
      <c r="BV137" s="34"/>
      <c r="BW137" s="34"/>
      <c r="BX137" s="35" t="s">
        <v>5503</v>
      </c>
      <c r="BY137" s="34"/>
      <c r="BZ137" s="34"/>
      <c r="CA137" s="34"/>
      <c r="CB137" s="37"/>
      <c r="CC137" s="37"/>
      <c r="CD137" s="34"/>
      <c r="CE137" s="37"/>
      <c r="CF137" s="34"/>
      <c r="CG137" s="35" t="s">
        <v>3589</v>
      </c>
      <c r="CH137" s="34"/>
      <c r="CI137" s="34"/>
      <c r="CJ137" s="35" t="s">
        <v>3590</v>
      </c>
      <c r="CK137" s="34"/>
      <c r="CL137" s="35" t="s">
        <v>3591</v>
      </c>
      <c r="CM137" s="62">
        <v>45352.0</v>
      </c>
      <c r="CN137" s="37"/>
      <c r="CO137" s="34"/>
      <c r="CP137" s="37"/>
      <c r="CQ137" s="34"/>
      <c r="CR137" s="35" t="s">
        <v>5496</v>
      </c>
      <c r="CS137" s="34"/>
      <c r="CT137" s="34"/>
      <c r="CU137" s="35" t="s">
        <v>5505</v>
      </c>
      <c r="CV137" s="37"/>
      <c r="CW137" s="37"/>
      <c r="CX137" s="34"/>
      <c r="CY137" s="35" t="s">
        <v>3591</v>
      </c>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4"/>
      <c r="EG137" s="32">
        <v>23.62</v>
      </c>
      <c r="EH137" s="60">
        <v>44056.0</v>
      </c>
      <c r="EI137" s="35" t="s">
        <v>3669</v>
      </c>
      <c r="EJ137" s="37"/>
      <c r="EK137" s="37"/>
      <c r="EL137" s="37"/>
      <c r="EM137" s="35" t="s">
        <v>5507</v>
      </c>
      <c r="EN137" s="37"/>
      <c r="EO137" s="37"/>
      <c r="EP137" s="37"/>
      <c r="EQ137" s="37"/>
      <c r="ER137" s="35" t="s">
        <v>9979</v>
      </c>
      <c r="ES137" s="34"/>
      <c r="ET137" s="34"/>
      <c r="EU137" s="37"/>
      <c r="EV137" s="40" t="s">
        <v>3559</v>
      </c>
    </row>
    <row r="138">
      <c r="B138" s="35" t="s">
        <v>8262</v>
      </c>
      <c r="C138" s="32">
        <v>5.0</v>
      </c>
      <c r="D138" s="35" t="s">
        <v>9983</v>
      </c>
      <c r="E138" s="35" t="s">
        <v>3867</v>
      </c>
      <c r="F138" s="35" t="s">
        <v>3868</v>
      </c>
      <c r="G138" s="35" t="s">
        <v>3869</v>
      </c>
      <c r="H138" s="35" t="s">
        <v>3612</v>
      </c>
      <c r="I138" s="60">
        <v>45867.0</v>
      </c>
      <c r="J138" s="35" t="s">
        <v>4439</v>
      </c>
      <c r="K138" s="35" t="s">
        <v>8266</v>
      </c>
      <c r="L138" s="35" t="s">
        <v>8267</v>
      </c>
      <c r="M138" s="34"/>
      <c r="N138" s="35" t="s">
        <v>9984</v>
      </c>
      <c r="O138" s="35" t="s">
        <v>8263</v>
      </c>
      <c r="P138" s="35" t="s">
        <v>8268</v>
      </c>
      <c r="Q138" s="37"/>
      <c r="R138" s="34"/>
      <c r="S138" s="37"/>
      <c r="T138" s="37"/>
      <c r="U138" s="34"/>
      <c r="V138" s="37"/>
      <c r="W138" s="37"/>
      <c r="X138" s="35" t="s">
        <v>8264</v>
      </c>
      <c r="Y138" s="35" t="s">
        <v>8268</v>
      </c>
      <c r="Z138" s="35" t="s">
        <v>8265</v>
      </c>
      <c r="AA138" s="35" t="s">
        <v>5018</v>
      </c>
      <c r="AB138" s="32">
        <v>6.5</v>
      </c>
      <c r="AC138" s="35" t="s">
        <v>5222</v>
      </c>
      <c r="AD138" s="35" t="s">
        <v>5222</v>
      </c>
      <c r="AE138" s="35" t="s">
        <v>3573</v>
      </c>
      <c r="AF138" s="36" t="s">
        <v>8269</v>
      </c>
      <c r="AG138" s="34"/>
      <c r="AH138" s="32">
        <v>5.0</v>
      </c>
      <c r="AI138" s="35" t="s">
        <v>9983</v>
      </c>
      <c r="AJ138" s="34"/>
      <c r="AK138" s="34"/>
      <c r="AL138" s="32">
        <v>2019.0</v>
      </c>
      <c r="AM138" s="34"/>
      <c r="AN138" s="34"/>
      <c r="AO138" s="34"/>
      <c r="AP138" s="34"/>
      <c r="AQ138" s="34"/>
      <c r="AR138" s="34"/>
      <c r="AS138" s="37"/>
      <c r="AT138" s="37"/>
      <c r="AU138" s="37"/>
      <c r="AV138" s="37"/>
      <c r="AW138" s="37"/>
      <c r="AX138" s="37"/>
      <c r="AY138" s="37"/>
      <c r="AZ138" s="37"/>
      <c r="BA138" s="37"/>
      <c r="BB138" s="37"/>
      <c r="BC138" s="34"/>
      <c r="BD138" s="61"/>
      <c r="BE138" s="35" t="s">
        <v>3581</v>
      </c>
      <c r="BF138" s="35" t="s">
        <v>8271</v>
      </c>
      <c r="BG138" s="35" t="s">
        <v>8272</v>
      </c>
      <c r="BH138" s="35" t="s">
        <v>75</v>
      </c>
      <c r="BI138" s="34"/>
      <c r="BJ138" s="32">
        <v>6701203.0</v>
      </c>
      <c r="BK138" s="35" t="s">
        <v>41</v>
      </c>
      <c r="BL138" s="37"/>
      <c r="BM138" s="37"/>
      <c r="BN138" s="35" t="s">
        <v>2844</v>
      </c>
      <c r="BO138" s="35" t="s">
        <v>3584</v>
      </c>
      <c r="BP138" s="35" t="s">
        <v>3584</v>
      </c>
      <c r="BQ138" s="35" t="s">
        <v>8273</v>
      </c>
      <c r="BR138" s="34"/>
      <c r="BS138" s="37"/>
      <c r="BT138" s="34"/>
      <c r="BU138" s="35" t="s">
        <v>8274</v>
      </c>
      <c r="BV138" s="34"/>
      <c r="BW138" s="34"/>
      <c r="BX138" s="35" t="s">
        <v>8275</v>
      </c>
      <c r="BY138" s="34"/>
      <c r="BZ138" s="34"/>
      <c r="CA138" s="35" t="s">
        <v>6990</v>
      </c>
      <c r="CB138" s="62">
        <v>43678.0</v>
      </c>
      <c r="CC138" s="32">
        <v>3.0</v>
      </c>
      <c r="CD138" s="35" t="s">
        <v>3593</v>
      </c>
      <c r="CE138" s="37"/>
      <c r="CF138" s="34"/>
      <c r="CG138" s="35" t="s">
        <v>3669</v>
      </c>
      <c r="CH138" s="34"/>
      <c r="CI138" s="34"/>
      <c r="CJ138" s="35" t="s">
        <v>3573</v>
      </c>
      <c r="CK138" s="34"/>
      <c r="CL138" s="35" t="s">
        <v>3591</v>
      </c>
      <c r="CM138" s="62">
        <v>45658.0</v>
      </c>
      <c r="CN138" s="37"/>
      <c r="CO138" s="34"/>
      <c r="CP138" s="37"/>
      <c r="CQ138" s="34"/>
      <c r="CR138" s="35" t="s">
        <v>5222</v>
      </c>
      <c r="CS138" s="34"/>
      <c r="CT138" s="34"/>
      <c r="CU138" s="35" t="s">
        <v>5222</v>
      </c>
      <c r="CV138" s="37"/>
      <c r="CW138" s="37"/>
      <c r="CX138" s="34"/>
      <c r="CY138" s="35" t="s">
        <v>3591</v>
      </c>
      <c r="CZ138" s="37"/>
      <c r="DA138" s="37"/>
      <c r="DB138" s="37"/>
      <c r="DC138" s="37"/>
      <c r="DD138" s="37"/>
      <c r="DE138" s="37"/>
      <c r="DF138" s="37"/>
      <c r="DG138" s="37"/>
      <c r="DH138" s="37"/>
      <c r="DI138" s="37"/>
      <c r="DJ138" s="37"/>
      <c r="DK138" s="37"/>
      <c r="DL138" s="37"/>
      <c r="DM138" s="37"/>
      <c r="DN138" s="37"/>
      <c r="DO138" s="37"/>
      <c r="DP138" s="37"/>
      <c r="DQ138" s="37"/>
      <c r="DR138" s="37"/>
      <c r="DS138" s="37"/>
      <c r="DT138" s="37"/>
      <c r="DU138" s="37"/>
      <c r="DV138" s="37"/>
      <c r="DW138" s="37"/>
      <c r="DX138" s="37"/>
      <c r="DY138" s="37"/>
      <c r="DZ138" s="37"/>
      <c r="EA138" s="37"/>
      <c r="EB138" s="37"/>
      <c r="EC138" s="37"/>
      <c r="ED138" s="37"/>
      <c r="EE138" s="37"/>
      <c r="EF138" s="34"/>
      <c r="EG138" s="37"/>
      <c r="EH138" s="37"/>
      <c r="EI138" s="34"/>
      <c r="EJ138" s="37"/>
      <c r="EK138" s="37"/>
      <c r="EL138" s="37"/>
      <c r="EM138" s="34"/>
      <c r="EN138" s="37"/>
      <c r="EO138" s="37"/>
      <c r="EP138" s="37"/>
      <c r="EQ138" s="37"/>
      <c r="ER138" s="35" t="s">
        <v>3612</v>
      </c>
      <c r="ES138" s="34"/>
      <c r="ET138" s="35" t="s">
        <v>47</v>
      </c>
      <c r="EU138" s="32">
        <v>21.0</v>
      </c>
      <c r="EV138" s="40" t="s">
        <v>3559</v>
      </c>
    </row>
    <row r="139">
      <c r="B139" s="35" t="s">
        <v>7736</v>
      </c>
      <c r="C139" s="32">
        <v>6.0</v>
      </c>
      <c r="D139" s="35" t="s">
        <v>7745</v>
      </c>
      <c r="E139" s="35" t="s">
        <v>4560</v>
      </c>
      <c r="F139" s="35" t="s">
        <v>4561</v>
      </c>
      <c r="G139" s="35" t="s">
        <v>66</v>
      </c>
      <c r="H139" s="35" t="s">
        <v>9627</v>
      </c>
      <c r="I139" s="60">
        <v>45645.0</v>
      </c>
      <c r="J139" s="35" t="s">
        <v>7740</v>
      </c>
      <c r="K139" s="35" t="s">
        <v>7741</v>
      </c>
      <c r="L139" s="35" t="s">
        <v>7742</v>
      </c>
      <c r="M139" s="35" t="s">
        <v>7737</v>
      </c>
      <c r="N139" s="34"/>
      <c r="O139" s="35" t="s">
        <v>7738</v>
      </c>
      <c r="P139" s="35" t="s">
        <v>7743</v>
      </c>
      <c r="Q139" s="35"/>
      <c r="R139" s="35"/>
      <c r="S139" s="35"/>
      <c r="T139" s="35"/>
      <c r="U139" s="35"/>
      <c r="V139" s="35"/>
      <c r="W139" s="35"/>
      <c r="X139" s="34"/>
      <c r="Y139" s="35" t="s">
        <v>7743</v>
      </c>
      <c r="Z139" s="35" t="s">
        <v>7739</v>
      </c>
      <c r="AA139" s="35" t="s">
        <v>5018</v>
      </c>
      <c r="AB139" s="32">
        <v>0.04</v>
      </c>
      <c r="AC139" s="35" t="s">
        <v>3571</v>
      </c>
      <c r="AD139" s="35" t="s">
        <v>5020</v>
      </c>
      <c r="AE139" s="35" t="s">
        <v>3573</v>
      </c>
      <c r="AF139" s="36" t="s">
        <v>7744</v>
      </c>
      <c r="AG139" s="34"/>
      <c r="AH139" s="32">
        <v>6.0</v>
      </c>
      <c r="AI139" s="35" t="s">
        <v>7745</v>
      </c>
      <c r="AJ139" s="34"/>
      <c r="AK139" s="34"/>
      <c r="AL139" s="32">
        <v>2019.0</v>
      </c>
      <c r="AM139" s="34"/>
      <c r="AN139" s="34"/>
      <c r="AO139" s="34"/>
      <c r="AP139" s="34"/>
      <c r="AQ139" s="34"/>
      <c r="AR139" s="34"/>
      <c r="AS139" s="37"/>
      <c r="AT139" s="37"/>
      <c r="AU139" s="37"/>
      <c r="AV139" s="37"/>
      <c r="AW139" s="37"/>
      <c r="AX139" s="37"/>
      <c r="AY139" s="37"/>
      <c r="AZ139" s="37"/>
      <c r="BA139" s="37"/>
      <c r="BB139" s="37"/>
      <c r="BC139" s="34"/>
      <c r="BD139" s="61"/>
      <c r="BE139" s="35" t="s">
        <v>3581</v>
      </c>
      <c r="BF139" s="35" t="s">
        <v>7746</v>
      </c>
      <c r="BG139" s="34"/>
      <c r="BH139" s="35" t="s">
        <v>75</v>
      </c>
      <c r="BI139" s="34"/>
      <c r="BJ139" s="37"/>
      <c r="BK139" s="35" t="s">
        <v>41</v>
      </c>
      <c r="BL139" s="37"/>
      <c r="BM139" s="37"/>
      <c r="BN139" s="34"/>
      <c r="BO139" s="35" t="s">
        <v>3584</v>
      </c>
      <c r="BP139" s="35" t="s">
        <v>3584</v>
      </c>
      <c r="BQ139" s="35" t="s">
        <v>7747</v>
      </c>
      <c r="BR139" s="34"/>
      <c r="BS139" s="37"/>
      <c r="BT139" s="35" t="s">
        <v>7748</v>
      </c>
      <c r="BU139" s="35" t="s">
        <v>7749</v>
      </c>
      <c r="BV139" s="34"/>
      <c r="BW139" s="34"/>
      <c r="BX139" s="35" t="s">
        <v>7750</v>
      </c>
      <c r="BY139" s="34"/>
      <c r="BZ139" s="34"/>
      <c r="CA139" s="34"/>
      <c r="CB139" s="37"/>
      <c r="CC139" s="37"/>
      <c r="CD139" s="34"/>
      <c r="CE139" s="37"/>
      <c r="CF139" s="34"/>
      <c r="CG139" s="35" t="s">
        <v>3589</v>
      </c>
      <c r="CH139" s="34"/>
      <c r="CI139" s="34"/>
      <c r="CJ139" s="35" t="s">
        <v>3590</v>
      </c>
      <c r="CK139" s="34"/>
      <c r="CL139" s="35" t="s">
        <v>3591</v>
      </c>
      <c r="CM139" s="60">
        <v>44517.0</v>
      </c>
      <c r="CN139" s="37"/>
      <c r="CO139" s="34"/>
      <c r="CP139" s="37"/>
      <c r="CQ139" s="34"/>
      <c r="CR139" s="35" t="s">
        <v>4977</v>
      </c>
      <c r="CS139" s="34"/>
      <c r="CT139" s="34"/>
      <c r="CU139" s="35" t="s">
        <v>3663</v>
      </c>
      <c r="CV139" s="37"/>
      <c r="CW139" s="37"/>
      <c r="CX139" s="34"/>
      <c r="CY139" s="35" t="s">
        <v>3591</v>
      </c>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4"/>
      <c r="EG139" s="37"/>
      <c r="EH139" s="37"/>
      <c r="EI139" s="34"/>
      <c r="EJ139" s="37"/>
      <c r="EK139" s="37"/>
      <c r="EL139" s="37"/>
      <c r="EM139" s="34"/>
      <c r="EN139" s="37"/>
      <c r="EO139" s="37"/>
      <c r="EP139" s="37"/>
      <c r="EQ139" s="37"/>
      <c r="ER139" s="35" t="s">
        <v>9627</v>
      </c>
      <c r="ES139" s="34"/>
      <c r="ET139" s="35" t="s">
        <v>47</v>
      </c>
      <c r="EU139" s="32">
        <v>4.0</v>
      </c>
      <c r="EV139" s="40" t="s">
        <v>3559</v>
      </c>
    </row>
    <row r="140">
      <c r="B140" s="35" t="s">
        <v>8456</v>
      </c>
      <c r="C140" s="32">
        <v>5.0</v>
      </c>
      <c r="D140" s="35" t="s">
        <v>8464</v>
      </c>
      <c r="E140" s="35" t="s">
        <v>30</v>
      </c>
      <c r="F140" s="35" t="s">
        <v>8030</v>
      </c>
      <c r="G140" s="35" t="s">
        <v>8031</v>
      </c>
      <c r="H140" s="35" t="s">
        <v>3612</v>
      </c>
      <c r="I140" s="60">
        <v>45615.0</v>
      </c>
      <c r="J140" s="35" t="s">
        <v>8459</v>
      </c>
      <c r="K140" s="35" t="s">
        <v>8460</v>
      </c>
      <c r="L140" s="35" t="s">
        <v>8461</v>
      </c>
      <c r="M140" s="34"/>
      <c r="N140" s="34"/>
      <c r="O140" s="35" t="s">
        <v>8457</v>
      </c>
      <c r="P140" s="35" t="s">
        <v>8462</v>
      </c>
      <c r="Q140" s="35"/>
      <c r="R140" s="35"/>
      <c r="S140" s="35"/>
      <c r="T140" s="35"/>
      <c r="U140" s="35"/>
      <c r="V140" s="35"/>
      <c r="W140" s="35"/>
      <c r="X140" s="34"/>
      <c r="Y140" s="35" t="s">
        <v>8462</v>
      </c>
      <c r="Z140" s="35" t="s">
        <v>8458</v>
      </c>
      <c r="AA140" s="35" t="s">
        <v>5481</v>
      </c>
      <c r="AB140" s="37"/>
      <c r="AC140" s="35" t="s">
        <v>5222</v>
      </c>
      <c r="AD140" s="35" t="s">
        <v>5222</v>
      </c>
      <c r="AE140" s="35" t="s">
        <v>5147</v>
      </c>
      <c r="AF140" s="36" t="s">
        <v>8463</v>
      </c>
      <c r="AG140" s="34"/>
      <c r="AH140" s="32">
        <v>5.0</v>
      </c>
      <c r="AI140" s="35" t="s">
        <v>8464</v>
      </c>
      <c r="AJ140" s="34"/>
      <c r="AK140" s="34"/>
      <c r="AL140" s="32">
        <v>2019.0</v>
      </c>
      <c r="AM140" s="34"/>
      <c r="AN140" s="34"/>
      <c r="AO140" s="34"/>
      <c r="AP140" s="34"/>
      <c r="AQ140" s="34"/>
      <c r="AR140" s="34"/>
      <c r="AS140" s="37"/>
      <c r="AT140" s="37"/>
      <c r="AU140" s="37"/>
      <c r="AV140" s="37"/>
      <c r="AW140" s="37"/>
      <c r="AX140" s="37"/>
      <c r="AY140" s="37"/>
      <c r="AZ140" s="37"/>
      <c r="BA140" s="37"/>
      <c r="BB140" s="37"/>
      <c r="BC140" s="34"/>
      <c r="BD140" s="61"/>
      <c r="BE140" s="35" t="s">
        <v>3581</v>
      </c>
      <c r="BF140" s="35" t="s">
        <v>8465</v>
      </c>
      <c r="BG140" s="34"/>
      <c r="BH140" s="35" t="s">
        <v>75</v>
      </c>
      <c r="BI140" s="34"/>
      <c r="BJ140" s="37"/>
      <c r="BK140" s="35" t="s">
        <v>41</v>
      </c>
      <c r="BL140" s="37"/>
      <c r="BM140" s="37"/>
      <c r="BN140" s="34"/>
      <c r="BO140" s="35" t="s">
        <v>3584</v>
      </c>
      <c r="BP140" s="35" t="s">
        <v>3584</v>
      </c>
      <c r="BQ140" s="35" t="s">
        <v>8466</v>
      </c>
      <c r="BR140" s="34"/>
      <c r="BS140" s="37"/>
      <c r="BT140" s="34"/>
      <c r="BU140" s="35" t="s">
        <v>8467</v>
      </c>
      <c r="BV140" s="34"/>
      <c r="BW140" s="34"/>
      <c r="BX140" s="35" t="s">
        <v>8468</v>
      </c>
      <c r="BY140" s="34"/>
      <c r="BZ140" s="34"/>
      <c r="CA140" s="34"/>
      <c r="CB140" s="37"/>
      <c r="CC140" s="37"/>
      <c r="CD140" s="34"/>
      <c r="CE140" s="37"/>
      <c r="CF140" s="34"/>
      <c r="CG140" s="35" t="s">
        <v>3589</v>
      </c>
      <c r="CH140" s="34"/>
      <c r="CI140" s="34"/>
      <c r="CJ140" s="35" t="s">
        <v>3590</v>
      </c>
      <c r="CK140" s="34"/>
      <c r="CL140" s="35" t="s">
        <v>3591</v>
      </c>
      <c r="CM140" s="60">
        <v>45612.0</v>
      </c>
      <c r="CN140" s="37"/>
      <c r="CO140" s="34"/>
      <c r="CP140" s="37"/>
      <c r="CQ140" s="34"/>
      <c r="CR140" s="35" t="s">
        <v>5222</v>
      </c>
      <c r="CS140" s="34"/>
      <c r="CT140" s="34"/>
      <c r="CU140" s="35" t="s">
        <v>5222</v>
      </c>
      <c r="CV140" s="37"/>
      <c r="CW140" s="37"/>
      <c r="CX140" s="34"/>
      <c r="CY140" s="35" t="s">
        <v>3591</v>
      </c>
      <c r="CZ140" s="37"/>
      <c r="DA140" s="37"/>
      <c r="DB140" s="37"/>
      <c r="DC140" s="37"/>
      <c r="DD140" s="37"/>
      <c r="DE140" s="37"/>
      <c r="DF140" s="37"/>
      <c r="DG140" s="37"/>
      <c r="DH140" s="37"/>
      <c r="DI140" s="37"/>
      <c r="DJ140" s="37"/>
      <c r="DK140" s="37"/>
      <c r="DL140" s="37"/>
      <c r="DM140" s="37"/>
      <c r="DN140" s="37"/>
      <c r="DO140" s="37"/>
      <c r="DP140" s="37"/>
      <c r="DQ140" s="37"/>
      <c r="DR140" s="37"/>
      <c r="DS140" s="37"/>
      <c r="DT140" s="37"/>
      <c r="DU140" s="37"/>
      <c r="DV140" s="37"/>
      <c r="DW140" s="37"/>
      <c r="DX140" s="37"/>
      <c r="DY140" s="37"/>
      <c r="DZ140" s="37"/>
      <c r="EA140" s="37"/>
      <c r="EB140" s="37"/>
      <c r="EC140" s="37"/>
      <c r="ED140" s="37"/>
      <c r="EE140" s="37"/>
      <c r="EF140" s="34"/>
      <c r="EG140" s="37"/>
      <c r="EH140" s="37"/>
      <c r="EI140" s="34"/>
      <c r="EJ140" s="37"/>
      <c r="EK140" s="37"/>
      <c r="EL140" s="37"/>
      <c r="EM140" s="34"/>
      <c r="EN140" s="37"/>
      <c r="EO140" s="37"/>
      <c r="EP140" s="37"/>
      <c r="EQ140" s="37"/>
      <c r="ER140" s="35" t="s">
        <v>3612</v>
      </c>
      <c r="ES140" s="34"/>
      <c r="ET140" s="34"/>
      <c r="EU140" s="37"/>
      <c r="EV140" s="40" t="s">
        <v>3559</v>
      </c>
    </row>
    <row r="141">
      <c r="B141" s="35" t="s">
        <v>7387</v>
      </c>
      <c r="C141" s="37"/>
      <c r="D141" s="34"/>
      <c r="E141" s="35" t="s">
        <v>3867</v>
      </c>
      <c r="F141" s="35" t="s">
        <v>3897</v>
      </c>
      <c r="G141" s="35" t="s">
        <v>5092</v>
      </c>
      <c r="H141" s="35" t="s">
        <v>9985</v>
      </c>
      <c r="I141" s="60">
        <v>45320.0</v>
      </c>
      <c r="J141" s="35" t="s">
        <v>7046</v>
      </c>
      <c r="K141" s="35" t="s">
        <v>6118</v>
      </c>
      <c r="L141" s="35" t="s">
        <v>7389</v>
      </c>
      <c r="M141" s="34"/>
      <c r="N141" s="35" t="s">
        <v>9986</v>
      </c>
      <c r="O141" s="34"/>
      <c r="P141" s="35" t="s">
        <v>7390</v>
      </c>
      <c r="Q141" s="35"/>
      <c r="R141" s="35"/>
      <c r="S141" s="35"/>
      <c r="T141" s="35"/>
      <c r="U141" s="35"/>
      <c r="V141" s="35"/>
      <c r="W141" s="35"/>
      <c r="X141" s="34"/>
      <c r="Y141" s="35" t="s">
        <v>7390</v>
      </c>
      <c r="Z141" s="35" t="s">
        <v>7388</v>
      </c>
      <c r="AA141" s="35" t="s">
        <v>4962</v>
      </c>
      <c r="AB141" s="32">
        <v>0.54</v>
      </c>
      <c r="AC141" s="35" t="s">
        <v>5222</v>
      </c>
      <c r="AD141" s="35" t="s">
        <v>5222</v>
      </c>
      <c r="AE141" s="35" t="s">
        <v>3603</v>
      </c>
      <c r="AF141" s="36" t="s">
        <v>7391</v>
      </c>
      <c r="AG141" s="34"/>
      <c r="AH141" s="37"/>
      <c r="AI141" s="34"/>
      <c r="AJ141" s="34"/>
      <c r="AK141" s="34"/>
      <c r="AL141" s="32">
        <v>2019.0</v>
      </c>
      <c r="AM141" s="34"/>
      <c r="AN141" s="34"/>
      <c r="AO141" s="34"/>
      <c r="AP141" s="34"/>
      <c r="AQ141" s="34"/>
      <c r="AR141" s="34"/>
      <c r="AS141" s="37"/>
      <c r="AT141" s="37"/>
      <c r="AU141" s="37"/>
      <c r="AV141" s="37"/>
      <c r="AW141" s="37"/>
      <c r="AX141" s="37"/>
      <c r="AY141" s="37"/>
      <c r="AZ141" s="37"/>
      <c r="BA141" s="37"/>
      <c r="BB141" s="37"/>
      <c r="BC141" s="34"/>
      <c r="BD141" s="61"/>
      <c r="BE141" s="35" t="s">
        <v>3851</v>
      </c>
      <c r="BF141" s="35" t="s">
        <v>7392</v>
      </c>
      <c r="BG141" s="34"/>
      <c r="BH141" s="35" t="s">
        <v>616</v>
      </c>
      <c r="BI141" s="34"/>
      <c r="BJ141" s="37"/>
      <c r="BK141" s="35" t="s">
        <v>41</v>
      </c>
      <c r="BL141" s="37"/>
      <c r="BM141" s="37"/>
      <c r="BN141" s="34"/>
      <c r="BO141" s="35" t="s">
        <v>3584</v>
      </c>
      <c r="BP141" s="35" t="s">
        <v>3584</v>
      </c>
      <c r="BQ141" s="35" t="s">
        <v>7393</v>
      </c>
      <c r="BR141" s="34"/>
      <c r="BS141" s="37"/>
      <c r="BT141" s="34"/>
      <c r="BU141" s="34"/>
      <c r="BV141" s="34"/>
      <c r="BW141" s="34"/>
      <c r="BX141" s="34"/>
      <c r="BY141" s="34"/>
      <c r="BZ141" s="34"/>
      <c r="CA141" s="34"/>
      <c r="CB141" s="62">
        <v>43497.0</v>
      </c>
      <c r="CC141" s="32">
        <v>0.54</v>
      </c>
      <c r="CD141" s="35" t="s">
        <v>3593</v>
      </c>
      <c r="CE141" s="32">
        <v>10.86</v>
      </c>
      <c r="CF141" s="35" t="s">
        <v>3697</v>
      </c>
      <c r="CG141" s="35" t="s">
        <v>3663</v>
      </c>
      <c r="CH141" s="35" t="s">
        <v>3663</v>
      </c>
      <c r="CI141" s="34"/>
      <c r="CJ141" s="35" t="s">
        <v>3803</v>
      </c>
      <c r="CK141" s="34"/>
      <c r="CL141" s="35" t="s">
        <v>3591</v>
      </c>
      <c r="CM141" s="60">
        <v>45124.0</v>
      </c>
      <c r="CN141" s="37"/>
      <c r="CO141" s="34"/>
      <c r="CP141" s="37"/>
      <c r="CQ141" s="34"/>
      <c r="CR141" s="35" t="s">
        <v>5222</v>
      </c>
      <c r="CS141" s="34"/>
      <c r="CT141" s="34"/>
      <c r="CU141" s="35" t="s">
        <v>5222</v>
      </c>
      <c r="CV141" s="37"/>
      <c r="CW141" s="37"/>
      <c r="CX141" s="34"/>
      <c r="CY141" s="35" t="s">
        <v>3591</v>
      </c>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4"/>
      <c r="EG141" s="32">
        <v>10.86</v>
      </c>
      <c r="EH141" s="62">
        <v>43497.0</v>
      </c>
      <c r="EI141" s="35" t="s">
        <v>3663</v>
      </c>
      <c r="EJ141" s="37"/>
      <c r="EK141" s="37"/>
      <c r="EL141" s="37"/>
      <c r="EM141" s="34"/>
      <c r="EN141" s="37"/>
      <c r="EO141" s="37"/>
      <c r="EP141" s="37"/>
      <c r="EQ141" s="37"/>
      <c r="ER141" s="35" t="s">
        <v>9985</v>
      </c>
      <c r="ES141" s="34"/>
      <c r="ET141" s="35" t="s">
        <v>47</v>
      </c>
      <c r="EU141" s="32">
        <v>1.0</v>
      </c>
      <c r="EV141" s="40" t="s">
        <v>3559</v>
      </c>
    </row>
    <row r="142">
      <c r="B142" s="35" t="s">
        <v>6635</v>
      </c>
      <c r="C142" s="32">
        <v>3.0</v>
      </c>
      <c r="D142" s="35" t="s">
        <v>6641</v>
      </c>
      <c r="E142" s="35" t="s">
        <v>4560</v>
      </c>
      <c r="F142" s="35" t="s">
        <v>4561</v>
      </c>
      <c r="G142" s="35" t="s">
        <v>66</v>
      </c>
      <c r="H142" s="35" t="s">
        <v>3612</v>
      </c>
      <c r="I142" s="62">
        <v>44717.0</v>
      </c>
      <c r="J142" s="35" t="s">
        <v>5218</v>
      </c>
      <c r="K142" s="35" t="s">
        <v>3612</v>
      </c>
      <c r="L142" s="35" t="s">
        <v>6638</v>
      </c>
      <c r="M142" s="34"/>
      <c r="N142" s="35" t="s">
        <v>9987</v>
      </c>
      <c r="O142" s="35" t="s">
        <v>6636</v>
      </c>
      <c r="P142" s="35" t="s">
        <v>6639</v>
      </c>
      <c r="Q142" s="35"/>
      <c r="R142" s="35"/>
      <c r="S142" s="35"/>
      <c r="T142" s="35"/>
      <c r="U142" s="35"/>
      <c r="V142" s="35"/>
      <c r="W142" s="35"/>
      <c r="X142" s="34"/>
      <c r="Y142" s="35" t="s">
        <v>6639</v>
      </c>
      <c r="Z142" s="35" t="s">
        <v>6637</v>
      </c>
      <c r="AA142" s="35" t="s">
        <v>5018</v>
      </c>
      <c r="AB142" s="37"/>
      <c r="AC142" s="35" t="s">
        <v>5222</v>
      </c>
      <c r="AD142" s="35" t="s">
        <v>5222</v>
      </c>
      <c r="AE142" s="35" t="s">
        <v>3573</v>
      </c>
      <c r="AF142" s="36" t="s">
        <v>6640</v>
      </c>
      <c r="AG142" s="34"/>
      <c r="AH142" s="32">
        <v>3.0</v>
      </c>
      <c r="AI142" s="35" t="s">
        <v>6641</v>
      </c>
      <c r="AJ142" s="34"/>
      <c r="AK142" s="34"/>
      <c r="AL142" s="32">
        <v>2019.0</v>
      </c>
      <c r="AM142" s="34"/>
      <c r="AN142" s="34"/>
      <c r="AO142" s="34"/>
      <c r="AP142" s="34"/>
      <c r="AQ142" s="34"/>
      <c r="AR142" s="34"/>
      <c r="AS142" s="37"/>
      <c r="AT142" s="37"/>
      <c r="AU142" s="37"/>
      <c r="AV142" s="37"/>
      <c r="AW142" s="37"/>
      <c r="AX142" s="37"/>
      <c r="AY142" s="37"/>
      <c r="AZ142" s="37"/>
      <c r="BA142" s="37"/>
      <c r="BB142" s="37"/>
      <c r="BC142" s="34"/>
      <c r="BD142" s="61"/>
      <c r="BE142" s="35" t="s">
        <v>3581</v>
      </c>
      <c r="BF142" s="34"/>
      <c r="BG142" s="34"/>
      <c r="BH142" s="35" t="s">
        <v>75</v>
      </c>
      <c r="BI142" s="34"/>
      <c r="BJ142" s="37"/>
      <c r="BK142" s="35" t="s">
        <v>41</v>
      </c>
      <c r="BL142" s="37"/>
      <c r="BM142" s="37"/>
      <c r="BN142" s="34"/>
      <c r="BO142" s="35" t="s">
        <v>3584</v>
      </c>
      <c r="BP142" s="35" t="s">
        <v>3584</v>
      </c>
      <c r="BQ142" s="35" t="s">
        <v>6642</v>
      </c>
      <c r="BR142" s="34"/>
      <c r="BS142" s="37"/>
      <c r="BT142" s="34"/>
      <c r="BU142" s="35" t="s">
        <v>6643</v>
      </c>
      <c r="BV142" s="34"/>
      <c r="BW142" s="34"/>
      <c r="BX142" s="35" t="s">
        <v>6644</v>
      </c>
      <c r="BY142" s="34"/>
      <c r="BZ142" s="34"/>
      <c r="CA142" s="34"/>
      <c r="CB142" s="37"/>
      <c r="CC142" s="37"/>
      <c r="CD142" s="34"/>
      <c r="CE142" s="37"/>
      <c r="CF142" s="34"/>
      <c r="CG142" s="35" t="s">
        <v>3669</v>
      </c>
      <c r="CH142" s="34"/>
      <c r="CI142" s="34"/>
      <c r="CJ142" s="35" t="s">
        <v>3573</v>
      </c>
      <c r="CK142" s="34"/>
      <c r="CL142" s="35" t="s">
        <v>3591</v>
      </c>
      <c r="CM142" s="68">
        <v>44687.0</v>
      </c>
      <c r="CN142" s="37"/>
      <c r="CO142" s="34"/>
      <c r="CP142" s="37"/>
      <c r="CQ142" s="34"/>
      <c r="CR142" s="35" t="s">
        <v>5222</v>
      </c>
      <c r="CS142" s="34"/>
      <c r="CT142" s="34"/>
      <c r="CU142" s="35" t="s">
        <v>5222</v>
      </c>
      <c r="CV142" s="37"/>
      <c r="CW142" s="37"/>
      <c r="CX142" s="34"/>
      <c r="CY142" s="35" t="s">
        <v>3591</v>
      </c>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4"/>
      <c r="EG142" s="37"/>
      <c r="EH142" s="37"/>
      <c r="EI142" s="34"/>
      <c r="EJ142" s="37"/>
      <c r="EK142" s="37"/>
      <c r="EL142" s="37"/>
      <c r="EM142" s="34"/>
      <c r="EN142" s="37"/>
      <c r="EO142" s="37"/>
      <c r="EP142" s="37"/>
      <c r="EQ142" s="37"/>
      <c r="ER142" s="35" t="s">
        <v>3612</v>
      </c>
      <c r="ES142" s="34"/>
      <c r="ET142" s="34"/>
      <c r="EU142" s="37"/>
      <c r="EV142" s="40" t="s">
        <v>3559</v>
      </c>
    </row>
    <row r="143">
      <c r="B143" s="35" t="s">
        <v>9024</v>
      </c>
      <c r="C143" s="37"/>
      <c r="D143" s="34"/>
      <c r="E143" s="35" t="s">
        <v>3563</v>
      </c>
      <c r="F143" s="35" t="s">
        <v>3609</v>
      </c>
      <c r="G143" s="35" t="s">
        <v>4050</v>
      </c>
      <c r="H143" s="35" t="s">
        <v>8495</v>
      </c>
      <c r="I143" s="68">
        <v>45414.0</v>
      </c>
      <c r="J143" s="35" t="s">
        <v>9027</v>
      </c>
      <c r="K143" s="35" t="s">
        <v>8495</v>
      </c>
      <c r="L143" s="35" t="s">
        <v>9028</v>
      </c>
      <c r="M143" s="34"/>
      <c r="N143" s="34"/>
      <c r="O143" s="35" t="s">
        <v>9025</v>
      </c>
      <c r="P143" s="35" t="s">
        <v>9029</v>
      </c>
      <c r="Q143" s="35"/>
      <c r="R143" s="35"/>
      <c r="S143" s="35"/>
      <c r="T143" s="35"/>
      <c r="U143" s="35"/>
      <c r="V143" s="35"/>
      <c r="W143" s="35"/>
      <c r="X143" s="34"/>
      <c r="Y143" s="35" t="s">
        <v>9029</v>
      </c>
      <c r="Z143" s="35" t="s">
        <v>9026</v>
      </c>
      <c r="AA143" s="35" t="s">
        <v>5481</v>
      </c>
      <c r="AB143" s="37"/>
      <c r="AC143" s="35" t="s">
        <v>5222</v>
      </c>
      <c r="AD143" s="35" t="s">
        <v>5222</v>
      </c>
      <c r="AE143" s="35" t="s">
        <v>5147</v>
      </c>
      <c r="AF143" s="36" t="s">
        <v>9030</v>
      </c>
      <c r="AG143" s="34"/>
      <c r="AH143" s="37"/>
      <c r="AI143" s="34"/>
      <c r="AJ143" s="34"/>
      <c r="AK143" s="34"/>
      <c r="AL143" s="32">
        <v>2020.0</v>
      </c>
      <c r="AM143" s="34"/>
      <c r="AN143" s="34"/>
      <c r="AO143" s="34"/>
      <c r="AP143" s="34"/>
      <c r="AQ143" s="34"/>
      <c r="AR143" s="34"/>
      <c r="AS143" s="37"/>
      <c r="AT143" s="37"/>
      <c r="AU143" s="37"/>
      <c r="AV143" s="37"/>
      <c r="AW143" s="37"/>
      <c r="AX143" s="37"/>
      <c r="AY143" s="37"/>
      <c r="AZ143" s="37"/>
      <c r="BA143" s="37"/>
      <c r="BB143" s="37"/>
      <c r="BC143" s="34"/>
      <c r="BD143" s="61"/>
      <c r="BE143" s="35" t="s">
        <v>3744</v>
      </c>
      <c r="BF143" s="34"/>
      <c r="BG143" s="34"/>
      <c r="BH143" s="35" t="s">
        <v>183</v>
      </c>
      <c r="BI143" s="34"/>
      <c r="BJ143" s="37"/>
      <c r="BK143" s="35" t="s">
        <v>41</v>
      </c>
      <c r="BL143" s="37"/>
      <c r="BM143" s="37"/>
      <c r="BN143" s="34"/>
      <c r="BO143" s="35" t="s">
        <v>3584</v>
      </c>
      <c r="BP143" s="35" t="s">
        <v>3584</v>
      </c>
      <c r="BQ143" s="35" t="s">
        <v>9031</v>
      </c>
      <c r="BR143" s="34"/>
      <c r="BS143" s="37"/>
      <c r="BT143" s="34"/>
      <c r="BU143" s="35" t="s">
        <v>9032</v>
      </c>
      <c r="BV143" s="34"/>
      <c r="BW143" s="34"/>
      <c r="BX143" s="35" t="s">
        <v>8796</v>
      </c>
      <c r="BY143" s="34"/>
      <c r="BZ143" s="34"/>
      <c r="CA143" s="34"/>
      <c r="CB143" s="37"/>
      <c r="CC143" s="37"/>
      <c r="CD143" s="34"/>
      <c r="CE143" s="37"/>
      <c r="CF143" s="34"/>
      <c r="CG143" s="35" t="s">
        <v>3589</v>
      </c>
      <c r="CH143" s="34"/>
      <c r="CI143" s="34"/>
      <c r="CJ143" s="35" t="s">
        <v>3590</v>
      </c>
      <c r="CK143" s="34"/>
      <c r="CL143" s="35" t="s">
        <v>3591</v>
      </c>
      <c r="CM143" s="60">
        <v>44860.0</v>
      </c>
      <c r="CN143" s="37"/>
      <c r="CO143" s="34"/>
      <c r="CP143" s="37"/>
      <c r="CQ143" s="34"/>
      <c r="CR143" s="35" t="s">
        <v>5222</v>
      </c>
      <c r="CS143" s="34"/>
      <c r="CT143" s="34"/>
      <c r="CU143" s="35" t="s">
        <v>5222</v>
      </c>
      <c r="CV143" s="37"/>
      <c r="CW143" s="37"/>
      <c r="CX143" s="34"/>
      <c r="CY143" s="35" t="s">
        <v>3591</v>
      </c>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4"/>
      <c r="EG143" s="37"/>
      <c r="EH143" s="37"/>
      <c r="EI143" s="34"/>
      <c r="EJ143" s="37"/>
      <c r="EK143" s="37"/>
      <c r="EL143" s="37"/>
      <c r="EM143" s="34"/>
      <c r="EN143" s="37"/>
      <c r="EO143" s="37"/>
      <c r="EP143" s="37"/>
      <c r="EQ143" s="37"/>
      <c r="ER143" s="35" t="s">
        <v>8495</v>
      </c>
      <c r="ES143" s="34"/>
      <c r="ET143" s="35" t="s">
        <v>47</v>
      </c>
      <c r="EU143" s="32">
        <v>21.0</v>
      </c>
      <c r="EV143" s="40" t="s">
        <v>3559</v>
      </c>
    </row>
    <row r="144">
      <c r="B144" s="42" t="s">
        <v>8065</v>
      </c>
      <c r="C144" s="41">
        <v>8.0</v>
      </c>
      <c r="D144" s="42" t="s">
        <v>8074</v>
      </c>
      <c r="E144" s="42" t="s">
        <v>4560</v>
      </c>
      <c r="F144" s="42" t="s">
        <v>5163</v>
      </c>
      <c r="G144" s="42" t="s">
        <v>5164</v>
      </c>
      <c r="H144" s="42" t="s">
        <v>9988</v>
      </c>
      <c r="I144" s="65">
        <v>45909.0</v>
      </c>
      <c r="J144" s="42" t="s">
        <v>8069</v>
      </c>
      <c r="K144" s="42" t="s">
        <v>8070</v>
      </c>
      <c r="L144" s="42" t="s">
        <v>8071</v>
      </c>
      <c r="M144" s="43"/>
      <c r="N144" s="42" t="s">
        <v>9989</v>
      </c>
      <c r="O144" s="42" t="s">
        <v>8066</v>
      </c>
      <c r="P144" s="42" t="s">
        <v>8072</v>
      </c>
      <c r="Q144" s="45"/>
      <c r="R144" s="43"/>
      <c r="S144" s="45"/>
      <c r="T144" s="45"/>
      <c r="U144" s="43"/>
      <c r="V144" s="45"/>
      <c r="W144" s="45"/>
      <c r="X144" s="42" t="s">
        <v>9990</v>
      </c>
      <c r="Y144" s="42" t="s">
        <v>8072</v>
      </c>
      <c r="Z144" s="42" t="s">
        <v>8068</v>
      </c>
      <c r="AA144" s="42" t="s">
        <v>5018</v>
      </c>
      <c r="AB144" s="41">
        <v>2.0</v>
      </c>
      <c r="AC144" s="42" t="s">
        <v>5222</v>
      </c>
      <c r="AD144" s="42" t="s">
        <v>5222</v>
      </c>
      <c r="AE144" s="42" t="s">
        <v>3573</v>
      </c>
      <c r="AF144" s="44" t="s">
        <v>8073</v>
      </c>
      <c r="AG144" s="43"/>
      <c r="AH144" s="41">
        <v>8.0</v>
      </c>
      <c r="AI144" s="42" t="s">
        <v>8074</v>
      </c>
      <c r="AJ144" s="43"/>
      <c r="AK144" s="43"/>
      <c r="AL144" s="41">
        <v>2021.0</v>
      </c>
      <c r="AM144" s="43"/>
      <c r="AN144" s="43"/>
      <c r="AO144" s="43"/>
      <c r="AP144" s="43"/>
      <c r="AQ144" s="43"/>
      <c r="AR144" s="43"/>
      <c r="AS144" s="45"/>
      <c r="AT144" s="45"/>
      <c r="AU144" s="45"/>
      <c r="AV144" s="45"/>
      <c r="AW144" s="45"/>
      <c r="AX144" s="45"/>
      <c r="AY144" s="45"/>
      <c r="AZ144" s="45"/>
      <c r="BA144" s="45"/>
      <c r="BB144" s="45"/>
      <c r="BC144" s="43"/>
      <c r="BD144" s="64"/>
      <c r="BE144" s="42" t="s">
        <v>3581</v>
      </c>
      <c r="BF144" s="43"/>
      <c r="BG144" s="43"/>
      <c r="BH144" s="42" t="s">
        <v>75</v>
      </c>
      <c r="BI144" s="43"/>
      <c r="BJ144" s="45"/>
      <c r="BK144" s="42" t="s">
        <v>41</v>
      </c>
      <c r="BL144" s="45"/>
      <c r="BM144" s="45"/>
      <c r="BN144" s="43"/>
      <c r="BO144" s="42" t="s">
        <v>3584</v>
      </c>
      <c r="BP144" s="42" t="s">
        <v>3584</v>
      </c>
      <c r="BQ144" s="42" t="s">
        <v>8075</v>
      </c>
      <c r="BR144" s="43"/>
      <c r="BS144" s="45"/>
      <c r="BT144" s="43"/>
      <c r="BU144" s="42" t="s">
        <v>8076</v>
      </c>
      <c r="BV144" s="43"/>
      <c r="BW144" s="43"/>
      <c r="BX144" s="42" t="s">
        <v>8077</v>
      </c>
      <c r="BY144" s="43"/>
      <c r="BZ144" s="43"/>
      <c r="CA144" s="43"/>
      <c r="CB144" s="65">
        <v>44562.0</v>
      </c>
      <c r="CC144" s="41">
        <v>0.5</v>
      </c>
      <c r="CD144" s="42" t="s">
        <v>3593</v>
      </c>
      <c r="CE144" s="45"/>
      <c r="CF144" s="43"/>
      <c r="CG144" s="42" t="s">
        <v>3589</v>
      </c>
      <c r="CH144" s="43"/>
      <c r="CI144" s="43"/>
      <c r="CJ144" s="42" t="s">
        <v>3590</v>
      </c>
      <c r="CK144" s="43"/>
      <c r="CL144" s="42" t="s">
        <v>3591</v>
      </c>
      <c r="CM144" s="65">
        <v>45909.0</v>
      </c>
      <c r="CN144" s="45"/>
      <c r="CO144" s="43"/>
      <c r="CP144" s="45"/>
      <c r="CQ144" s="43"/>
      <c r="CR144" s="42" t="s">
        <v>5222</v>
      </c>
      <c r="CS144" s="43"/>
      <c r="CT144" s="43"/>
      <c r="CU144" s="42" t="s">
        <v>5222</v>
      </c>
      <c r="CV144" s="45"/>
      <c r="CW144" s="45"/>
      <c r="CX144" s="43"/>
      <c r="CY144" s="42" t="s">
        <v>3591</v>
      </c>
      <c r="CZ144" s="45"/>
      <c r="DA144" s="45"/>
      <c r="DB144" s="45"/>
      <c r="DC144" s="45"/>
      <c r="DD144" s="45"/>
      <c r="DE144" s="45"/>
      <c r="DF144" s="45"/>
      <c r="DG144" s="45"/>
      <c r="DH144" s="45"/>
      <c r="DI144" s="45"/>
      <c r="DJ144" s="45"/>
      <c r="DK144" s="45"/>
      <c r="DL144" s="45"/>
      <c r="DM144" s="45"/>
      <c r="DN144" s="45"/>
      <c r="DO144" s="45"/>
      <c r="DP144" s="45"/>
      <c r="DQ144" s="45"/>
      <c r="DR144" s="45"/>
      <c r="DS144" s="45"/>
      <c r="DT144" s="45"/>
      <c r="DU144" s="45"/>
      <c r="DV144" s="45"/>
      <c r="DW144" s="45"/>
      <c r="DX144" s="45"/>
      <c r="DY144" s="45"/>
      <c r="DZ144" s="45"/>
      <c r="EA144" s="45"/>
      <c r="EB144" s="45"/>
      <c r="EC144" s="45"/>
      <c r="ED144" s="45"/>
      <c r="EE144" s="45"/>
      <c r="EF144" s="43"/>
      <c r="EG144" s="45"/>
      <c r="EH144" s="45"/>
      <c r="EI144" s="43"/>
      <c r="EJ144" s="45"/>
      <c r="EK144" s="45"/>
      <c r="EL144" s="45"/>
      <c r="EM144" s="43"/>
      <c r="EN144" s="45"/>
      <c r="EO144" s="45"/>
      <c r="EP144" s="45"/>
      <c r="EQ144" s="45"/>
      <c r="ER144" s="42" t="s">
        <v>9988</v>
      </c>
      <c r="ES144" s="43"/>
      <c r="ET144" s="43"/>
      <c r="EU144" s="45"/>
      <c r="EV144" s="48" t="s">
        <v>3559</v>
      </c>
    </row>
    <row r="145">
      <c r="B145" s="42" t="s">
        <v>5466</v>
      </c>
      <c r="C145" s="45"/>
      <c r="D145" s="43"/>
      <c r="E145" s="42" t="s">
        <v>3563</v>
      </c>
      <c r="F145" s="42" t="s">
        <v>3564</v>
      </c>
      <c r="G145" s="42" t="s">
        <v>3565</v>
      </c>
      <c r="H145" s="42" t="s">
        <v>3612</v>
      </c>
      <c r="I145" s="63">
        <v>45644.0</v>
      </c>
      <c r="J145" s="42" t="s">
        <v>5468</v>
      </c>
      <c r="K145" s="42" t="s">
        <v>5073</v>
      </c>
      <c r="L145" s="42" t="s">
        <v>5469</v>
      </c>
      <c r="M145" s="43"/>
      <c r="N145" s="43"/>
      <c r="O145" s="43"/>
      <c r="P145" s="42" t="s">
        <v>5470</v>
      </c>
      <c r="Q145" s="42"/>
      <c r="R145" s="42"/>
      <c r="S145" s="42"/>
      <c r="T145" s="42"/>
      <c r="U145" s="42"/>
      <c r="V145" s="42"/>
      <c r="W145" s="42"/>
      <c r="X145" s="43"/>
      <c r="Y145" s="42" t="s">
        <v>5470</v>
      </c>
      <c r="Z145" s="42" t="s">
        <v>5467</v>
      </c>
      <c r="AA145" s="42" t="s">
        <v>4923</v>
      </c>
      <c r="AB145" s="45"/>
      <c r="AC145" s="42" t="s">
        <v>3571</v>
      </c>
      <c r="AD145" s="42" t="s">
        <v>4925</v>
      </c>
      <c r="AE145" s="42" t="s">
        <v>4926</v>
      </c>
      <c r="AF145" s="44" t="s">
        <v>5471</v>
      </c>
      <c r="AG145" s="43"/>
      <c r="AH145" s="45"/>
      <c r="AI145" s="43"/>
      <c r="AJ145" s="43"/>
      <c r="AK145" s="43"/>
      <c r="AL145" s="41">
        <v>2021.0</v>
      </c>
      <c r="AM145" s="43"/>
      <c r="AN145" s="43"/>
      <c r="AO145" s="43"/>
      <c r="AP145" s="43"/>
      <c r="AQ145" s="43"/>
      <c r="AR145" s="43"/>
      <c r="AS145" s="45"/>
      <c r="AT145" s="45"/>
      <c r="AU145" s="45"/>
      <c r="AV145" s="45"/>
      <c r="AW145" s="45"/>
      <c r="AX145" s="45"/>
      <c r="AY145" s="45"/>
      <c r="AZ145" s="45"/>
      <c r="BA145" s="45"/>
      <c r="BB145" s="45"/>
      <c r="BC145" s="43"/>
      <c r="BD145" s="64"/>
      <c r="BE145" s="42" t="s">
        <v>5472</v>
      </c>
      <c r="BF145" s="42" t="s">
        <v>5473</v>
      </c>
      <c r="BG145" s="43"/>
      <c r="BH145" s="42" t="s">
        <v>5474</v>
      </c>
      <c r="BI145" s="43"/>
      <c r="BJ145" s="45"/>
      <c r="BK145" s="42" t="s">
        <v>41</v>
      </c>
      <c r="BL145" s="45" t="str">
        <f>+972 (0)54 631 3796</f>
        <v>#ERROR!</v>
      </c>
      <c r="BM145" s="45"/>
      <c r="BN145" s="43"/>
      <c r="BO145" s="42" t="s">
        <v>3584</v>
      </c>
      <c r="BP145" s="42" t="s">
        <v>3584</v>
      </c>
      <c r="BQ145" s="43"/>
      <c r="BR145" s="43"/>
      <c r="BS145" s="45"/>
      <c r="BT145" s="43"/>
      <c r="BU145" s="43"/>
      <c r="BV145" s="43"/>
      <c r="BW145" s="43"/>
      <c r="BX145" s="43"/>
      <c r="BY145" s="43"/>
      <c r="BZ145" s="43"/>
      <c r="CA145" s="43"/>
      <c r="CB145" s="45"/>
      <c r="CC145" s="45"/>
      <c r="CD145" s="43"/>
      <c r="CE145" s="45"/>
      <c r="CF145" s="43"/>
      <c r="CG145" s="43"/>
      <c r="CH145" s="43"/>
      <c r="CI145" s="43"/>
      <c r="CJ145" s="43"/>
      <c r="CK145" s="43"/>
      <c r="CL145" s="43"/>
      <c r="CM145" s="45"/>
      <c r="CN145" s="45"/>
      <c r="CO145" s="43"/>
      <c r="CP145" s="45"/>
      <c r="CQ145" s="43"/>
      <c r="CR145" s="43"/>
      <c r="CS145" s="43"/>
      <c r="CT145" s="43"/>
      <c r="CU145" s="43"/>
      <c r="CV145" s="45"/>
      <c r="CW145" s="45"/>
      <c r="CX145" s="43"/>
      <c r="CY145" s="43"/>
      <c r="CZ145" s="45"/>
      <c r="DA145" s="45"/>
      <c r="DB145" s="45"/>
      <c r="DC145" s="45"/>
      <c r="DD145" s="45"/>
      <c r="DE145" s="45"/>
      <c r="DF145" s="45"/>
      <c r="DG145" s="45"/>
      <c r="DH145" s="45"/>
      <c r="DI145" s="45"/>
      <c r="DJ145" s="45"/>
      <c r="DK145" s="45"/>
      <c r="DL145" s="45"/>
      <c r="DM145" s="45"/>
      <c r="DN145" s="45"/>
      <c r="DO145" s="45"/>
      <c r="DP145" s="45"/>
      <c r="DQ145" s="45"/>
      <c r="DR145" s="45"/>
      <c r="DS145" s="45"/>
      <c r="DT145" s="45"/>
      <c r="DU145" s="45"/>
      <c r="DV145" s="45"/>
      <c r="DW145" s="45"/>
      <c r="DX145" s="45"/>
      <c r="DY145" s="45"/>
      <c r="DZ145" s="45"/>
      <c r="EA145" s="45"/>
      <c r="EB145" s="45"/>
      <c r="EC145" s="45"/>
      <c r="ED145" s="45"/>
      <c r="EE145" s="45"/>
      <c r="EF145" s="43"/>
      <c r="EG145" s="45"/>
      <c r="EH145" s="45"/>
      <c r="EI145" s="43"/>
      <c r="EJ145" s="45"/>
      <c r="EK145" s="45"/>
      <c r="EL145" s="45"/>
      <c r="EM145" s="43"/>
      <c r="EN145" s="45"/>
      <c r="EO145" s="45"/>
      <c r="EP145" s="45"/>
      <c r="EQ145" s="45"/>
      <c r="ER145" s="42" t="s">
        <v>3612</v>
      </c>
      <c r="ES145" s="43"/>
      <c r="ET145" s="43"/>
      <c r="EU145" s="45"/>
      <c r="EV145" s="48" t="s">
        <v>3559</v>
      </c>
    </row>
    <row r="146">
      <c r="B146" s="42" t="s">
        <v>7974</v>
      </c>
      <c r="C146" s="45"/>
      <c r="D146" s="43"/>
      <c r="E146" s="42" t="s">
        <v>3867</v>
      </c>
      <c r="F146" s="42" t="s">
        <v>3868</v>
      </c>
      <c r="G146" s="42" t="s">
        <v>3869</v>
      </c>
      <c r="H146" s="42" t="s">
        <v>8495</v>
      </c>
      <c r="I146" s="63">
        <v>45520.0</v>
      </c>
      <c r="J146" s="42" t="s">
        <v>4024</v>
      </c>
      <c r="K146" s="42" t="s">
        <v>7976</v>
      </c>
      <c r="L146" s="42" t="s">
        <v>7977</v>
      </c>
      <c r="M146" s="43"/>
      <c r="N146" s="43"/>
      <c r="O146" s="43"/>
      <c r="P146" s="42" t="s">
        <v>7979</v>
      </c>
      <c r="Q146" s="42"/>
      <c r="R146" s="42"/>
      <c r="S146" s="42"/>
      <c r="T146" s="42"/>
      <c r="U146" s="42"/>
      <c r="V146" s="42"/>
      <c r="W146" s="42"/>
      <c r="X146" s="43"/>
      <c r="Y146" s="42" t="s">
        <v>7979</v>
      </c>
      <c r="Z146" s="42" t="s">
        <v>7975</v>
      </c>
      <c r="AA146" s="42" t="s">
        <v>7978</v>
      </c>
      <c r="AB146" s="45"/>
      <c r="AC146" s="42" t="s">
        <v>3571</v>
      </c>
      <c r="AD146" s="42" t="s">
        <v>3572</v>
      </c>
      <c r="AE146" s="42" t="s">
        <v>3603</v>
      </c>
      <c r="AF146" s="43"/>
      <c r="AG146" s="43"/>
      <c r="AH146" s="45"/>
      <c r="AI146" s="43"/>
      <c r="AJ146" s="43"/>
      <c r="AK146" s="43"/>
      <c r="AL146" s="45"/>
      <c r="AM146" s="43"/>
      <c r="AN146" s="43"/>
      <c r="AO146" s="43"/>
      <c r="AP146" s="43"/>
      <c r="AQ146" s="43"/>
      <c r="AR146" s="43"/>
      <c r="AS146" s="45"/>
      <c r="AT146" s="45"/>
      <c r="AU146" s="45"/>
      <c r="AV146" s="45"/>
      <c r="AW146" s="45"/>
      <c r="AX146" s="45"/>
      <c r="AY146" s="45"/>
      <c r="AZ146" s="45"/>
      <c r="BA146" s="45"/>
      <c r="BB146" s="45"/>
      <c r="BC146" s="43"/>
      <c r="BD146" s="64"/>
      <c r="BE146" s="42" t="s">
        <v>41</v>
      </c>
      <c r="BF146" s="43"/>
      <c r="BG146" s="43"/>
      <c r="BH146" s="43"/>
      <c r="BI146" s="43"/>
      <c r="BJ146" s="45"/>
      <c r="BK146" s="42" t="s">
        <v>41</v>
      </c>
      <c r="BL146" s="45"/>
      <c r="BM146" s="45"/>
      <c r="BN146" s="43"/>
      <c r="BO146" s="42" t="s">
        <v>3584</v>
      </c>
      <c r="BP146" s="42" t="s">
        <v>3584</v>
      </c>
      <c r="BQ146" s="42" t="s">
        <v>7980</v>
      </c>
      <c r="BR146" s="42" t="s">
        <v>7981</v>
      </c>
      <c r="BS146" s="41">
        <v>3.0</v>
      </c>
      <c r="BT146" s="43"/>
      <c r="BU146" s="43"/>
      <c r="BV146" s="43"/>
      <c r="BW146" s="42" t="s">
        <v>7982</v>
      </c>
      <c r="BX146" s="43"/>
      <c r="BY146" s="43"/>
      <c r="BZ146" s="43"/>
      <c r="CA146" s="43"/>
      <c r="CB146" s="65">
        <v>43466.0</v>
      </c>
      <c r="CC146" s="45"/>
      <c r="CD146" s="43"/>
      <c r="CE146" s="45"/>
      <c r="CF146" s="43"/>
      <c r="CG146" s="42" t="s">
        <v>6093</v>
      </c>
      <c r="CH146" s="43"/>
      <c r="CI146" s="43"/>
      <c r="CJ146" s="42" t="s">
        <v>3663</v>
      </c>
      <c r="CK146" s="43"/>
      <c r="CL146" s="42" t="s">
        <v>3591</v>
      </c>
      <c r="CM146" s="65">
        <v>43466.0</v>
      </c>
      <c r="CN146" s="45"/>
      <c r="CO146" s="43"/>
      <c r="CP146" s="45"/>
      <c r="CQ146" s="43"/>
      <c r="CR146" s="42" t="s">
        <v>6093</v>
      </c>
      <c r="CS146" s="43"/>
      <c r="CT146" s="43"/>
      <c r="CU146" s="42" t="s">
        <v>3663</v>
      </c>
      <c r="CV146" s="45"/>
      <c r="CW146" s="45"/>
      <c r="CX146" s="43"/>
      <c r="CY146" s="42" t="s">
        <v>3591</v>
      </c>
      <c r="CZ146" s="45"/>
      <c r="DA146" s="45"/>
      <c r="DB146" s="45"/>
      <c r="DC146" s="45"/>
      <c r="DD146" s="45"/>
      <c r="DE146" s="45"/>
      <c r="DF146" s="45"/>
      <c r="DG146" s="45"/>
      <c r="DH146" s="45"/>
      <c r="DI146" s="45"/>
      <c r="DJ146" s="45"/>
      <c r="DK146" s="45"/>
      <c r="DL146" s="45"/>
      <c r="DM146" s="45"/>
      <c r="DN146" s="45"/>
      <c r="DO146" s="45"/>
      <c r="DP146" s="45"/>
      <c r="DQ146" s="45"/>
      <c r="DR146" s="45"/>
      <c r="DS146" s="45"/>
      <c r="DT146" s="45"/>
      <c r="DU146" s="45"/>
      <c r="DV146" s="45"/>
      <c r="DW146" s="45"/>
      <c r="DX146" s="45"/>
      <c r="DY146" s="45"/>
      <c r="DZ146" s="45"/>
      <c r="EA146" s="45"/>
      <c r="EB146" s="45"/>
      <c r="EC146" s="45"/>
      <c r="ED146" s="45"/>
      <c r="EE146" s="45"/>
      <c r="EF146" s="43"/>
      <c r="EG146" s="45"/>
      <c r="EH146" s="45"/>
      <c r="EI146" s="43"/>
      <c r="EJ146" s="45"/>
      <c r="EK146" s="45"/>
      <c r="EL146" s="45"/>
      <c r="EM146" s="43"/>
      <c r="EN146" s="45"/>
      <c r="EO146" s="45"/>
      <c r="EP146" s="45"/>
      <c r="EQ146" s="45"/>
      <c r="ER146" s="42" t="s">
        <v>8495</v>
      </c>
      <c r="ES146" s="43"/>
      <c r="ET146" s="42" t="s">
        <v>47</v>
      </c>
      <c r="EU146" s="41">
        <v>19.0</v>
      </c>
      <c r="EV146" s="48" t="s">
        <v>3559</v>
      </c>
    </row>
    <row r="147">
      <c r="B147" s="42" t="s">
        <v>6115</v>
      </c>
      <c r="C147" s="45"/>
      <c r="D147" s="43"/>
      <c r="E147" s="42" t="s">
        <v>4560</v>
      </c>
      <c r="F147" s="42" t="s">
        <v>4561</v>
      </c>
      <c r="G147" s="42" t="s">
        <v>5511</v>
      </c>
      <c r="H147" s="42" t="s">
        <v>9985</v>
      </c>
      <c r="I147" s="65">
        <v>45328.0</v>
      </c>
      <c r="J147" s="42" t="s">
        <v>6117</v>
      </c>
      <c r="K147" s="42" t="s">
        <v>6118</v>
      </c>
      <c r="L147" s="42" t="s">
        <v>6119</v>
      </c>
      <c r="M147" s="43"/>
      <c r="N147" s="42" t="s">
        <v>9991</v>
      </c>
      <c r="O147" s="43"/>
      <c r="P147" s="42" t="s">
        <v>6120</v>
      </c>
      <c r="Q147" s="42"/>
      <c r="R147" s="42"/>
      <c r="S147" s="42"/>
      <c r="T147" s="42"/>
      <c r="U147" s="42"/>
      <c r="V147" s="42"/>
      <c r="W147" s="42"/>
      <c r="X147" s="43"/>
      <c r="Y147" s="42" t="s">
        <v>6120</v>
      </c>
      <c r="Z147" s="42" t="s">
        <v>6116</v>
      </c>
      <c r="AA147" s="42" t="s">
        <v>4923</v>
      </c>
      <c r="AB147" s="45"/>
      <c r="AC147" s="42" t="s">
        <v>6041</v>
      </c>
      <c r="AD147" s="42" t="s">
        <v>4925</v>
      </c>
      <c r="AE147" s="42" t="s">
        <v>4926</v>
      </c>
      <c r="AF147" s="44" t="s">
        <v>6121</v>
      </c>
      <c r="AG147" s="43"/>
      <c r="AH147" s="45"/>
      <c r="AI147" s="43"/>
      <c r="AJ147" s="43"/>
      <c r="AK147" s="43"/>
      <c r="AL147" s="45"/>
      <c r="AM147" s="43"/>
      <c r="AN147" s="43"/>
      <c r="AO147" s="43"/>
      <c r="AP147" s="43"/>
      <c r="AQ147" s="43"/>
      <c r="AR147" s="43"/>
      <c r="AS147" s="45"/>
      <c r="AT147" s="45"/>
      <c r="AU147" s="45"/>
      <c r="AV147" s="45"/>
      <c r="AW147" s="45"/>
      <c r="AX147" s="45"/>
      <c r="AY147" s="45"/>
      <c r="AZ147" s="45"/>
      <c r="BA147" s="45"/>
      <c r="BB147" s="45"/>
      <c r="BC147" s="43"/>
      <c r="BD147" s="64"/>
      <c r="BE147" s="42" t="s">
        <v>3581</v>
      </c>
      <c r="BF147" s="42" t="s">
        <v>6122</v>
      </c>
      <c r="BG147" s="43"/>
      <c r="BH147" s="42" t="s">
        <v>75</v>
      </c>
      <c r="BI147" s="43"/>
      <c r="BJ147" s="41">
        <v>65603.0</v>
      </c>
      <c r="BK147" s="42" t="s">
        <v>41</v>
      </c>
      <c r="BL147" s="45" t="str">
        <f>+972 (0)55 997 5010</f>
        <v>#ERROR!</v>
      </c>
      <c r="BM147" s="45"/>
      <c r="BN147" s="42" t="s">
        <v>6123</v>
      </c>
      <c r="BO147" s="42" t="s">
        <v>3584</v>
      </c>
      <c r="BP147" s="42" t="s">
        <v>3584</v>
      </c>
      <c r="BQ147" s="43"/>
      <c r="BR147" s="43"/>
      <c r="BS147" s="45"/>
      <c r="BT147" s="43"/>
      <c r="BU147" s="43"/>
      <c r="BV147" s="43"/>
      <c r="BW147" s="43"/>
      <c r="BX147" s="43"/>
      <c r="BY147" s="43"/>
      <c r="BZ147" s="43"/>
      <c r="CA147" s="43"/>
      <c r="CB147" s="45"/>
      <c r="CC147" s="45"/>
      <c r="CD147" s="43"/>
      <c r="CE147" s="45"/>
      <c r="CF147" s="43"/>
      <c r="CG147" s="43"/>
      <c r="CH147" s="43"/>
      <c r="CI147" s="43"/>
      <c r="CJ147" s="43"/>
      <c r="CK147" s="43"/>
      <c r="CL147" s="43"/>
      <c r="CM147" s="45"/>
      <c r="CN147" s="45"/>
      <c r="CO147" s="43"/>
      <c r="CP147" s="45"/>
      <c r="CQ147" s="43"/>
      <c r="CR147" s="43"/>
      <c r="CS147" s="43"/>
      <c r="CT147" s="43"/>
      <c r="CU147" s="43"/>
      <c r="CV147" s="45"/>
      <c r="CW147" s="45"/>
      <c r="CX147" s="43"/>
      <c r="CY147" s="43"/>
      <c r="CZ147" s="45"/>
      <c r="DA147" s="45"/>
      <c r="DB147" s="45"/>
      <c r="DC147" s="45"/>
      <c r="DD147" s="45"/>
      <c r="DE147" s="45"/>
      <c r="DF147" s="45"/>
      <c r="DG147" s="45"/>
      <c r="DH147" s="45"/>
      <c r="DI147" s="45"/>
      <c r="DJ147" s="45"/>
      <c r="DK147" s="45"/>
      <c r="DL147" s="45"/>
      <c r="DM147" s="45"/>
      <c r="DN147" s="45"/>
      <c r="DO147" s="45"/>
      <c r="DP147" s="45"/>
      <c r="DQ147" s="45"/>
      <c r="DR147" s="45"/>
      <c r="DS147" s="45"/>
      <c r="DT147" s="45"/>
      <c r="DU147" s="45"/>
      <c r="DV147" s="45"/>
      <c r="DW147" s="45"/>
      <c r="DX147" s="45"/>
      <c r="DY147" s="45"/>
      <c r="DZ147" s="45"/>
      <c r="EA147" s="45"/>
      <c r="EB147" s="45"/>
      <c r="EC147" s="45"/>
      <c r="ED147" s="45"/>
      <c r="EE147" s="45"/>
      <c r="EF147" s="43"/>
      <c r="EG147" s="45"/>
      <c r="EH147" s="45"/>
      <c r="EI147" s="43"/>
      <c r="EJ147" s="45"/>
      <c r="EK147" s="45"/>
      <c r="EL147" s="45"/>
      <c r="EM147" s="43"/>
      <c r="EN147" s="45"/>
      <c r="EO147" s="45"/>
      <c r="EP147" s="45"/>
      <c r="EQ147" s="45"/>
      <c r="ER147" s="42" t="s">
        <v>9985</v>
      </c>
      <c r="ES147" s="43"/>
      <c r="ET147" s="42" t="s">
        <v>47</v>
      </c>
      <c r="EU147" s="41">
        <v>2.0</v>
      </c>
      <c r="EV147" s="48" t="s">
        <v>3559</v>
      </c>
    </row>
    <row r="148">
      <c r="B148" s="35" t="s">
        <v>5879</v>
      </c>
      <c r="C148" s="37"/>
      <c r="D148" s="34"/>
      <c r="E148" s="35" t="s">
        <v>4560</v>
      </c>
      <c r="F148" s="35" t="s">
        <v>4561</v>
      </c>
      <c r="G148" s="35" t="s">
        <v>5883</v>
      </c>
      <c r="H148" s="35" t="s">
        <v>3612</v>
      </c>
      <c r="I148" s="60">
        <v>45322.0</v>
      </c>
      <c r="J148" s="35" t="s">
        <v>5884</v>
      </c>
      <c r="K148" s="35" t="s">
        <v>3612</v>
      </c>
      <c r="L148" s="35" t="s">
        <v>5885</v>
      </c>
      <c r="M148" s="34"/>
      <c r="N148" s="35" t="s">
        <v>5880</v>
      </c>
      <c r="O148" s="35" t="s">
        <v>5881</v>
      </c>
      <c r="P148" s="35" t="s">
        <v>5886</v>
      </c>
      <c r="Q148" s="35"/>
      <c r="R148" s="35"/>
      <c r="S148" s="35"/>
      <c r="T148" s="35"/>
      <c r="U148" s="35"/>
      <c r="V148" s="35"/>
      <c r="W148" s="35"/>
      <c r="X148" s="34"/>
      <c r="Y148" s="35" t="s">
        <v>5886</v>
      </c>
      <c r="Z148" s="35" t="s">
        <v>5882</v>
      </c>
      <c r="AA148" s="35" t="s">
        <v>5075</v>
      </c>
      <c r="AB148" s="37"/>
      <c r="AC148" s="35" t="s">
        <v>5222</v>
      </c>
      <c r="AD148" s="35" t="s">
        <v>5222</v>
      </c>
      <c r="AE148" s="35" t="s">
        <v>4391</v>
      </c>
      <c r="AF148" s="36" t="s">
        <v>5887</v>
      </c>
      <c r="AG148" s="34"/>
      <c r="AH148" s="37"/>
      <c r="AI148" s="34"/>
      <c r="AJ148" s="34"/>
      <c r="AK148" s="34"/>
      <c r="AL148" s="37"/>
      <c r="AM148" s="34"/>
      <c r="AN148" s="34"/>
      <c r="AO148" s="34"/>
      <c r="AP148" s="34"/>
      <c r="AQ148" s="34"/>
      <c r="AR148" s="34"/>
      <c r="AS148" s="37"/>
      <c r="AT148" s="37"/>
      <c r="AU148" s="37"/>
      <c r="AV148" s="37"/>
      <c r="AW148" s="37"/>
      <c r="AX148" s="37"/>
      <c r="AY148" s="37"/>
      <c r="AZ148" s="37"/>
      <c r="BA148" s="37"/>
      <c r="BB148" s="37"/>
      <c r="BC148" s="34"/>
      <c r="BD148" s="61"/>
      <c r="BE148" s="35" t="s">
        <v>3654</v>
      </c>
      <c r="BF148" s="35" t="s">
        <v>5888</v>
      </c>
      <c r="BG148" s="35" t="s">
        <v>5889</v>
      </c>
      <c r="BH148" s="35" t="s">
        <v>147</v>
      </c>
      <c r="BI148" s="34"/>
      <c r="BJ148" s="37"/>
      <c r="BK148" s="35" t="s">
        <v>41</v>
      </c>
      <c r="BL148" s="37"/>
      <c r="BM148" s="37"/>
      <c r="BN148" s="34"/>
      <c r="BO148" s="35" t="s">
        <v>3584</v>
      </c>
      <c r="BP148" s="35" t="s">
        <v>3584</v>
      </c>
      <c r="BQ148" s="35" t="s">
        <v>5890</v>
      </c>
      <c r="BR148" s="34"/>
      <c r="BS148" s="37"/>
      <c r="BT148" s="34"/>
      <c r="BU148" s="35" t="s">
        <v>5891</v>
      </c>
      <c r="BV148" s="34"/>
      <c r="BW148" s="34"/>
      <c r="BX148" s="35" t="s">
        <v>5892</v>
      </c>
      <c r="BY148" s="34"/>
      <c r="BZ148" s="34"/>
      <c r="CA148" s="34"/>
      <c r="CB148" s="37"/>
      <c r="CC148" s="37"/>
      <c r="CD148" s="34"/>
      <c r="CE148" s="37"/>
      <c r="CF148" s="34"/>
      <c r="CG148" s="35" t="s">
        <v>3669</v>
      </c>
      <c r="CH148" s="34"/>
      <c r="CI148" s="34"/>
      <c r="CJ148" s="35" t="s">
        <v>3573</v>
      </c>
      <c r="CK148" s="34"/>
      <c r="CL148" s="35" t="s">
        <v>3591</v>
      </c>
      <c r="CM148" s="60">
        <v>45001.0</v>
      </c>
      <c r="CN148" s="37"/>
      <c r="CO148" s="34"/>
      <c r="CP148" s="37"/>
      <c r="CQ148" s="34"/>
      <c r="CR148" s="35" t="s">
        <v>5222</v>
      </c>
      <c r="CS148" s="34"/>
      <c r="CT148" s="34"/>
      <c r="CU148" s="35" t="s">
        <v>5222</v>
      </c>
      <c r="CV148" s="37"/>
      <c r="CW148" s="37"/>
      <c r="CX148" s="34"/>
      <c r="CY148" s="35" t="s">
        <v>3591</v>
      </c>
      <c r="CZ148" s="37"/>
      <c r="DA148" s="37"/>
      <c r="DB148" s="37"/>
      <c r="DC148" s="37"/>
      <c r="DD148" s="37"/>
      <c r="DE148" s="37"/>
      <c r="DF148" s="37"/>
      <c r="DG148" s="37"/>
      <c r="DH148" s="37"/>
      <c r="DI148" s="37"/>
      <c r="DJ148" s="37"/>
      <c r="DK148" s="37"/>
      <c r="DL148" s="37"/>
      <c r="DM148" s="37"/>
      <c r="DN148" s="37"/>
      <c r="DO148" s="37"/>
      <c r="DP148" s="37"/>
      <c r="DQ148" s="37"/>
      <c r="DR148" s="37"/>
      <c r="DS148" s="37"/>
      <c r="DT148" s="37"/>
      <c r="DU148" s="37"/>
      <c r="DV148" s="37"/>
      <c r="DW148" s="37"/>
      <c r="DX148" s="37"/>
      <c r="DY148" s="37"/>
      <c r="DZ148" s="37"/>
      <c r="EA148" s="37"/>
      <c r="EB148" s="37"/>
      <c r="EC148" s="37"/>
      <c r="ED148" s="37"/>
      <c r="EE148" s="37"/>
      <c r="EF148" s="34"/>
      <c r="EG148" s="37"/>
      <c r="EH148" s="37"/>
      <c r="EI148" s="34"/>
      <c r="EJ148" s="37"/>
      <c r="EK148" s="37"/>
      <c r="EL148" s="37"/>
      <c r="EM148" s="34"/>
      <c r="EN148" s="37"/>
      <c r="EO148" s="37"/>
      <c r="EP148" s="37"/>
      <c r="EQ148" s="37"/>
      <c r="ER148" s="35" t="s">
        <v>3612</v>
      </c>
      <c r="ES148" s="34"/>
      <c r="ET148" s="34"/>
      <c r="EU148" s="37"/>
      <c r="EV148" s="40" t="s">
        <v>3559</v>
      </c>
    </row>
    <row r="149">
      <c r="B149" s="42" t="s">
        <v>7104</v>
      </c>
      <c r="C149" s="45"/>
      <c r="D149" s="43"/>
      <c r="E149" s="42" t="s">
        <v>3867</v>
      </c>
      <c r="F149" s="42" t="s">
        <v>3868</v>
      </c>
      <c r="G149" s="42" t="s">
        <v>3869</v>
      </c>
      <c r="H149" s="42" t="s">
        <v>8495</v>
      </c>
      <c r="I149" s="63">
        <v>45183.0</v>
      </c>
      <c r="J149" s="42" t="s">
        <v>3925</v>
      </c>
      <c r="K149" s="42" t="s">
        <v>6762</v>
      </c>
      <c r="L149" s="42" t="s">
        <v>7106</v>
      </c>
      <c r="M149" s="43"/>
      <c r="N149" s="43"/>
      <c r="O149" s="43"/>
      <c r="P149" s="42" t="s">
        <v>7107</v>
      </c>
      <c r="Q149" s="42"/>
      <c r="R149" s="42"/>
      <c r="S149" s="42"/>
      <c r="T149" s="42"/>
      <c r="U149" s="42"/>
      <c r="V149" s="42"/>
      <c r="W149" s="42"/>
      <c r="X149" s="43"/>
      <c r="Y149" s="42" t="s">
        <v>7107</v>
      </c>
      <c r="Z149" s="42" t="s">
        <v>7105</v>
      </c>
      <c r="AA149" s="42" t="s">
        <v>4962</v>
      </c>
      <c r="AB149" s="45"/>
      <c r="AC149" s="42" t="s">
        <v>3571</v>
      </c>
      <c r="AD149" s="42" t="s">
        <v>5020</v>
      </c>
      <c r="AE149" s="42" t="s">
        <v>3603</v>
      </c>
      <c r="AF149" s="43"/>
      <c r="AG149" s="43"/>
      <c r="AH149" s="45"/>
      <c r="AI149" s="43"/>
      <c r="AJ149" s="43"/>
      <c r="AK149" s="43"/>
      <c r="AL149" s="45"/>
      <c r="AM149" s="43"/>
      <c r="AN149" s="43"/>
      <c r="AO149" s="43"/>
      <c r="AP149" s="43"/>
      <c r="AQ149" s="43"/>
      <c r="AR149" s="43"/>
      <c r="AS149" s="45"/>
      <c r="AT149" s="45"/>
      <c r="AU149" s="45"/>
      <c r="AV149" s="45"/>
      <c r="AW149" s="45"/>
      <c r="AX149" s="45"/>
      <c r="AY149" s="45"/>
      <c r="AZ149" s="45"/>
      <c r="BA149" s="45"/>
      <c r="BB149" s="45"/>
      <c r="BC149" s="43"/>
      <c r="BD149" s="64"/>
      <c r="BE149" s="42" t="s">
        <v>4448</v>
      </c>
      <c r="BF149" s="43"/>
      <c r="BG149" s="43"/>
      <c r="BH149" s="42" t="s">
        <v>485</v>
      </c>
      <c r="BI149" s="43"/>
      <c r="BJ149" s="45"/>
      <c r="BK149" s="42" t="s">
        <v>41</v>
      </c>
      <c r="BL149" s="45"/>
      <c r="BM149" s="45"/>
      <c r="BN149" s="43"/>
      <c r="BO149" s="42" t="s">
        <v>3584</v>
      </c>
      <c r="BP149" s="42" t="s">
        <v>3584</v>
      </c>
      <c r="BQ149" s="42" t="s">
        <v>7108</v>
      </c>
      <c r="BR149" s="43"/>
      <c r="BS149" s="45"/>
      <c r="BT149" s="42" t="s">
        <v>7109</v>
      </c>
      <c r="BU149" s="42" t="s">
        <v>7110</v>
      </c>
      <c r="BV149" s="43"/>
      <c r="BW149" s="43"/>
      <c r="BX149" s="42" t="s">
        <v>7111</v>
      </c>
      <c r="BY149" s="43"/>
      <c r="BZ149" s="43"/>
      <c r="CA149" s="43"/>
      <c r="CB149" s="65">
        <v>42800.0</v>
      </c>
      <c r="CC149" s="45"/>
      <c r="CD149" s="43"/>
      <c r="CE149" s="45"/>
      <c r="CF149" s="43"/>
      <c r="CG149" s="42" t="s">
        <v>4977</v>
      </c>
      <c r="CH149" s="42" t="s">
        <v>5708</v>
      </c>
      <c r="CI149" s="43"/>
      <c r="CJ149" s="42" t="s">
        <v>3663</v>
      </c>
      <c r="CK149" s="43"/>
      <c r="CL149" s="42" t="s">
        <v>3591</v>
      </c>
      <c r="CM149" s="65">
        <v>42800.0</v>
      </c>
      <c r="CN149" s="45"/>
      <c r="CO149" s="43"/>
      <c r="CP149" s="45"/>
      <c r="CQ149" s="43"/>
      <c r="CR149" s="42" t="s">
        <v>4977</v>
      </c>
      <c r="CS149" s="42" t="s">
        <v>5708</v>
      </c>
      <c r="CT149" s="43"/>
      <c r="CU149" s="42" t="s">
        <v>3663</v>
      </c>
      <c r="CV149" s="45"/>
      <c r="CW149" s="45"/>
      <c r="CX149" s="43"/>
      <c r="CY149" s="42" t="s">
        <v>3591</v>
      </c>
      <c r="CZ149" s="45"/>
      <c r="DA149" s="45"/>
      <c r="DB149" s="45"/>
      <c r="DC149" s="45"/>
      <c r="DD149" s="45"/>
      <c r="DE149" s="45"/>
      <c r="DF149" s="45"/>
      <c r="DG149" s="45"/>
      <c r="DH149" s="45"/>
      <c r="DI149" s="45"/>
      <c r="DJ149" s="45"/>
      <c r="DK149" s="45"/>
      <c r="DL149" s="45"/>
      <c r="DM149" s="45"/>
      <c r="DN149" s="45"/>
      <c r="DO149" s="45"/>
      <c r="DP149" s="45"/>
      <c r="DQ149" s="45"/>
      <c r="DR149" s="45"/>
      <c r="DS149" s="45"/>
      <c r="DT149" s="45"/>
      <c r="DU149" s="45"/>
      <c r="DV149" s="45"/>
      <c r="DW149" s="45"/>
      <c r="DX149" s="45"/>
      <c r="DY149" s="45"/>
      <c r="DZ149" s="45"/>
      <c r="EA149" s="45"/>
      <c r="EB149" s="45"/>
      <c r="EC149" s="45"/>
      <c r="ED149" s="45"/>
      <c r="EE149" s="45"/>
      <c r="EF149" s="43"/>
      <c r="EG149" s="45"/>
      <c r="EH149" s="45"/>
      <c r="EI149" s="43"/>
      <c r="EJ149" s="45"/>
      <c r="EK149" s="45"/>
      <c r="EL149" s="45"/>
      <c r="EM149" s="43"/>
      <c r="EN149" s="45"/>
      <c r="EO149" s="45"/>
      <c r="EP149" s="45"/>
      <c r="EQ149" s="45"/>
      <c r="ER149" s="42" t="s">
        <v>8495</v>
      </c>
      <c r="ES149" s="43"/>
      <c r="ET149" s="42" t="s">
        <v>47</v>
      </c>
      <c r="EU149" s="41">
        <v>17.0</v>
      </c>
      <c r="EV149" s="48" t="s">
        <v>3559</v>
      </c>
    </row>
    <row r="150">
      <c r="BD150" s="56"/>
    </row>
    <row r="151">
      <c r="BD151" s="56"/>
    </row>
    <row r="152">
      <c r="BD152" s="56"/>
    </row>
    <row r="153">
      <c r="BD153" s="56"/>
    </row>
    <row r="154">
      <c r="BD154" s="56"/>
    </row>
    <row r="155">
      <c r="BD155" s="56"/>
    </row>
    <row r="156">
      <c r="BD156" s="56"/>
    </row>
    <row r="157">
      <c r="BD157" s="56"/>
    </row>
    <row r="158">
      <c r="BD158" s="56"/>
    </row>
    <row r="159">
      <c r="BD159" s="56"/>
    </row>
    <row r="160">
      <c r="BD160" s="56"/>
    </row>
    <row r="161">
      <c r="BD161" s="56"/>
    </row>
    <row r="162">
      <c r="BD162" s="56"/>
    </row>
    <row r="163">
      <c r="BD163" s="56"/>
    </row>
    <row r="164">
      <c r="BD164" s="56"/>
    </row>
    <row r="165">
      <c r="BD165" s="56"/>
    </row>
    <row r="166">
      <c r="BD166" s="56"/>
    </row>
    <row r="167">
      <c r="BD167" s="56"/>
    </row>
    <row r="168">
      <c r="BD168" s="56"/>
    </row>
    <row r="169">
      <c r="BD169" s="56"/>
    </row>
    <row r="170">
      <c r="BD170" s="56"/>
    </row>
    <row r="171">
      <c r="BD171" s="56"/>
    </row>
    <row r="172">
      <c r="BD172" s="56"/>
    </row>
    <row r="173">
      <c r="BD173" s="56"/>
    </row>
    <row r="174">
      <c r="BD174" s="56"/>
    </row>
    <row r="175">
      <c r="BD175" s="56"/>
    </row>
    <row r="176">
      <c r="BD176" s="56"/>
    </row>
    <row r="177">
      <c r="BD177" s="56"/>
    </row>
    <row r="178">
      <c r="BD178" s="56"/>
    </row>
    <row r="179">
      <c r="BD179" s="56"/>
    </row>
    <row r="180">
      <c r="BD180" s="56"/>
    </row>
    <row r="181">
      <c r="BD181" s="56"/>
    </row>
    <row r="182">
      <c r="BD182" s="56"/>
    </row>
    <row r="183">
      <c r="BD183" s="56"/>
    </row>
    <row r="184">
      <c r="BD184" s="56"/>
    </row>
    <row r="185">
      <c r="BD185" s="56"/>
    </row>
    <row r="186">
      <c r="BD186" s="56"/>
    </row>
    <row r="187">
      <c r="BD187" s="56"/>
    </row>
    <row r="188">
      <c r="BD188" s="56"/>
    </row>
    <row r="189">
      <c r="BD189" s="56"/>
    </row>
    <row r="190">
      <c r="BD190" s="56"/>
    </row>
    <row r="191">
      <c r="BD191" s="56"/>
    </row>
    <row r="192">
      <c r="BD192" s="56"/>
    </row>
    <row r="193">
      <c r="BD193" s="56"/>
    </row>
    <row r="194">
      <c r="BD194" s="56"/>
    </row>
    <row r="195">
      <c r="BD195" s="56"/>
    </row>
    <row r="196">
      <c r="BD196" s="56"/>
    </row>
    <row r="197">
      <c r="BD197" s="56"/>
    </row>
    <row r="198">
      <c r="BD198" s="56"/>
    </row>
    <row r="199">
      <c r="BD199" s="56"/>
    </row>
    <row r="200">
      <c r="BD200" s="56"/>
    </row>
    <row r="201">
      <c r="BD201" s="56"/>
    </row>
    <row r="202">
      <c r="BD202" s="56"/>
    </row>
    <row r="203">
      <c r="BD203" s="56"/>
    </row>
    <row r="204">
      <c r="BD204" s="56"/>
    </row>
    <row r="205">
      <c r="BD205" s="56"/>
    </row>
    <row r="206">
      <c r="BD206" s="56"/>
    </row>
    <row r="207">
      <c r="BD207" s="56"/>
    </row>
    <row r="208">
      <c r="BD208" s="56"/>
    </row>
    <row r="209">
      <c r="BD209" s="56"/>
    </row>
    <row r="210">
      <c r="BD210" s="56"/>
    </row>
    <row r="211">
      <c r="BD211" s="56"/>
    </row>
    <row r="212">
      <c r="BD212" s="56"/>
    </row>
    <row r="213">
      <c r="BD213" s="56"/>
    </row>
    <row r="214">
      <c r="BD214" s="56"/>
    </row>
    <row r="215">
      <c r="BD215" s="56"/>
    </row>
    <row r="216">
      <c r="BD216" s="56"/>
    </row>
    <row r="217">
      <c r="BD217" s="56"/>
    </row>
    <row r="218">
      <c r="BD218" s="56"/>
    </row>
    <row r="219">
      <c r="BD219" s="56"/>
    </row>
    <row r="220">
      <c r="BD220" s="56"/>
    </row>
    <row r="221">
      <c r="BD221" s="56"/>
    </row>
    <row r="222">
      <c r="BD222" s="56"/>
    </row>
    <row r="223">
      <c r="BD223" s="56"/>
    </row>
    <row r="224">
      <c r="BD224" s="56"/>
    </row>
    <row r="225">
      <c r="BD225" s="56"/>
    </row>
    <row r="226">
      <c r="BD226" s="56"/>
    </row>
    <row r="227">
      <c r="BD227" s="56"/>
    </row>
    <row r="228">
      <c r="BD228" s="56"/>
    </row>
    <row r="229">
      <c r="BD229" s="56"/>
    </row>
    <row r="230">
      <c r="BD230" s="56"/>
    </row>
    <row r="231">
      <c r="BD231" s="56"/>
    </row>
    <row r="232">
      <c r="BD232" s="56"/>
    </row>
    <row r="233">
      <c r="BD233" s="56"/>
    </row>
    <row r="234">
      <c r="BD234" s="56"/>
    </row>
    <row r="235">
      <c r="BD235" s="56"/>
    </row>
    <row r="236">
      <c r="BD236" s="56"/>
    </row>
    <row r="237">
      <c r="BD237" s="56"/>
    </row>
    <row r="238">
      <c r="BD238" s="56"/>
    </row>
    <row r="239">
      <c r="BD239" s="56"/>
    </row>
    <row r="240">
      <c r="BD240" s="56"/>
    </row>
    <row r="241">
      <c r="BD241" s="56"/>
    </row>
    <row r="242">
      <c r="BD242" s="56"/>
    </row>
    <row r="243">
      <c r="BD243" s="56"/>
    </row>
    <row r="244">
      <c r="BD244" s="56"/>
    </row>
    <row r="245">
      <c r="BD245" s="56"/>
    </row>
    <row r="246">
      <c r="BD246" s="56"/>
    </row>
    <row r="247">
      <c r="BD247" s="56"/>
    </row>
    <row r="248">
      <c r="BD248" s="56"/>
    </row>
    <row r="249">
      <c r="BD249" s="56"/>
    </row>
    <row r="250">
      <c r="BD250" s="56"/>
    </row>
    <row r="251">
      <c r="BD251" s="56"/>
    </row>
    <row r="252">
      <c r="BD252" s="56"/>
    </row>
    <row r="253">
      <c r="BD253" s="56"/>
    </row>
    <row r="254">
      <c r="BD254" s="56"/>
    </row>
    <row r="255">
      <c r="BD255" s="56"/>
    </row>
    <row r="256">
      <c r="BD256" s="56"/>
    </row>
    <row r="257">
      <c r="BD257" s="56"/>
    </row>
    <row r="258">
      <c r="BD258" s="56"/>
    </row>
    <row r="259">
      <c r="BD259" s="56"/>
    </row>
    <row r="260">
      <c r="BD260" s="56"/>
    </row>
    <row r="261">
      <c r="BD261" s="56"/>
    </row>
    <row r="262">
      <c r="BD262" s="56"/>
    </row>
    <row r="263">
      <c r="BD263" s="56"/>
    </row>
    <row r="264">
      <c r="BD264" s="56"/>
    </row>
    <row r="265">
      <c r="BD265" s="56"/>
    </row>
    <row r="266">
      <c r="BD266" s="56"/>
    </row>
    <row r="267">
      <c r="BD267" s="56"/>
    </row>
    <row r="268">
      <c r="BD268" s="56"/>
    </row>
    <row r="269">
      <c r="BD269" s="56"/>
    </row>
    <row r="270">
      <c r="BD270" s="56"/>
    </row>
    <row r="271">
      <c r="BD271" s="56"/>
    </row>
    <row r="272">
      <c r="BD272" s="56"/>
    </row>
    <row r="273">
      <c r="BD273" s="56"/>
    </row>
    <row r="274">
      <c r="BD274" s="56"/>
    </row>
    <row r="275">
      <c r="BD275" s="56"/>
    </row>
    <row r="276">
      <c r="BD276" s="56"/>
    </row>
    <row r="277">
      <c r="BD277" s="56"/>
    </row>
    <row r="278">
      <c r="BD278" s="56"/>
    </row>
    <row r="279">
      <c r="BD279" s="56"/>
    </row>
    <row r="280">
      <c r="BD280" s="56"/>
    </row>
    <row r="281">
      <c r="BD281" s="56"/>
    </row>
    <row r="282">
      <c r="BD282" s="56"/>
    </row>
    <row r="283">
      <c r="BD283" s="56"/>
    </row>
    <row r="284">
      <c r="BD284" s="56"/>
    </row>
    <row r="285">
      <c r="BD285" s="56"/>
    </row>
    <row r="286">
      <c r="BD286" s="56"/>
    </row>
    <row r="287">
      <c r="BD287" s="56"/>
    </row>
    <row r="288">
      <c r="BD288" s="56"/>
    </row>
    <row r="289">
      <c r="BD289" s="56"/>
    </row>
    <row r="290">
      <c r="BD290" s="56"/>
    </row>
    <row r="291">
      <c r="BD291" s="56"/>
    </row>
    <row r="292">
      <c r="BD292" s="56"/>
    </row>
    <row r="293">
      <c r="BD293" s="56"/>
    </row>
    <row r="294">
      <c r="BD294" s="56"/>
    </row>
    <row r="295">
      <c r="BD295" s="56"/>
    </row>
    <row r="296">
      <c r="BD296" s="56"/>
    </row>
    <row r="297">
      <c r="BD297" s="56"/>
    </row>
    <row r="298">
      <c r="BD298" s="56"/>
    </row>
    <row r="299">
      <c r="BD299" s="56"/>
    </row>
    <row r="300">
      <c r="BD300" s="56"/>
    </row>
    <row r="301">
      <c r="BD301" s="56"/>
    </row>
    <row r="302">
      <c r="BD302" s="56"/>
    </row>
    <row r="303">
      <c r="BD303" s="56"/>
    </row>
    <row r="304">
      <c r="BD304" s="56"/>
    </row>
    <row r="305">
      <c r="BD305" s="56"/>
    </row>
    <row r="306">
      <c r="BD306" s="56"/>
    </row>
    <row r="307">
      <c r="BD307" s="56"/>
    </row>
    <row r="308">
      <c r="BD308" s="56"/>
    </row>
    <row r="309">
      <c r="BD309" s="56"/>
    </row>
    <row r="310">
      <c r="BD310" s="56"/>
    </row>
    <row r="311">
      <c r="BD311" s="56"/>
    </row>
    <row r="312">
      <c r="BD312" s="56"/>
    </row>
    <row r="313">
      <c r="BD313" s="56"/>
    </row>
    <row r="314">
      <c r="BD314" s="56"/>
    </row>
    <row r="315">
      <c r="BD315" s="56"/>
    </row>
    <row r="316">
      <c r="BD316" s="56"/>
    </row>
    <row r="317">
      <c r="BD317" s="56"/>
    </row>
    <row r="318">
      <c r="BD318" s="56"/>
    </row>
    <row r="319">
      <c r="BD319" s="56"/>
    </row>
    <row r="320">
      <c r="BD320" s="56"/>
    </row>
    <row r="321">
      <c r="BD321" s="56"/>
    </row>
    <row r="322">
      <c r="BD322" s="56"/>
    </row>
    <row r="323">
      <c r="BD323" s="56"/>
    </row>
    <row r="324">
      <c r="BD324" s="56"/>
    </row>
    <row r="325">
      <c r="BD325" s="56"/>
    </row>
    <row r="326">
      <c r="BD326" s="56"/>
    </row>
    <row r="327">
      <c r="BD327" s="56"/>
    </row>
    <row r="328">
      <c r="BD328" s="56"/>
    </row>
    <row r="329">
      <c r="BD329" s="56"/>
    </row>
    <row r="330">
      <c r="BD330" s="56"/>
    </row>
    <row r="331">
      <c r="BD331" s="56"/>
    </row>
    <row r="332">
      <c r="BD332" s="56"/>
    </row>
    <row r="333">
      <c r="BD333" s="56"/>
    </row>
    <row r="334">
      <c r="BD334" s="56"/>
    </row>
    <row r="335">
      <c r="BD335" s="56"/>
    </row>
    <row r="336">
      <c r="BD336" s="56"/>
    </row>
    <row r="337">
      <c r="BD337" s="56"/>
    </row>
    <row r="338">
      <c r="BD338" s="56"/>
    </row>
    <row r="339">
      <c r="BD339" s="56"/>
    </row>
    <row r="340">
      <c r="BD340" s="56"/>
    </row>
    <row r="341">
      <c r="BD341" s="56"/>
    </row>
    <row r="342">
      <c r="BD342" s="56"/>
    </row>
    <row r="343">
      <c r="BD343" s="56"/>
    </row>
    <row r="344">
      <c r="BD344" s="56"/>
    </row>
    <row r="345">
      <c r="BD345" s="56"/>
    </row>
    <row r="346">
      <c r="BD346" s="56"/>
    </row>
    <row r="347">
      <c r="BD347" s="56"/>
    </row>
    <row r="348">
      <c r="BD348" s="56"/>
    </row>
    <row r="349">
      <c r="BD349" s="56"/>
    </row>
    <row r="350">
      <c r="BD350" s="56"/>
    </row>
    <row r="351">
      <c r="BD351" s="56"/>
    </row>
    <row r="352">
      <c r="BD352" s="56"/>
    </row>
    <row r="353">
      <c r="BD353" s="56"/>
    </row>
    <row r="354">
      <c r="BD354" s="56"/>
    </row>
    <row r="355">
      <c r="BD355" s="56"/>
    </row>
    <row r="356">
      <c r="BD356" s="56"/>
    </row>
    <row r="357">
      <c r="BD357" s="56"/>
    </row>
    <row r="358">
      <c r="BD358" s="56"/>
    </row>
    <row r="359">
      <c r="BD359" s="56"/>
    </row>
    <row r="360">
      <c r="BD360" s="56"/>
    </row>
    <row r="361">
      <c r="BD361" s="56"/>
    </row>
    <row r="362">
      <c r="BD362" s="56"/>
    </row>
    <row r="363">
      <c r="BD363" s="56"/>
    </row>
    <row r="364">
      <c r="BD364" s="56"/>
    </row>
    <row r="365">
      <c r="BD365" s="56"/>
    </row>
    <row r="366">
      <c r="BD366" s="56"/>
    </row>
    <row r="367">
      <c r="BD367" s="56"/>
    </row>
    <row r="368">
      <c r="BD368" s="56"/>
    </row>
    <row r="369">
      <c r="BD369" s="56"/>
    </row>
    <row r="370">
      <c r="BD370" s="56"/>
    </row>
    <row r="371">
      <c r="BD371" s="56"/>
    </row>
    <row r="372">
      <c r="BD372" s="56"/>
    </row>
    <row r="373">
      <c r="BD373" s="56"/>
    </row>
    <row r="374">
      <c r="BD374" s="56"/>
    </row>
    <row r="375">
      <c r="BD375" s="56"/>
    </row>
    <row r="376">
      <c r="BD376" s="56"/>
    </row>
    <row r="377">
      <c r="BD377" s="56"/>
    </row>
    <row r="378">
      <c r="BD378" s="56"/>
    </row>
    <row r="379">
      <c r="BD379" s="56"/>
    </row>
    <row r="380">
      <c r="BD380" s="56"/>
    </row>
    <row r="381">
      <c r="BD381" s="56"/>
    </row>
    <row r="382">
      <c r="BD382" s="56"/>
    </row>
    <row r="383">
      <c r="BD383" s="56"/>
    </row>
    <row r="384">
      <c r="BD384" s="56"/>
    </row>
    <row r="385">
      <c r="BD385" s="56"/>
    </row>
    <row r="386">
      <c r="BD386" s="56"/>
    </row>
    <row r="387">
      <c r="BD387" s="56"/>
    </row>
    <row r="388">
      <c r="BD388" s="56"/>
    </row>
    <row r="389">
      <c r="BD389" s="56"/>
    </row>
    <row r="390">
      <c r="BD390" s="56"/>
    </row>
    <row r="391">
      <c r="BD391" s="56"/>
    </row>
    <row r="392">
      <c r="BD392" s="56"/>
    </row>
    <row r="393">
      <c r="BD393" s="56"/>
    </row>
    <row r="394">
      <c r="BD394" s="56"/>
    </row>
    <row r="395">
      <c r="BD395" s="56"/>
    </row>
    <row r="396">
      <c r="BD396" s="56"/>
    </row>
    <row r="397">
      <c r="BD397" s="56"/>
    </row>
    <row r="398">
      <c r="BD398" s="56"/>
    </row>
    <row r="399">
      <c r="BD399" s="56"/>
    </row>
    <row r="400">
      <c r="BD400" s="56"/>
    </row>
    <row r="401">
      <c r="BD401" s="56"/>
    </row>
    <row r="402">
      <c r="BD402" s="56"/>
    </row>
    <row r="403">
      <c r="BD403" s="56"/>
    </row>
    <row r="404">
      <c r="BD404" s="56"/>
    </row>
    <row r="405">
      <c r="BD405" s="56"/>
    </row>
    <row r="406">
      <c r="BD406" s="56"/>
    </row>
    <row r="407">
      <c r="BD407" s="56"/>
    </row>
    <row r="408">
      <c r="BD408" s="56"/>
    </row>
    <row r="409">
      <c r="BD409" s="56"/>
    </row>
    <row r="410">
      <c r="BD410" s="56"/>
    </row>
    <row r="411">
      <c r="BD411" s="56"/>
    </row>
    <row r="412">
      <c r="BD412" s="56"/>
    </row>
    <row r="413">
      <c r="BD413" s="56"/>
    </row>
    <row r="414">
      <c r="BD414" s="56"/>
    </row>
    <row r="415">
      <c r="BD415" s="56"/>
    </row>
    <row r="416">
      <c r="BD416" s="56"/>
    </row>
    <row r="417">
      <c r="BD417" s="56"/>
    </row>
    <row r="418">
      <c r="BD418" s="56"/>
    </row>
    <row r="419">
      <c r="BD419" s="56"/>
    </row>
    <row r="420">
      <c r="BD420" s="56"/>
    </row>
    <row r="421">
      <c r="BD421" s="56"/>
    </row>
    <row r="422">
      <c r="BD422" s="56"/>
    </row>
    <row r="423">
      <c r="BD423" s="56"/>
    </row>
    <row r="424">
      <c r="BD424" s="56"/>
    </row>
    <row r="425">
      <c r="BD425" s="56"/>
    </row>
    <row r="426">
      <c r="BD426" s="56"/>
    </row>
    <row r="427">
      <c r="BD427" s="56"/>
    </row>
    <row r="428">
      <c r="BD428" s="56"/>
    </row>
    <row r="429">
      <c r="BD429" s="56"/>
    </row>
    <row r="430">
      <c r="BD430" s="56"/>
    </row>
    <row r="431">
      <c r="BD431" s="56"/>
    </row>
    <row r="432">
      <c r="BD432" s="56"/>
    </row>
    <row r="433">
      <c r="BD433" s="56"/>
    </row>
    <row r="434">
      <c r="BD434" s="56"/>
    </row>
    <row r="435">
      <c r="BD435" s="56"/>
    </row>
    <row r="436">
      <c r="BD436" s="56"/>
    </row>
    <row r="437">
      <c r="BD437" s="56"/>
    </row>
    <row r="438">
      <c r="BD438" s="56"/>
    </row>
    <row r="439">
      <c r="BD439" s="56"/>
    </row>
    <row r="440">
      <c r="BD440" s="56"/>
    </row>
    <row r="441">
      <c r="BD441" s="56"/>
    </row>
    <row r="442">
      <c r="BD442" s="56"/>
    </row>
    <row r="443">
      <c r="BD443" s="56"/>
    </row>
    <row r="444">
      <c r="BD444" s="56"/>
    </row>
    <row r="445">
      <c r="BD445" s="56"/>
    </row>
    <row r="446">
      <c r="BD446" s="56"/>
    </row>
    <row r="447">
      <c r="BD447" s="56"/>
    </row>
    <row r="448">
      <c r="BD448" s="56"/>
    </row>
    <row r="449">
      <c r="BD449" s="56"/>
    </row>
    <row r="450">
      <c r="BD450" s="56"/>
    </row>
    <row r="451">
      <c r="BD451" s="56"/>
    </row>
    <row r="452">
      <c r="BD452" s="56"/>
    </row>
    <row r="453">
      <c r="BD453" s="56"/>
    </row>
    <row r="454">
      <c r="BD454" s="56"/>
    </row>
    <row r="455">
      <c r="BD455" s="56"/>
    </row>
    <row r="456">
      <c r="BD456" s="56"/>
    </row>
    <row r="457">
      <c r="BD457" s="56"/>
    </row>
    <row r="458">
      <c r="BD458" s="56"/>
    </row>
    <row r="459">
      <c r="BD459" s="56"/>
    </row>
    <row r="460">
      <c r="BD460" s="56"/>
    </row>
    <row r="461">
      <c r="BD461" s="56"/>
    </row>
    <row r="462">
      <c r="BD462" s="56"/>
    </row>
    <row r="463">
      <c r="BD463" s="56"/>
    </row>
    <row r="464">
      <c r="BD464" s="56"/>
    </row>
    <row r="465">
      <c r="BD465" s="56"/>
    </row>
    <row r="466">
      <c r="BD466" s="56"/>
    </row>
    <row r="467">
      <c r="BD467" s="56"/>
    </row>
    <row r="468">
      <c r="BD468" s="56"/>
    </row>
    <row r="469">
      <c r="BD469" s="56"/>
    </row>
    <row r="470">
      <c r="BD470" s="56"/>
    </row>
    <row r="471">
      <c r="BD471" s="56"/>
    </row>
    <row r="472">
      <c r="BD472" s="56"/>
    </row>
    <row r="473">
      <c r="BD473" s="56"/>
    </row>
    <row r="474">
      <c r="BD474" s="56"/>
    </row>
    <row r="475">
      <c r="BD475" s="56"/>
    </row>
    <row r="476">
      <c r="BD476" s="56"/>
    </row>
    <row r="477">
      <c r="BD477" s="56"/>
    </row>
    <row r="478">
      <c r="BD478" s="56"/>
    </row>
    <row r="479">
      <c r="BD479" s="56"/>
    </row>
    <row r="480">
      <c r="BD480" s="56"/>
    </row>
    <row r="481">
      <c r="BD481" s="56"/>
    </row>
    <row r="482">
      <c r="BD482" s="56"/>
    </row>
    <row r="483">
      <c r="BD483" s="56"/>
    </row>
    <row r="484">
      <c r="BD484" s="56"/>
    </row>
    <row r="485">
      <c r="BD485" s="56"/>
    </row>
    <row r="486">
      <c r="BD486" s="56"/>
    </row>
    <row r="487">
      <c r="BD487" s="56"/>
    </row>
    <row r="488">
      <c r="BD488" s="56"/>
    </row>
    <row r="489">
      <c r="BD489" s="56"/>
    </row>
    <row r="490">
      <c r="BD490" s="56"/>
    </row>
    <row r="491">
      <c r="BD491" s="56"/>
    </row>
    <row r="492">
      <c r="BD492" s="56"/>
    </row>
    <row r="493">
      <c r="BD493" s="56"/>
    </row>
    <row r="494">
      <c r="BD494" s="56"/>
    </row>
    <row r="495">
      <c r="BD495" s="56"/>
    </row>
    <row r="496">
      <c r="BD496" s="56"/>
    </row>
    <row r="497">
      <c r="BD497" s="56"/>
    </row>
    <row r="498">
      <c r="BD498" s="56"/>
    </row>
    <row r="499">
      <c r="BD499" s="56"/>
    </row>
    <row r="500">
      <c r="BD500" s="56"/>
    </row>
    <row r="501">
      <c r="BD501" s="56"/>
    </row>
    <row r="502">
      <c r="BD502" s="56"/>
    </row>
    <row r="503">
      <c r="BD503" s="56"/>
    </row>
    <row r="504">
      <c r="BD504" s="56"/>
    </row>
    <row r="505">
      <c r="BD505" s="56"/>
    </row>
    <row r="506">
      <c r="BD506" s="56"/>
    </row>
    <row r="507">
      <c r="BD507" s="56"/>
    </row>
    <row r="508">
      <c r="BD508" s="56"/>
    </row>
    <row r="509">
      <c r="BD509" s="56"/>
    </row>
    <row r="510">
      <c r="BD510" s="56"/>
    </row>
    <row r="511">
      <c r="BD511" s="56"/>
    </row>
    <row r="512">
      <c r="BD512" s="56"/>
    </row>
    <row r="513">
      <c r="BD513" s="56"/>
    </row>
    <row r="514">
      <c r="BD514" s="56"/>
    </row>
    <row r="515">
      <c r="BD515" s="56"/>
    </row>
    <row r="516">
      <c r="BD516" s="56"/>
    </row>
    <row r="517">
      <c r="BD517" s="56"/>
    </row>
    <row r="518">
      <c r="BD518" s="56"/>
    </row>
    <row r="519">
      <c r="BD519" s="56"/>
    </row>
    <row r="520">
      <c r="BD520" s="56"/>
    </row>
    <row r="521">
      <c r="BD521" s="56"/>
    </row>
    <row r="522">
      <c r="BD522" s="56"/>
    </row>
    <row r="523">
      <c r="BD523" s="56"/>
    </row>
    <row r="524">
      <c r="BD524" s="56"/>
    </row>
    <row r="525">
      <c r="BD525" s="56"/>
    </row>
    <row r="526">
      <c r="BD526" s="56"/>
    </row>
    <row r="527">
      <c r="BD527" s="56"/>
    </row>
    <row r="528">
      <c r="BD528" s="56"/>
    </row>
    <row r="529">
      <c r="BD529" s="56"/>
    </row>
    <row r="530">
      <c r="BD530" s="56"/>
    </row>
    <row r="531">
      <c r="BD531" s="56"/>
    </row>
    <row r="532">
      <c r="BD532" s="56"/>
    </row>
    <row r="533">
      <c r="BD533" s="56"/>
    </row>
    <row r="534">
      <c r="BD534" s="56"/>
    </row>
    <row r="535">
      <c r="BD535" s="56"/>
    </row>
    <row r="536">
      <c r="BD536" s="56"/>
    </row>
    <row r="537">
      <c r="BD537" s="56"/>
    </row>
    <row r="538">
      <c r="BD538" s="56"/>
    </row>
    <row r="539">
      <c r="BD539" s="56"/>
    </row>
    <row r="540">
      <c r="BD540" s="56"/>
    </row>
    <row r="541">
      <c r="BD541" s="56"/>
    </row>
    <row r="542">
      <c r="BD542" s="56"/>
    </row>
    <row r="543">
      <c r="BD543" s="56"/>
    </row>
    <row r="544">
      <c r="BD544" s="56"/>
    </row>
    <row r="545">
      <c r="BD545" s="56"/>
    </row>
    <row r="546">
      <c r="BD546" s="56"/>
    </row>
    <row r="547">
      <c r="BD547" s="56"/>
    </row>
    <row r="548">
      <c r="BD548" s="56"/>
    </row>
    <row r="549">
      <c r="BD549" s="56"/>
    </row>
    <row r="550">
      <c r="BD550" s="56"/>
    </row>
    <row r="551">
      <c r="BD551" s="56"/>
    </row>
    <row r="552">
      <c r="BD552" s="56"/>
    </row>
    <row r="553">
      <c r="BD553" s="56"/>
    </row>
    <row r="554">
      <c r="BD554" s="56"/>
    </row>
    <row r="555">
      <c r="BD555" s="56"/>
    </row>
    <row r="556">
      <c r="BD556" s="56"/>
    </row>
    <row r="557">
      <c r="BD557" s="56"/>
    </row>
    <row r="558">
      <c r="BD558" s="56"/>
    </row>
    <row r="559">
      <c r="BD559" s="56"/>
    </row>
    <row r="560">
      <c r="BD560" s="56"/>
    </row>
    <row r="561">
      <c r="BD561" s="56"/>
    </row>
    <row r="562">
      <c r="BD562" s="56"/>
    </row>
    <row r="563">
      <c r="BD563" s="56"/>
    </row>
    <row r="564">
      <c r="BD564" s="56"/>
    </row>
    <row r="565">
      <c r="BD565" s="56"/>
    </row>
    <row r="566">
      <c r="BD566" s="56"/>
    </row>
    <row r="567">
      <c r="BD567" s="56"/>
    </row>
    <row r="568">
      <c r="BD568" s="56"/>
    </row>
    <row r="569">
      <c r="BD569" s="56"/>
    </row>
    <row r="570">
      <c r="BD570" s="56"/>
    </row>
    <row r="571">
      <c r="BD571" s="56"/>
    </row>
    <row r="572">
      <c r="BD572" s="56"/>
    </row>
    <row r="573">
      <c r="BD573" s="56"/>
    </row>
    <row r="574">
      <c r="BD574" s="56"/>
    </row>
    <row r="575">
      <c r="BD575" s="56"/>
    </row>
    <row r="576">
      <c r="BD576" s="56"/>
    </row>
    <row r="577">
      <c r="BD577" s="56"/>
    </row>
    <row r="578">
      <c r="BD578" s="56"/>
    </row>
    <row r="579">
      <c r="BD579" s="56"/>
    </row>
    <row r="580">
      <c r="BD580" s="56"/>
    </row>
    <row r="581">
      <c r="BD581" s="56"/>
    </row>
    <row r="582">
      <c r="BD582" s="56"/>
    </row>
    <row r="583">
      <c r="BD583" s="56"/>
    </row>
    <row r="584">
      <c r="BD584" s="56"/>
    </row>
    <row r="585">
      <c r="BD585" s="56"/>
    </row>
    <row r="586">
      <c r="BD586" s="56"/>
    </row>
    <row r="587">
      <c r="BD587" s="56"/>
    </row>
    <row r="588">
      <c r="BD588" s="56"/>
    </row>
    <row r="589">
      <c r="BD589" s="56"/>
    </row>
    <row r="590">
      <c r="BD590" s="56"/>
    </row>
    <row r="591">
      <c r="BD591" s="56"/>
    </row>
    <row r="592">
      <c r="BD592" s="56"/>
    </row>
    <row r="593">
      <c r="BD593" s="56"/>
    </row>
    <row r="594">
      <c r="BD594" s="56"/>
    </row>
    <row r="595">
      <c r="BD595" s="56"/>
    </row>
    <row r="596">
      <c r="BD596" s="56"/>
    </row>
    <row r="597">
      <c r="BD597" s="56"/>
    </row>
    <row r="598">
      <c r="BD598" s="56"/>
    </row>
    <row r="599">
      <c r="BD599" s="56"/>
    </row>
    <row r="600">
      <c r="BD600" s="56"/>
    </row>
    <row r="601">
      <c r="BD601" s="56"/>
    </row>
    <row r="602">
      <c r="BD602" s="56"/>
    </row>
    <row r="603">
      <c r="BD603" s="56"/>
    </row>
    <row r="604">
      <c r="BD604" s="56"/>
    </row>
    <row r="605">
      <c r="BD605" s="56"/>
    </row>
    <row r="606">
      <c r="BD606" s="56"/>
    </row>
    <row r="607">
      <c r="BD607" s="56"/>
    </row>
    <row r="608">
      <c r="BD608" s="56"/>
    </row>
    <row r="609">
      <c r="BD609" s="56"/>
    </row>
    <row r="610">
      <c r="BD610" s="56"/>
    </row>
    <row r="611">
      <c r="BD611" s="56"/>
    </row>
    <row r="612">
      <c r="BD612" s="56"/>
    </row>
    <row r="613">
      <c r="BD613" s="56"/>
    </row>
    <row r="614">
      <c r="BD614" s="56"/>
    </row>
    <row r="615">
      <c r="BD615" s="56"/>
    </row>
    <row r="616">
      <c r="BD616" s="56"/>
    </row>
    <row r="617">
      <c r="BD617" s="56"/>
    </row>
    <row r="618">
      <c r="BD618" s="56"/>
    </row>
    <row r="619">
      <c r="BD619" s="56"/>
    </row>
    <row r="620">
      <c r="BD620" s="56"/>
    </row>
    <row r="621">
      <c r="BD621" s="56"/>
    </row>
    <row r="622">
      <c r="BD622" s="56"/>
    </row>
    <row r="623">
      <c r="BD623" s="56"/>
    </row>
    <row r="624">
      <c r="BD624" s="56"/>
    </row>
    <row r="625">
      <c r="BD625" s="56"/>
    </row>
    <row r="626">
      <c r="BD626" s="56"/>
    </row>
    <row r="627">
      <c r="BD627" s="56"/>
    </row>
    <row r="628">
      <c r="BD628" s="56"/>
    </row>
    <row r="629">
      <c r="BD629" s="56"/>
    </row>
    <row r="630">
      <c r="BD630" s="56"/>
    </row>
    <row r="631">
      <c r="BD631" s="56"/>
    </row>
    <row r="632">
      <c r="BD632" s="56"/>
    </row>
    <row r="633">
      <c r="BD633" s="56"/>
    </row>
    <row r="634">
      <c r="BD634" s="56"/>
    </row>
    <row r="635">
      <c r="BD635" s="56"/>
    </row>
    <row r="636">
      <c r="BD636" s="56"/>
    </row>
    <row r="637">
      <c r="BD637" s="56"/>
    </row>
    <row r="638">
      <c r="BD638" s="56"/>
    </row>
    <row r="639">
      <c r="BD639" s="56"/>
    </row>
    <row r="640">
      <c r="BD640" s="56"/>
    </row>
    <row r="641">
      <c r="BD641" s="56"/>
    </row>
    <row r="642">
      <c r="BD642" s="56"/>
    </row>
    <row r="643">
      <c r="BD643" s="56"/>
    </row>
    <row r="644">
      <c r="BD644" s="56"/>
    </row>
    <row r="645">
      <c r="BD645" s="56"/>
    </row>
    <row r="646">
      <c r="BD646" s="56"/>
    </row>
    <row r="647">
      <c r="BD647" s="56"/>
    </row>
    <row r="648">
      <c r="BD648" s="56"/>
    </row>
    <row r="649">
      <c r="BD649" s="56"/>
    </row>
    <row r="650">
      <c r="BD650" s="56"/>
    </row>
    <row r="651">
      <c r="BD651" s="56"/>
    </row>
    <row r="652">
      <c r="BD652" s="56"/>
    </row>
    <row r="653">
      <c r="BD653" s="56"/>
    </row>
    <row r="654">
      <c r="BD654" s="56"/>
    </row>
    <row r="655">
      <c r="BD655" s="56"/>
    </row>
    <row r="656">
      <c r="BD656" s="56"/>
    </row>
    <row r="657">
      <c r="BD657" s="56"/>
    </row>
    <row r="658">
      <c r="BD658" s="56"/>
    </row>
    <row r="659">
      <c r="BD659" s="56"/>
    </row>
    <row r="660">
      <c r="BD660" s="56"/>
    </row>
    <row r="661">
      <c r="BD661" s="56"/>
    </row>
    <row r="662">
      <c r="BD662" s="56"/>
    </row>
    <row r="663">
      <c r="BD663" s="56"/>
    </row>
    <row r="664">
      <c r="BD664" s="56"/>
    </row>
    <row r="665">
      <c r="BD665" s="56"/>
    </row>
    <row r="666">
      <c r="BD666" s="56"/>
    </row>
    <row r="667">
      <c r="BD667" s="56"/>
    </row>
    <row r="668">
      <c r="BD668" s="56"/>
    </row>
    <row r="669">
      <c r="BD669" s="56"/>
    </row>
    <row r="670">
      <c r="BD670" s="56"/>
    </row>
    <row r="671">
      <c r="BD671" s="56"/>
    </row>
    <row r="672">
      <c r="BD672" s="56"/>
    </row>
    <row r="673">
      <c r="BD673" s="56"/>
    </row>
    <row r="674">
      <c r="BD674" s="56"/>
    </row>
    <row r="675">
      <c r="BD675" s="56"/>
    </row>
    <row r="676">
      <c r="BD676" s="56"/>
    </row>
    <row r="677">
      <c r="BD677" s="56"/>
    </row>
    <row r="678">
      <c r="BD678" s="56"/>
    </row>
    <row r="679">
      <c r="BD679" s="56"/>
    </row>
    <row r="680">
      <c r="BD680" s="56"/>
    </row>
    <row r="681">
      <c r="BD681" s="56"/>
    </row>
    <row r="682">
      <c r="BD682" s="56"/>
    </row>
    <row r="683">
      <c r="BD683" s="56"/>
    </row>
    <row r="684">
      <c r="BD684" s="56"/>
    </row>
    <row r="685">
      <c r="BD685" s="56"/>
    </row>
    <row r="686">
      <c r="BD686" s="56"/>
    </row>
    <row r="687">
      <c r="BD687" s="56"/>
    </row>
    <row r="688">
      <c r="BD688" s="56"/>
    </row>
    <row r="689">
      <c r="BD689" s="56"/>
    </row>
    <row r="690">
      <c r="BD690" s="56"/>
    </row>
    <row r="691">
      <c r="BD691" s="56"/>
    </row>
    <row r="692">
      <c r="BD692" s="56"/>
    </row>
    <row r="693">
      <c r="BD693" s="56"/>
    </row>
    <row r="694">
      <c r="BD694" s="56"/>
    </row>
    <row r="695">
      <c r="BD695" s="56"/>
    </row>
    <row r="696">
      <c r="BD696" s="56"/>
    </row>
    <row r="697">
      <c r="BD697" s="56"/>
    </row>
    <row r="698">
      <c r="BD698" s="56"/>
    </row>
    <row r="699">
      <c r="BD699" s="56"/>
    </row>
    <row r="700">
      <c r="BD700" s="56"/>
    </row>
    <row r="701">
      <c r="BD701" s="56"/>
    </row>
    <row r="702">
      <c r="BD702" s="56"/>
    </row>
    <row r="703">
      <c r="BD703" s="56"/>
    </row>
    <row r="704">
      <c r="BD704" s="56"/>
    </row>
    <row r="705">
      <c r="BD705" s="56"/>
    </row>
    <row r="706">
      <c r="BD706" s="56"/>
    </row>
    <row r="707">
      <c r="BD707" s="56"/>
    </row>
    <row r="708">
      <c r="BD708" s="56"/>
    </row>
    <row r="709">
      <c r="BD709" s="56"/>
    </row>
    <row r="710">
      <c r="BD710" s="56"/>
    </row>
    <row r="711">
      <c r="BD711" s="56"/>
    </row>
    <row r="712">
      <c r="BD712" s="56"/>
    </row>
    <row r="713">
      <c r="BD713" s="56"/>
    </row>
    <row r="714">
      <c r="BD714" s="56"/>
    </row>
    <row r="715">
      <c r="BD715" s="56"/>
    </row>
    <row r="716">
      <c r="BD716" s="56"/>
    </row>
    <row r="717">
      <c r="BD717" s="56"/>
    </row>
    <row r="718">
      <c r="BD718" s="56"/>
    </row>
    <row r="719">
      <c r="BD719" s="56"/>
    </row>
    <row r="720">
      <c r="BD720" s="56"/>
    </row>
    <row r="721">
      <c r="BD721" s="56"/>
    </row>
    <row r="722">
      <c r="BD722" s="56"/>
    </row>
    <row r="723">
      <c r="BD723" s="56"/>
    </row>
    <row r="724">
      <c r="BD724" s="56"/>
    </row>
    <row r="725">
      <c r="BD725" s="56"/>
    </row>
    <row r="726">
      <c r="BD726" s="56"/>
    </row>
    <row r="727">
      <c r="BD727" s="56"/>
    </row>
    <row r="728">
      <c r="BD728" s="56"/>
    </row>
    <row r="729">
      <c r="BD729" s="56"/>
    </row>
    <row r="730">
      <c r="BD730" s="56"/>
    </row>
    <row r="731">
      <c r="BD731" s="56"/>
    </row>
    <row r="732">
      <c r="BD732" s="56"/>
    </row>
    <row r="733">
      <c r="BD733" s="56"/>
    </row>
    <row r="734">
      <c r="BD734" s="56"/>
    </row>
    <row r="735">
      <c r="BD735" s="56"/>
    </row>
    <row r="736">
      <c r="BD736" s="56"/>
    </row>
    <row r="737">
      <c r="BD737" s="56"/>
    </row>
    <row r="738">
      <c r="BD738" s="56"/>
    </row>
    <row r="739">
      <c r="BD739" s="56"/>
    </row>
    <row r="740">
      <c r="BD740" s="56"/>
    </row>
    <row r="741">
      <c r="BD741" s="56"/>
    </row>
    <row r="742">
      <c r="BD742" s="56"/>
    </row>
    <row r="743">
      <c r="BD743" s="56"/>
    </row>
    <row r="744">
      <c r="BD744" s="56"/>
    </row>
    <row r="745">
      <c r="BD745" s="56"/>
    </row>
    <row r="746">
      <c r="BD746" s="56"/>
    </row>
    <row r="747">
      <c r="BD747" s="56"/>
    </row>
    <row r="748">
      <c r="BD748" s="56"/>
    </row>
    <row r="749">
      <c r="BD749" s="56"/>
    </row>
    <row r="750">
      <c r="BD750" s="56"/>
    </row>
    <row r="751">
      <c r="BD751" s="56"/>
    </row>
    <row r="752">
      <c r="BD752" s="56"/>
    </row>
    <row r="753">
      <c r="BD753" s="56"/>
    </row>
    <row r="754">
      <c r="BD754" s="56"/>
    </row>
    <row r="755">
      <c r="BD755" s="56"/>
    </row>
    <row r="756">
      <c r="BD756" s="56"/>
    </row>
    <row r="757">
      <c r="BD757" s="56"/>
    </row>
    <row r="758">
      <c r="BD758" s="56"/>
    </row>
    <row r="759">
      <c r="BD759" s="56"/>
    </row>
    <row r="760">
      <c r="BD760" s="56"/>
    </row>
    <row r="761">
      <c r="BD761" s="56"/>
    </row>
    <row r="762">
      <c r="BD762" s="56"/>
    </row>
    <row r="763">
      <c r="BD763" s="56"/>
    </row>
    <row r="764">
      <c r="BD764" s="56"/>
    </row>
    <row r="765">
      <c r="BD765" s="56"/>
    </row>
    <row r="766">
      <c r="BD766" s="56"/>
    </row>
    <row r="767">
      <c r="BD767" s="56"/>
    </row>
    <row r="768">
      <c r="BD768" s="56"/>
    </row>
    <row r="769">
      <c r="BD769" s="56"/>
    </row>
    <row r="770">
      <c r="BD770" s="56"/>
    </row>
    <row r="771">
      <c r="BD771" s="56"/>
    </row>
    <row r="772">
      <c r="BD772" s="56"/>
    </row>
    <row r="773">
      <c r="BD773" s="56"/>
    </row>
    <row r="774">
      <c r="BD774" s="56"/>
    </row>
    <row r="775">
      <c r="BD775" s="56"/>
    </row>
    <row r="776">
      <c r="BD776" s="56"/>
    </row>
    <row r="777">
      <c r="BD777" s="56"/>
    </row>
    <row r="778">
      <c r="BD778" s="56"/>
    </row>
    <row r="779">
      <c r="BD779" s="56"/>
    </row>
    <row r="780">
      <c r="BD780" s="56"/>
    </row>
    <row r="781">
      <c r="BD781" s="56"/>
    </row>
    <row r="782">
      <c r="BD782" s="56"/>
    </row>
    <row r="783">
      <c r="BD783" s="56"/>
    </row>
    <row r="784">
      <c r="BD784" s="56"/>
    </row>
    <row r="785">
      <c r="BD785" s="56"/>
    </row>
    <row r="786">
      <c r="BD786" s="56"/>
    </row>
    <row r="787">
      <c r="BD787" s="56"/>
    </row>
    <row r="788">
      <c r="BD788" s="56"/>
    </row>
    <row r="789">
      <c r="BD789" s="56"/>
    </row>
    <row r="790">
      <c r="BD790" s="56"/>
    </row>
    <row r="791">
      <c r="BD791" s="56"/>
    </row>
    <row r="792">
      <c r="BD792" s="56"/>
    </row>
    <row r="793">
      <c r="BD793" s="56"/>
    </row>
    <row r="794">
      <c r="BD794" s="56"/>
    </row>
    <row r="795">
      <c r="BD795" s="56"/>
    </row>
    <row r="796">
      <c r="BD796" s="56"/>
    </row>
    <row r="797">
      <c r="BD797" s="56"/>
    </row>
    <row r="798">
      <c r="BD798" s="56"/>
    </row>
    <row r="799">
      <c r="BD799" s="56"/>
    </row>
    <row r="800">
      <c r="BD800" s="56"/>
    </row>
    <row r="801">
      <c r="BD801" s="56"/>
    </row>
    <row r="802">
      <c r="BD802" s="56"/>
    </row>
    <row r="803">
      <c r="BD803" s="56"/>
    </row>
    <row r="804">
      <c r="BD804" s="56"/>
    </row>
    <row r="805">
      <c r="BD805" s="56"/>
    </row>
    <row r="806">
      <c r="BD806" s="56"/>
    </row>
    <row r="807">
      <c r="BD807" s="56"/>
    </row>
    <row r="808">
      <c r="BD808" s="56"/>
    </row>
    <row r="809">
      <c r="BD809" s="56"/>
    </row>
    <row r="810">
      <c r="BD810" s="56"/>
    </row>
    <row r="811">
      <c r="BD811" s="56"/>
    </row>
    <row r="812">
      <c r="BD812" s="56"/>
    </row>
    <row r="813">
      <c r="BD813" s="56"/>
    </row>
    <row r="814">
      <c r="BD814" s="56"/>
    </row>
    <row r="815">
      <c r="BD815" s="56"/>
    </row>
    <row r="816">
      <c r="BD816" s="56"/>
    </row>
    <row r="817">
      <c r="BD817" s="56"/>
    </row>
    <row r="818">
      <c r="BD818" s="56"/>
    </row>
    <row r="819">
      <c r="BD819" s="56"/>
    </row>
    <row r="820">
      <c r="BD820" s="56"/>
    </row>
    <row r="821">
      <c r="BD821" s="56"/>
    </row>
    <row r="822">
      <c r="BD822" s="56"/>
    </row>
    <row r="823">
      <c r="BD823" s="56"/>
    </row>
    <row r="824">
      <c r="BD824" s="56"/>
    </row>
    <row r="825">
      <c r="BD825" s="56"/>
    </row>
    <row r="826">
      <c r="BD826" s="56"/>
    </row>
    <row r="827">
      <c r="BD827" s="56"/>
    </row>
    <row r="828">
      <c r="BD828" s="56"/>
    </row>
    <row r="829">
      <c r="BD829" s="56"/>
    </row>
    <row r="830">
      <c r="BD830" s="56"/>
    </row>
    <row r="831">
      <c r="BD831" s="56"/>
    </row>
    <row r="832">
      <c r="BD832" s="56"/>
    </row>
    <row r="833">
      <c r="BD833" s="56"/>
    </row>
    <row r="834">
      <c r="BD834" s="56"/>
    </row>
    <row r="835">
      <c r="BD835" s="56"/>
    </row>
    <row r="836">
      <c r="BD836" s="56"/>
    </row>
    <row r="837">
      <c r="BD837" s="56"/>
    </row>
    <row r="838">
      <c r="BD838" s="56"/>
    </row>
    <row r="839">
      <c r="BD839" s="56"/>
    </row>
    <row r="840">
      <c r="BD840" s="56"/>
    </row>
    <row r="841">
      <c r="BD841" s="56"/>
    </row>
    <row r="842">
      <c r="BD842" s="56"/>
    </row>
    <row r="843">
      <c r="BD843" s="56"/>
    </row>
    <row r="844">
      <c r="BD844" s="56"/>
    </row>
    <row r="845">
      <c r="BD845" s="56"/>
    </row>
    <row r="846">
      <c r="BD846" s="56"/>
    </row>
    <row r="847">
      <c r="BD847" s="56"/>
    </row>
    <row r="848">
      <c r="BD848" s="56"/>
    </row>
    <row r="849">
      <c r="BD849" s="56"/>
    </row>
    <row r="850">
      <c r="BD850" s="56"/>
    </row>
    <row r="851">
      <c r="BD851" s="56"/>
    </row>
    <row r="852">
      <c r="BD852" s="56"/>
    </row>
    <row r="853">
      <c r="BD853" s="56"/>
    </row>
    <row r="854">
      <c r="BD854" s="56"/>
    </row>
    <row r="855">
      <c r="BD855" s="56"/>
    </row>
    <row r="856">
      <c r="BD856" s="56"/>
    </row>
    <row r="857">
      <c r="BD857" s="56"/>
    </row>
    <row r="858">
      <c r="BD858" s="56"/>
    </row>
    <row r="859">
      <c r="BD859" s="56"/>
    </row>
    <row r="860">
      <c r="BD860" s="56"/>
    </row>
    <row r="861">
      <c r="BD861" s="56"/>
    </row>
    <row r="862">
      <c r="BD862" s="56"/>
    </row>
    <row r="863">
      <c r="BD863" s="56"/>
    </row>
    <row r="864">
      <c r="BD864" s="56"/>
    </row>
    <row r="865">
      <c r="BD865" s="56"/>
    </row>
    <row r="866">
      <c r="BD866" s="56"/>
    </row>
    <row r="867">
      <c r="BD867" s="56"/>
    </row>
    <row r="868">
      <c r="BD868" s="56"/>
    </row>
    <row r="869">
      <c r="BD869" s="56"/>
    </row>
    <row r="870">
      <c r="BD870" s="56"/>
    </row>
    <row r="871">
      <c r="BD871" s="56"/>
    </row>
    <row r="872">
      <c r="BD872" s="56"/>
    </row>
    <row r="873">
      <c r="BD873" s="56"/>
    </row>
    <row r="874">
      <c r="BD874" s="56"/>
    </row>
    <row r="875">
      <c r="BD875" s="56"/>
    </row>
    <row r="876">
      <c r="BD876" s="56"/>
    </row>
    <row r="877">
      <c r="BD877" s="56"/>
    </row>
    <row r="878">
      <c r="BD878" s="56"/>
    </row>
    <row r="879">
      <c r="BD879" s="56"/>
    </row>
    <row r="880">
      <c r="BD880" s="56"/>
    </row>
    <row r="881">
      <c r="BD881" s="56"/>
    </row>
    <row r="882">
      <c r="BD882" s="56"/>
    </row>
    <row r="883">
      <c r="BD883" s="56"/>
    </row>
    <row r="884">
      <c r="BD884" s="56"/>
    </row>
    <row r="885">
      <c r="BD885" s="56"/>
    </row>
    <row r="886">
      <c r="BD886" s="56"/>
    </row>
    <row r="887">
      <c r="BD887" s="56"/>
    </row>
    <row r="888">
      <c r="BD888" s="56"/>
    </row>
    <row r="889">
      <c r="BD889" s="56"/>
    </row>
    <row r="890">
      <c r="BD890" s="56"/>
    </row>
    <row r="891">
      <c r="BD891" s="56"/>
    </row>
    <row r="892">
      <c r="BD892" s="56"/>
    </row>
    <row r="893">
      <c r="BD893" s="56"/>
    </row>
    <row r="894">
      <c r="BD894" s="56"/>
    </row>
    <row r="895">
      <c r="BD895" s="56"/>
    </row>
    <row r="896">
      <c r="BD896" s="56"/>
    </row>
    <row r="897">
      <c r="BD897" s="56"/>
    </row>
    <row r="898">
      <c r="BD898" s="56"/>
    </row>
    <row r="899">
      <c r="BD899" s="56"/>
    </row>
    <row r="900">
      <c r="BD900" s="56"/>
    </row>
    <row r="901">
      <c r="BD901" s="56"/>
    </row>
    <row r="902">
      <c r="BD902" s="56"/>
    </row>
    <row r="903">
      <c r="BD903" s="56"/>
    </row>
    <row r="904">
      <c r="BD904" s="56"/>
    </row>
    <row r="905">
      <c r="BD905" s="56"/>
    </row>
    <row r="906">
      <c r="BD906" s="56"/>
    </row>
    <row r="907">
      <c r="BD907" s="56"/>
    </row>
    <row r="908">
      <c r="BD908" s="56"/>
    </row>
    <row r="909">
      <c r="BD909" s="56"/>
    </row>
    <row r="910">
      <c r="BD910" s="56"/>
    </row>
    <row r="911">
      <c r="BD911" s="56"/>
    </row>
    <row r="912">
      <c r="BD912" s="56"/>
    </row>
    <row r="913">
      <c r="BD913" s="56"/>
    </row>
    <row r="914">
      <c r="BD914" s="56"/>
    </row>
    <row r="915">
      <c r="BD915" s="56"/>
    </row>
    <row r="916">
      <c r="BD916" s="56"/>
    </row>
    <row r="917">
      <c r="BD917" s="56"/>
    </row>
    <row r="918">
      <c r="BD918" s="56"/>
    </row>
    <row r="919">
      <c r="BD919" s="56"/>
    </row>
    <row r="920">
      <c r="BD920" s="56"/>
    </row>
    <row r="921">
      <c r="BD921" s="56"/>
    </row>
    <row r="922">
      <c r="BD922" s="56"/>
    </row>
    <row r="923">
      <c r="BD923" s="56"/>
    </row>
    <row r="924">
      <c r="BD924" s="56"/>
    </row>
    <row r="925">
      <c r="BD925" s="56"/>
    </row>
    <row r="926">
      <c r="BD926" s="56"/>
    </row>
    <row r="927">
      <c r="BD927" s="56"/>
    </row>
    <row r="928">
      <c r="BD928" s="56"/>
    </row>
    <row r="929">
      <c r="BD929" s="56"/>
    </row>
    <row r="930">
      <c r="BD930" s="56"/>
    </row>
    <row r="931">
      <c r="BD931" s="56"/>
    </row>
    <row r="932">
      <c r="BD932" s="56"/>
    </row>
    <row r="933">
      <c r="BD933" s="56"/>
    </row>
    <row r="934">
      <c r="BD934" s="56"/>
    </row>
    <row r="935">
      <c r="BD935" s="56"/>
    </row>
    <row r="936">
      <c r="BD936" s="56"/>
    </row>
    <row r="937">
      <c r="BD937" s="56"/>
    </row>
    <row r="938">
      <c r="BD938" s="56"/>
    </row>
    <row r="939">
      <c r="BD939" s="56"/>
    </row>
    <row r="940">
      <c r="BD940" s="56"/>
    </row>
    <row r="941">
      <c r="BD941" s="56"/>
    </row>
    <row r="942">
      <c r="BD942" s="56"/>
    </row>
    <row r="943">
      <c r="BD943" s="56"/>
    </row>
    <row r="944">
      <c r="BD944" s="56"/>
    </row>
    <row r="945">
      <c r="BD945" s="56"/>
    </row>
    <row r="946">
      <c r="BD946" s="56"/>
    </row>
    <row r="947">
      <c r="BD947" s="56"/>
    </row>
    <row r="948">
      <c r="BD948" s="56"/>
    </row>
    <row r="949">
      <c r="BD949" s="56"/>
    </row>
    <row r="950">
      <c r="BD950" s="56"/>
    </row>
    <row r="951">
      <c r="BD951" s="56"/>
    </row>
    <row r="952">
      <c r="BD952" s="56"/>
    </row>
    <row r="953">
      <c r="BD953" s="56"/>
    </row>
    <row r="954">
      <c r="BD954" s="56"/>
    </row>
    <row r="955">
      <c r="BD955" s="56"/>
    </row>
    <row r="956">
      <c r="BD956" s="56"/>
    </row>
    <row r="957">
      <c r="BD957" s="56"/>
    </row>
    <row r="958">
      <c r="BD958" s="56"/>
    </row>
    <row r="959">
      <c r="BD959" s="56"/>
    </row>
    <row r="960">
      <c r="BD960" s="56"/>
    </row>
    <row r="961">
      <c r="BD961" s="56"/>
    </row>
    <row r="962">
      <c r="BD962" s="56"/>
    </row>
    <row r="963">
      <c r="BD963" s="56"/>
    </row>
    <row r="964">
      <c r="BD964" s="56"/>
    </row>
    <row r="965">
      <c r="BD965" s="56"/>
    </row>
    <row r="966">
      <c r="BD966" s="56"/>
    </row>
    <row r="967">
      <c r="BD967" s="56"/>
    </row>
    <row r="968">
      <c r="BD968" s="56"/>
    </row>
    <row r="969">
      <c r="BD969" s="56"/>
    </row>
    <row r="970">
      <c r="BD970" s="56"/>
    </row>
    <row r="971">
      <c r="BD971" s="56"/>
    </row>
    <row r="972">
      <c r="BD972" s="56"/>
    </row>
    <row r="973">
      <c r="BD973" s="56"/>
    </row>
    <row r="974">
      <c r="BD974" s="56"/>
    </row>
    <row r="975">
      <c r="BD975" s="56"/>
    </row>
    <row r="976">
      <c r="BD976" s="56"/>
    </row>
    <row r="977">
      <c r="BD977" s="56"/>
    </row>
    <row r="978">
      <c r="BD978" s="56"/>
    </row>
    <row r="979">
      <c r="BD979" s="56"/>
    </row>
    <row r="980">
      <c r="BD980" s="56"/>
    </row>
    <row r="981">
      <c r="BD981" s="56"/>
    </row>
    <row r="982">
      <c r="BD982" s="56"/>
    </row>
    <row r="983">
      <c r="BD983" s="56"/>
    </row>
    <row r="984">
      <c r="BD984" s="56"/>
    </row>
    <row r="985">
      <c r="BD985" s="56"/>
    </row>
    <row r="986">
      <c r="BD986" s="56"/>
    </row>
    <row r="987">
      <c r="BD987" s="56"/>
    </row>
    <row r="988">
      <c r="BD988" s="56"/>
    </row>
    <row r="989">
      <c r="BD989" s="56"/>
    </row>
    <row r="990">
      <c r="BD990" s="56"/>
    </row>
    <row r="991">
      <c r="BD991" s="56"/>
    </row>
    <row r="992">
      <c r="BD992" s="56"/>
    </row>
    <row r="993">
      <c r="BD993" s="56"/>
    </row>
    <row r="994">
      <c r="BD994" s="56"/>
    </row>
    <row r="995">
      <c r="BD995" s="56"/>
    </row>
    <row r="996">
      <c r="BD996" s="56"/>
    </row>
    <row r="997">
      <c r="BD997" s="56"/>
    </row>
    <row r="998">
      <c r="BD998" s="56"/>
    </row>
    <row r="999">
      <c r="BD999" s="56"/>
    </row>
    <row r="1000">
      <c r="BD1000" s="56"/>
    </row>
  </sheetData>
  <autoFilter ref="$B$3:$EV$149">
    <sortState ref="B3:EV149">
      <sortCondition ref="BD3:BD149"/>
      <sortCondition ref="AQ3:AQ149"/>
      <sortCondition ref="AJ3:AJ149"/>
      <sortCondition ref="AG3:AG149"/>
      <sortCondition ref="AL3:AL149"/>
      <sortCondition descending="1" ref="AS3:AS149"/>
      <sortCondition descending="1" ref="BA3:BA149"/>
      <sortCondition descending="1" ref="DG3:DG149"/>
      <sortCondition descending="1" ref="W3:W149"/>
      <sortCondition descending="1" ref="S3:S149"/>
      <sortCondition ref="Q3:Q149"/>
      <sortCondition descending="1" ref="I3:I149"/>
      <sortCondition ref="K3:K149"/>
      <sortCondition descending="1" ref="F3:F149"/>
      <sortCondition ref="H3:H149"/>
      <sortCondition ref="G3:G149"/>
      <sortCondition descending="1" ref="C3:C149"/>
      <sortCondition descending="1" ref="AB3:AB149"/>
      <sortCondition ref="BE3:BE149"/>
    </sortState>
  </autoFilter>
  <hyperlinks>
    <hyperlink r:id="rId1" ref="AF4"/>
    <hyperlink r:id="rId2" ref="AG4"/>
    <hyperlink r:id="rId3" ref="AF5"/>
    <hyperlink r:id="rId4" ref="AG5"/>
    <hyperlink r:id="rId5" ref="AF6"/>
    <hyperlink r:id="rId6" ref="AG6"/>
    <hyperlink r:id="rId7" ref="AF7"/>
    <hyperlink r:id="rId8" ref="AG7"/>
    <hyperlink r:id="rId9" ref="AF8"/>
    <hyperlink r:id="rId10" ref="AG8"/>
    <hyperlink r:id="rId11" ref="AF9"/>
    <hyperlink r:id="rId12" ref="AG9"/>
    <hyperlink r:id="rId13" ref="AF10"/>
    <hyperlink r:id="rId14" ref="AG10"/>
    <hyperlink r:id="rId15" ref="AF11"/>
    <hyperlink r:id="rId16" ref="AG11"/>
    <hyperlink r:id="rId17" ref="AF12"/>
    <hyperlink r:id="rId18" ref="AG12"/>
    <hyperlink r:id="rId19" ref="AF13"/>
    <hyperlink r:id="rId20" ref="AG13"/>
    <hyperlink r:id="rId21" ref="AF14"/>
    <hyperlink r:id="rId22" ref="AG14"/>
    <hyperlink r:id="rId23" ref="AF15"/>
    <hyperlink r:id="rId24" ref="AG15"/>
    <hyperlink r:id="rId25" ref="AF16"/>
    <hyperlink r:id="rId26" ref="AG16"/>
    <hyperlink r:id="rId27" ref="AF17"/>
    <hyperlink r:id="rId28" ref="AG17"/>
    <hyperlink r:id="rId29" ref="AF18"/>
    <hyperlink r:id="rId30" ref="AG18"/>
    <hyperlink r:id="rId31" ref="AF19"/>
    <hyperlink r:id="rId32" ref="AG19"/>
    <hyperlink r:id="rId33" ref="AF20"/>
    <hyperlink r:id="rId34" ref="AG20"/>
    <hyperlink r:id="rId35" ref="AF21"/>
    <hyperlink r:id="rId36" ref="AG21"/>
    <hyperlink r:id="rId37" ref="AF22"/>
    <hyperlink r:id="rId38" ref="AG22"/>
    <hyperlink r:id="rId39" ref="AF23"/>
    <hyperlink r:id="rId40" ref="AG23"/>
    <hyperlink r:id="rId41" ref="AF24"/>
    <hyperlink r:id="rId42" ref="AG24"/>
    <hyperlink r:id="rId43" ref="AF25"/>
    <hyperlink r:id="rId44" ref="AG25"/>
    <hyperlink r:id="rId45" ref="AF26"/>
    <hyperlink r:id="rId46" ref="AG26"/>
    <hyperlink r:id="rId47" ref="AF27"/>
    <hyperlink r:id="rId48" ref="AG27"/>
    <hyperlink r:id="rId49" ref="AF28"/>
    <hyperlink r:id="rId50" ref="AG28"/>
    <hyperlink r:id="rId51" ref="AF29"/>
    <hyperlink r:id="rId52" ref="AG29"/>
    <hyperlink r:id="rId53" ref="AF30"/>
    <hyperlink r:id="rId54" ref="AG30"/>
    <hyperlink r:id="rId55" ref="AF31"/>
    <hyperlink r:id="rId56" ref="AG31"/>
    <hyperlink r:id="rId57" ref="AF32"/>
    <hyperlink r:id="rId58" ref="AG32"/>
    <hyperlink r:id="rId59" ref="AF33"/>
    <hyperlink r:id="rId60" ref="AG33"/>
    <hyperlink r:id="rId61" ref="AF34"/>
    <hyperlink r:id="rId62" ref="AG34"/>
    <hyperlink r:id="rId63" ref="AF35"/>
    <hyperlink r:id="rId64" ref="AG35"/>
    <hyperlink r:id="rId65" ref="AF36"/>
    <hyperlink r:id="rId66" ref="AG36"/>
    <hyperlink r:id="rId67" ref="AF37"/>
    <hyperlink r:id="rId68" ref="AG37"/>
    <hyperlink r:id="rId69" ref="AF38"/>
    <hyperlink r:id="rId70" ref="AG38"/>
    <hyperlink r:id="rId71" ref="AF39"/>
    <hyperlink r:id="rId72" ref="AG39"/>
    <hyperlink r:id="rId73" ref="AF40"/>
    <hyperlink r:id="rId74" ref="AG40"/>
    <hyperlink r:id="rId75" ref="AF41"/>
    <hyperlink r:id="rId76" ref="AG41"/>
    <hyperlink r:id="rId77" ref="AF42"/>
    <hyperlink r:id="rId78" ref="AG42"/>
    <hyperlink r:id="rId79" ref="AF43"/>
    <hyperlink r:id="rId80" ref="AG43"/>
    <hyperlink r:id="rId81" ref="AF44"/>
    <hyperlink r:id="rId82" ref="AG44"/>
    <hyperlink r:id="rId83" ref="AF45"/>
    <hyperlink r:id="rId84" ref="AG45"/>
    <hyperlink r:id="rId85" ref="AF46"/>
    <hyperlink r:id="rId86" ref="AG46"/>
    <hyperlink r:id="rId87" ref="AF47"/>
    <hyperlink r:id="rId88" ref="AG47"/>
    <hyperlink r:id="rId89" ref="AF48"/>
    <hyperlink r:id="rId90" ref="AG48"/>
    <hyperlink r:id="rId91" ref="AF49"/>
    <hyperlink r:id="rId92" ref="AG49"/>
    <hyperlink r:id="rId93" ref="B50"/>
    <hyperlink r:id="rId94" ref="AF50"/>
    <hyperlink r:id="rId95" ref="AG50"/>
    <hyperlink r:id="rId96" ref="AF51"/>
    <hyperlink r:id="rId97" ref="AG51"/>
    <hyperlink r:id="rId98" ref="AF52"/>
    <hyperlink r:id="rId99" ref="AG52"/>
    <hyperlink r:id="rId100" ref="AF53"/>
    <hyperlink r:id="rId101" ref="AG53"/>
    <hyperlink r:id="rId102" ref="AF54"/>
    <hyperlink r:id="rId103" ref="AG54"/>
    <hyperlink r:id="rId104" ref="AF55"/>
    <hyperlink r:id="rId105" ref="AG55"/>
    <hyperlink r:id="rId106" ref="AF56"/>
    <hyperlink r:id="rId107" ref="AG56"/>
    <hyperlink r:id="rId108" ref="AF57"/>
    <hyperlink r:id="rId109" ref="AG57"/>
    <hyperlink r:id="rId110" ref="AF58"/>
    <hyperlink r:id="rId111" ref="AG58"/>
    <hyperlink r:id="rId112" ref="AF59"/>
    <hyperlink r:id="rId113" ref="AG59"/>
    <hyperlink r:id="rId114" ref="AF60"/>
    <hyperlink r:id="rId115" ref="AG60"/>
    <hyperlink r:id="rId116" ref="AF61"/>
    <hyperlink r:id="rId117" ref="AG61"/>
    <hyperlink r:id="rId118" ref="AF62"/>
    <hyperlink r:id="rId119" ref="AG62"/>
    <hyperlink r:id="rId120" ref="AF63"/>
    <hyperlink r:id="rId121" ref="AF64"/>
    <hyperlink r:id="rId122" ref="AG64"/>
    <hyperlink r:id="rId123" ref="AF65"/>
    <hyperlink r:id="rId124" ref="AG65"/>
    <hyperlink r:id="rId125" ref="AF66"/>
    <hyperlink r:id="rId126" ref="AG66"/>
    <hyperlink r:id="rId127" ref="AF67"/>
    <hyperlink r:id="rId128" ref="AG67"/>
    <hyperlink r:id="rId129" ref="AF68"/>
    <hyperlink r:id="rId130" ref="AG68"/>
    <hyperlink r:id="rId131" ref="AF69"/>
    <hyperlink r:id="rId132" ref="AG69"/>
    <hyperlink r:id="rId133" ref="AF70"/>
    <hyperlink r:id="rId134" ref="AG70"/>
    <hyperlink r:id="rId135" ref="AF71"/>
    <hyperlink r:id="rId136" ref="AG71"/>
    <hyperlink r:id="rId137" ref="AF72"/>
    <hyperlink r:id="rId138" ref="AG72"/>
    <hyperlink r:id="rId139" ref="AF73"/>
    <hyperlink r:id="rId140" ref="AG73"/>
    <hyperlink r:id="rId141" ref="AF74"/>
    <hyperlink r:id="rId142" ref="AG74"/>
    <hyperlink r:id="rId143" ref="AF75"/>
    <hyperlink r:id="rId144" ref="AG75"/>
    <hyperlink r:id="rId145" ref="AF76"/>
    <hyperlink r:id="rId146" ref="AG76"/>
    <hyperlink r:id="rId147" ref="AF77"/>
    <hyperlink r:id="rId148" ref="AG77"/>
    <hyperlink r:id="rId149" ref="AF78"/>
    <hyperlink r:id="rId150" ref="AG78"/>
    <hyperlink r:id="rId151" ref="AF79"/>
    <hyperlink r:id="rId152" ref="AG79"/>
    <hyperlink r:id="rId153" ref="AF80"/>
    <hyperlink r:id="rId154" ref="AG80"/>
    <hyperlink r:id="rId155" ref="AF81"/>
    <hyperlink r:id="rId156" ref="AG81"/>
    <hyperlink r:id="rId157" ref="AF82"/>
    <hyperlink r:id="rId158" ref="AG82"/>
    <hyperlink r:id="rId159" ref="AF83"/>
    <hyperlink r:id="rId160" ref="AG83"/>
    <hyperlink r:id="rId161" ref="AF84"/>
    <hyperlink r:id="rId162" ref="AG84"/>
    <hyperlink r:id="rId163" ref="AF85"/>
    <hyperlink r:id="rId164" ref="AG85"/>
    <hyperlink r:id="rId165" ref="AF86"/>
    <hyperlink r:id="rId166" ref="AG86"/>
    <hyperlink r:id="rId167" ref="AF87"/>
    <hyperlink r:id="rId168" ref="AG87"/>
    <hyperlink r:id="rId169" ref="AF88"/>
    <hyperlink r:id="rId170" ref="AG88"/>
    <hyperlink r:id="rId171" ref="AF89"/>
    <hyperlink r:id="rId172" ref="AG89"/>
    <hyperlink r:id="rId173" ref="AF90"/>
    <hyperlink r:id="rId174" ref="AG90"/>
    <hyperlink r:id="rId175" ref="AF91"/>
    <hyperlink r:id="rId176" ref="AG91"/>
    <hyperlink r:id="rId177" ref="AF92"/>
    <hyperlink r:id="rId178" ref="AG92"/>
    <hyperlink r:id="rId179" ref="AF93"/>
    <hyperlink r:id="rId180" ref="AG93"/>
    <hyperlink r:id="rId181" ref="AF94"/>
    <hyperlink r:id="rId182" ref="AG94"/>
    <hyperlink r:id="rId183" ref="AF95"/>
    <hyperlink r:id="rId184" ref="AG95"/>
    <hyperlink r:id="rId185" ref="AF96"/>
    <hyperlink r:id="rId186" ref="AG96"/>
    <hyperlink r:id="rId187" ref="AF97"/>
    <hyperlink r:id="rId188" ref="AG97"/>
    <hyperlink r:id="rId189" ref="AF98"/>
    <hyperlink r:id="rId190" ref="AG98"/>
    <hyperlink r:id="rId191" ref="AF99"/>
    <hyperlink r:id="rId192" ref="AG99"/>
    <hyperlink r:id="rId193" ref="AF100"/>
    <hyperlink r:id="rId194" ref="AF101"/>
    <hyperlink r:id="rId195" ref="AF102"/>
    <hyperlink r:id="rId196" ref="AF103"/>
    <hyperlink r:id="rId197" ref="AF104"/>
    <hyperlink r:id="rId198" ref="AF105"/>
    <hyperlink r:id="rId199" ref="AF106"/>
    <hyperlink r:id="rId200" ref="AF107"/>
    <hyperlink r:id="rId201" ref="AF108"/>
    <hyperlink r:id="rId202" ref="AF110"/>
    <hyperlink r:id="rId203" ref="AF111"/>
    <hyperlink r:id="rId204" ref="AF112"/>
    <hyperlink r:id="rId205" ref="AF113"/>
    <hyperlink r:id="rId206" ref="AF114"/>
    <hyperlink r:id="rId207" ref="AF115"/>
    <hyperlink r:id="rId208" ref="AF116"/>
    <hyperlink r:id="rId209" ref="AF117"/>
    <hyperlink r:id="rId210" ref="AF118"/>
    <hyperlink r:id="rId211" ref="AF119"/>
    <hyperlink r:id="rId212" ref="AF120"/>
    <hyperlink r:id="rId213" ref="BT120"/>
    <hyperlink r:id="rId214" ref="AF121"/>
    <hyperlink r:id="rId215" ref="AF122"/>
    <hyperlink r:id="rId216" ref="AF124"/>
    <hyperlink r:id="rId217" ref="AF125"/>
    <hyperlink r:id="rId218" ref="AF126"/>
    <hyperlink r:id="rId219" ref="B127"/>
    <hyperlink r:id="rId220" ref="AF127"/>
    <hyperlink r:id="rId221" ref="AF128"/>
    <hyperlink r:id="rId222" ref="AF129"/>
    <hyperlink r:id="rId223" ref="AF130"/>
    <hyperlink r:id="rId224" ref="AF131"/>
    <hyperlink r:id="rId225" ref="AF132"/>
    <hyperlink r:id="rId226" ref="AF134"/>
    <hyperlink r:id="rId227" ref="AF135"/>
    <hyperlink r:id="rId228" ref="AF136"/>
    <hyperlink r:id="rId229" ref="AF137"/>
    <hyperlink r:id="rId230" ref="AF138"/>
    <hyperlink r:id="rId231" ref="AF139"/>
    <hyperlink r:id="rId232" ref="AF140"/>
    <hyperlink r:id="rId233" ref="AF141"/>
    <hyperlink r:id="rId234" ref="AF142"/>
    <hyperlink r:id="rId235" ref="AF143"/>
    <hyperlink r:id="rId236" ref="AF144"/>
    <hyperlink r:id="rId237" ref="AF145"/>
    <hyperlink r:id="rId238" ref="AF147"/>
    <hyperlink r:id="rId239" ref="AF148"/>
  </hyperlinks>
  <drawing r:id="rId24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1.5"/>
  </cols>
  <sheetData>
    <row r="2">
      <c r="A2" s="29" t="s">
        <v>3417</v>
      </c>
      <c r="B2" s="30" t="s">
        <v>3418</v>
      </c>
    </row>
    <row r="3">
      <c r="A3" s="31" t="s">
        <v>3433</v>
      </c>
      <c r="B3" s="31" t="s">
        <v>9992</v>
      </c>
      <c r="C3" s="31" t="s">
        <v>3425</v>
      </c>
      <c r="D3" s="31" t="s">
        <v>9993</v>
      </c>
      <c r="E3" s="31" t="s">
        <v>9994</v>
      </c>
      <c r="F3" s="31" t="s">
        <v>9995</v>
      </c>
      <c r="G3" s="31" t="s">
        <v>9996</v>
      </c>
      <c r="H3" s="31" t="s">
        <v>9997</v>
      </c>
      <c r="I3" s="31" t="s">
        <v>9998</v>
      </c>
      <c r="J3" s="31" t="s">
        <v>9999</v>
      </c>
      <c r="K3" s="31" t="s">
        <v>10000</v>
      </c>
      <c r="L3" s="31" t="s">
        <v>10001</v>
      </c>
      <c r="M3" s="31" t="s">
        <v>10002</v>
      </c>
      <c r="N3" s="31" t="s">
        <v>10003</v>
      </c>
      <c r="O3" s="31" t="s">
        <v>3457</v>
      </c>
      <c r="P3" s="31" t="s">
        <v>3458</v>
      </c>
      <c r="Q3" s="31" t="s">
        <v>10004</v>
      </c>
      <c r="R3" s="31" t="s">
        <v>3426</v>
      </c>
      <c r="S3" s="31" t="s">
        <v>3427</v>
      </c>
      <c r="T3" s="31" t="s">
        <v>3428</v>
      </c>
      <c r="U3" s="31" t="s">
        <v>3430</v>
      </c>
      <c r="V3" s="31" t="s">
        <v>3429</v>
      </c>
      <c r="W3" s="31" t="s">
        <v>10005</v>
      </c>
      <c r="X3" s="31" t="s">
        <v>3432</v>
      </c>
      <c r="Y3" s="31" t="s">
        <v>10006</v>
      </c>
      <c r="Z3" s="31" t="s">
        <v>10007</v>
      </c>
    </row>
    <row r="4">
      <c r="A4" s="35" t="s">
        <v>3570</v>
      </c>
      <c r="B4" s="33" t="s">
        <v>3560</v>
      </c>
      <c r="C4" s="35" t="s">
        <v>3562</v>
      </c>
      <c r="D4" s="35" t="s">
        <v>506</v>
      </c>
      <c r="E4" s="35" t="s">
        <v>10008</v>
      </c>
      <c r="F4" s="35" t="s">
        <v>10009</v>
      </c>
      <c r="G4" s="34"/>
      <c r="H4" s="35" t="s">
        <v>506</v>
      </c>
      <c r="I4" s="35" t="s">
        <v>507</v>
      </c>
      <c r="J4" s="32">
        <v>11232.0</v>
      </c>
      <c r="K4" s="35" t="s">
        <v>60</v>
      </c>
      <c r="L4" s="37" t="str">
        <f>+1 (917) 417-5266</f>
        <v>#ERROR!</v>
      </c>
      <c r="M4" s="37"/>
      <c r="N4" s="35" t="s">
        <v>3583</v>
      </c>
      <c r="O4" s="35" t="s">
        <v>3578</v>
      </c>
      <c r="P4" s="35" t="s">
        <v>3579</v>
      </c>
      <c r="Q4" s="34"/>
      <c r="R4" s="35" t="s">
        <v>3563</v>
      </c>
      <c r="S4" s="35" t="s">
        <v>3564</v>
      </c>
      <c r="T4" s="35" t="s">
        <v>3565</v>
      </c>
      <c r="U4" s="35" t="s">
        <v>3567</v>
      </c>
      <c r="V4" s="35" t="s">
        <v>10010</v>
      </c>
      <c r="W4" s="35" t="s">
        <v>3571</v>
      </c>
      <c r="X4" s="35" t="s">
        <v>3569</v>
      </c>
      <c r="Y4" s="32">
        <v>33.0</v>
      </c>
      <c r="Z4" s="40" t="s">
        <v>3559</v>
      </c>
    </row>
    <row r="5">
      <c r="A5" s="42" t="s">
        <v>3570</v>
      </c>
      <c r="B5" s="55" t="s">
        <v>3560</v>
      </c>
      <c r="C5" s="42" t="s">
        <v>3562</v>
      </c>
      <c r="D5" s="42" t="s">
        <v>75</v>
      </c>
      <c r="E5" s="42" t="s">
        <v>10011</v>
      </c>
      <c r="F5" s="42" t="s">
        <v>3582</v>
      </c>
      <c r="G5" s="43"/>
      <c r="H5" s="42" t="s">
        <v>75</v>
      </c>
      <c r="I5" s="43"/>
      <c r="J5" s="45"/>
      <c r="K5" s="42" t="s">
        <v>41</v>
      </c>
      <c r="L5" s="45" t="str">
        <f>+972 (0)58 670 1528</f>
        <v>#ERROR!</v>
      </c>
      <c r="M5" s="45"/>
      <c r="N5" s="42" t="s">
        <v>3583</v>
      </c>
      <c r="O5" s="42" t="s">
        <v>3578</v>
      </c>
      <c r="P5" s="42" t="s">
        <v>3579</v>
      </c>
      <c r="Q5" s="43"/>
      <c r="R5" s="42" t="s">
        <v>3563</v>
      </c>
      <c r="S5" s="42" t="s">
        <v>3564</v>
      </c>
      <c r="T5" s="42" t="s">
        <v>3565</v>
      </c>
      <c r="U5" s="42" t="s">
        <v>3567</v>
      </c>
      <c r="V5" s="42" t="s">
        <v>10010</v>
      </c>
      <c r="W5" s="42" t="s">
        <v>3571</v>
      </c>
      <c r="X5" s="42" t="s">
        <v>3569</v>
      </c>
      <c r="Y5" s="41">
        <v>33.0</v>
      </c>
      <c r="Z5" s="48" t="s">
        <v>3559</v>
      </c>
    </row>
    <row r="6">
      <c r="A6" s="35" t="s">
        <v>3570</v>
      </c>
      <c r="B6" s="33" t="s">
        <v>3560</v>
      </c>
      <c r="C6" s="35" t="s">
        <v>3562</v>
      </c>
      <c r="D6" s="35" t="s">
        <v>10012</v>
      </c>
      <c r="E6" s="35" t="s">
        <v>10008</v>
      </c>
      <c r="F6" s="35" t="s">
        <v>10013</v>
      </c>
      <c r="G6" s="34"/>
      <c r="H6" s="35" t="s">
        <v>10012</v>
      </c>
      <c r="I6" s="35" t="s">
        <v>1283</v>
      </c>
      <c r="J6" s="32">
        <v>33326.0</v>
      </c>
      <c r="K6" s="35" t="s">
        <v>60</v>
      </c>
      <c r="L6" s="37" t="str">
        <f>+1 (917) 417-5266</f>
        <v>#ERROR!</v>
      </c>
      <c r="M6" s="37"/>
      <c r="N6" s="35" t="s">
        <v>3583</v>
      </c>
      <c r="O6" s="35" t="s">
        <v>3578</v>
      </c>
      <c r="P6" s="35" t="s">
        <v>3579</v>
      </c>
      <c r="Q6" s="34"/>
      <c r="R6" s="35" t="s">
        <v>3563</v>
      </c>
      <c r="S6" s="35" t="s">
        <v>3564</v>
      </c>
      <c r="T6" s="35" t="s">
        <v>3565</v>
      </c>
      <c r="U6" s="35" t="s">
        <v>3567</v>
      </c>
      <c r="V6" s="35" t="s">
        <v>10010</v>
      </c>
      <c r="W6" s="35" t="s">
        <v>3571</v>
      </c>
      <c r="X6" s="35" t="s">
        <v>3569</v>
      </c>
      <c r="Y6" s="32">
        <v>33.0</v>
      </c>
      <c r="Z6" s="40" t="s">
        <v>3559</v>
      </c>
    </row>
    <row r="7">
      <c r="A7" s="42" t="s">
        <v>3614</v>
      </c>
      <c r="B7" s="42" t="s">
        <v>3604</v>
      </c>
      <c r="C7" s="42" t="s">
        <v>3608</v>
      </c>
      <c r="D7" s="42" t="s">
        <v>3625</v>
      </c>
      <c r="E7" s="42" t="s">
        <v>10011</v>
      </c>
      <c r="F7" s="42" t="s">
        <v>3623</v>
      </c>
      <c r="G7" s="42" t="s">
        <v>3624</v>
      </c>
      <c r="H7" s="42" t="s">
        <v>3625</v>
      </c>
      <c r="I7" s="43"/>
      <c r="J7" s="41">
        <v>3079504.0</v>
      </c>
      <c r="K7" s="42" t="s">
        <v>41</v>
      </c>
      <c r="L7" s="45" t="str">
        <f>+972 (0)4 770 7700</f>
        <v>#ERROR!</v>
      </c>
      <c r="M7" s="45" t="str">
        <f>+972 (0)4 627 0666</f>
        <v>#ERROR!</v>
      </c>
      <c r="N7" s="42" t="s">
        <v>3627</v>
      </c>
      <c r="O7" s="42" t="s">
        <v>3619</v>
      </c>
      <c r="P7" s="42" t="s">
        <v>3620</v>
      </c>
      <c r="Q7" s="43"/>
      <c r="R7" s="42" t="s">
        <v>3563</v>
      </c>
      <c r="S7" s="42" t="s">
        <v>3609</v>
      </c>
      <c r="T7" s="42" t="s">
        <v>3610</v>
      </c>
      <c r="U7" s="42" t="s">
        <v>3612</v>
      </c>
      <c r="V7" s="42" t="s">
        <v>10014</v>
      </c>
      <c r="W7" s="42" t="s">
        <v>3571</v>
      </c>
      <c r="X7" s="42" t="s">
        <v>3569</v>
      </c>
      <c r="Y7" s="41">
        <v>29.0</v>
      </c>
      <c r="Z7" s="48" t="s">
        <v>3559</v>
      </c>
    </row>
    <row r="8">
      <c r="A8" s="35" t="s">
        <v>3614</v>
      </c>
      <c r="B8" s="35" t="s">
        <v>3604</v>
      </c>
      <c r="C8" s="35" t="s">
        <v>3608</v>
      </c>
      <c r="D8" s="35" t="s">
        <v>506</v>
      </c>
      <c r="E8" s="35" t="s">
        <v>10015</v>
      </c>
      <c r="F8" s="35" t="s">
        <v>10016</v>
      </c>
      <c r="G8" s="35" t="s">
        <v>10017</v>
      </c>
      <c r="H8" s="35" t="s">
        <v>506</v>
      </c>
      <c r="I8" s="35" t="s">
        <v>507</v>
      </c>
      <c r="J8" s="32">
        <v>10023.0</v>
      </c>
      <c r="K8" s="35" t="s">
        <v>60</v>
      </c>
      <c r="L8" s="37" t="str">
        <f>+1 (917) 694-4642</f>
        <v>#ERROR!</v>
      </c>
      <c r="M8" s="37"/>
      <c r="N8" s="35" t="s">
        <v>3627</v>
      </c>
      <c r="O8" s="35" t="s">
        <v>3619</v>
      </c>
      <c r="P8" s="35" t="s">
        <v>3620</v>
      </c>
      <c r="Q8" s="34"/>
      <c r="R8" s="35" t="s">
        <v>3563</v>
      </c>
      <c r="S8" s="35" t="s">
        <v>3609</v>
      </c>
      <c r="T8" s="35" t="s">
        <v>3610</v>
      </c>
      <c r="U8" s="35" t="s">
        <v>3612</v>
      </c>
      <c r="V8" s="35" t="s">
        <v>10014</v>
      </c>
      <c r="W8" s="35" t="s">
        <v>3571</v>
      </c>
      <c r="X8" s="35" t="s">
        <v>3569</v>
      </c>
      <c r="Y8" s="32">
        <v>29.0</v>
      </c>
      <c r="Z8" s="40" t="s">
        <v>3559</v>
      </c>
    </row>
    <row r="9">
      <c r="A9" s="42" t="s">
        <v>3646</v>
      </c>
      <c r="B9" s="42" t="s">
        <v>2012</v>
      </c>
      <c r="C9" s="42" t="s">
        <v>3641</v>
      </c>
      <c r="D9" s="42" t="s">
        <v>147</v>
      </c>
      <c r="E9" s="42" t="s">
        <v>10011</v>
      </c>
      <c r="F9" s="42" t="s">
        <v>3655</v>
      </c>
      <c r="G9" s="42" t="s">
        <v>3656</v>
      </c>
      <c r="H9" s="42" t="s">
        <v>147</v>
      </c>
      <c r="I9" s="43"/>
      <c r="J9" s="41">
        <v>9777516.0</v>
      </c>
      <c r="K9" s="42" t="s">
        <v>41</v>
      </c>
      <c r="L9" s="45" t="str">
        <f>+972 (0)52 783 1638</f>
        <v>#ERROR!</v>
      </c>
      <c r="M9" s="45"/>
      <c r="N9" s="42" t="s">
        <v>2018</v>
      </c>
      <c r="O9" s="42" t="s">
        <v>3651</v>
      </c>
      <c r="P9" s="42" t="s">
        <v>3652</v>
      </c>
      <c r="Q9" s="43"/>
      <c r="R9" s="42" t="s">
        <v>3563</v>
      </c>
      <c r="S9" s="42" t="s">
        <v>3564</v>
      </c>
      <c r="T9" s="42" t="s">
        <v>3642</v>
      </c>
      <c r="U9" s="42" t="s">
        <v>3644</v>
      </c>
      <c r="V9" s="42" t="s">
        <v>3643</v>
      </c>
      <c r="W9" s="42" t="s">
        <v>3571</v>
      </c>
      <c r="X9" s="42" t="s">
        <v>3569</v>
      </c>
      <c r="Y9" s="41">
        <v>38.0</v>
      </c>
      <c r="Z9" s="48" t="s">
        <v>3559</v>
      </c>
    </row>
    <row r="10">
      <c r="A10" s="35" t="s">
        <v>3646</v>
      </c>
      <c r="B10" s="35" t="s">
        <v>2012</v>
      </c>
      <c r="C10" s="35" t="s">
        <v>3641</v>
      </c>
      <c r="D10" s="35" t="s">
        <v>10018</v>
      </c>
      <c r="E10" s="35" t="s">
        <v>10015</v>
      </c>
      <c r="F10" s="34"/>
      <c r="G10" s="34"/>
      <c r="H10" s="35" t="s">
        <v>10018</v>
      </c>
      <c r="I10" s="34"/>
      <c r="J10" s="37"/>
      <c r="K10" s="35" t="s">
        <v>465</v>
      </c>
      <c r="L10" s="37"/>
      <c r="M10" s="37"/>
      <c r="N10" s="35" t="s">
        <v>2018</v>
      </c>
      <c r="O10" s="35" t="s">
        <v>3651</v>
      </c>
      <c r="P10" s="35" t="s">
        <v>3652</v>
      </c>
      <c r="Q10" s="34"/>
      <c r="R10" s="35" t="s">
        <v>3563</v>
      </c>
      <c r="S10" s="35" t="s">
        <v>3564</v>
      </c>
      <c r="T10" s="35" t="s">
        <v>3642</v>
      </c>
      <c r="U10" s="35" t="s">
        <v>3644</v>
      </c>
      <c r="V10" s="35" t="s">
        <v>3643</v>
      </c>
      <c r="W10" s="35" t="s">
        <v>3571</v>
      </c>
      <c r="X10" s="35" t="s">
        <v>3569</v>
      </c>
      <c r="Y10" s="32">
        <v>38.0</v>
      </c>
      <c r="Z10" s="40" t="s">
        <v>3559</v>
      </c>
    </row>
    <row r="11">
      <c r="A11" s="42" t="s">
        <v>3679</v>
      </c>
      <c r="B11" s="42" t="s">
        <v>3671</v>
      </c>
      <c r="C11" s="42" t="s">
        <v>3675</v>
      </c>
      <c r="D11" s="42" t="s">
        <v>58</v>
      </c>
      <c r="E11" s="42" t="s">
        <v>10008</v>
      </c>
      <c r="F11" s="42" t="s">
        <v>10019</v>
      </c>
      <c r="G11" s="42" t="s">
        <v>10020</v>
      </c>
      <c r="H11" s="42" t="s">
        <v>58</v>
      </c>
      <c r="I11" s="42" t="s">
        <v>59</v>
      </c>
      <c r="J11" s="41">
        <v>2356.0</v>
      </c>
      <c r="K11" s="42" t="s">
        <v>60</v>
      </c>
      <c r="L11" s="45"/>
      <c r="M11" s="45"/>
      <c r="N11" s="42" t="s">
        <v>3689</v>
      </c>
      <c r="O11" s="42" t="s">
        <v>3684</v>
      </c>
      <c r="P11" s="42" t="s">
        <v>3685</v>
      </c>
      <c r="Q11" s="43"/>
      <c r="R11" s="42" t="s">
        <v>3563</v>
      </c>
      <c r="S11" s="42" t="s">
        <v>3564</v>
      </c>
      <c r="T11" s="42" t="s">
        <v>3565</v>
      </c>
      <c r="U11" s="42" t="s">
        <v>3677</v>
      </c>
      <c r="V11" s="42" t="s">
        <v>10021</v>
      </c>
      <c r="W11" s="42" t="s">
        <v>3571</v>
      </c>
      <c r="X11" s="42" t="s">
        <v>3569</v>
      </c>
      <c r="Y11" s="41">
        <v>56.0</v>
      </c>
      <c r="Z11" s="48" t="s">
        <v>3559</v>
      </c>
    </row>
    <row r="12">
      <c r="A12" s="35" t="s">
        <v>3679</v>
      </c>
      <c r="B12" s="35" t="s">
        <v>3671</v>
      </c>
      <c r="C12" s="35" t="s">
        <v>3675</v>
      </c>
      <c r="D12" s="35" t="s">
        <v>10022</v>
      </c>
      <c r="E12" s="35" t="s">
        <v>10008</v>
      </c>
      <c r="F12" s="35" t="s">
        <v>10023</v>
      </c>
      <c r="G12" s="35" t="s">
        <v>10024</v>
      </c>
      <c r="H12" s="35" t="s">
        <v>10022</v>
      </c>
      <c r="I12" s="35" t="s">
        <v>816</v>
      </c>
      <c r="J12" s="32">
        <v>48067.0</v>
      </c>
      <c r="K12" s="35" t="s">
        <v>60</v>
      </c>
      <c r="L12" s="37"/>
      <c r="M12" s="37"/>
      <c r="N12" s="35" t="s">
        <v>3689</v>
      </c>
      <c r="O12" s="35" t="s">
        <v>3684</v>
      </c>
      <c r="P12" s="35" t="s">
        <v>3685</v>
      </c>
      <c r="Q12" s="34"/>
      <c r="R12" s="35" t="s">
        <v>3563</v>
      </c>
      <c r="S12" s="35" t="s">
        <v>3564</v>
      </c>
      <c r="T12" s="35" t="s">
        <v>3565</v>
      </c>
      <c r="U12" s="35" t="s">
        <v>3677</v>
      </c>
      <c r="V12" s="35" t="s">
        <v>10021</v>
      </c>
      <c r="W12" s="35" t="s">
        <v>3571</v>
      </c>
      <c r="X12" s="35" t="s">
        <v>3569</v>
      </c>
      <c r="Y12" s="32">
        <v>56.0</v>
      </c>
      <c r="Z12" s="40" t="s">
        <v>3559</v>
      </c>
    </row>
    <row r="13">
      <c r="A13" s="42" t="s">
        <v>3679</v>
      </c>
      <c r="B13" s="42" t="s">
        <v>3671</v>
      </c>
      <c r="C13" s="42" t="s">
        <v>3675</v>
      </c>
      <c r="D13" s="42" t="s">
        <v>10025</v>
      </c>
      <c r="E13" s="42" t="s">
        <v>10008</v>
      </c>
      <c r="F13" s="43"/>
      <c r="G13" s="43"/>
      <c r="H13" s="42" t="s">
        <v>10025</v>
      </c>
      <c r="I13" s="43"/>
      <c r="J13" s="45"/>
      <c r="K13" s="42" t="s">
        <v>465</v>
      </c>
      <c r="L13" s="45"/>
      <c r="M13" s="45"/>
      <c r="N13" s="42" t="s">
        <v>3689</v>
      </c>
      <c r="O13" s="42" t="s">
        <v>3684</v>
      </c>
      <c r="P13" s="42" t="s">
        <v>3685</v>
      </c>
      <c r="Q13" s="43"/>
      <c r="R13" s="42" t="s">
        <v>3563</v>
      </c>
      <c r="S13" s="42" t="s">
        <v>3564</v>
      </c>
      <c r="T13" s="42" t="s">
        <v>3565</v>
      </c>
      <c r="U13" s="42" t="s">
        <v>3677</v>
      </c>
      <c r="V13" s="42" t="s">
        <v>10021</v>
      </c>
      <c r="W13" s="42" t="s">
        <v>3571</v>
      </c>
      <c r="X13" s="42" t="s">
        <v>3569</v>
      </c>
      <c r="Y13" s="41">
        <v>56.0</v>
      </c>
      <c r="Z13" s="48" t="s">
        <v>3559</v>
      </c>
    </row>
    <row r="14">
      <c r="A14" s="35" t="s">
        <v>3679</v>
      </c>
      <c r="B14" s="35" t="s">
        <v>3671</v>
      </c>
      <c r="C14" s="35" t="s">
        <v>3675</v>
      </c>
      <c r="D14" s="35" t="s">
        <v>10026</v>
      </c>
      <c r="E14" s="35" t="s">
        <v>10008</v>
      </c>
      <c r="F14" s="34"/>
      <c r="G14" s="34"/>
      <c r="H14" s="35" t="s">
        <v>10026</v>
      </c>
      <c r="I14" s="34"/>
      <c r="J14" s="37"/>
      <c r="K14" s="35" t="s">
        <v>10027</v>
      </c>
      <c r="L14" s="37"/>
      <c r="M14" s="37"/>
      <c r="N14" s="35" t="s">
        <v>3689</v>
      </c>
      <c r="O14" s="35" t="s">
        <v>3684</v>
      </c>
      <c r="P14" s="35" t="s">
        <v>3685</v>
      </c>
      <c r="Q14" s="34"/>
      <c r="R14" s="35" t="s">
        <v>3563</v>
      </c>
      <c r="S14" s="35" t="s">
        <v>3564</v>
      </c>
      <c r="T14" s="35" t="s">
        <v>3565</v>
      </c>
      <c r="U14" s="35" t="s">
        <v>3677</v>
      </c>
      <c r="V14" s="35" t="s">
        <v>10021</v>
      </c>
      <c r="W14" s="35" t="s">
        <v>3571</v>
      </c>
      <c r="X14" s="35" t="s">
        <v>3569</v>
      </c>
      <c r="Y14" s="32">
        <v>56.0</v>
      </c>
      <c r="Z14" s="40" t="s">
        <v>3559</v>
      </c>
    </row>
    <row r="15">
      <c r="A15" s="42" t="s">
        <v>3679</v>
      </c>
      <c r="B15" s="42" t="s">
        <v>3671</v>
      </c>
      <c r="C15" s="42" t="s">
        <v>3675</v>
      </c>
      <c r="D15" s="42" t="s">
        <v>10028</v>
      </c>
      <c r="E15" s="42" t="s">
        <v>10008</v>
      </c>
      <c r="F15" s="43"/>
      <c r="G15" s="43"/>
      <c r="H15" s="43"/>
      <c r="I15" s="43"/>
      <c r="J15" s="45"/>
      <c r="K15" s="42" t="s">
        <v>10028</v>
      </c>
      <c r="L15" s="45"/>
      <c r="M15" s="45"/>
      <c r="N15" s="42" t="s">
        <v>3689</v>
      </c>
      <c r="O15" s="42" t="s">
        <v>3684</v>
      </c>
      <c r="P15" s="42" t="s">
        <v>3685</v>
      </c>
      <c r="Q15" s="43"/>
      <c r="R15" s="42" t="s">
        <v>3563</v>
      </c>
      <c r="S15" s="42" t="s">
        <v>3564</v>
      </c>
      <c r="T15" s="42" t="s">
        <v>3565</v>
      </c>
      <c r="U15" s="42" t="s">
        <v>3677</v>
      </c>
      <c r="V15" s="42" t="s">
        <v>10021</v>
      </c>
      <c r="W15" s="42" t="s">
        <v>3571</v>
      </c>
      <c r="X15" s="42" t="s">
        <v>3569</v>
      </c>
      <c r="Y15" s="41">
        <v>56.0</v>
      </c>
      <c r="Z15" s="48" t="s">
        <v>3559</v>
      </c>
    </row>
    <row r="16">
      <c r="A16" s="35" t="s">
        <v>3679</v>
      </c>
      <c r="B16" s="35" t="s">
        <v>3671</v>
      </c>
      <c r="C16" s="35" t="s">
        <v>3675</v>
      </c>
      <c r="D16" s="35" t="s">
        <v>10029</v>
      </c>
      <c r="E16" s="35" t="s">
        <v>10008</v>
      </c>
      <c r="F16" s="35" t="s">
        <v>10030</v>
      </c>
      <c r="G16" s="34"/>
      <c r="H16" s="35" t="s">
        <v>10029</v>
      </c>
      <c r="I16" s="34"/>
      <c r="J16" s="32">
        <v>1000.0</v>
      </c>
      <c r="K16" s="35" t="s">
        <v>10031</v>
      </c>
      <c r="L16" s="37"/>
      <c r="M16" s="37"/>
      <c r="N16" s="35" t="s">
        <v>3689</v>
      </c>
      <c r="O16" s="35" t="s">
        <v>3684</v>
      </c>
      <c r="P16" s="35" t="s">
        <v>3685</v>
      </c>
      <c r="Q16" s="34"/>
      <c r="R16" s="35" t="s">
        <v>3563</v>
      </c>
      <c r="S16" s="35" t="s">
        <v>3564</v>
      </c>
      <c r="T16" s="35" t="s">
        <v>3565</v>
      </c>
      <c r="U16" s="35" t="s">
        <v>3677</v>
      </c>
      <c r="V16" s="35" t="s">
        <v>10021</v>
      </c>
      <c r="W16" s="35" t="s">
        <v>3571</v>
      </c>
      <c r="X16" s="35" t="s">
        <v>3569</v>
      </c>
      <c r="Y16" s="32">
        <v>56.0</v>
      </c>
      <c r="Z16" s="40" t="s">
        <v>3559</v>
      </c>
    </row>
    <row r="17">
      <c r="A17" s="42" t="s">
        <v>3679</v>
      </c>
      <c r="B17" s="42" t="s">
        <v>3671</v>
      </c>
      <c r="C17" s="42" t="s">
        <v>3675</v>
      </c>
      <c r="D17" s="42" t="s">
        <v>75</v>
      </c>
      <c r="E17" s="42" t="s">
        <v>10011</v>
      </c>
      <c r="F17" s="42" t="s">
        <v>3687</v>
      </c>
      <c r="G17" s="42" t="s">
        <v>3688</v>
      </c>
      <c r="H17" s="42" t="s">
        <v>75</v>
      </c>
      <c r="I17" s="43"/>
      <c r="J17" s="41">
        <v>6578403.0</v>
      </c>
      <c r="K17" s="42" t="s">
        <v>41</v>
      </c>
      <c r="L17" s="45"/>
      <c r="M17" s="45"/>
      <c r="N17" s="42" t="s">
        <v>3689</v>
      </c>
      <c r="O17" s="42" t="s">
        <v>3684</v>
      </c>
      <c r="P17" s="42" t="s">
        <v>3685</v>
      </c>
      <c r="Q17" s="43"/>
      <c r="R17" s="42" t="s">
        <v>3563</v>
      </c>
      <c r="S17" s="42" t="s">
        <v>3564</v>
      </c>
      <c r="T17" s="42" t="s">
        <v>3565</v>
      </c>
      <c r="U17" s="42" t="s">
        <v>3677</v>
      </c>
      <c r="V17" s="42" t="s">
        <v>10021</v>
      </c>
      <c r="W17" s="42" t="s">
        <v>3571</v>
      </c>
      <c r="X17" s="42" t="s">
        <v>3569</v>
      </c>
      <c r="Y17" s="41">
        <v>56.0</v>
      </c>
      <c r="Z17" s="48" t="s">
        <v>3559</v>
      </c>
    </row>
    <row r="18">
      <c r="A18" s="72" t="s">
        <v>3679</v>
      </c>
      <c r="B18" s="72" t="s">
        <v>3671</v>
      </c>
      <c r="C18" s="72" t="s">
        <v>3675</v>
      </c>
      <c r="D18" s="72" t="s">
        <v>211</v>
      </c>
      <c r="E18" s="72" t="s">
        <v>10008</v>
      </c>
      <c r="F18" s="73"/>
      <c r="G18" s="73"/>
      <c r="H18" s="73"/>
      <c r="I18" s="72" t="s">
        <v>10032</v>
      </c>
      <c r="J18" s="74"/>
      <c r="K18" s="72" t="s">
        <v>211</v>
      </c>
      <c r="L18" s="74"/>
      <c r="M18" s="74"/>
      <c r="N18" s="72" t="s">
        <v>3689</v>
      </c>
      <c r="O18" s="72" t="s">
        <v>3684</v>
      </c>
      <c r="P18" s="72" t="s">
        <v>3685</v>
      </c>
      <c r="Q18" s="73"/>
      <c r="R18" s="72" t="s">
        <v>3563</v>
      </c>
      <c r="S18" s="72" t="s">
        <v>3564</v>
      </c>
      <c r="T18" s="72" t="s">
        <v>3565</v>
      </c>
      <c r="U18" s="72" t="s">
        <v>3677</v>
      </c>
      <c r="V18" s="72" t="s">
        <v>10021</v>
      </c>
      <c r="W18" s="72" t="s">
        <v>3571</v>
      </c>
      <c r="X18" s="72" t="s">
        <v>3569</v>
      </c>
      <c r="Y18" s="75">
        <v>56.0</v>
      </c>
      <c r="Z18" s="76" t="s">
        <v>3559</v>
      </c>
    </row>
    <row r="19">
      <c r="A19" s="42" t="s">
        <v>3679</v>
      </c>
      <c r="B19" s="42" t="s">
        <v>3671</v>
      </c>
      <c r="C19" s="42" t="s">
        <v>3675</v>
      </c>
      <c r="D19" s="42" t="s">
        <v>10033</v>
      </c>
      <c r="E19" s="42" t="s">
        <v>10008</v>
      </c>
      <c r="F19" s="42" t="s">
        <v>10034</v>
      </c>
      <c r="G19" s="43"/>
      <c r="H19" s="42" t="s">
        <v>10033</v>
      </c>
      <c r="I19" s="43"/>
      <c r="J19" s="41">
        <v>85716.0</v>
      </c>
      <c r="K19" s="42" t="s">
        <v>465</v>
      </c>
      <c r="L19" s="45"/>
      <c r="M19" s="45"/>
      <c r="N19" s="42" t="s">
        <v>3689</v>
      </c>
      <c r="O19" s="42" t="s">
        <v>3684</v>
      </c>
      <c r="P19" s="42" t="s">
        <v>3685</v>
      </c>
      <c r="Q19" s="43"/>
      <c r="R19" s="42" t="s">
        <v>3563</v>
      </c>
      <c r="S19" s="42" t="s">
        <v>3564</v>
      </c>
      <c r="T19" s="42" t="s">
        <v>3565</v>
      </c>
      <c r="U19" s="42" t="s">
        <v>3677</v>
      </c>
      <c r="V19" s="42" t="s">
        <v>10021</v>
      </c>
      <c r="W19" s="42" t="s">
        <v>3571</v>
      </c>
      <c r="X19" s="42" t="s">
        <v>3569</v>
      </c>
      <c r="Y19" s="41">
        <v>56.0</v>
      </c>
      <c r="Z19" s="48" t="s">
        <v>3559</v>
      </c>
    </row>
    <row r="20">
      <c r="A20" s="35" t="s">
        <v>3712</v>
      </c>
      <c r="B20" s="35" t="s">
        <v>809</v>
      </c>
      <c r="C20" s="35" t="s">
        <v>3708</v>
      </c>
      <c r="D20" s="35" t="s">
        <v>815</v>
      </c>
      <c r="E20" s="35" t="s">
        <v>10015</v>
      </c>
      <c r="F20" s="35" t="s">
        <v>10035</v>
      </c>
      <c r="G20" s="35" t="s">
        <v>10036</v>
      </c>
      <c r="H20" s="35" t="s">
        <v>815</v>
      </c>
      <c r="I20" s="35" t="s">
        <v>816</v>
      </c>
      <c r="J20" s="32">
        <v>48009.0</v>
      </c>
      <c r="K20" s="35" t="s">
        <v>60</v>
      </c>
      <c r="L20" s="37" t="str">
        <f>+1 (734) 215-7290</f>
        <v>#ERROR!</v>
      </c>
      <c r="M20" s="37"/>
      <c r="N20" s="35" t="s">
        <v>817</v>
      </c>
      <c r="O20" s="35" t="s">
        <v>811</v>
      </c>
      <c r="P20" s="35" t="s">
        <v>3579</v>
      </c>
      <c r="Q20" s="34"/>
      <c r="R20" s="35" t="s">
        <v>3563</v>
      </c>
      <c r="S20" s="35" t="s">
        <v>3564</v>
      </c>
      <c r="T20" s="35" t="s">
        <v>3642</v>
      </c>
      <c r="U20" s="35" t="s">
        <v>3710</v>
      </c>
      <c r="V20" s="35" t="s">
        <v>10037</v>
      </c>
      <c r="W20" s="35" t="s">
        <v>3571</v>
      </c>
      <c r="X20" s="35" t="s">
        <v>3569</v>
      </c>
      <c r="Y20" s="32">
        <v>152.0</v>
      </c>
      <c r="Z20" s="40" t="s">
        <v>3559</v>
      </c>
    </row>
    <row r="21">
      <c r="A21" s="42" t="s">
        <v>3712</v>
      </c>
      <c r="B21" s="42" t="s">
        <v>809</v>
      </c>
      <c r="C21" s="42" t="s">
        <v>3708</v>
      </c>
      <c r="D21" s="42" t="s">
        <v>58</v>
      </c>
      <c r="E21" s="42" t="s">
        <v>10008</v>
      </c>
      <c r="F21" s="43"/>
      <c r="G21" s="43"/>
      <c r="H21" s="42" t="s">
        <v>58</v>
      </c>
      <c r="I21" s="42" t="s">
        <v>59</v>
      </c>
      <c r="J21" s="45"/>
      <c r="K21" s="42" t="s">
        <v>60</v>
      </c>
      <c r="L21" s="45" t="str">
        <f>+1 (857) 453-1134</f>
        <v>#ERROR!</v>
      </c>
      <c r="M21" s="45"/>
      <c r="N21" s="42" t="s">
        <v>817</v>
      </c>
      <c r="O21" s="42" t="s">
        <v>811</v>
      </c>
      <c r="P21" s="42" t="s">
        <v>3579</v>
      </c>
      <c r="Q21" s="43"/>
      <c r="R21" s="42" t="s">
        <v>3563</v>
      </c>
      <c r="S21" s="42" t="s">
        <v>3564</v>
      </c>
      <c r="T21" s="42" t="s">
        <v>3642</v>
      </c>
      <c r="U21" s="42" t="s">
        <v>3710</v>
      </c>
      <c r="V21" s="42" t="s">
        <v>10037</v>
      </c>
      <c r="W21" s="42" t="s">
        <v>3571</v>
      </c>
      <c r="X21" s="42" t="s">
        <v>3569</v>
      </c>
      <c r="Y21" s="41">
        <v>152.0</v>
      </c>
      <c r="Z21" s="48" t="s">
        <v>3559</v>
      </c>
    </row>
    <row r="22">
      <c r="A22" s="35" t="s">
        <v>3712</v>
      </c>
      <c r="B22" s="35" t="s">
        <v>809</v>
      </c>
      <c r="C22" s="35" t="s">
        <v>3708</v>
      </c>
      <c r="D22" s="35" t="s">
        <v>10022</v>
      </c>
      <c r="E22" s="35" t="s">
        <v>10008</v>
      </c>
      <c r="F22" s="35" t="s">
        <v>10038</v>
      </c>
      <c r="G22" s="35" t="s">
        <v>10039</v>
      </c>
      <c r="H22" s="35" t="s">
        <v>10022</v>
      </c>
      <c r="I22" s="35" t="s">
        <v>816</v>
      </c>
      <c r="J22" s="32">
        <v>48226.0</v>
      </c>
      <c r="K22" s="35" t="s">
        <v>60</v>
      </c>
      <c r="L22" s="37" t="str">
        <f>+1 (857) 453-1134</f>
        <v>#ERROR!</v>
      </c>
      <c r="M22" s="37"/>
      <c r="N22" s="35" t="s">
        <v>817</v>
      </c>
      <c r="O22" s="35" t="s">
        <v>811</v>
      </c>
      <c r="P22" s="35" t="s">
        <v>3579</v>
      </c>
      <c r="Q22" s="34"/>
      <c r="R22" s="35" t="s">
        <v>3563</v>
      </c>
      <c r="S22" s="35" t="s">
        <v>3564</v>
      </c>
      <c r="T22" s="35" t="s">
        <v>3642</v>
      </c>
      <c r="U22" s="35" t="s">
        <v>3710</v>
      </c>
      <c r="V22" s="35" t="s">
        <v>10037</v>
      </c>
      <c r="W22" s="35" t="s">
        <v>3571</v>
      </c>
      <c r="X22" s="35" t="s">
        <v>3569</v>
      </c>
      <c r="Y22" s="32">
        <v>152.0</v>
      </c>
      <c r="Z22" s="40" t="s">
        <v>3559</v>
      </c>
    </row>
    <row r="23">
      <c r="A23" s="42" t="s">
        <v>3712</v>
      </c>
      <c r="B23" s="42" t="s">
        <v>809</v>
      </c>
      <c r="C23" s="42" t="s">
        <v>3708</v>
      </c>
      <c r="D23" s="42" t="s">
        <v>10025</v>
      </c>
      <c r="E23" s="42" t="s">
        <v>10008</v>
      </c>
      <c r="F23" s="43"/>
      <c r="G23" s="43"/>
      <c r="H23" s="42" t="s">
        <v>10025</v>
      </c>
      <c r="I23" s="43"/>
      <c r="J23" s="45"/>
      <c r="K23" s="42" t="s">
        <v>465</v>
      </c>
      <c r="L23" s="45"/>
      <c r="M23" s="45"/>
      <c r="N23" s="42" t="s">
        <v>817</v>
      </c>
      <c r="O23" s="42" t="s">
        <v>811</v>
      </c>
      <c r="P23" s="42" t="s">
        <v>3579</v>
      </c>
      <c r="Q23" s="43"/>
      <c r="R23" s="42" t="s">
        <v>3563</v>
      </c>
      <c r="S23" s="42" t="s">
        <v>3564</v>
      </c>
      <c r="T23" s="42" t="s">
        <v>3642</v>
      </c>
      <c r="U23" s="42" t="s">
        <v>3710</v>
      </c>
      <c r="V23" s="42" t="s">
        <v>10037</v>
      </c>
      <c r="W23" s="42" t="s">
        <v>3571</v>
      </c>
      <c r="X23" s="42" t="s">
        <v>3569</v>
      </c>
      <c r="Y23" s="41">
        <v>152.0</v>
      </c>
      <c r="Z23" s="48" t="s">
        <v>3559</v>
      </c>
    </row>
    <row r="24">
      <c r="A24" s="35" t="s">
        <v>3712</v>
      </c>
      <c r="B24" s="35" t="s">
        <v>809</v>
      </c>
      <c r="C24" s="35" t="s">
        <v>3708</v>
      </c>
      <c r="D24" s="35" t="s">
        <v>552</v>
      </c>
      <c r="E24" s="35" t="s">
        <v>10011</v>
      </c>
      <c r="F24" s="35" t="s">
        <v>3719</v>
      </c>
      <c r="G24" s="35" t="s">
        <v>3720</v>
      </c>
      <c r="H24" s="35" t="s">
        <v>552</v>
      </c>
      <c r="I24" s="34"/>
      <c r="J24" s="32">
        <v>4685211.0</v>
      </c>
      <c r="K24" s="35" t="s">
        <v>41</v>
      </c>
      <c r="L24" s="37"/>
      <c r="M24" s="37"/>
      <c r="N24" s="35" t="s">
        <v>817</v>
      </c>
      <c r="O24" s="35" t="s">
        <v>811</v>
      </c>
      <c r="P24" s="35" t="s">
        <v>3579</v>
      </c>
      <c r="Q24" s="34"/>
      <c r="R24" s="35" t="s">
        <v>3563</v>
      </c>
      <c r="S24" s="35" t="s">
        <v>3564</v>
      </c>
      <c r="T24" s="35" t="s">
        <v>3642</v>
      </c>
      <c r="U24" s="35" t="s">
        <v>3710</v>
      </c>
      <c r="V24" s="35" t="s">
        <v>10037</v>
      </c>
      <c r="W24" s="35" t="s">
        <v>3571</v>
      </c>
      <c r="X24" s="35" t="s">
        <v>3569</v>
      </c>
      <c r="Y24" s="32">
        <v>152.0</v>
      </c>
      <c r="Z24" s="40" t="s">
        <v>3559</v>
      </c>
    </row>
    <row r="25">
      <c r="A25" s="77" t="s">
        <v>3712</v>
      </c>
      <c r="B25" s="77" t="s">
        <v>809</v>
      </c>
      <c r="C25" s="77" t="s">
        <v>3708</v>
      </c>
      <c r="D25" s="77" t="s">
        <v>287</v>
      </c>
      <c r="E25" s="77" t="s">
        <v>10008</v>
      </c>
      <c r="F25" s="78"/>
      <c r="G25" s="78"/>
      <c r="H25" s="77" t="s">
        <v>287</v>
      </c>
      <c r="I25" s="77" t="s">
        <v>10032</v>
      </c>
      <c r="J25" s="79"/>
      <c r="K25" s="77" t="s">
        <v>211</v>
      </c>
      <c r="L25" s="79"/>
      <c r="M25" s="79"/>
      <c r="N25" s="77" t="s">
        <v>817</v>
      </c>
      <c r="O25" s="77" t="s">
        <v>811</v>
      </c>
      <c r="P25" s="77" t="s">
        <v>3579</v>
      </c>
      <c r="Q25" s="78"/>
      <c r="R25" s="77" t="s">
        <v>3563</v>
      </c>
      <c r="S25" s="77" t="s">
        <v>3564</v>
      </c>
      <c r="T25" s="77" t="s">
        <v>3642</v>
      </c>
      <c r="U25" s="77" t="s">
        <v>3710</v>
      </c>
      <c r="V25" s="77" t="s">
        <v>10037</v>
      </c>
      <c r="W25" s="77" t="s">
        <v>3571</v>
      </c>
      <c r="X25" s="77" t="s">
        <v>3569</v>
      </c>
      <c r="Y25" s="80">
        <v>152.0</v>
      </c>
      <c r="Z25" s="81" t="s">
        <v>3559</v>
      </c>
    </row>
    <row r="26">
      <c r="A26" s="35" t="s">
        <v>3712</v>
      </c>
      <c r="B26" s="35" t="s">
        <v>809</v>
      </c>
      <c r="C26" s="35" t="s">
        <v>3708</v>
      </c>
      <c r="D26" s="35" t="s">
        <v>10018</v>
      </c>
      <c r="E26" s="35" t="s">
        <v>10008</v>
      </c>
      <c r="F26" s="34"/>
      <c r="G26" s="34"/>
      <c r="H26" s="35" t="s">
        <v>10018</v>
      </c>
      <c r="I26" s="34"/>
      <c r="J26" s="37"/>
      <c r="K26" s="35" t="s">
        <v>465</v>
      </c>
      <c r="L26" s="37"/>
      <c r="M26" s="37"/>
      <c r="N26" s="35" t="s">
        <v>817</v>
      </c>
      <c r="O26" s="35" t="s">
        <v>811</v>
      </c>
      <c r="P26" s="35" t="s">
        <v>3579</v>
      </c>
      <c r="Q26" s="34"/>
      <c r="R26" s="35" t="s">
        <v>3563</v>
      </c>
      <c r="S26" s="35" t="s">
        <v>3564</v>
      </c>
      <c r="T26" s="35" t="s">
        <v>3642</v>
      </c>
      <c r="U26" s="35" t="s">
        <v>3710</v>
      </c>
      <c r="V26" s="35" t="s">
        <v>10037</v>
      </c>
      <c r="W26" s="35" t="s">
        <v>3571</v>
      </c>
      <c r="X26" s="35" t="s">
        <v>3569</v>
      </c>
      <c r="Y26" s="32">
        <v>152.0</v>
      </c>
      <c r="Z26" s="40" t="s">
        <v>3559</v>
      </c>
    </row>
    <row r="27">
      <c r="A27" s="42" t="s">
        <v>3712</v>
      </c>
      <c r="B27" s="42" t="s">
        <v>809</v>
      </c>
      <c r="C27" s="42" t="s">
        <v>3708</v>
      </c>
      <c r="D27" s="42" t="s">
        <v>10040</v>
      </c>
      <c r="E27" s="42" t="s">
        <v>10008</v>
      </c>
      <c r="F27" s="42" t="s">
        <v>10041</v>
      </c>
      <c r="G27" s="42" t="s">
        <v>10042</v>
      </c>
      <c r="H27" s="42" t="s">
        <v>10040</v>
      </c>
      <c r="I27" s="42" t="s">
        <v>816</v>
      </c>
      <c r="J27" s="41">
        <v>48375.0</v>
      </c>
      <c r="K27" s="42" t="s">
        <v>60</v>
      </c>
      <c r="L27" s="45" t="str">
        <f>+1 (857) 453-1134</f>
        <v>#ERROR!</v>
      </c>
      <c r="M27" s="45"/>
      <c r="N27" s="42" t="s">
        <v>817</v>
      </c>
      <c r="O27" s="42" t="s">
        <v>811</v>
      </c>
      <c r="P27" s="42" t="s">
        <v>3579</v>
      </c>
      <c r="Q27" s="43"/>
      <c r="R27" s="42" t="s">
        <v>3563</v>
      </c>
      <c r="S27" s="42" t="s">
        <v>3564</v>
      </c>
      <c r="T27" s="42" t="s">
        <v>3642</v>
      </c>
      <c r="U27" s="42" t="s">
        <v>3710</v>
      </c>
      <c r="V27" s="42" t="s">
        <v>10037</v>
      </c>
      <c r="W27" s="42" t="s">
        <v>3571</v>
      </c>
      <c r="X27" s="42" t="s">
        <v>3569</v>
      </c>
      <c r="Y27" s="41">
        <v>152.0</v>
      </c>
      <c r="Z27" s="48" t="s">
        <v>3559</v>
      </c>
    </row>
    <row r="28">
      <c r="A28" s="35" t="s">
        <v>3712</v>
      </c>
      <c r="B28" s="35" t="s">
        <v>809</v>
      </c>
      <c r="C28" s="35" t="s">
        <v>3708</v>
      </c>
      <c r="D28" s="35" t="s">
        <v>10043</v>
      </c>
      <c r="E28" s="35" t="s">
        <v>10008</v>
      </c>
      <c r="F28" s="35" t="s">
        <v>10044</v>
      </c>
      <c r="G28" s="34"/>
      <c r="H28" s="35" t="s">
        <v>10043</v>
      </c>
      <c r="I28" s="35" t="s">
        <v>1431</v>
      </c>
      <c r="J28" s="32">
        <v>94401.0</v>
      </c>
      <c r="K28" s="35" t="s">
        <v>60</v>
      </c>
      <c r="L28" s="37" t="str">
        <f>+1 (857) 453-1134</f>
        <v>#ERROR!</v>
      </c>
      <c r="M28" s="37"/>
      <c r="N28" s="35" t="s">
        <v>817</v>
      </c>
      <c r="O28" s="35" t="s">
        <v>811</v>
      </c>
      <c r="P28" s="35" t="s">
        <v>3579</v>
      </c>
      <c r="Q28" s="34"/>
      <c r="R28" s="35" t="s">
        <v>3563</v>
      </c>
      <c r="S28" s="35" t="s">
        <v>3564</v>
      </c>
      <c r="T28" s="35" t="s">
        <v>3642</v>
      </c>
      <c r="U28" s="35" t="s">
        <v>3710</v>
      </c>
      <c r="V28" s="35" t="s">
        <v>10037</v>
      </c>
      <c r="W28" s="35" t="s">
        <v>3571</v>
      </c>
      <c r="X28" s="35" t="s">
        <v>3569</v>
      </c>
      <c r="Y28" s="32">
        <v>152.0</v>
      </c>
      <c r="Z28" s="40" t="s">
        <v>3559</v>
      </c>
    </row>
    <row r="29">
      <c r="A29" s="42" t="s">
        <v>3712</v>
      </c>
      <c r="B29" s="42" t="s">
        <v>809</v>
      </c>
      <c r="C29" s="42" t="s">
        <v>3708</v>
      </c>
      <c r="D29" s="42" t="s">
        <v>10045</v>
      </c>
      <c r="E29" s="42" t="s">
        <v>10015</v>
      </c>
      <c r="F29" s="42" t="s">
        <v>10046</v>
      </c>
      <c r="G29" s="42" t="s">
        <v>10047</v>
      </c>
      <c r="H29" s="42" t="s">
        <v>10045</v>
      </c>
      <c r="I29" s="43"/>
      <c r="J29" s="41" t="s">
        <v>10048</v>
      </c>
      <c r="K29" s="42" t="s">
        <v>10028</v>
      </c>
      <c r="L29" s="45" t="str">
        <f>+81 (0)36 281 6400</f>
        <v>#ERROR!</v>
      </c>
      <c r="M29" s="45"/>
      <c r="N29" s="42" t="s">
        <v>817</v>
      </c>
      <c r="O29" s="42" t="s">
        <v>811</v>
      </c>
      <c r="P29" s="42" t="s">
        <v>3579</v>
      </c>
      <c r="Q29" s="43"/>
      <c r="R29" s="42" t="s">
        <v>3563</v>
      </c>
      <c r="S29" s="42" t="s">
        <v>3564</v>
      </c>
      <c r="T29" s="42" t="s">
        <v>3642</v>
      </c>
      <c r="U29" s="42" t="s">
        <v>3710</v>
      </c>
      <c r="V29" s="42" t="s">
        <v>10037</v>
      </c>
      <c r="W29" s="42" t="s">
        <v>3571</v>
      </c>
      <c r="X29" s="42" t="s">
        <v>3569</v>
      </c>
      <c r="Y29" s="41">
        <v>152.0</v>
      </c>
      <c r="Z29" s="48" t="s">
        <v>3559</v>
      </c>
    </row>
    <row r="30">
      <c r="A30" s="35" t="s">
        <v>3737</v>
      </c>
      <c r="B30" s="35" t="s">
        <v>1934</v>
      </c>
      <c r="C30" s="35" t="s">
        <v>3733</v>
      </c>
      <c r="D30" s="35" t="s">
        <v>183</v>
      </c>
      <c r="E30" s="35" t="s">
        <v>10011</v>
      </c>
      <c r="F30" s="35" t="s">
        <v>3745</v>
      </c>
      <c r="G30" s="34"/>
      <c r="H30" s="35" t="s">
        <v>183</v>
      </c>
      <c r="I30" s="34"/>
      <c r="J30" s="32">
        <v>7670202.0</v>
      </c>
      <c r="K30" s="35" t="s">
        <v>41</v>
      </c>
      <c r="L30" s="37"/>
      <c r="M30" s="37"/>
      <c r="N30" s="34"/>
      <c r="O30" s="35" t="s">
        <v>3743</v>
      </c>
      <c r="P30" s="35" t="s">
        <v>3579</v>
      </c>
      <c r="Q30" s="34"/>
      <c r="R30" s="35" t="s">
        <v>3563</v>
      </c>
      <c r="S30" s="35" t="s">
        <v>3564</v>
      </c>
      <c r="T30" s="35" t="s">
        <v>3565</v>
      </c>
      <c r="U30" s="35" t="s">
        <v>3735</v>
      </c>
      <c r="V30" s="35" t="s">
        <v>10049</v>
      </c>
      <c r="W30" s="35" t="s">
        <v>3571</v>
      </c>
      <c r="X30" s="35" t="s">
        <v>3569</v>
      </c>
      <c r="Y30" s="32">
        <v>52.0</v>
      </c>
      <c r="Z30" s="40" t="s">
        <v>3559</v>
      </c>
    </row>
    <row r="31">
      <c r="A31" s="42" t="s">
        <v>3762</v>
      </c>
      <c r="B31" s="42" t="s">
        <v>788</v>
      </c>
      <c r="C31" s="42" t="s">
        <v>3758</v>
      </c>
      <c r="D31" s="42" t="s">
        <v>10050</v>
      </c>
      <c r="E31" s="42" t="s">
        <v>10008</v>
      </c>
      <c r="F31" s="43"/>
      <c r="G31" s="43"/>
      <c r="H31" s="43"/>
      <c r="I31" s="42" t="s">
        <v>10051</v>
      </c>
      <c r="J31" s="45"/>
      <c r="K31" s="42" t="s">
        <v>60</v>
      </c>
      <c r="L31" s="45"/>
      <c r="M31" s="45"/>
      <c r="N31" s="42" t="s">
        <v>795</v>
      </c>
      <c r="O31" s="42" t="s">
        <v>3767</v>
      </c>
      <c r="P31" s="42" t="s">
        <v>3768</v>
      </c>
      <c r="Q31" s="43"/>
      <c r="R31" s="42" t="s">
        <v>3563</v>
      </c>
      <c r="S31" s="42" t="s">
        <v>3564</v>
      </c>
      <c r="T31" s="42" t="s">
        <v>3565</v>
      </c>
      <c r="U31" s="42" t="s">
        <v>3760</v>
      </c>
      <c r="V31" s="42" t="s">
        <v>10052</v>
      </c>
      <c r="W31" s="42" t="s">
        <v>3571</v>
      </c>
      <c r="X31" s="42" t="s">
        <v>3569</v>
      </c>
      <c r="Y31" s="41">
        <v>158.0</v>
      </c>
      <c r="Z31" s="48" t="s">
        <v>3559</v>
      </c>
    </row>
    <row r="32">
      <c r="A32" s="35" t="s">
        <v>3762</v>
      </c>
      <c r="B32" s="35" t="s">
        <v>788</v>
      </c>
      <c r="C32" s="35" t="s">
        <v>3758</v>
      </c>
      <c r="D32" s="35" t="s">
        <v>793</v>
      </c>
      <c r="E32" s="35" t="s">
        <v>10008</v>
      </c>
      <c r="F32" s="35" t="s">
        <v>10053</v>
      </c>
      <c r="G32" s="35" t="s">
        <v>10054</v>
      </c>
      <c r="H32" s="35" t="s">
        <v>793</v>
      </c>
      <c r="I32" s="35" t="s">
        <v>10055</v>
      </c>
      <c r="J32" s="32">
        <v>64105.0</v>
      </c>
      <c r="K32" s="35" t="s">
        <v>60</v>
      </c>
      <c r="L32" s="37"/>
      <c r="M32" s="37"/>
      <c r="N32" s="35" t="s">
        <v>795</v>
      </c>
      <c r="O32" s="35" t="s">
        <v>3767</v>
      </c>
      <c r="P32" s="35" t="s">
        <v>3768</v>
      </c>
      <c r="Q32" s="34"/>
      <c r="R32" s="35" t="s">
        <v>3563</v>
      </c>
      <c r="S32" s="35" t="s">
        <v>3564</v>
      </c>
      <c r="T32" s="35" t="s">
        <v>3565</v>
      </c>
      <c r="U32" s="35" t="s">
        <v>3760</v>
      </c>
      <c r="V32" s="35" t="s">
        <v>10052</v>
      </c>
      <c r="W32" s="35" t="s">
        <v>3571</v>
      </c>
      <c r="X32" s="35" t="s">
        <v>3569</v>
      </c>
      <c r="Y32" s="32">
        <v>158.0</v>
      </c>
      <c r="Z32" s="40" t="s">
        <v>3559</v>
      </c>
    </row>
    <row r="33">
      <c r="A33" s="42" t="s">
        <v>3762</v>
      </c>
      <c r="B33" s="42" t="s">
        <v>788</v>
      </c>
      <c r="C33" s="42" t="s">
        <v>3758</v>
      </c>
      <c r="D33" s="42" t="s">
        <v>506</v>
      </c>
      <c r="E33" s="42" t="s">
        <v>10008</v>
      </c>
      <c r="F33" s="42" t="s">
        <v>10056</v>
      </c>
      <c r="G33" s="42" t="s">
        <v>1025</v>
      </c>
      <c r="H33" s="42" t="s">
        <v>506</v>
      </c>
      <c r="I33" s="42" t="s">
        <v>507</v>
      </c>
      <c r="J33" s="45"/>
      <c r="K33" s="42" t="s">
        <v>60</v>
      </c>
      <c r="L33" s="45"/>
      <c r="M33" s="45"/>
      <c r="N33" s="42" t="s">
        <v>795</v>
      </c>
      <c r="O33" s="42" t="s">
        <v>3767</v>
      </c>
      <c r="P33" s="42" t="s">
        <v>3768</v>
      </c>
      <c r="Q33" s="43"/>
      <c r="R33" s="42" t="s">
        <v>3563</v>
      </c>
      <c r="S33" s="42" t="s">
        <v>3564</v>
      </c>
      <c r="T33" s="42" t="s">
        <v>3565</v>
      </c>
      <c r="U33" s="42" t="s">
        <v>3760</v>
      </c>
      <c r="V33" s="42" t="s">
        <v>10052</v>
      </c>
      <c r="W33" s="42" t="s">
        <v>3571</v>
      </c>
      <c r="X33" s="42" t="s">
        <v>3569</v>
      </c>
      <c r="Y33" s="41">
        <v>158.0</v>
      </c>
      <c r="Z33" s="48" t="s">
        <v>3559</v>
      </c>
    </row>
    <row r="34">
      <c r="A34" s="35" t="s">
        <v>3762</v>
      </c>
      <c r="B34" s="35" t="s">
        <v>788</v>
      </c>
      <c r="C34" s="35" t="s">
        <v>3758</v>
      </c>
      <c r="D34" s="35" t="s">
        <v>10057</v>
      </c>
      <c r="E34" s="35" t="s">
        <v>10008</v>
      </c>
      <c r="F34" s="35" t="s">
        <v>10058</v>
      </c>
      <c r="G34" s="35" t="s">
        <v>10059</v>
      </c>
      <c r="H34" s="35" t="s">
        <v>10057</v>
      </c>
      <c r="I34" s="35" t="s">
        <v>794</v>
      </c>
      <c r="J34" s="32">
        <v>66210.0</v>
      </c>
      <c r="K34" s="35" t="s">
        <v>60</v>
      </c>
      <c r="L34" s="37"/>
      <c r="M34" s="37"/>
      <c r="N34" s="35" t="s">
        <v>795</v>
      </c>
      <c r="O34" s="35" t="s">
        <v>3767</v>
      </c>
      <c r="P34" s="35" t="s">
        <v>3768</v>
      </c>
      <c r="Q34" s="34"/>
      <c r="R34" s="35" t="s">
        <v>3563</v>
      </c>
      <c r="S34" s="35" t="s">
        <v>3564</v>
      </c>
      <c r="T34" s="35" t="s">
        <v>3565</v>
      </c>
      <c r="U34" s="35" t="s">
        <v>3760</v>
      </c>
      <c r="V34" s="35" t="s">
        <v>10052</v>
      </c>
      <c r="W34" s="35" t="s">
        <v>3571</v>
      </c>
      <c r="X34" s="35" t="s">
        <v>3569</v>
      </c>
      <c r="Y34" s="32">
        <v>158.0</v>
      </c>
      <c r="Z34" s="40" t="s">
        <v>3559</v>
      </c>
    </row>
    <row r="35">
      <c r="A35" s="42" t="s">
        <v>3762</v>
      </c>
      <c r="B35" s="42" t="s">
        <v>788</v>
      </c>
      <c r="C35" s="42" t="s">
        <v>3758</v>
      </c>
      <c r="D35" s="42" t="s">
        <v>10060</v>
      </c>
      <c r="E35" s="42" t="s">
        <v>10008</v>
      </c>
      <c r="F35" s="42" t="s">
        <v>10061</v>
      </c>
      <c r="G35" s="43"/>
      <c r="H35" s="42" t="s">
        <v>10060</v>
      </c>
      <c r="I35" s="42" t="s">
        <v>1431</v>
      </c>
      <c r="J35" s="41">
        <v>94306.0</v>
      </c>
      <c r="K35" s="42" t="s">
        <v>60</v>
      </c>
      <c r="L35" s="45"/>
      <c r="M35" s="45"/>
      <c r="N35" s="42" t="s">
        <v>795</v>
      </c>
      <c r="O35" s="42" t="s">
        <v>3767</v>
      </c>
      <c r="P35" s="42" t="s">
        <v>3768</v>
      </c>
      <c r="Q35" s="43"/>
      <c r="R35" s="42" t="s">
        <v>3563</v>
      </c>
      <c r="S35" s="42" t="s">
        <v>3564</v>
      </c>
      <c r="T35" s="42" t="s">
        <v>3565</v>
      </c>
      <c r="U35" s="42" t="s">
        <v>3760</v>
      </c>
      <c r="V35" s="42" t="s">
        <v>10052</v>
      </c>
      <c r="W35" s="42" t="s">
        <v>3571</v>
      </c>
      <c r="X35" s="42" t="s">
        <v>3569</v>
      </c>
      <c r="Y35" s="41">
        <v>158.0</v>
      </c>
      <c r="Z35" s="48" t="s">
        <v>3559</v>
      </c>
    </row>
    <row r="36">
      <c r="A36" s="35" t="s">
        <v>3762</v>
      </c>
      <c r="B36" s="35" t="s">
        <v>788</v>
      </c>
      <c r="C36" s="35" t="s">
        <v>3758</v>
      </c>
      <c r="D36" s="35" t="s">
        <v>75</v>
      </c>
      <c r="E36" s="35" t="s">
        <v>10011</v>
      </c>
      <c r="F36" s="35" t="s">
        <v>3770</v>
      </c>
      <c r="G36" s="34"/>
      <c r="H36" s="35" t="s">
        <v>75</v>
      </c>
      <c r="I36" s="34"/>
      <c r="J36" s="32">
        <v>6706206.0</v>
      </c>
      <c r="K36" s="35" t="s">
        <v>41</v>
      </c>
      <c r="L36" s="37"/>
      <c r="M36" s="37"/>
      <c r="N36" s="35" t="s">
        <v>795</v>
      </c>
      <c r="O36" s="35" t="s">
        <v>3767</v>
      </c>
      <c r="P36" s="35" t="s">
        <v>3768</v>
      </c>
      <c r="Q36" s="34"/>
      <c r="R36" s="35" t="s">
        <v>3563</v>
      </c>
      <c r="S36" s="35" t="s">
        <v>3564</v>
      </c>
      <c r="T36" s="35" t="s">
        <v>3565</v>
      </c>
      <c r="U36" s="35" t="s">
        <v>3760</v>
      </c>
      <c r="V36" s="35" t="s">
        <v>10052</v>
      </c>
      <c r="W36" s="35" t="s">
        <v>3571</v>
      </c>
      <c r="X36" s="35" t="s">
        <v>3569</v>
      </c>
      <c r="Y36" s="32">
        <v>158.0</v>
      </c>
      <c r="Z36" s="40" t="s">
        <v>3559</v>
      </c>
    </row>
    <row r="37">
      <c r="A37" s="42" t="s">
        <v>3791</v>
      </c>
      <c r="B37" s="42" t="s">
        <v>3785</v>
      </c>
      <c r="C37" s="42" t="s">
        <v>3787</v>
      </c>
      <c r="D37" s="42" t="s">
        <v>75</v>
      </c>
      <c r="E37" s="42" t="s">
        <v>10011</v>
      </c>
      <c r="F37" s="42" t="s">
        <v>3796</v>
      </c>
      <c r="G37" s="43"/>
      <c r="H37" s="42" t="s">
        <v>75</v>
      </c>
      <c r="I37" s="43"/>
      <c r="J37" s="41">
        <v>6971068.0</v>
      </c>
      <c r="K37" s="42" t="s">
        <v>41</v>
      </c>
      <c r="L37" s="45" t="str">
        <f>+972 (0)54 454 0368</f>
        <v>#ERROR!</v>
      </c>
      <c r="M37" s="45"/>
      <c r="N37" s="42" t="s">
        <v>1690</v>
      </c>
      <c r="O37" s="42" t="s">
        <v>1686</v>
      </c>
      <c r="P37" s="42" t="s">
        <v>3685</v>
      </c>
      <c r="Q37" s="43"/>
      <c r="R37" s="42" t="s">
        <v>3563</v>
      </c>
      <c r="S37" s="42" t="s">
        <v>3564</v>
      </c>
      <c r="T37" s="42" t="s">
        <v>3565</v>
      </c>
      <c r="U37" s="42" t="s">
        <v>3789</v>
      </c>
      <c r="V37" s="42" t="s">
        <v>10062</v>
      </c>
      <c r="W37" s="42" t="s">
        <v>3571</v>
      </c>
      <c r="X37" s="42" t="s">
        <v>3569</v>
      </c>
      <c r="Y37" s="41">
        <v>38.0</v>
      </c>
      <c r="Z37" s="48" t="s">
        <v>3559</v>
      </c>
    </row>
    <row r="38">
      <c r="A38" s="35" t="s">
        <v>3813</v>
      </c>
      <c r="B38" s="35" t="s">
        <v>2212</v>
      </c>
      <c r="C38" s="35" t="s">
        <v>3810</v>
      </c>
      <c r="D38" s="35" t="s">
        <v>10063</v>
      </c>
      <c r="E38" s="35" t="s">
        <v>10008</v>
      </c>
      <c r="F38" s="34"/>
      <c r="G38" s="34"/>
      <c r="H38" s="35" t="s">
        <v>10063</v>
      </c>
      <c r="I38" s="35" t="s">
        <v>1431</v>
      </c>
      <c r="J38" s="37"/>
      <c r="K38" s="35" t="s">
        <v>60</v>
      </c>
      <c r="L38" s="37"/>
      <c r="M38" s="37"/>
      <c r="N38" s="35" t="s">
        <v>2217</v>
      </c>
      <c r="O38" s="35" t="s">
        <v>3818</v>
      </c>
      <c r="P38" s="35" t="s">
        <v>3819</v>
      </c>
      <c r="Q38" s="34"/>
      <c r="R38" s="35" t="s">
        <v>3563</v>
      </c>
      <c r="S38" s="35" t="s">
        <v>3564</v>
      </c>
      <c r="T38" s="35" t="s">
        <v>3565</v>
      </c>
      <c r="U38" s="35" t="s">
        <v>3811</v>
      </c>
      <c r="V38" s="35" t="s">
        <v>10049</v>
      </c>
      <c r="W38" s="35" t="s">
        <v>3571</v>
      </c>
      <c r="X38" s="35" t="s">
        <v>3569</v>
      </c>
      <c r="Y38" s="32">
        <v>34.0</v>
      </c>
      <c r="Z38" s="40" t="s">
        <v>3559</v>
      </c>
    </row>
    <row r="39">
      <c r="A39" s="42" t="s">
        <v>3813</v>
      </c>
      <c r="B39" s="42" t="s">
        <v>2212</v>
      </c>
      <c r="C39" s="42" t="s">
        <v>3810</v>
      </c>
      <c r="D39" s="42" t="s">
        <v>75</v>
      </c>
      <c r="E39" s="42" t="s">
        <v>10011</v>
      </c>
      <c r="F39" s="42" t="s">
        <v>3821</v>
      </c>
      <c r="G39" s="43"/>
      <c r="H39" s="42" t="s">
        <v>75</v>
      </c>
      <c r="I39" s="43"/>
      <c r="J39" s="41">
        <v>6721502.0</v>
      </c>
      <c r="K39" s="42" t="s">
        <v>41</v>
      </c>
      <c r="L39" s="45" t="str">
        <f>+972 (0)52 233 0857</f>
        <v>#ERROR!</v>
      </c>
      <c r="M39" s="45"/>
      <c r="N39" s="42" t="s">
        <v>2217</v>
      </c>
      <c r="O39" s="42" t="s">
        <v>3818</v>
      </c>
      <c r="P39" s="42" t="s">
        <v>3819</v>
      </c>
      <c r="Q39" s="43"/>
      <c r="R39" s="42" t="s">
        <v>3563</v>
      </c>
      <c r="S39" s="42" t="s">
        <v>3564</v>
      </c>
      <c r="T39" s="42" t="s">
        <v>3565</v>
      </c>
      <c r="U39" s="42" t="s">
        <v>3811</v>
      </c>
      <c r="V39" s="42" t="s">
        <v>10049</v>
      </c>
      <c r="W39" s="42" t="s">
        <v>3571</v>
      </c>
      <c r="X39" s="42" t="s">
        <v>3569</v>
      </c>
      <c r="Y39" s="41">
        <v>34.0</v>
      </c>
      <c r="Z39" s="48" t="s">
        <v>3559</v>
      </c>
    </row>
    <row r="40">
      <c r="A40" s="35" t="s">
        <v>3843</v>
      </c>
      <c r="B40" s="35" t="s">
        <v>3836</v>
      </c>
      <c r="C40" s="35" t="s">
        <v>3839</v>
      </c>
      <c r="D40" s="35" t="s">
        <v>616</v>
      </c>
      <c r="E40" s="35" t="s">
        <v>10011</v>
      </c>
      <c r="F40" s="35" t="s">
        <v>3852</v>
      </c>
      <c r="G40" s="34"/>
      <c r="H40" s="35" t="s">
        <v>616</v>
      </c>
      <c r="I40" s="34"/>
      <c r="J40" s="37"/>
      <c r="K40" s="35" t="s">
        <v>41</v>
      </c>
      <c r="L40" s="37"/>
      <c r="M40" s="37"/>
      <c r="N40" s="35" t="s">
        <v>3853</v>
      </c>
      <c r="O40" s="35" t="s">
        <v>3848</v>
      </c>
      <c r="P40" s="35" t="s">
        <v>3849</v>
      </c>
      <c r="Q40" s="34"/>
      <c r="R40" s="35" t="s">
        <v>3563</v>
      </c>
      <c r="S40" s="35" t="s">
        <v>3564</v>
      </c>
      <c r="T40" s="35" t="s">
        <v>3565</v>
      </c>
      <c r="U40" s="35" t="s">
        <v>3841</v>
      </c>
      <c r="V40" s="35" t="s">
        <v>10064</v>
      </c>
      <c r="W40" s="35" t="s">
        <v>3571</v>
      </c>
      <c r="X40" s="35" t="s">
        <v>3569</v>
      </c>
      <c r="Y40" s="32">
        <v>27.0</v>
      </c>
      <c r="Z40" s="40" t="s">
        <v>3559</v>
      </c>
    </row>
    <row r="41">
      <c r="A41" s="42" t="s">
        <v>3873</v>
      </c>
      <c r="B41" s="42" t="s">
        <v>1817</v>
      </c>
      <c r="C41" s="42" t="s">
        <v>3866</v>
      </c>
      <c r="D41" s="42" t="s">
        <v>10065</v>
      </c>
      <c r="E41" s="42" t="s">
        <v>10008</v>
      </c>
      <c r="F41" s="43"/>
      <c r="G41" s="43"/>
      <c r="H41" s="42" t="s">
        <v>10065</v>
      </c>
      <c r="I41" s="42" t="s">
        <v>2128</v>
      </c>
      <c r="J41" s="45"/>
      <c r="K41" s="42" t="s">
        <v>60</v>
      </c>
      <c r="L41" s="45"/>
      <c r="M41" s="45"/>
      <c r="N41" s="42" t="s">
        <v>1822</v>
      </c>
      <c r="O41" s="42" t="s">
        <v>3878</v>
      </c>
      <c r="P41" s="42" t="s">
        <v>3685</v>
      </c>
      <c r="Q41" s="43"/>
      <c r="R41" s="42" t="s">
        <v>3867</v>
      </c>
      <c r="S41" s="42" t="s">
        <v>3868</v>
      </c>
      <c r="T41" s="42" t="s">
        <v>3869</v>
      </c>
      <c r="U41" s="42" t="s">
        <v>3871</v>
      </c>
      <c r="V41" s="42" t="s">
        <v>10066</v>
      </c>
      <c r="W41" s="42" t="s">
        <v>3571</v>
      </c>
      <c r="X41" s="42" t="s">
        <v>3569</v>
      </c>
      <c r="Y41" s="41">
        <v>27.0</v>
      </c>
      <c r="Z41" s="48" t="s">
        <v>3559</v>
      </c>
    </row>
    <row r="42">
      <c r="A42" s="35" t="s">
        <v>3873</v>
      </c>
      <c r="B42" s="35" t="s">
        <v>1817</v>
      </c>
      <c r="C42" s="35" t="s">
        <v>3866</v>
      </c>
      <c r="D42" s="35" t="s">
        <v>10067</v>
      </c>
      <c r="E42" s="35" t="s">
        <v>10008</v>
      </c>
      <c r="F42" s="34"/>
      <c r="G42" s="34"/>
      <c r="H42" s="34"/>
      <c r="I42" s="35" t="s">
        <v>1431</v>
      </c>
      <c r="J42" s="37"/>
      <c r="K42" s="35" t="s">
        <v>60</v>
      </c>
      <c r="L42" s="37"/>
      <c r="M42" s="37"/>
      <c r="N42" s="35" t="s">
        <v>1822</v>
      </c>
      <c r="O42" s="35" t="s">
        <v>3878</v>
      </c>
      <c r="P42" s="35" t="s">
        <v>3685</v>
      </c>
      <c r="Q42" s="34"/>
      <c r="R42" s="35" t="s">
        <v>3867</v>
      </c>
      <c r="S42" s="35" t="s">
        <v>3868</v>
      </c>
      <c r="T42" s="35" t="s">
        <v>3869</v>
      </c>
      <c r="U42" s="35" t="s">
        <v>3871</v>
      </c>
      <c r="V42" s="35" t="s">
        <v>10066</v>
      </c>
      <c r="W42" s="35" t="s">
        <v>3571</v>
      </c>
      <c r="X42" s="35" t="s">
        <v>3569</v>
      </c>
      <c r="Y42" s="32">
        <v>27.0</v>
      </c>
      <c r="Z42" s="40" t="s">
        <v>3559</v>
      </c>
    </row>
    <row r="43">
      <c r="A43" s="77" t="s">
        <v>3873</v>
      </c>
      <c r="B43" s="77" t="s">
        <v>1817</v>
      </c>
      <c r="C43" s="77" t="s">
        <v>3866</v>
      </c>
      <c r="D43" s="77" t="s">
        <v>287</v>
      </c>
      <c r="E43" s="77" t="s">
        <v>10015</v>
      </c>
      <c r="F43" s="77" t="s">
        <v>10068</v>
      </c>
      <c r="G43" s="77" t="s">
        <v>10069</v>
      </c>
      <c r="H43" s="77" t="s">
        <v>287</v>
      </c>
      <c r="I43" s="77" t="s">
        <v>10032</v>
      </c>
      <c r="J43" s="80" t="s">
        <v>10070</v>
      </c>
      <c r="K43" s="77" t="s">
        <v>211</v>
      </c>
      <c r="L43" s="79"/>
      <c r="M43" s="79"/>
      <c r="N43" s="77" t="s">
        <v>1822</v>
      </c>
      <c r="O43" s="77" t="s">
        <v>3878</v>
      </c>
      <c r="P43" s="77" t="s">
        <v>3685</v>
      </c>
      <c r="Q43" s="78"/>
      <c r="R43" s="77" t="s">
        <v>3867</v>
      </c>
      <c r="S43" s="77" t="s">
        <v>3868</v>
      </c>
      <c r="T43" s="77" t="s">
        <v>3869</v>
      </c>
      <c r="U43" s="77" t="s">
        <v>3871</v>
      </c>
      <c r="V43" s="77" t="s">
        <v>10066</v>
      </c>
      <c r="W43" s="77" t="s">
        <v>3571</v>
      </c>
      <c r="X43" s="77" t="s">
        <v>3569</v>
      </c>
      <c r="Y43" s="80">
        <v>27.0</v>
      </c>
      <c r="Z43" s="81" t="s">
        <v>3559</v>
      </c>
    </row>
    <row r="44">
      <c r="A44" s="35" t="s">
        <v>3873</v>
      </c>
      <c r="B44" s="35" t="s">
        <v>1817</v>
      </c>
      <c r="C44" s="35" t="s">
        <v>3866</v>
      </c>
      <c r="D44" s="35" t="s">
        <v>10018</v>
      </c>
      <c r="E44" s="35" t="s">
        <v>10008</v>
      </c>
      <c r="F44" s="34"/>
      <c r="G44" s="34"/>
      <c r="H44" s="35" t="s">
        <v>10018</v>
      </c>
      <c r="I44" s="34"/>
      <c r="J44" s="37"/>
      <c r="K44" s="35" t="s">
        <v>465</v>
      </c>
      <c r="L44" s="37"/>
      <c r="M44" s="37"/>
      <c r="N44" s="35" t="s">
        <v>1822</v>
      </c>
      <c r="O44" s="35" t="s">
        <v>3878</v>
      </c>
      <c r="P44" s="35" t="s">
        <v>3685</v>
      </c>
      <c r="Q44" s="34"/>
      <c r="R44" s="35" t="s">
        <v>3867</v>
      </c>
      <c r="S44" s="35" t="s">
        <v>3868</v>
      </c>
      <c r="T44" s="35" t="s">
        <v>3869</v>
      </c>
      <c r="U44" s="35" t="s">
        <v>3871</v>
      </c>
      <c r="V44" s="35" t="s">
        <v>10066</v>
      </c>
      <c r="W44" s="35" t="s">
        <v>3571</v>
      </c>
      <c r="X44" s="35" t="s">
        <v>3569</v>
      </c>
      <c r="Y44" s="32">
        <v>27.0</v>
      </c>
      <c r="Z44" s="40" t="s">
        <v>3559</v>
      </c>
    </row>
    <row r="45">
      <c r="A45" s="42" t="s">
        <v>3873</v>
      </c>
      <c r="B45" s="42" t="s">
        <v>1817</v>
      </c>
      <c r="C45" s="42" t="s">
        <v>3866</v>
      </c>
      <c r="D45" s="42" t="s">
        <v>10071</v>
      </c>
      <c r="E45" s="42" t="s">
        <v>10008</v>
      </c>
      <c r="F45" s="43"/>
      <c r="G45" s="43"/>
      <c r="H45" s="42" t="s">
        <v>10071</v>
      </c>
      <c r="I45" s="42" t="s">
        <v>1283</v>
      </c>
      <c r="J45" s="45"/>
      <c r="K45" s="42" t="s">
        <v>60</v>
      </c>
      <c r="L45" s="45"/>
      <c r="M45" s="45"/>
      <c r="N45" s="42" t="s">
        <v>1822</v>
      </c>
      <c r="O45" s="42" t="s">
        <v>3878</v>
      </c>
      <c r="P45" s="42" t="s">
        <v>3685</v>
      </c>
      <c r="Q45" s="43"/>
      <c r="R45" s="42" t="s">
        <v>3867</v>
      </c>
      <c r="S45" s="42" t="s">
        <v>3868</v>
      </c>
      <c r="T45" s="42" t="s">
        <v>3869</v>
      </c>
      <c r="U45" s="42" t="s">
        <v>3871</v>
      </c>
      <c r="V45" s="42" t="s">
        <v>10066</v>
      </c>
      <c r="W45" s="42" t="s">
        <v>3571</v>
      </c>
      <c r="X45" s="42" t="s">
        <v>3569</v>
      </c>
      <c r="Y45" s="41">
        <v>27.0</v>
      </c>
      <c r="Z45" s="48" t="s">
        <v>3559</v>
      </c>
    </row>
    <row r="46">
      <c r="A46" s="35" t="s">
        <v>3873</v>
      </c>
      <c r="B46" s="35" t="s">
        <v>1817</v>
      </c>
      <c r="C46" s="35" t="s">
        <v>3866</v>
      </c>
      <c r="D46" s="35" t="s">
        <v>75</v>
      </c>
      <c r="E46" s="35" t="s">
        <v>10011</v>
      </c>
      <c r="F46" s="35" t="s">
        <v>3880</v>
      </c>
      <c r="G46" s="35" t="s">
        <v>3881</v>
      </c>
      <c r="H46" s="35" t="s">
        <v>75</v>
      </c>
      <c r="I46" s="34"/>
      <c r="J46" s="32">
        <v>6655613.0</v>
      </c>
      <c r="K46" s="35" t="s">
        <v>41</v>
      </c>
      <c r="L46" s="37"/>
      <c r="M46" s="37"/>
      <c r="N46" s="35" t="s">
        <v>1822</v>
      </c>
      <c r="O46" s="35" t="s">
        <v>3878</v>
      </c>
      <c r="P46" s="35" t="s">
        <v>3685</v>
      </c>
      <c r="Q46" s="34"/>
      <c r="R46" s="35" t="s">
        <v>3867</v>
      </c>
      <c r="S46" s="35" t="s">
        <v>3868</v>
      </c>
      <c r="T46" s="35" t="s">
        <v>3869</v>
      </c>
      <c r="U46" s="35" t="s">
        <v>3871</v>
      </c>
      <c r="V46" s="35" t="s">
        <v>10066</v>
      </c>
      <c r="W46" s="35" t="s">
        <v>3571</v>
      </c>
      <c r="X46" s="35" t="s">
        <v>3569</v>
      </c>
      <c r="Y46" s="32">
        <v>27.0</v>
      </c>
      <c r="Z46" s="40" t="s">
        <v>3559</v>
      </c>
    </row>
    <row r="47">
      <c r="A47" s="42" t="s">
        <v>3873</v>
      </c>
      <c r="B47" s="42" t="s">
        <v>1817</v>
      </c>
      <c r="C47" s="42" t="s">
        <v>3866</v>
      </c>
      <c r="D47" s="42" t="s">
        <v>10072</v>
      </c>
      <c r="E47" s="42" t="s">
        <v>10008</v>
      </c>
      <c r="F47" s="43"/>
      <c r="G47" s="43"/>
      <c r="H47" s="42" t="s">
        <v>10072</v>
      </c>
      <c r="I47" s="43"/>
      <c r="J47" s="45"/>
      <c r="K47" s="42" t="s">
        <v>10073</v>
      </c>
      <c r="L47" s="45"/>
      <c r="M47" s="45"/>
      <c r="N47" s="42" t="s">
        <v>1822</v>
      </c>
      <c r="O47" s="42" t="s">
        <v>3878</v>
      </c>
      <c r="P47" s="42" t="s">
        <v>3685</v>
      </c>
      <c r="Q47" s="43"/>
      <c r="R47" s="42" t="s">
        <v>3867</v>
      </c>
      <c r="S47" s="42" t="s">
        <v>3868</v>
      </c>
      <c r="T47" s="42" t="s">
        <v>3869</v>
      </c>
      <c r="U47" s="42" t="s">
        <v>3871</v>
      </c>
      <c r="V47" s="42" t="s">
        <v>10066</v>
      </c>
      <c r="W47" s="42" t="s">
        <v>3571</v>
      </c>
      <c r="X47" s="42" t="s">
        <v>3569</v>
      </c>
      <c r="Y47" s="41">
        <v>27.0</v>
      </c>
      <c r="Z47" s="48" t="s">
        <v>3559</v>
      </c>
    </row>
    <row r="48">
      <c r="A48" s="35" t="s">
        <v>3873</v>
      </c>
      <c r="B48" s="35" t="s">
        <v>1817</v>
      </c>
      <c r="C48" s="35" t="s">
        <v>3866</v>
      </c>
      <c r="D48" s="35" t="s">
        <v>10074</v>
      </c>
      <c r="E48" s="35" t="s">
        <v>10015</v>
      </c>
      <c r="F48" s="35" t="s">
        <v>10075</v>
      </c>
      <c r="G48" s="34"/>
      <c r="H48" s="35" t="s">
        <v>10074</v>
      </c>
      <c r="I48" s="35" t="s">
        <v>10076</v>
      </c>
      <c r="J48" s="32">
        <v>19801.0</v>
      </c>
      <c r="K48" s="35" t="s">
        <v>60</v>
      </c>
      <c r="L48" s="37"/>
      <c r="M48" s="37"/>
      <c r="N48" s="35" t="s">
        <v>1822</v>
      </c>
      <c r="O48" s="35" t="s">
        <v>3878</v>
      </c>
      <c r="P48" s="35" t="s">
        <v>3685</v>
      </c>
      <c r="Q48" s="34"/>
      <c r="R48" s="35" t="s">
        <v>3867</v>
      </c>
      <c r="S48" s="35" t="s">
        <v>3868</v>
      </c>
      <c r="T48" s="35" t="s">
        <v>3869</v>
      </c>
      <c r="U48" s="35" t="s">
        <v>3871</v>
      </c>
      <c r="V48" s="35" t="s">
        <v>10066</v>
      </c>
      <c r="W48" s="35" t="s">
        <v>3571</v>
      </c>
      <c r="X48" s="35" t="s">
        <v>3569</v>
      </c>
      <c r="Y48" s="32">
        <v>27.0</v>
      </c>
      <c r="Z48" s="40" t="s">
        <v>3559</v>
      </c>
    </row>
    <row r="49">
      <c r="A49" s="42" t="s">
        <v>3902</v>
      </c>
      <c r="B49" s="42" t="s">
        <v>3892</v>
      </c>
      <c r="C49" s="42" t="s">
        <v>3896</v>
      </c>
      <c r="D49" s="42" t="s">
        <v>10077</v>
      </c>
      <c r="E49" s="42" t="s">
        <v>10008</v>
      </c>
      <c r="F49" s="43"/>
      <c r="G49" s="43"/>
      <c r="H49" s="42" t="s">
        <v>10077</v>
      </c>
      <c r="I49" s="43"/>
      <c r="J49" s="45"/>
      <c r="K49" s="42" t="s">
        <v>41</v>
      </c>
      <c r="L49" s="45"/>
      <c r="M49" s="45"/>
      <c r="N49" s="42" t="s">
        <v>3911</v>
      </c>
      <c r="O49" s="42" t="s">
        <v>3907</v>
      </c>
      <c r="P49" s="42" t="s">
        <v>3908</v>
      </c>
      <c r="Q49" s="43"/>
      <c r="R49" s="42" t="s">
        <v>3867</v>
      </c>
      <c r="S49" s="42" t="s">
        <v>3897</v>
      </c>
      <c r="T49" s="42" t="s">
        <v>3898</v>
      </c>
      <c r="U49" s="42" t="s">
        <v>3900</v>
      </c>
      <c r="V49" s="42" t="s">
        <v>10078</v>
      </c>
      <c r="W49" s="42" t="s">
        <v>3571</v>
      </c>
      <c r="X49" s="42" t="s">
        <v>3569</v>
      </c>
      <c r="Y49" s="41">
        <v>40.0</v>
      </c>
      <c r="Z49" s="48" t="s">
        <v>3559</v>
      </c>
    </row>
    <row r="50">
      <c r="A50" s="35" t="s">
        <v>3902</v>
      </c>
      <c r="B50" s="35" t="s">
        <v>3892</v>
      </c>
      <c r="C50" s="35" t="s">
        <v>3896</v>
      </c>
      <c r="D50" s="35" t="s">
        <v>10079</v>
      </c>
      <c r="E50" s="35" t="s">
        <v>10008</v>
      </c>
      <c r="F50" s="34"/>
      <c r="G50" s="34"/>
      <c r="H50" s="35" t="s">
        <v>10079</v>
      </c>
      <c r="I50" s="35" t="s">
        <v>59</v>
      </c>
      <c r="J50" s="37"/>
      <c r="K50" s="35" t="s">
        <v>60</v>
      </c>
      <c r="L50" s="37"/>
      <c r="M50" s="37"/>
      <c r="N50" s="35" t="s">
        <v>3911</v>
      </c>
      <c r="O50" s="35" t="s">
        <v>3907</v>
      </c>
      <c r="P50" s="35" t="s">
        <v>3908</v>
      </c>
      <c r="Q50" s="34"/>
      <c r="R50" s="35" t="s">
        <v>3867</v>
      </c>
      <c r="S50" s="35" t="s">
        <v>3897</v>
      </c>
      <c r="T50" s="35" t="s">
        <v>3898</v>
      </c>
      <c r="U50" s="35" t="s">
        <v>3900</v>
      </c>
      <c r="V50" s="35" t="s">
        <v>10078</v>
      </c>
      <c r="W50" s="35" t="s">
        <v>3571</v>
      </c>
      <c r="X50" s="35" t="s">
        <v>3569</v>
      </c>
      <c r="Y50" s="32">
        <v>40.0</v>
      </c>
      <c r="Z50" s="40" t="s">
        <v>3559</v>
      </c>
    </row>
    <row r="51">
      <c r="A51" s="42" t="s">
        <v>3902</v>
      </c>
      <c r="B51" s="42" t="s">
        <v>3892</v>
      </c>
      <c r="C51" s="42" t="s">
        <v>3896</v>
      </c>
      <c r="D51" s="42" t="s">
        <v>183</v>
      </c>
      <c r="E51" s="42" t="s">
        <v>10008</v>
      </c>
      <c r="F51" s="43"/>
      <c r="G51" s="43"/>
      <c r="H51" s="42" t="s">
        <v>183</v>
      </c>
      <c r="I51" s="43"/>
      <c r="J51" s="45"/>
      <c r="K51" s="42" t="s">
        <v>41</v>
      </c>
      <c r="L51" s="45"/>
      <c r="M51" s="45"/>
      <c r="N51" s="42" t="s">
        <v>3911</v>
      </c>
      <c r="O51" s="42" t="s">
        <v>3907</v>
      </c>
      <c r="P51" s="42" t="s">
        <v>3908</v>
      </c>
      <c r="Q51" s="43"/>
      <c r="R51" s="42" t="s">
        <v>3867</v>
      </c>
      <c r="S51" s="42" t="s">
        <v>3897</v>
      </c>
      <c r="T51" s="42" t="s">
        <v>3898</v>
      </c>
      <c r="U51" s="42" t="s">
        <v>3900</v>
      </c>
      <c r="V51" s="42" t="s">
        <v>10078</v>
      </c>
      <c r="W51" s="42" t="s">
        <v>3571</v>
      </c>
      <c r="X51" s="42" t="s">
        <v>3569</v>
      </c>
      <c r="Y51" s="41">
        <v>40.0</v>
      </c>
      <c r="Z51" s="48" t="s">
        <v>3559</v>
      </c>
    </row>
    <row r="52">
      <c r="A52" s="35" t="s">
        <v>3902</v>
      </c>
      <c r="B52" s="35" t="s">
        <v>3892</v>
      </c>
      <c r="C52" s="35" t="s">
        <v>3896</v>
      </c>
      <c r="D52" s="35" t="s">
        <v>75</v>
      </c>
      <c r="E52" s="35" t="s">
        <v>10011</v>
      </c>
      <c r="F52" s="35" t="s">
        <v>3910</v>
      </c>
      <c r="G52" s="34"/>
      <c r="H52" s="35" t="s">
        <v>75</v>
      </c>
      <c r="I52" s="34"/>
      <c r="J52" s="37"/>
      <c r="K52" s="35" t="s">
        <v>41</v>
      </c>
      <c r="L52" s="37"/>
      <c r="M52" s="37"/>
      <c r="N52" s="35" t="s">
        <v>3911</v>
      </c>
      <c r="O52" s="35" t="s">
        <v>3907</v>
      </c>
      <c r="P52" s="35" t="s">
        <v>3908</v>
      </c>
      <c r="Q52" s="34"/>
      <c r="R52" s="35" t="s">
        <v>3867</v>
      </c>
      <c r="S52" s="35" t="s">
        <v>3897</v>
      </c>
      <c r="T52" s="35" t="s">
        <v>3898</v>
      </c>
      <c r="U52" s="35" t="s">
        <v>3900</v>
      </c>
      <c r="V52" s="35" t="s">
        <v>10078</v>
      </c>
      <c r="W52" s="35" t="s">
        <v>3571</v>
      </c>
      <c r="X52" s="35" t="s">
        <v>3569</v>
      </c>
      <c r="Y52" s="32">
        <v>40.0</v>
      </c>
      <c r="Z52" s="40" t="s">
        <v>3559</v>
      </c>
    </row>
    <row r="53">
      <c r="A53" s="42" t="s">
        <v>3928</v>
      </c>
      <c r="B53" s="42" t="s">
        <v>1878</v>
      </c>
      <c r="C53" s="42" t="s">
        <v>3924</v>
      </c>
      <c r="D53" s="42" t="s">
        <v>464</v>
      </c>
      <c r="E53" s="42" t="s">
        <v>10008</v>
      </c>
      <c r="F53" s="42" t="s">
        <v>10080</v>
      </c>
      <c r="G53" s="43"/>
      <c r="H53" s="42" t="s">
        <v>464</v>
      </c>
      <c r="I53" s="43"/>
      <c r="J53" s="41">
        <v>10997.0</v>
      </c>
      <c r="K53" s="42" t="s">
        <v>465</v>
      </c>
      <c r="L53" s="45"/>
      <c r="M53" s="45"/>
      <c r="N53" s="42" t="s">
        <v>1886</v>
      </c>
      <c r="O53" s="42" t="s">
        <v>3934</v>
      </c>
      <c r="P53" s="42" t="s">
        <v>3579</v>
      </c>
      <c r="Q53" s="43"/>
      <c r="R53" s="42" t="s">
        <v>3867</v>
      </c>
      <c r="S53" s="42" t="s">
        <v>3868</v>
      </c>
      <c r="T53" s="42" t="s">
        <v>3869</v>
      </c>
      <c r="U53" s="42" t="s">
        <v>3926</v>
      </c>
      <c r="V53" s="42" t="s">
        <v>10081</v>
      </c>
      <c r="W53" s="42" t="s">
        <v>3571</v>
      </c>
      <c r="X53" s="42" t="s">
        <v>3569</v>
      </c>
      <c r="Y53" s="41">
        <v>366.0</v>
      </c>
      <c r="Z53" s="48" t="s">
        <v>3559</v>
      </c>
    </row>
    <row r="54">
      <c r="A54" s="35" t="s">
        <v>3928</v>
      </c>
      <c r="B54" s="35" t="s">
        <v>1878</v>
      </c>
      <c r="C54" s="35" t="s">
        <v>3924</v>
      </c>
      <c r="D54" s="35" t="s">
        <v>111</v>
      </c>
      <c r="E54" s="35" t="s">
        <v>10008</v>
      </c>
      <c r="F54" s="35" t="s">
        <v>10082</v>
      </c>
      <c r="G54" s="34"/>
      <c r="H54" s="35" t="s">
        <v>111</v>
      </c>
      <c r="I54" s="35" t="s">
        <v>112</v>
      </c>
      <c r="J54" s="32">
        <v>60618.0</v>
      </c>
      <c r="K54" s="35" t="s">
        <v>60</v>
      </c>
      <c r="L54" s="37"/>
      <c r="M54" s="37"/>
      <c r="N54" s="35" t="s">
        <v>10083</v>
      </c>
      <c r="O54" s="35" t="s">
        <v>3934</v>
      </c>
      <c r="P54" s="35" t="s">
        <v>3579</v>
      </c>
      <c r="Q54" s="34"/>
      <c r="R54" s="35" t="s">
        <v>3867</v>
      </c>
      <c r="S54" s="35" t="s">
        <v>3868</v>
      </c>
      <c r="T54" s="35" t="s">
        <v>3869</v>
      </c>
      <c r="U54" s="35" t="s">
        <v>3926</v>
      </c>
      <c r="V54" s="35" t="s">
        <v>10081</v>
      </c>
      <c r="W54" s="35" t="s">
        <v>3571</v>
      </c>
      <c r="X54" s="35" t="s">
        <v>3569</v>
      </c>
      <c r="Y54" s="32">
        <v>366.0</v>
      </c>
      <c r="Z54" s="40" t="s">
        <v>3559</v>
      </c>
    </row>
    <row r="55">
      <c r="A55" s="42" t="s">
        <v>3928</v>
      </c>
      <c r="B55" s="42" t="s">
        <v>1878</v>
      </c>
      <c r="C55" s="42" t="s">
        <v>3924</v>
      </c>
      <c r="D55" s="42" t="s">
        <v>10084</v>
      </c>
      <c r="E55" s="42" t="s">
        <v>10008</v>
      </c>
      <c r="F55" s="42" t="s">
        <v>10085</v>
      </c>
      <c r="G55" s="43"/>
      <c r="H55" s="42" t="s">
        <v>10084</v>
      </c>
      <c r="I55" s="43"/>
      <c r="J55" s="41">
        <v>20009.0</v>
      </c>
      <c r="K55" s="42" t="s">
        <v>10073</v>
      </c>
      <c r="L55" s="45"/>
      <c r="M55" s="45"/>
      <c r="N55" s="42" t="s">
        <v>1886</v>
      </c>
      <c r="O55" s="42" t="s">
        <v>3934</v>
      </c>
      <c r="P55" s="42" t="s">
        <v>3579</v>
      </c>
      <c r="Q55" s="43"/>
      <c r="R55" s="42" t="s">
        <v>3867</v>
      </c>
      <c r="S55" s="42" t="s">
        <v>3868</v>
      </c>
      <c r="T55" s="42" t="s">
        <v>3869</v>
      </c>
      <c r="U55" s="42" t="s">
        <v>3926</v>
      </c>
      <c r="V55" s="42" t="s">
        <v>10081</v>
      </c>
      <c r="W55" s="42" t="s">
        <v>3571</v>
      </c>
      <c r="X55" s="42" t="s">
        <v>3569</v>
      </c>
      <c r="Y55" s="41">
        <v>366.0</v>
      </c>
      <c r="Z55" s="48" t="s">
        <v>3559</v>
      </c>
    </row>
    <row r="56">
      <c r="A56" s="35" t="s">
        <v>3928</v>
      </c>
      <c r="B56" s="35" t="s">
        <v>1878</v>
      </c>
      <c r="C56" s="35" t="s">
        <v>3924</v>
      </c>
      <c r="D56" s="35" t="s">
        <v>10086</v>
      </c>
      <c r="E56" s="35" t="s">
        <v>10008</v>
      </c>
      <c r="F56" s="34"/>
      <c r="G56" s="34"/>
      <c r="H56" s="35" t="s">
        <v>10087</v>
      </c>
      <c r="I56" s="34"/>
      <c r="J56" s="37"/>
      <c r="K56" s="35" t="s">
        <v>465</v>
      </c>
      <c r="L56" s="37" t="str">
        <f>+49 (0)21 1972 6321 5</f>
        <v>#ERROR!</v>
      </c>
      <c r="M56" s="37"/>
      <c r="N56" s="35" t="s">
        <v>1886</v>
      </c>
      <c r="O56" s="35" t="s">
        <v>3934</v>
      </c>
      <c r="P56" s="35" t="s">
        <v>3579</v>
      </c>
      <c r="Q56" s="34"/>
      <c r="R56" s="35" t="s">
        <v>3867</v>
      </c>
      <c r="S56" s="35" t="s">
        <v>3868</v>
      </c>
      <c r="T56" s="35" t="s">
        <v>3869</v>
      </c>
      <c r="U56" s="35" t="s">
        <v>3926</v>
      </c>
      <c r="V56" s="35" t="s">
        <v>10081</v>
      </c>
      <c r="W56" s="35" t="s">
        <v>3571</v>
      </c>
      <c r="X56" s="35" t="s">
        <v>3569</v>
      </c>
      <c r="Y56" s="32">
        <v>366.0</v>
      </c>
      <c r="Z56" s="40" t="s">
        <v>3559</v>
      </c>
    </row>
    <row r="57">
      <c r="A57" s="42" t="s">
        <v>3928</v>
      </c>
      <c r="B57" s="42" t="s">
        <v>1878</v>
      </c>
      <c r="C57" s="42" t="s">
        <v>3924</v>
      </c>
      <c r="D57" s="42" t="s">
        <v>10088</v>
      </c>
      <c r="E57" s="42" t="s">
        <v>10008</v>
      </c>
      <c r="F57" s="42" t="s">
        <v>10089</v>
      </c>
      <c r="G57" s="43"/>
      <c r="H57" s="42" t="s">
        <v>10090</v>
      </c>
      <c r="I57" s="43"/>
      <c r="J57" s="41" t="s">
        <v>10091</v>
      </c>
      <c r="K57" s="42" t="s">
        <v>2163</v>
      </c>
      <c r="L57" s="45"/>
      <c r="M57" s="45"/>
      <c r="N57" s="42" t="s">
        <v>1886</v>
      </c>
      <c r="O57" s="42" t="s">
        <v>3934</v>
      </c>
      <c r="P57" s="42" t="s">
        <v>3579</v>
      </c>
      <c r="Q57" s="43"/>
      <c r="R57" s="42" t="s">
        <v>3867</v>
      </c>
      <c r="S57" s="42" t="s">
        <v>3868</v>
      </c>
      <c r="T57" s="42" t="s">
        <v>3869</v>
      </c>
      <c r="U57" s="42" t="s">
        <v>3926</v>
      </c>
      <c r="V57" s="42" t="s">
        <v>10081</v>
      </c>
      <c r="W57" s="42" t="s">
        <v>3571</v>
      </c>
      <c r="X57" s="42" t="s">
        <v>3569</v>
      </c>
      <c r="Y57" s="41">
        <v>366.0</v>
      </c>
      <c r="Z57" s="48" t="s">
        <v>3559</v>
      </c>
    </row>
    <row r="58">
      <c r="A58" s="77" t="s">
        <v>3928</v>
      </c>
      <c r="B58" s="77" t="s">
        <v>1878</v>
      </c>
      <c r="C58" s="77" t="s">
        <v>3924</v>
      </c>
      <c r="D58" s="77" t="s">
        <v>287</v>
      </c>
      <c r="E58" s="77" t="s">
        <v>10008</v>
      </c>
      <c r="F58" s="77" t="s">
        <v>10092</v>
      </c>
      <c r="G58" s="78"/>
      <c r="H58" s="77" t="s">
        <v>287</v>
      </c>
      <c r="I58" s="77" t="s">
        <v>10032</v>
      </c>
      <c r="J58" s="80" t="s">
        <v>10093</v>
      </c>
      <c r="K58" s="77" t="s">
        <v>211</v>
      </c>
      <c r="L58" s="79"/>
      <c r="M58" s="79"/>
      <c r="N58" s="77" t="s">
        <v>1886</v>
      </c>
      <c r="O58" s="77" t="s">
        <v>3934</v>
      </c>
      <c r="P58" s="77" t="s">
        <v>3579</v>
      </c>
      <c r="Q58" s="78"/>
      <c r="R58" s="77" t="s">
        <v>3867</v>
      </c>
      <c r="S58" s="77" t="s">
        <v>3868</v>
      </c>
      <c r="T58" s="77" t="s">
        <v>3869</v>
      </c>
      <c r="U58" s="77" t="s">
        <v>3926</v>
      </c>
      <c r="V58" s="77" t="s">
        <v>10081</v>
      </c>
      <c r="W58" s="77" t="s">
        <v>3571</v>
      </c>
      <c r="X58" s="77" t="s">
        <v>3569</v>
      </c>
      <c r="Y58" s="80">
        <v>366.0</v>
      </c>
      <c r="Z58" s="81" t="s">
        <v>3559</v>
      </c>
    </row>
    <row r="59">
      <c r="A59" s="42" t="s">
        <v>3928</v>
      </c>
      <c r="B59" s="42" t="s">
        <v>1878</v>
      </c>
      <c r="C59" s="42" t="s">
        <v>3924</v>
      </c>
      <c r="D59" s="42" t="s">
        <v>298</v>
      </c>
      <c r="E59" s="42" t="s">
        <v>10008</v>
      </c>
      <c r="F59" s="42" t="s">
        <v>10094</v>
      </c>
      <c r="G59" s="43"/>
      <c r="H59" s="42" t="s">
        <v>298</v>
      </c>
      <c r="I59" s="43"/>
      <c r="J59" s="41">
        <v>42507.0</v>
      </c>
      <c r="K59" s="42" t="s">
        <v>41</v>
      </c>
      <c r="L59" s="45" t="str">
        <f>+972 (0)73 372 9586</f>
        <v>#ERROR!</v>
      </c>
      <c r="M59" s="45" t="str">
        <f>+972 (0)73 372 9591</f>
        <v>#ERROR!</v>
      </c>
      <c r="N59" s="42" t="s">
        <v>1886</v>
      </c>
      <c r="O59" s="42" t="s">
        <v>3934</v>
      </c>
      <c r="P59" s="42" t="s">
        <v>3579</v>
      </c>
      <c r="Q59" s="43"/>
      <c r="R59" s="42" t="s">
        <v>3867</v>
      </c>
      <c r="S59" s="42" t="s">
        <v>3868</v>
      </c>
      <c r="T59" s="42" t="s">
        <v>3869</v>
      </c>
      <c r="U59" s="42" t="s">
        <v>3926</v>
      </c>
      <c r="V59" s="42" t="s">
        <v>10081</v>
      </c>
      <c r="W59" s="42" t="s">
        <v>3571</v>
      </c>
      <c r="X59" s="42" t="s">
        <v>3569</v>
      </c>
      <c r="Y59" s="41">
        <v>366.0</v>
      </c>
      <c r="Z59" s="48" t="s">
        <v>3559</v>
      </c>
    </row>
    <row r="60">
      <c r="A60" s="35" t="s">
        <v>3928</v>
      </c>
      <c r="B60" s="35" t="s">
        <v>1878</v>
      </c>
      <c r="C60" s="35" t="s">
        <v>3924</v>
      </c>
      <c r="D60" s="35" t="s">
        <v>506</v>
      </c>
      <c r="E60" s="35" t="s">
        <v>10008</v>
      </c>
      <c r="F60" s="35" t="s">
        <v>10095</v>
      </c>
      <c r="G60" s="35" t="s">
        <v>10096</v>
      </c>
      <c r="H60" s="35" t="s">
        <v>506</v>
      </c>
      <c r="I60" s="35" t="s">
        <v>507</v>
      </c>
      <c r="J60" s="32">
        <v>10017.0</v>
      </c>
      <c r="K60" s="35" t="s">
        <v>60</v>
      </c>
      <c r="L60" s="37"/>
      <c r="M60" s="37"/>
      <c r="N60" s="35" t="s">
        <v>10083</v>
      </c>
      <c r="O60" s="35" t="s">
        <v>3934</v>
      </c>
      <c r="P60" s="35" t="s">
        <v>3579</v>
      </c>
      <c r="Q60" s="34"/>
      <c r="R60" s="35" t="s">
        <v>3867</v>
      </c>
      <c r="S60" s="35" t="s">
        <v>3868</v>
      </c>
      <c r="T60" s="35" t="s">
        <v>3869</v>
      </c>
      <c r="U60" s="35" t="s">
        <v>3926</v>
      </c>
      <c r="V60" s="35" t="s">
        <v>10081</v>
      </c>
      <c r="W60" s="35" t="s">
        <v>3571</v>
      </c>
      <c r="X60" s="35" t="s">
        <v>3569</v>
      </c>
      <c r="Y60" s="32">
        <v>366.0</v>
      </c>
      <c r="Z60" s="40" t="s">
        <v>3559</v>
      </c>
    </row>
    <row r="61">
      <c r="A61" s="42" t="s">
        <v>3928</v>
      </c>
      <c r="B61" s="42" t="s">
        <v>1878</v>
      </c>
      <c r="C61" s="42" t="s">
        <v>3924</v>
      </c>
      <c r="D61" s="42" t="s">
        <v>10097</v>
      </c>
      <c r="E61" s="42" t="s">
        <v>10008</v>
      </c>
      <c r="F61" s="42" t="s">
        <v>10098</v>
      </c>
      <c r="G61" s="43"/>
      <c r="H61" s="42" t="s">
        <v>10097</v>
      </c>
      <c r="I61" s="43"/>
      <c r="J61" s="41">
        <v>75001.0</v>
      </c>
      <c r="K61" s="42" t="s">
        <v>3209</v>
      </c>
      <c r="L61" s="45"/>
      <c r="M61" s="45"/>
      <c r="N61" s="42" t="s">
        <v>1886</v>
      </c>
      <c r="O61" s="42" t="s">
        <v>3934</v>
      </c>
      <c r="P61" s="42" t="s">
        <v>3579</v>
      </c>
      <c r="Q61" s="43"/>
      <c r="R61" s="42" t="s">
        <v>3867</v>
      </c>
      <c r="S61" s="42" t="s">
        <v>3868</v>
      </c>
      <c r="T61" s="42" t="s">
        <v>3869</v>
      </c>
      <c r="U61" s="42" t="s">
        <v>3926</v>
      </c>
      <c r="V61" s="42" t="s">
        <v>10081</v>
      </c>
      <c r="W61" s="42" t="s">
        <v>3571</v>
      </c>
      <c r="X61" s="42" t="s">
        <v>3569</v>
      </c>
      <c r="Y61" s="41">
        <v>366.0</v>
      </c>
      <c r="Z61" s="48" t="s">
        <v>3559</v>
      </c>
    </row>
    <row r="62">
      <c r="A62" s="35" t="s">
        <v>3928</v>
      </c>
      <c r="B62" s="35" t="s">
        <v>1878</v>
      </c>
      <c r="C62" s="35" t="s">
        <v>3924</v>
      </c>
      <c r="D62" s="35" t="s">
        <v>10099</v>
      </c>
      <c r="E62" s="35" t="s">
        <v>10008</v>
      </c>
      <c r="F62" s="35" t="s">
        <v>10100</v>
      </c>
      <c r="G62" s="35" t="s">
        <v>10101</v>
      </c>
      <c r="H62" s="35" t="s">
        <v>10099</v>
      </c>
      <c r="I62" s="35" t="s">
        <v>10102</v>
      </c>
      <c r="J62" s="32">
        <v>97204.0</v>
      </c>
      <c r="K62" s="35" t="s">
        <v>60</v>
      </c>
      <c r="L62" s="37"/>
      <c r="M62" s="37"/>
      <c r="N62" s="35" t="s">
        <v>1886</v>
      </c>
      <c r="O62" s="35" t="s">
        <v>3934</v>
      </c>
      <c r="P62" s="35" t="s">
        <v>3579</v>
      </c>
      <c r="Q62" s="34"/>
      <c r="R62" s="35" t="s">
        <v>3867</v>
      </c>
      <c r="S62" s="35" t="s">
        <v>3868</v>
      </c>
      <c r="T62" s="35" t="s">
        <v>3869</v>
      </c>
      <c r="U62" s="35" t="s">
        <v>3926</v>
      </c>
      <c r="V62" s="35" t="s">
        <v>10081</v>
      </c>
      <c r="W62" s="35" t="s">
        <v>3571</v>
      </c>
      <c r="X62" s="35" t="s">
        <v>3569</v>
      </c>
      <c r="Y62" s="32">
        <v>366.0</v>
      </c>
      <c r="Z62" s="40" t="s">
        <v>3559</v>
      </c>
    </row>
    <row r="63">
      <c r="A63" s="42" t="s">
        <v>3928</v>
      </c>
      <c r="B63" s="42" t="s">
        <v>1878</v>
      </c>
      <c r="C63" s="42" t="s">
        <v>3924</v>
      </c>
      <c r="D63" s="42" t="s">
        <v>10103</v>
      </c>
      <c r="E63" s="42" t="s">
        <v>10008</v>
      </c>
      <c r="F63" s="42" t="s">
        <v>10104</v>
      </c>
      <c r="G63" s="43"/>
      <c r="H63" s="42" t="s">
        <v>10103</v>
      </c>
      <c r="I63" s="43"/>
      <c r="J63" s="41">
        <v>187.0</v>
      </c>
      <c r="K63" s="42" t="s">
        <v>10105</v>
      </c>
      <c r="L63" s="45"/>
      <c r="M63" s="45"/>
      <c r="N63" s="42" t="s">
        <v>1886</v>
      </c>
      <c r="O63" s="42" t="s">
        <v>3934</v>
      </c>
      <c r="P63" s="42" t="s">
        <v>3579</v>
      </c>
      <c r="Q63" s="43"/>
      <c r="R63" s="42" t="s">
        <v>3867</v>
      </c>
      <c r="S63" s="42" t="s">
        <v>3868</v>
      </c>
      <c r="T63" s="42" t="s">
        <v>3869</v>
      </c>
      <c r="U63" s="42" t="s">
        <v>3926</v>
      </c>
      <c r="V63" s="42" t="s">
        <v>10081</v>
      </c>
      <c r="W63" s="42" t="s">
        <v>3571</v>
      </c>
      <c r="X63" s="42" t="s">
        <v>3569</v>
      </c>
      <c r="Y63" s="41">
        <v>366.0</v>
      </c>
      <c r="Z63" s="48" t="s">
        <v>3559</v>
      </c>
    </row>
    <row r="64">
      <c r="A64" s="35" t="s">
        <v>3928</v>
      </c>
      <c r="B64" s="35" t="s">
        <v>1878</v>
      </c>
      <c r="C64" s="35" t="s">
        <v>3924</v>
      </c>
      <c r="D64" s="35" t="s">
        <v>10106</v>
      </c>
      <c r="E64" s="35" t="s">
        <v>10008</v>
      </c>
      <c r="F64" s="35" t="s">
        <v>10107</v>
      </c>
      <c r="G64" s="34"/>
      <c r="H64" s="35" t="s">
        <v>10106</v>
      </c>
      <c r="I64" s="35" t="s">
        <v>10108</v>
      </c>
      <c r="J64" s="32">
        <v>98075.0</v>
      </c>
      <c r="K64" s="35" t="s">
        <v>60</v>
      </c>
      <c r="L64" s="37"/>
      <c r="M64" s="37"/>
      <c r="N64" s="35" t="s">
        <v>10083</v>
      </c>
      <c r="O64" s="35" t="s">
        <v>3934</v>
      </c>
      <c r="P64" s="35" t="s">
        <v>3579</v>
      </c>
      <c r="Q64" s="34"/>
      <c r="R64" s="35" t="s">
        <v>3867</v>
      </c>
      <c r="S64" s="35" t="s">
        <v>3868</v>
      </c>
      <c r="T64" s="35" t="s">
        <v>3869</v>
      </c>
      <c r="U64" s="35" t="s">
        <v>3926</v>
      </c>
      <c r="V64" s="35" t="s">
        <v>10081</v>
      </c>
      <c r="W64" s="35" t="s">
        <v>3571</v>
      </c>
      <c r="X64" s="35" t="s">
        <v>3569</v>
      </c>
      <c r="Y64" s="32">
        <v>366.0</v>
      </c>
      <c r="Z64" s="40" t="s">
        <v>3559</v>
      </c>
    </row>
    <row r="65">
      <c r="A65" s="42" t="s">
        <v>3928</v>
      </c>
      <c r="B65" s="42" t="s">
        <v>1878</v>
      </c>
      <c r="C65" s="42" t="s">
        <v>3924</v>
      </c>
      <c r="D65" s="42" t="s">
        <v>10063</v>
      </c>
      <c r="E65" s="42" t="s">
        <v>10008</v>
      </c>
      <c r="F65" s="42" t="s">
        <v>10109</v>
      </c>
      <c r="G65" s="42" t="s">
        <v>9776</v>
      </c>
      <c r="H65" s="42" t="s">
        <v>10063</v>
      </c>
      <c r="I65" s="42" t="s">
        <v>1431</v>
      </c>
      <c r="J65" s="41">
        <v>94105.0</v>
      </c>
      <c r="K65" s="42" t="s">
        <v>60</v>
      </c>
      <c r="L65" s="45" t="str">
        <f>+1 (973) 768-3606</f>
        <v>#ERROR!</v>
      </c>
      <c r="M65" s="45"/>
      <c r="N65" s="42" t="s">
        <v>10083</v>
      </c>
      <c r="O65" s="42" t="s">
        <v>3934</v>
      </c>
      <c r="P65" s="42" t="s">
        <v>3579</v>
      </c>
      <c r="Q65" s="43"/>
      <c r="R65" s="42" t="s">
        <v>3867</v>
      </c>
      <c r="S65" s="42" t="s">
        <v>3868</v>
      </c>
      <c r="T65" s="42" t="s">
        <v>3869</v>
      </c>
      <c r="U65" s="42" t="s">
        <v>3926</v>
      </c>
      <c r="V65" s="42" t="s">
        <v>10081</v>
      </c>
      <c r="W65" s="42" t="s">
        <v>3571</v>
      </c>
      <c r="X65" s="42" t="s">
        <v>3569</v>
      </c>
      <c r="Y65" s="41">
        <v>366.0</v>
      </c>
      <c r="Z65" s="48" t="s">
        <v>3559</v>
      </c>
    </row>
    <row r="66">
      <c r="A66" s="35" t="s">
        <v>3928</v>
      </c>
      <c r="B66" s="35" t="s">
        <v>1878</v>
      </c>
      <c r="C66" s="35" t="s">
        <v>3924</v>
      </c>
      <c r="D66" s="35" t="s">
        <v>10110</v>
      </c>
      <c r="E66" s="35" t="s">
        <v>10008</v>
      </c>
      <c r="F66" s="34"/>
      <c r="G66" s="34"/>
      <c r="H66" s="35" t="s">
        <v>10110</v>
      </c>
      <c r="I66" s="34"/>
      <c r="J66" s="37"/>
      <c r="K66" s="35" t="s">
        <v>10111</v>
      </c>
      <c r="L66" s="37"/>
      <c r="M66" s="37"/>
      <c r="N66" s="35" t="s">
        <v>1886</v>
      </c>
      <c r="O66" s="35" t="s">
        <v>3934</v>
      </c>
      <c r="P66" s="35" t="s">
        <v>3579</v>
      </c>
      <c r="Q66" s="34"/>
      <c r="R66" s="35" t="s">
        <v>3867</v>
      </c>
      <c r="S66" s="35" t="s">
        <v>3868</v>
      </c>
      <c r="T66" s="35" t="s">
        <v>3869</v>
      </c>
      <c r="U66" s="35" t="s">
        <v>3926</v>
      </c>
      <c r="V66" s="35" t="s">
        <v>10081</v>
      </c>
      <c r="W66" s="35" t="s">
        <v>3571</v>
      </c>
      <c r="X66" s="35" t="s">
        <v>3569</v>
      </c>
      <c r="Y66" s="32">
        <v>366.0</v>
      </c>
      <c r="Z66" s="40" t="s">
        <v>3559</v>
      </c>
    </row>
    <row r="67">
      <c r="A67" s="42" t="s">
        <v>3928</v>
      </c>
      <c r="B67" s="42" t="s">
        <v>1878</v>
      </c>
      <c r="C67" s="42" t="s">
        <v>3924</v>
      </c>
      <c r="D67" s="42" t="s">
        <v>10112</v>
      </c>
      <c r="E67" s="42" t="s">
        <v>10008</v>
      </c>
      <c r="F67" s="43"/>
      <c r="G67" s="43"/>
      <c r="H67" s="42" t="s">
        <v>10112</v>
      </c>
      <c r="I67" s="42" t="s">
        <v>10108</v>
      </c>
      <c r="J67" s="45"/>
      <c r="K67" s="42" t="s">
        <v>60</v>
      </c>
      <c r="L67" s="45"/>
      <c r="M67" s="45"/>
      <c r="N67" s="42" t="s">
        <v>10083</v>
      </c>
      <c r="O67" s="42" t="s">
        <v>3934</v>
      </c>
      <c r="P67" s="42" t="s">
        <v>3579</v>
      </c>
      <c r="Q67" s="43"/>
      <c r="R67" s="42" t="s">
        <v>3867</v>
      </c>
      <c r="S67" s="42" t="s">
        <v>3868</v>
      </c>
      <c r="T67" s="42" t="s">
        <v>3869</v>
      </c>
      <c r="U67" s="42" t="s">
        <v>3926</v>
      </c>
      <c r="V67" s="42" t="s">
        <v>10081</v>
      </c>
      <c r="W67" s="42" t="s">
        <v>3571</v>
      </c>
      <c r="X67" s="42" t="s">
        <v>3569</v>
      </c>
      <c r="Y67" s="41">
        <v>366.0</v>
      </c>
      <c r="Z67" s="48" t="s">
        <v>3559</v>
      </c>
    </row>
    <row r="68">
      <c r="A68" s="35" t="s">
        <v>3928</v>
      </c>
      <c r="B68" s="35" t="s">
        <v>1878</v>
      </c>
      <c r="C68" s="35" t="s">
        <v>3924</v>
      </c>
      <c r="D68" s="35" t="s">
        <v>10113</v>
      </c>
      <c r="E68" s="35" t="s">
        <v>10008</v>
      </c>
      <c r="F68" s="35" t="s">
        <v>10114</v>
      </c>
      <c r="G68" s="35" t="s">
        <v>10115</v>
      </c>
      <c r="H68" s="35" t="s">
        <v>10113</v>
      </c>
      <c r="I68" s="34"/>
      <c r="J68" s="32" t="s">
        <v>10116</v>
      </c>
      <c r="K68" s="35" t="s">
        <v>10027</v>
      </c>
      <c r="L68" s="37"/>
      <c r="M68" s="37"/>
      <c r="N68" s="35" t="s">
        <v>1886</v>
      </c>
      <c r="O68" s="35" t="s">
        <v>3934</v>
      </c>
      <c r="P68" s="35" t="s">
        <v>3579</v>
      </c>
      <c r="Q68" s="34"/>
      <c r="R68" s="35" t="s">
        <v>3867</v>
      </c>
      <c r="S68" s="35" t="s">
        <v>3868</v>
      </c>
      <c r="T68" s="35" t="s">
        <v>3869</v>
      </c>
      <c r="U68" s="35" t="s">
        <v>3926</v>
      </c>
      <c r="V68" s="35" t="s">
        <v>10081</v>
      </c>
      <c r="W68" s="35" t="s">
        <v>3571</v>
      </c>
      <c r="X68" s="35" t="s">
        <v>3569</v>
      </c>
      <c r="Y68" s="32">
        <v>366.0</v>
      </c>
      <c r="Z68" s="40" t="s">
        <v>3559</v>
      </c>
    </row>
    <row r="69">
      <c r="A69" s="42" t="s">
        <v>3928</v>
      </c>
      <c r="B69" s="42" t="s">
        <v>1878</v>
      </c>
      <c r="C69" s="42" t="s">
        <v>3924</v>
      </c>
      <c r="D69" s="42" t="s">
        <v>75</v>
      </c>
      <c r="E69" s="42" t="s">
        <v>10011</v>
      </c>
      <c r="F69" s="42" t="s">
        <v>3936</v>
      </c>
      <c r="G69" s="42" t="s">
        <v>3937</v>
      </c>
      <c r="H69" s="42" t="s">
        <v>75</v>
      </c>
      <c r="I69" s="43"/>
      <c r="J69" s="41">
        <v>6473309.0</v>
      </c>
      <c r="K69" s="42" t="s">
        <v>41</v>
      </c>
      <c r="L69" s="45" t="str">
        <f>+972 (0)73 372 9586</f>
        <v>#ERROR!</v>
      </c>
      <c r="M69" s="45" t="str">
        <f>+972 (0)73 372 9591</f>
        <v>#ERROR!</v>
      </c>
      <c r="N69" s="42" t="s">
        <v>1886</v>
      </c>
      <c r="O69" s="42" t="s">
        <v>3934</v>
      </c>
      <c r="P69" s="42" t="s">
        <v>3579</v>
      </c>
      <c r="Q69" s="43"/>
      <c r="R69" s="42" t="s">
        <v>3867</v>
      </c>
      <c r="S69" s="42" t="s">
        <v>3868</v>
      </c>
      <c r="T69" s="42" t="s">
        <v>3869</v>
      </c>
      <c r="U69" s="42" t="s">
        <v>3926</v>
      </c>
      <c r="V69" s="42" t="s">
        <v>10081</v>
      </c>
      <c r="W69" s="42" t="s">
        <v>3571</v>
      </c>
      <c r="X69" s="42" t="s">
        <v>3569</v>
      </c>
      <c r="Y69" s="41">
        <v>366.0</v>
      </c>
      <c r="Z69" s="48" t="s">
        <v>3559</v>
      </c>
    </row>
    <row r="70">
      <c r="A70" s="35" t="s">
        <v>3952</v>
      </c>
      <c r="B70" s="35" t="s">
        <v>3946</v>
      </c>
      <c r="C70" s="35" t="s">
        <v>3949</v>
      </c>
      <c r="D70" s="35" t="s">
        <v>10117</v>
      </c>
      <c r="E70" s="35" t="s">
        <v>10011</v>
      </c>
      <c r="F70" s="35" t="s">
        <v>3958</v>
      </c>
      <c r="G70" s="34"/>
      <c r="H70" s="35" t="s">
        <v>137</v>
      </c>
      <c r="I70" s="34"/>
      <c r="J70" s="32">
        <v>4453001.0</v>
      </c>
      <c r="K70" s="35" t="s">
        <v>41</v>
      </c>
      <c r="L70" s="37" t="str">
        <f>+972 (0)4 689 1247</f>
        <v>#ERROR!</v>
      </c>
      <c r="M70" s="37"/>
      <c r="N70" s="35" t="s">
        <v>99</v>
      </c>
      <c r="O70" s="35" t="s">
        <v>94</v>
      </c>
      <c r="P70" s="35" t="s">
        <v>3579</v>
      </c>
      <c r="Q70" s="34"/>
      <c r="R70" s="35" t="s">
        <v>3563</v>
      </c>
      <c r="S70" s="35" t="s">
        <v>3564</v>
      </c>
      <c r="T70" s="35" t="s">
        <v>3565</v>
      </c>
      <c r="U70" s="35" t="s">
        <v>3567</v>
      </c>
      <c r="V70" s="35" t="s">
        <v>10118</v>
      </c>
      <c r="W70" s="35" t="s">
        <v>3571</v>
      </c>
      <c r="X70" s="35" t="s">
        <v>3569</v>
      </c>
      <c r="Y70" s="32">
        <v>20.0</v>
      </c>
      <c r="Z70" s="40" t="s">
        <v>3559</v>
      </c>
    </row>
    <row r="71">
      <c r="A71" s="42" t="s">
        <v>3952</v>
      </c>
      <c r="B71" s="42" t="s">
        <v>3946</v>
      </c>
      <c r="C71" s="42" t="s">
        <v>3949</v>
      </c>
      <c r="D71" s="42" t="s">
        <v>98</v>
      </c>
      <c r="E71" s="42" t="s">
        <v>10008</v>
      </c>
      <c r="F71" s="42" t="s">
        <v>10119</v>
      </c>
      <c r="G71" s="42" t="s">
        <v>10120</v>
      </c>
      <c r="H71" s="42" t="s">
        <v>98</v>
      </c>
      <c r="I71" s="43"/>
      <c r="J71" s="45"/>
      <c r="K71" s="42" t="s">
        <v>41</v>
      </c>
      <c r="L71" s="45" t="str">
        <f>+972 (0)4 689 1247</f>
        <v>#ERROR!</v>
      </c>
      <c r="M71" s="45"/>
      <c r="N71" s="42" t="s">
        <v>99</v>
      </c>
      <c r="O71" s="42" t="s">
        <v>94</v>
      </c>
      <c r="P71" s="42" t="s">
        <v>3579</v>
      </c>
      <c r="Q71" s="43"/>
      <c r="R71" s="42" t="s">
        <v>3563</v>
      </c>
      <c r="S71" s="42" t="s">
        <v>3564</v>
      </c>
      <c r="T71" s="42" t="s">
        <v>3565</v>
      </c>
      <c r="U71" s="42" t="s">
        <v>3567</v>
      </c>
      <c r="V71" s="42" t="s">
        <v>10118</v>
      </c>
      <c r="W71" s="42" t="s">
        <v>3571</v>
      </c>
      <c r="X71" s="42" t="s">
        <v>3569</v>
      </c>
      <c r="Y71" s="41">
        <v>20.0</v>
      </c>
      <c r="Z71" s="48" t="s">
        <v>3559</v>
      </c>
    </row>
    <row r="72">
      <c r="A72" s="35" t="s">
        <v>3952</v>
      </c>
      <c r="B72" s="35" t="s">
        <v>3946</v>
      </c>
      <c r="C72" s="35" t="s">
        <v>3949</v>
      </c>
      <c r="D72" s="35" t="s">
        <v>506</v>
      </c>
      <c r="E72" s="35" t="s">
        <v>10008</v>
      </c>
      <c r="F72" s="35" t="s">
        <v>10121</v>
      </c>
      <c r="G72" s="34"/>
      <c r="H72" s="35" t="s">
        <v>506</v>
      </c>
      <c r="I72" s="35" t="s">
        <v>507</v>
      </c>
      <c r="J72" s="32">
        <v>10036.0</v>
      </c>
      <c r="K72" s="35" t="s">
        <v>60</v>
      </c>
      <c r="L72" s="37"/>
      <c r="M72" s="37"/>
      <c r="N72" s="35" t="s">
        <v>99</v>
      </c>
      <c r="O72" s="35" t="s">
        <v>94</v>
      </c>
      <c r="P72" s="35" t="s">
        <v>3579</v>
      </c>
      <c r="Q72" s="34"/>
      <c r="R72" s="35" t="s">
        <v>3563</v>
      </c>
      <c r="S72" s="35" t="s">
        <v>3564</v>
      </c>
      <c r="T72" s="35" t="s">
        <v>3565</v>
      </c>
      <c r="U72" s="35" t="s">
        <v>3567</v>
      </c>
      <c r="V72" s="35" t="s">
        <v>10118</v>
      </c>
      <c r="W72" s="35" t="s">
        <v>3571</v>
      </c>
      <c r="X72" s="35" t="s">
        <v>3569</v>
      </c>
      <c r="Y72" s="32">
        <v>20.0</v>
      </c>
      <c r="Z72" s="40" t="s">
        <v>3559</v>
      </c>
    </row>
    <row r="73">
      <c r="A73" s="42" t="s">
        <v>3952</v>
      </c>
      <c r="B73" s="42" t="s">
        <v>3946</v>
      </c>
      <c r="C73" s="42" t="s">
        <v>3949</v>
      </c>
      <c r="D73" s="42" t="s">
        <v>10071</v>
      </c>
      <c r="E73" s="42" t="s">
        <v>10008</v>
      </c>
      <c r="F73" s="42" t="s">
        <v>10122</v>
      </c>
      <c r="G73" s="43"/>
      <c r="H73" s="42" t="s">
        <v>10071</v>
      </c>
      <c r="I73" s="42" t="s">
        <v>1283</v>
      </c>
      <c r="J73" s="41">
        <v>32827.0</v>
      </c>
      <c r="K73" s="42" t="s">
        <v>60</v>
      </c>
      <c r="L73" s="45" t="str">
        <f>+1 (646) 275-7170</f>
        <v>#ERROR!</v>
      </c>
      <c r="M73" s="45"/>
      <c r="N73" s="42" t="s">
        <v>99</v>
      </c>
      <c r="O73" s="42" t="s">
        <v>94</v>
      </c>
      <c r="P73" s="42" t="s">
        <v>3579</v>
      </c>
      <c r="Q73" s="43"/>
      <c r="R73" s="42" t="s">
        <v>3563</v>
      </c>
      <c r="S73" s="42" t="s">
        <v>3564</v>
      </c>
      <c r="T73" s="42" t="s">
        <v>3565</v>
      </c>
      <c r="U73" s="42" t="s">
        <v>3567</v>
      </c>
      <c r="V73" s="42" t="s">
        <v>10118</v>
      </c>
      <c r="W73" s="42" t="s">
        <v>3571</v>
      </c>
      <c r="X73" s="42" t="s">
        <v>3569</v>
      </c>
      <c r="Y73" s="41">
        <v>20.0</v>
      </c>
      <c r="Z73" s="48" t="s">
        <v>3559</v>
      </c>
    </row>
    <row r="74">
      <c r="A74" s="35" t="s">
        <v>3976</v>
      </c>
      <c r="B74" s="35" t="s">
        <v>3969</v>
      </c>
      <c r="C74" s="35" t="s">
        <v>3972</v>
      </c>
      <c r="D74" s="35" t="s">
        <v>10123</v>
      </c>
      <c r="E74" s="35" t="s">
        <v>10008</v>
      </c>
      <c r="F74" s="35" t="s">
        <v>10124</v>
      </c>
      <c r="G74" s="34"/>
      <c r="H74" s="35" t="s">
        <v>10123</v>
      </c>
      <c r="I74" s="34"/>
      <c r="J74" s="32">
        <v>4809234.0</v>
      </c>
      <c r="K74" s="35" t="s">
        <v>41</v>
      </c>
      <c r="L74" s="37" t="str">
        <f>+972 (0)3 900 9500</f>
        <v>#ERROR!</v>
      </c>
      <c r="M74" s="37"/>
      <c r="N74" s="35" t="s">
        <v>10125</v>
      </c>
      <c r="O74" s="35" t="s">
        <v>3981</v>
      </c>
      <c r="P74" s="35" t="s">
        <v>3982</v>
      </c>
      <c r="Q74" s="34"/>
      <c r="R74" s="35" t="s">
        <v>3563</v>
      </c>
      <c r="S74" s="35" t="s">
        <v>3564</v>
      </c>
      <c r="T74" s="35" t="s">
        <v>3565</v>
      </c>
      <c r="U74" s="35" t="s">
        <v>3974</v>
      </c>
      <c r="V74" s="35" t="s">
        <v>10126</v>
      </c>
      <c r="W74" s="35" t="s">
        <v>3571</v>
      </c>
      <c r="X74" s="35" t="s">
        <v>3569</v>
      </c>
      <c r="Y74" s="32">
        <v>177.0</v>
      </c>
      <c r="Z74" s="40" t="s">
        <v>3559</v>
      </c>
    </row>
    <row r="75">
      <c r="A75" s="42" t="s">
        <v>3976</v>
      </c>
      <c r="B75" s="42" t="s">
        <v>3969</v>
      </c>
      <c r="C75" s="42" t="s">
        <v>3972</v>
      </c>
      <c r="D75" s="42" t="s">
        <v>464</v>
      </c>
      <c r="E75" s="42" t="s">
        <v>10008</v>
      </c>
      <c r="F75" s="43"/>
      <c r="G75" s="43"/>
      <c r="H75" s="42" t="s">
        <v>464</v>
      </c>
      <c r="I75" s="43"/>
      <c r="J75" s="45"/>
      <c r="K75" s="42" t="s">
        <v>465</v>
      </c>
      <c r="L75" s="45" t="str">
        <f>+49 (0)16 2829 3086</f>
        <v>#ERROR!</v>
      </c>
      <c r="M75" s="45"/>
      <c r="N75" s="42" t="s">
        <v>774</v>
      </c>
      <c r="O75" s="42" t="s">
        <v>3981</v>
      </c>
      <c r="P75" s="42" t="s">
        <v>3982</v>
      </c>
      <c r="Q75" s="43"/>
      <c r="R75" s="42" t="s">
        <v>3563</v>
      </c>
      <c r="S75" s="42" t="s">
        <v>3564</v>
      </c>
      <c r="T75" s="42" t="s">
        <v>3565</v>
      </c>
      <c r="U75" s="42" t="s">
        <v>3974</v>
      </c>
      <c r="V75" s="42" t="s">
        <v>10126</v>
      </c>
      <c r="W75" s="42" t="s">
        <v>3571</v>
      </c>
      <c r="X75" s="42" t="s">
        <v>3569</v>
      </c>
      <c r="Y75" s="41">
        <v>177.0</v>
      </c>
      <c r="Z75" s="48" t="s">
        <v>3559</v>
      </c>
    </row>
    <row r="76">
      <c r="A76" s="35" t="s">
        <v>3976</v>
      </c>
      <c r="B76" s="35" t="s">
        <v>3969</v>
      </c>
      <c r="C76" s="35" t="s">
        <v>3972</v>
      </c>
      <c r="D76" s="35" t="s">
        <v>10127</v>
      </c>
      <c r="E76" s="35" t="s">
        <v>10008</v>
      </c>
      <c r="F76" s="34"/>
      <c r="G76" s="34"/>
      <c r="H76" s="35" t="s">
        <v>10127</v>
      </c>
      <c r="I76" s="34"/>
      <c r="J76" s="37"/>
      <c r="K76" s="35" t="s">
        <v>10128</v>
      </c>
      <c r="L76" s="37"/>
      <c r="M76" s="37"/>
      <c r="N76" s="35" t="s">
        <v>774</v>
      </c>
      <c r="O76" s="35" t="s">
        <v>3981</v>
      </c>
      <c r="P76" s="35" t="s">
        <v>3982</v>
      </c>
      <c r="Q76" s="34"/>
      <c r="R76" s="35" t="s">
        <v>3563</v>
      </c>
      <c r="S76" s="35" t="s">
        <v>3564</v>
      </c>
      <c r="T76" s="35" t="s">
        <v>3565</v>
      </c>
      <c r="U76" s="35" t="s">
        <v>3974</v>
      </c>
      <c r="V76" s="35" t="s">
        <v>10126</v>
      </c>
      <c r="W76" s="35" t="s">
        <v>3571</v>
      </c>
      <c r="X76" s="35" t="s">
        <v>3569</v>
      </c>
      <c r="Y76" s="32">
        <v>177.0</v>
      </c>
      <c r="Z76" s="40" t="s">
        <v>3559</v>
      </c>
    </row>
    <row r="77">
      <c r="A77" s="42" t="s">
        <v>3976</v>
      </c>
      <c r="B77" s="42" t="s">
        <v>3969</v>
      </c>
      <c r="C77" s="42" t="s">
        <v>3972</v>
      </c>
      <c r="D77" s="42" t="s">
        <v>10022</v>
      </c>
      <c r="E77" s="42" t="s">
        <v>10008</v>
      </c>
      <c r="F77" s="43"/>
      <c r="G77" s="43"/>
      <c r="H77" s="42" t="s">
        <v>10022</v>
      </c>
      <c r="I77" s="42" t="s">
        <v>816</v>
      </c>
      <c r="J77" s="45"/>
      <c r="K77" s="42" t="s">
        <v>60</v>
      </c>
      <c r="L77" s="45" t="str">
        <f>+1 (248) 756-6244</f>
        <v>#ERROR!</v>
      </c>
      <c r="M77" s="45"/>
      <c r="N77" s="42" t="s">
        <v>774</v>
      </c>
      <c r="O77" s="42" t="s">
        <v>3981</v>
      </c>
      <c r="P77" s="42" t="s">
        <v>3982</v>
      </c>
      <c r="Q77" s="43"/>
      <c r="R77" s="42" t="s">
        <v>3563</v>
      </c>
      <c r="S77" s="42" t="s">
        <v>3564</v>
      </c>
      <c r="T77" s="42" t="s">
        <v>3565</v>
      </c>
      <c r="U77" s="42" t="s">
        <v>3974</v>
      </c>
      <c r="V77" s="42" t="s">
        <v>10126</v>
      </c>
      <c r="W77" s="42" t="s">
        <v>3571</v>
      </c>
      <c r="X77" s="42" t="s">
        <v>3569</v>
      </c>
      <c r="Y77" s="41">
        <v>177.0</v>
      </c>
      <c r="Z77" s="48" t="s">
        <v>3559</v>
      </c>
    </row>
    <row r="78">
      <c r="A78" s="35" t="s">
        <v>3976</v>
      </c>
      <c r="B78" s="35" t="s">
        <v>3969</v>
      </c>
      <c r="C78" s="35" t="s">
        <v>3972</v>
      </c>
      <c r="D78" s="35" t="s">
        <v>10129</v>
      </c>
      <c r="E78" s="35" t="s">
        <v>10015</v>
      </c>
      <c r="F78" s="35" t="s">
        <v>10130</v>
      </c>
      <c r="G78" s="35" t="s">
        <v>10131</v>
      </c>
      <c r="H78" s="35" t="s">
        <v>10129</v>
      </c>
      <c r="I78" s="35" t="s">
        <v>10032</v>
      </c>
      <c r="J78" s="32" t="s">
        <v>10132</v>
      </c>
      <c r="K78" s="35" t="s">
        <v>211</v>
      </c>
      <c r="L78" s="37" t="str">
        <f>+44 (0)20 8236 0545</f>
        <v>#ERROR!</v>
      </c>
      <c r="M78" s="37"/>
      <c r="N78" s="35" t="s">
        <v>10125</v>
      </c>
      <c r="O78" s="35" t="s">
        <v>3981</v>
      </c>
      <c r="P78" s="35" t="s">
        <v>3982</v>
      </c>
      <c r="Q78" s="34"/>
      <c r="R78" s="35" t="s">
        <v>3563</v>
      </c>
      <c r="S78" s="35" t="s">
        <v>3564</v>
      </c>
      <c r="T78" s="35" t="s">
        <v>3565</v>
      </c>
      <c r="U78" s="35" t="s">
        <v>3974</v>
      </c>
      <c r="V78" s="35" t="s">
        <v>10126</v>
      </c>
      <c r="W78" s="35" t="s">
        <v>3571</v>
      </c>
      <c r="X78" s="35" t="s">
        <v>3569</v>
      </c>
      <c r="Y78" s="32">
        <v>177.0</v>
      </c>
      <c r="Z78" s="40" t="s">
        <v>3559</v>
      </c>
    </row>
    <row r="79">
      <c r="A79" s="42" t="s">
        <v>3976</v>
      </c>
      <c r="B79" s="42" t="s">
        <v>3969</v>
      </c>
      <c r="C79" s="42" t="s">
        <v>3972</v>
      </c>
      <c r="D79" s="42" t="s">
        <v>552</v>
      </c>
      <c r="E79" s="42" t="s">
        <v>10011</v>
      </c>
      <c r="F79" s="42" t="s">
        <v>3985</v>
      </c>
      <c r="G79" s="43"/>
      <c r="H79" s="42" t="s">
        <v>3986</v>
      </c>
      <c r="I79" s="43"/>
      <c r="J79" s="41">
        <v>4672519.0</v>
      </c>
      <c r="K79" s="42" t="s">
        <v>41</v>
      </c>
      <c r="L79" s="45" t="str">
        <f>+972 (0)3 900 9500</f>
        <v>#ERROR!</v>
      </c>
      <c r="M79" s="45"/>
      <c r="N79" s="42" t="s">
        <v>774</v>
      </c>
      <c r="O79" s="42" t="s">
        <v>3981</v>
      </c>
      <c r="P79" s="42" t="s">
        <v>3982</v>
      </c>
      <c r="Q79" s="43"/>
      <c r="R79" s="42" t="s">
        <v>3563</v>
      </c>
      <c r="S79" s="42" t="s">
        <v>3564</v>
      </c>
      <c r="T79" s="42" t="s">
        <v>3565</v>
      </c>
      <c r="U79" s="42" t="s">
        <v>3974</v>
      </c>
      <c r="V79" s="42" t="s">
        <v>10126</v>
      </c>
      <c r="W79" s="42" t="s">
        <v>3571</v>
      </c>
      <c r="X79" s="42" t="s">
        <v>3569</v>
      </c>
      <c r="Y79" s="41">
        <v>177.0</v>
      </c>
      <c r="Z79" s="48" t="s">
        <v>3559</v>
      </c>
    </row>
    <row r="80">
      <c r="A80" s="77" t="s">
        <v>3976</v>
      </c>
      <c r="B80" s="77" t="s">
        <v>3969</v>
      </c>
      <c r="C80" s="77" t="s">
        <v>3972</v>
      </c>
      <c r="D80" s="77" t="s">
        <v>287</v>
      </c>
      <c r="E80" s="77" t="s">
        <v>10008</v>
      </c>
      <c r="F80" s="78"/>
      <c r="G80" s="78"/>
      <c r="H80" s="77" t="s">
        <v>287</v>
      </c>
      <c r="I80" s="77" t="s">
        <v>10032</v>
      </c>
      <c r="J80" s="79"/>
      <c r="K80" s="77" t="s">
        <v>211</v>
      </c>
      <c r="L80" s="79"/>
      <c r="M80" s="79"/>
      <c r="N80" s="77" t="s">
        <v>774</v>
      </c>
      <c r="O80" s="77" t="s">
        <v>3981</v>
      </c>
      <c r="P80" s="77" t="s">
        <v>3982</v>
      </c>
      <c r="Q80" s="78"/>
      <c r="R80" s="77" t="s">
        <v>3563</v>
      </c>
      <c r="S80" s="77" t="s">
        <v>3564</v>
      </c>
      <c r="T80" s="77" t="s">
        <v>3565</v>
      </c>
      <c r="U80" s="77" t="s">
        <v>3974</v>
      </c>
      <c r="V80" s="77" t="s">
        <v>10126</v>
      </c>
      <c r="W80" s="77" t="s">
        <v>3571</v>
      </c>
      <c r="X80" s="77" t="s">
        <v>3569</v>
      </c>
      <c r="Y80" s="80">
        <v>177.0</v>
      </c>
      <c r="Z80" s="81" t="s">
        <v>3559</v>
      </c>
    </row>
    <row r="81">
      <c r="A81" s="42" t="s">
        <v>3976</v>
      </c>
      <c r="B81" s="42" t="s">
        <v>3969</v>
      </c>
      <c r="C81" s="42" t="s">
        <v>3972</v>
      </c>
      <c r="D81" s="42" t="s">
        <v>10133</v>
      </c>
      <c r="E81" s="42" t="s">
        <v>10008</v>
      </c>
      <c r="F81" s="42" t="s">
        <v>10134</v>
      </c>
      <c r="G81" s="42" t="s">
        <v>10135</v>
      </c>
      <c r="H81" s="42" t="s">
        <v>10133</v>
      </c>
      <c r="I81" s="42" t="s">
        <v>10032</v>
      </c>
      <c r="J81" s="41" t="s">
        <v>10136</v>
      </c>
      <c r="K81" s="42" t="s">
        <v>211</v>
      </c>
      <c r="L81" s="45" t="str">
        <f>+44 (0)20 8236 0545</f>
        <v>#ERROR!</v>
      </c>
      <c r="M81" s="45"/>
      <c r="N81" s="43"/>
      <c r="O81" s="42" t="s">
        <v>3981</v>
      </c>
      <c r="P81" s="42" t="s">
        <v>3982</v>
      </c>
      <c r="Q81" s="43"/>
      <c r="R81" s="42" t="s">
        <v>3563</v>
      </c>
      <c r="S81" s="42" t="s">
        <v>3564</v>
      </c>
      <c r="T81" s="42" t="s">
        <v>3565</v>
      </c>
      <c r="U81" s="42" t="s">
        <v>3974</v>
      </c>
      <c r="V81" s="42" t="s">
        <v>10126</v>
      </c>
      <c r="W81" s="42" t="s">
        <v>3571</v>
      </c>
      <c r="X81" s="42" t="s">
        <v>3569</v>
      </c>
      <c r="Y81" s="41">
        <v>177.0</v>
      </c>
      <c r="Z81" s="48" t="s">
        <v>3559</v>
      </c>
    </row>
    <row r="82">
      <c r="A82" s="35" t="s">
        <v>3976</v>
      </c>
      <c r="B82" s="35" t="s">
        <v>3969</v>
      </c>
      <c r="C82" s="35" t="s">
        <v>3972</v>
      </c>
      <c r="D82" s="35" t="s">
        <v>10137</v>
      </c>
      <c r="E82" s="35" t="s">
        <v>10008</v>
      </c>
      <c r="F82" s="35" t="s">
        <v>10138</v>
      </c>
      <c r="G82" s="34"/>
      <c r="H82" s="35" t="s">
        <v>10137</v>
      </c>
      <c r="I82" s="34"/>
      <c r="J82" s="37"/>
      <c r="K82" s="35" t="s">
        <v>10139</v>
      </c>
      <c r="L82" s="37" t="str">
        <f>+52 (01)55 6275 8700</f>
        <v>#ERROR!</v>
      </c>
      <c r="M82" s="37"/>
      <c r="N82" s="35" t="s">
        <v>10125</v>
      </c>
      <c r="O82" s="35" t="s">
        <v>3981</v>
      </c>
      <c r="P82" s="35" t="s">
        <v>3982</v>
      </c>
      <c r="Q82" s="34"/>
      <c r="R82" s="35" t="s">
        <v>3563</v>
      </c>
      <c r="S82" s="35" t="s">
        <v>3564</v>
      </c>
      <c r="T82" s="35" t="s">
        <v>3565</v>
      </c>
      <c r="U82" s="35" t="s">
        <v>3974</v>
      </c>
      <c r="V82" s="35" t="s">
        <v>10126</v>
      </c>
      <c r="W82" s="35" t="s">
        <v>3571</v>
      </c>
      <c r="X82" s="35" t="s">
        <v>3569</v>
      </c>
      <c r="Y82" s="32">
        <v>177.0</v>
      </c>
      <c r="Z82" s="40" t="s">
        <v>3559</v>
      </c>
    </row>
    <row r="83">
      <c r="A83" s="42" t="s">
        <v>3976</v>
      </c>
      <c r="B83" s="42" t="s">
        <v>3969</v>
      </c>
      <c r="C83" s="42" t="s">
        <v>3972</v>
      </c>
      <c r="D83" s="42" t="s">
        <v>10140</v>
      </c>
      <c r="E83" s="42" t="s">
        <v>10015</v>
      </c>
      <c r="F83" s="42" t="s">
        <v>10141</v>
      </c>
      <c r="G83" s="43"/>
      <c r="H83" s="42" t="s">
        <v>10140</v>
      </c>
      <c r="I83" s="43"/>
      <c r="J83" s="41">
        <v>9490.0</v>
      </c>
      <c r="K83" s="42" t="s">
        <v>10128</v>
      </c>
      <c r="L83" s="45" t="str">
        <f>+45 9673 7673</f>
        <v>#ERROR!</v>
      </c>
      <c r="M83" s="45"/>
      <c r="N83" s="42" t="s">
        <v>10142</v>
      </c>
      <c r="O83" s="42" t="s">
        <v>3981</v>
      </c>
      <c r="P83" s="42" t="s">
        <v>3982</v>
      </c>
      <c r="Q83" s="43"/>
      <c r="R83" s="42" t="s">
        <v>3563</v>
      </c>
      <c r="S83" s="42" t="s">
        <v>3564</v>
      </c>
      <c r="T83" s="42" t="s">
        <v>3565</v>
      </c>
      <c r="U83" s="42" t="s">
        <v>3974</v>
      </c>
      <c r="V83" s="42" t="s">
        <v>10126</v>
      </c>
      <c r="W83" s="42" t="s">
        <v>3571</v>
      </c>
      <c r="X83" s="42" t="s">
        <v>3569</v>
      </c>
      <c r="Y83" s="41">
        <v>177.0</v>
      </c>
      <c r="Z83" s="48" t="s">
        <v>3559</v>
      </c>
    </row>
    <row r="84">
      <c r="A84" s="35" t="s">
        <v>3976</v>
      </c>
      <c r="B84" s="35" t="s">
        <v>3969</v>
      </c>
      <c r="C84" s="35" t="s">
        <v>3972</v>
      </c>
      <c r="D84" s="35" t="s">
        <v>10143</v>
      </c>
      <c r="E84" s="35" t="s">
        <v>10008</v>
      </c>
      <c r="F84" s="35" t="s">
        <v>10144</v>
      </c>
      <c r="G84" s="34"/>
      <c r="H84" s="35" t="s">
        <v>1928</v>
      </c>
      <c r="I84" s="34"/>
      <c r="J84" s="37"/>
      <c r="K84" s="35" t="s">
        <v>41</v>
      </c>
      <c r="L84" s="37" t="str">
        <f>+972 (0)3 900 9500</f>
        <v>#ERROR!</v>
      </c>
      <c r="M84" s="37"/>
      <c r="N84" s="35" t="s">
        <v>774</v>
      </c>
      <c r="O84" s="35" t="s">
        <v>3981</v>
      </c>
      <c r="P84" s="35" t="s">
        <v>3982</v>
      </c>
      <c r="Q84" s="34"/>
      <c r="R84" s="35" t="s">
        <v>3563</v>
      </c>
      <c r="S84" s="35" t="s">
        <v>3564</v>
      </c>
      <c r="T84" s="35" t="s">
        <v>3565</v>
      </c>
      <c r="U84" s="35" t="s">
        <v>3974</v>
      </c>
      <c r="V84" s="35" t="s">
        <v>10126</v>
      </c>
      <c r="W84" s="35" t="s">
        <v>3571</v>
      </c>
      <c r="X84" s="35" t="s">
        <v>3569</v>
      </c>
      <c r="Y84" s="32">
        <v>177.0</v>
      </c>
      <c r="Z84" s="40" t="s">
        <v>3559</v>
      </c>
    </row>
    <row r="85">
      <c r="A85" s="42" t="s">
        <v>3976</v>
      </c>
      <c r="B85" s="42" t="s">
        <v>3969</v>
      </c>
      <c r="C85" s="42" t="s">
        <v>3972</v>
      </c>
      <c r="D85" s="42" t="s">
        <v>10110</v>
      </c>
      <c r="E85" s="42" t="s">
        <v>10008</v>
      </c>
      <c r="F85" s="43"/>
      <c r="G85" s="43"/>
      <c r="H85" s="42" t="s">
        <v>10110</v>
      </c>
      <c r="I85" s="43"/>
      <c r="J85" s="45"/>
      <c r="K85" s="42" t="s">
        <v>10111</v>
      </c>
      <c r="L85" s="45"/>
      <c r="M85" s="45"/>
      <c r="N85" s="42" t="s">
        <v>774</v>
      </c>
      <c r="O85" s="42" t="s">
        <v>3981</v>
      </c>
      <c r="P85" s="42" t="s">
        <v>3982</v>
      </c>
      <c r="Q85" s="43"/>
      <c r="R85" s="42" t="s">
        <v>3563</v>
      </c>
      <c r="S85" s="42" t="s">
        <v>3564</v>
      </c>
      <c r="T85" s="42" t="s">
        <v>3565</v>
      </c>
      <c r="U85" s="42" t="s">
        <v>3974</v>
      </c>
      <c r="V85" s="42" t="s">
        <v>10126</v>
      </c>
      <c r="W85" s="42" t="s">
        <v>3571</v>
      </c>
      <c r="X85" s="42" t="s">
        <v>3569</v>
      </c>
      <c r="Y85" s="41">
        <v>177.0</v>
      </c>
      <c r="Z85" s="48" t="s">
        <v>3559</v>
      </c>
    </row>
    <row r="86">
      <c r="A86" s="35" t="s">
        <v>3976</v>
      </c>
      <c r="B86" s="35" t="s">
        <v>3969</v>
      </c>
      <c r="C86" s="35" t="s">
        <v>3972</v>
      </c>
      <c r="D86" s="35" t="s">
        <v>10145</v>
      </c>
      <c r="E86" s="35" t="s">
        <v>10008</v>
      </c>
      <c r="F86" s="34"/>
      <c r="G86" s="34"/>
      <c r="H86" s="35" t="s">
        <v>10145</v>
      </c>
      <c r="I86" s="34"/>
      <c r="J86" s="37"/>
      <c r="K86" s="35" t="s">
        <v>10146</v>
      </c>
      <c r="L86" s="37"/>
      <c r="M86" s="37"/>
      <c r="N86" s="35" t="s">
        <v>774</v>
      </c>
      <c r="O86" s="35" t="s">
        <v>3981</v>
      </c>
      <c r="P86" s="35" t="s">
        <v>3982</v>
      </c>
      <c r="Q86" s="34"/>
      <c r="R86" s="35" t="s">
        <v>3563</v>
      </c>
      <c r="S86" s="35" t="s">
        <v>3564</v>
      </c>
      <c r="T86" s="35" t="s">
        <v>3565</v>
      </c>
      <c r="U86" s="35" t="s">
        <v>3974</v>
      </c>
      <c r="V86" s="35" t="s">
        <v>10126</v>
      </c>
      <c r="W86" s="35" t="s">
        <v>3571</v>
      </c>
      <c r="X86" s="35" t="s">
        <v>3569</v>
      </c>
      <c r="Y86" s="32">
        <v>177.0</v>
      </c>
      <c r="Z86" s="40" t="s">
        <v>3559</v>
      </c>
    </row>
    <row r="87">
      <c r="A87" s="42" t="s">
        <v>4002</v>
      </c>
      <c r="B87" s="42" t="s">
        <v>3995</v>
      </c>
      <c r="C87" s="42" t="s">
        <v>3998</v>
      </c>
      <c r="D87" s="42" t="s">
        <v>10147</v>
      </c>
      <c r="E87" s="42" t="s">
        <v>10008</v>
      </c>
      <c r="F87" s="42" t="s">
        <v>10148</v>
      </c>
      <c r="G87" s="43"/>
      <c r="H87" s="42" t="s">
        <v>10147</v>
      </c>
      <c r="I87" s="42" t="s">
        <v>816</v>
      </c>
      <c r="J87" s="41">
        <v>48152.0</v>
      </c>
      <c r="K87" s="42" t="s">
        <v>60</v>
      </c>
      <c r="L87" s="45" t="str">
        <f>+1 (248) 249-0540</f>
        <v>#ERROR!</v>
      </c>
      <c r="M87" s="45"/>
      <c r="N87" s="42" t="s">
        <v>3142</v>
      </c>
      <c r="O87" s="42" t="s">
        <v>4007</v>
      </c>
      <c r="P87" s="42" t="s">
        <v>4008</v>
      </c>
      <c r="Q87" s="43"/>
      <c r="R87" s="42" t="s">
        <v>3563</v>
      </c>
      <c r="S87" s="42" t="s">
        <v>3609</v>
      </c>
      <c r="T87" s="42" t="s">
        <v>3610</v>
      </c>
      <c r="U87" s="42" t="s">
        <v>4000</v>
      </c>
      <c r="V87" s="42" t="s">
        <v>10149</v>
      </c>
      <c r="W87" s="42" t="s">
        <v>3571</v>
      </c>
      <c r="X87" s="42" t="s">
        <v>3569</v>
      </c>
      <c r="Y87" s="41">
        <v>67.0</v>
      </c>
      <c r="Z87" s="48" t="s">
        <v>3559</v>
      </c>
    </row>
    <row r="88">
      <c r="A88" s="35" t="s">
        <v>4002</v>
      </c>
      <c r="B88" s="35" t="s">
        <v>3995</v>
      </c>
      <c r="C88" s="35" t="s">
        <v>3998</v>
      </c>
      <c r="D88" s="35" t="s">
        <v>4011</v>
      </c>
      <c r="E88" s="35" t="s">
        <v>10011</v>
      </c>
      <c r="F88" s="35" t="s">
        <v>4010</v>
      </c>
      <c r="G88" s="34"/>
      <c r="H88" s="35" t="s">
        <v>4011</v>
      </c>
      <c r="I88" s="34"/>
      <c r="J88" s="32">
        <v>2069206.0</v>
      </c>
      <c r="K88" s="35" t="s">
        <v>41</v>
      </c>
      <c r="L88" s="37" t="str">
        <f>+972 (0)77 251 8840</f>
        <v>#ERROR!</v>
      </c>
      <c r="M88" s="37" t="str">
        <f>+972 (0)77 251 8841</f>
        <v>#ERROR!</v>
      </c>
      <c r="N88" s="35" t="s">
        <v>3142</v>
      </c>
      <c r="O88" s="35" t="s">
        <v>4007</v>
      </c>
      <c r="P88" s="35" t="s">
        <v>4008</v>
      </c>
      <c r="Q88" s="34"/>
      <c r="R88" s="35" t="s">
        <v>3563</v>
      </c>
      <c r="S88" s="35" t="s">
        <v>3609</v>
      </c>
      <c r="T88" s="35" t="s">
        <v>3610</v>
      </c>
      <c r="U88" s="35" t="s">
        <v>4000</v>
      </c>
      <c r="V88" s="35" t="s">
        <v>10149</v>
      </c>
      <c r="W88" s="35" t="s">
        <v>3571</v>
      </c>
      <c r="X88" s="35" t="s">
        <v>3569</v>
      </c>
      <c r="Y88" s="32">
        <v>67.0</v>
      </c>
      <c r="Z88" s="40" t="s">
        <v>3559</v>
      </c>
    </row>
    <row r="89">
      <c r="A89" s="42" t="s">
        <v>4027</v>
      </c>
      <c r="B89" s="42" t="s">
        <v>1413</v>
      </c>
      <c r="C89" s="42" t="s">
        <v>4023</v>
      </c>
      <c r="D89" s="42" t="s">
        <v>10117</v>
      </c>
      <c r="E89" s="42" t="s">
        <v>10011</v>
      </c>
      <c r="F89" s="42" t="s">
        <v>4034</v>
      </c>
      <c r="G89" s="43"/>
      <c r="H89" s="42" t="s">
        <v>137</v>
      </c>
      <c r="I89" s="43"/>
      <c r="J89" s="41">
        <v>4442211.0</v>
      </c>
      <c r="K89" s="42" t="s">
        <v>41</v>
      </c>
      <c r="L89" s="45"/>
      <c r="M89" s="45"/>
      <c r="N89" s="42" t="s">
        <v>1419</v>
      </c>
      <c r="O89" s="42" t="s">
        <v>4032</v>
      </c>
      <c r="P89" s="42" t="s">
        <v>4033</v>
      </c>
      <c r="Q89" s="43"/>
      <c r="R89" s="42" t="s">
        <v>3867</v>
      </c>
      <c r="S89" s="42" t="s">
        <v>3868</v>
      </c>
      <c r="T89" s="42" t="s">
        <v>3869</v>
      </c>
      <c r="U89" s="42" t="s">
        <v>4025</v>
      </c>
      <c r="V89" s="42" t="s">
        <v>4024</v>
      </c>
      <c r="W89" s="42" t="s">
        <v>3571</v>
      </c>
      <c r="X89" s="42" t="s">
        <v>3569</v>
      </c>
      <c r="Y89" s="41">
        <v>31.0</v>
      </c>
      <c r="Z89" s="48" t="s">
        <v>3559</v>
      </c>
    </row>
    <row r="90">
      <c r="A90" s="35" t="s">
        <v>4027</v>
      </c>
      <c r="B90" s="35" t="s">
        <v>1413</v>
      </c>
      <c r="C90" s="35" t="s">
        <v>4023</v>
      </c>
      <c r="D90" s="35" t="s">
        <v>828</v>
      </c>
      <c r="E90" s="35" t="s">
        <v>10008</v>
      </c>
      <c r="F90" s="35" t="s">
        <v>10150</v>
      </c>
      <c r="G90" s="34"/>
      <c r="H90" s="35" t="s">
        <v>828</v>
      </c>
      <c r="I90" s="34"/>
      <c r="J90" s="32">
        <v>4366504.0</v>
      </c>
      <c r="K90" s="35" t="s">
        <v>41</v>
      </c>
      <c r="L90" s="37"/>
      <c r="M90" s="37"/>
      <c r="N90" s="35" t="s">
        <v>1419</v>
      </c>
      <c r="O90" s="35" t="s">
        <v>4032</v>
      </c>
      <c r="P90" s="35" t="s">
        <v>4033</v>
      </c>
      <c r="Q90" s="34"/>
      <c r="R90" s="35" t="s">
        <v>3867</v>
      </c>
      <c r="S90" s="35" t="s">
        <v>3868</v>
      </c>
      <c r="T90" s="35" t="s">
        <v>3869</v>
      </c>
      <c r="U90" s="35" t="s">
        <v>4025</v>
      </c>
      <c r="V90" s="35" t="s">
        <v>4024</v>
      </c>
      <c r="W90" s="35" t="s">
        <v>3571</v>
      </c>
      <c r="X90" s="35" t="s">
        <v>3569</v>
      </c>
      <c r="Y90" s="32">
        <v>31.0</v>
      </c>
      <c r="Z90" s="40" t="s">
        <v>3559</v>
      </c>
    </row>
    <row r="91">
      <c r="A91" s="42" t="s">
        <v>4054</v>
      </c>
      <c r="B91" s="42" t="s">
        <v>4046</v>
      </c>
      <c r="C91" s="42" t="s">
        <v>4049</v>
      </c>
      <c r="D91" s="42" t="s">
        <v>10151</v>
      </c>
      <c r="E91" s="42" t="s">
        <v>10008</v>
      </c>
      <c r="F91" s="42" t="s">
        <v>10152</v>
      </c>
      <c r="G91" s="43"/>
      <c r="H91" s="42" t="s">
        <v>10151</v>
      </c>
      <c r="I91" s="42" t="s">
        <v>1431</v>
      </c>
      <c r="J91" s="41">
        <v>93722.0</v>
      </c>
      <c r="K91" s="42" t="s">
        <v>60</v>
      </c>
      <c r="L91" s="45"/>
      <c r="M91" s="45"/>
      <c r="N91" s="42" t="s">
        <v>4062</v>
      </c>
      <c r="O91" s="42" t="s">
        <v>4059</v>
      </c>
      <c r="P91" s="42" t="s">
        <v>3579</v>
      </c>
      <c r="Q91" s="43"/>
      <c r="R91" s="42" t="s">
        <v>3563</v>
      </c>
      <c r="S91" s="42" t="s">
        <v>3609</v>
      </c>
      <c r="T91" s="42" t="s">
        <v>4050</v>
      </c>
      <c r="U91" s="42" t="s">
        <v>4052</v>
      </c>
      <c r="V91" s="42" t="s">
        <v>4051</v>
      </c>
      <c r="W91" s="42" t="s">
        <v>3571</v>
      </c>
      <c r="X91" s="42" t="s">
        <v>3569</v>
      </c>
      <c r="Y91" s="41">
        <v>183.0</v>
      </c>
      <c r="Z91" s="48" t="s">
        <v>3559</v>
      </c>
    </row>
    <row r="92">
      <c r="A92" s="35" t="s">
        <v>4054</v>
      </c>
      <c r="B92" s="35" t="s">
        <v>4046</v>
      </c>
      <c r="C92" s="35" t="s">
        <v>4049</v>
      </c>
      <c r="D92" s="35" t="s">
        <v>10153</v>
      </c>
      <c r="E92" s="35" t="s">
        <v>10008</v>
      </c>
      <c r="F92" s="35" t="s">
        <v>10154</v>
      </c>
      <c r="G92" s="34"/>
      <c r="H92" s="35" t="s">
        <v>10153</v>
      </c>
      <c r="I92" s="35" t="s">
        <v>507</v>
      </c>
      <c r="J92" s="32">
        <v>13202.0</v>
      </c>
      <c r="K92" s="35" t="s">
        <v>60</v>
      </c>
      <c r="L92" s="37" t="str">
        <f>+1 (050) 730-0192</f>
        <v>#ERROR!</v>
      </c>
      <c r="M92" s="37"/>
      <c r="N92" s="35" t="s">
        <v>4062</v>
      </c>
      <c r="O92" s="35" t="s">
        <v>4059</v>
      </c>
      <c r="P92" s="35" t="s">
        <v>3579</v>
      </c>
      <c r="Q92" s="34"/>
      <c r="R92" s="35" t="s">
        <v>3563</v>
      </c>
      <c r="S92" s="35" t="s">
        <v>3609</v>
      </c>
      <c r="T92" s="35" t="s">
        <v>4050</v>
      </c>
      <c r="U92" s="35" t="s">
        <v>4052</v>
      </c>
      <c r="V92" s="35" t="s">
        <v>4051</v>
      </c>
      <c r="W92" s="35" t="s">
        <v>3571</v>
      </c>
      <c r="X92" s="35" t="s">
        <v>3569</v>
      </c>
      <c r="Y92" s="32">
        <v>183.0</v>
      </c>
      <c r="Z92" s="40" t="s">
        <v>3559</v>
      </c>
    </row>
    <row r="93">
      <c r="A93" s="42" t="s">
        <v>4054</v>
      </c>
      <c r="B93" s="42" t="s">
        <v>4046</v>
      </c>
      <c r="C93" s="42" t="s">
        <v>4049</v>
      </c>
      <c r="D93" s="42" t="s">
        <v>75</v>
      </c>
      <c r="E93" s="42" t="s">
        <v>10011</v>
      </c>
      <c r="F93" s="42" t="s">
        <v>4061</v>
      </c>
      <c r="G93" s="43"/>
      <c r="H93" s="42" t="s">
        <v>75</v>
      </c>
      <c r="I93" s="43"/>
      <c r="J93" s="41">
        <v>6701310.0</v>
      </c>
      <c r="K93" s="42" t="s">
        <v>41</v>
      </c>
      <c r="L93" s="45" t="str">
        <f>+972 (0)0 503 5614</f>
        <v>#ERROR!</v>
      </c>
      <c r="M93" s="45"/>
      <c r="N93" s="42" t="s">
        <v>4062</v>
      </c>
      <c r="O93" s="42" t="s">
        <v>4059</v>
      </c>
      <c r="P93" s="42" t="s">
        <v>3579</v>
      </c>
      <c r="Q93" s="43"/>
      <c r="R93" s="42" t="s">
        <v>3563</v>
      </c>
      <c r="S93" s="42" t="s">
        <v>3609</v>
      </c>
      <c r="T93" s="42" t="s">
        <v>4050</v>
      </c>
      <c r="U93" s="42" t="s">
        <v>4052</v>
      </c>
      <c r="V93" s="42" t="s">
        <v>4051</v>
      </c>
      <c r="W93" s="42" t="s">
        <v>3571</v>
      </c>
      <c r="X93" s="42" t="s">
        <v>3569</v>
      </c>
      <c r="Y93" s="41">
        <v>183.0</v>
      </c>
      <c r="Z93" s="48" t="s">
        <v>3559</v>
      </c>
    </row>
    <row r="94">
      <c r="A94" s="35" t="s">
        <v>4086</v>
      </c>
      <c r="B94" s="35" t="s">
        <v>4079</v>
      </c>
      <c r="C94" s="35" t="s">
        <v>4082</v>
      </c>
      <c r="D94" s="35" t="s">
        <v>323</v>
      </c>
      <c r="E94" s="35" t="s">
        <v>10011</v>
      </c>
      <c r="F94" s="35" t="s">
        <v>4096</v>
      </c>
      <c r="G94" s="35" t="s">
        <v>4097</v>
      </c>
      <c r="H94" s="35" t="s">
        <v>323</v>
      </c>
      <c r="I94" s="34"/>
      <c r="J94" s="32">
        <v>5885825.0</v>
      </c>
      <c r="K94" s="35" t="s">
        <v>41</v>
      </c>
      <c r="L94" s="37" t="str">
        <f>+972 (0)52 281 3733</f>
        <v>#ERROR!</v>
      </c>
      <c r="M94" s="37"/>
      <c r="N94" s="35" t="s">
        <v>324</v>
      </c>
      <c r="O94" s="35" t="s">
        <v>4092</v>
      </c>
      <c r="P94" s="35" t="s">
        <v>4093</v>
      </c>
      <c r="Q94" s="34"/>
      <c r="R94" s="35" t="s">
        <v>3563</v>
      </c>
      <c r="S94" s="35" t="s">
        <v>3609</v>
      </c>
      <c r="T94" s="35" t="s">
        <v>3610</v>
      </c>
      <c r="U94" s="35" t="s">
        <v>4084</v>
      </c>
      <c r="V94" s="35" t="s">
        <v>10155</v>
      </c>
      <c r="W94" s="35" t="s">
        <v>3571</v>
      </c>
      <c r="X94" s="35" t="s">
        <v>3569</v>
      </c>
      <c r="Y94" s="32">
        <v>97.0</v>
      </c>
      <c r="Z94" s="40" t="s">
        <v>3559</v>
      </c>
    </row>
    <row r="95">
      <c r="A95" s="42" t="s">
        <v>4086</v>
      </c>
      <c r="B95" s="42" t="s">
        <v>4079</v>
      </c>
      <c r="C95" s="42" t="s">
        <v>4082</v>
      </c>
      <c r="D95" s="42" t="s">
        <v>10156</v>
      </c>
      <c r="E95" s="42" t="s">
        <v>10015</v>
      </c>
      <c r="F95" s="42" t="s">
        <v>10157</v>
      </c>
      <c r="G95" s="43"/>
      <c r="H95" s="42" t="s">
        <v>10156</v>
      </c>
      <c r="I95" s="42" t="s">
        <v>1431</v>
      </c>
      <c r="J95" s="41">
        <v>95112.0</v>
      </c>
      <c r="K95" s="42" t="s">
        <v>60</v>
      </c>
      <c r="L95" s="45"/>
      <c r="M95" s="45"/>
      <c r="N95" s="42" t="s">
        <v>324</v>
      </c>
      <c r="O95" s="42" t="s">
        <v>4092</v>
      </c>
      <c r="P95" s="42" t="s">
        <v>4093</v>
      </c>
      <c r="Q95" s="43"/>
      <c r="R95" s="42" t="s">
        <v>3563</v>
      </c>
      <c r="S95" s="42" t="s">
        <v>3609</v>
      </c>
      <c r="T95" s="42" t="s">
        <v>3610</v>
      </c>
      <c r="U95" s="42" t="s">
        <v>4084</v>
      </c>
      <c r="V95" s="42" t="s">
        <v>10155</v>
      </c>
      <c r="W95" s="42" t="s">
        <v>3571</v>
      </c>
      <c r="X95" s="42" t="s">
        <v>3569</v>
      </c>
      <c r="Y95" s="41">
        <v>97.0</v>
      </c>
      <c r="Z95" s="48" t="s">
        <v>3559</v>
      </c>
    </row>
    <row r="96">
      <c r="A96" s="35" t="s">
        <v>4115</v>
      </c>
      <c r="B96" s="35" t="s">
        <v>372</v>
      </c>
      <c r="C96" s="35" t="s">
        <v>4110</v>
      </c>
      <c r="D96" s="35" t="s">
        <v>75</v>
      </c>
      <c r="E96" s="35" t="s">
        <v>10011</v>
      </c>
      <c r="F96" s="35" t="s">
        <v>4121</v>
      </c>
      <c r="G96" s="34"/>
      <c r="H96" s="35" t="s">
        <v>75</v>
      </c>
      <c r="I96" s="34"/>
      <c r="J96" s="37"/>
      <c r="K96" s="35" t="s">
        <v>41</v>
      </c>
      <c r="L96" s="37"/>
      <c r="M96" s="37"/>
      <c r="N96" s="35" t="s">
        <v>377</v>
      </c>
      <c r="O96" s="35" t="s">
        <v>374</v>
      </c>
      <c r="P96" s="35" t="s">
        <v>3579</v>
      </c>
      <c r="Q96" s="34"/>
      <c r="R96" s="35" t="s">
        <v>3563</v>
      </c>
      <c r="S96" s="35" t="s">
        <v>351</v>
      </c>
      <c r="T96" s="35" t="s">
        <v>4111</v>
      </c>
      <c r="U96" s="35" t="s">
        <v>4113</v>
      </c>
      <c r="V96" s="35" t="s">
        <v>10158</v>
      </c>
      <c r="W96" s="35" t="s">
        <v>3571</v>
      </c>
      <c r="X96" s="35" t="s">
        <v>3569</v>
      </c>
      <c r="Y96" s="32">
        <v>98.0</v>
      </c>
      <c r="Z96" s="40" t="s">
        <v>3559</v>
      </c>
    </row>
    <row r="97">
      <c r="A97" s="42" t="s">
        <v>4138</v>
      </c>
      <c r="B97" s="42" t="s">
        <v>4131</v>
      </c>
      <c r="C97" s="42" t="s">
        <v>4134</v>
      </c>
      <c r="D97" s="42" t="s">
        <v>10159</v>
      </c>
      <c r="E97" s="42" t="s">
        <v>10008</v>
      </c>
      <c r="F97" s="42" t="s">
        <v>10160</v>
      </c>
      <c r="G97" s="42" t="s">
        <v>10161</v>
      </c>
      <c r="H97" s="42" t="s">
        <v>10159</v>
      </c>
      <c r="I97" s="42" t="s">
        <v>816</v>
      </c>
      <c r="J97" s="41">
        <v>48304.0</v>
      </c>
      <c r="K97" s="42" t="s">
        <v>60</v>
      </c>
      <c r="L97" s="45" t="str">
        <f>+1 (248) 574-5171</f>
        <v>#ERROR!</v>
      </c>
      <c r="M97" s="45"/>
      <c r="N97" s="42" t="s">
        <v>2140</v>
      </c>
      <c r="O97" s="42" t="s">
        <v>4143</v>
      </c>
      <c r="P97" s="42" t="s">
        <v>4144</v>
      </c>
      <c r="Q97" s="43"/>
      <c r="R97" s="42" t="s">
        <v>3563</v>
      </c>
      <c r="S97" s="42" t="s">
        <v>3564</v>
      </c>
      <c r="T97" s="42" t="s">
        <v>3642</v>
      </c>
      <c r="U97" s="42" t="s">
        <v>4136</v>
      </c>
      <c r="V97" s="42" t="s">
        <v>10162</v>
      </c>
      <c r="W97" s="42" t="s">
        <v>3571</v>
      </c>
      <c r="X97" s="42" t="s">
        <v>3569</v>
      </c>
      <c r="Y97" s="41">
        <v>27.0</v>
      </c>
      <c r="Z97" s="48" t="s">
        <v>3559</v>
      </c>
    </row>
    <row r="98">
      <c r="A98" s="35" t="s">
        <v>4138</v>
      </c>
      <c r="B98" s="35" t="s">
        <v>4131</v>
      </c>
      <c r="C98" s="35" t="s">
        <v>4134</v>
      </c>
      <c r="D98" s="35" t="s">
        <v>1247</v>
      </c>
      <c r="E98" s="35" t="s">
        <v>10011</v>
      </c>
      <c r="F98" s="35" t="s">
        <v>4147</v>
      </c>
      <c r="G98" s="34"/>
      <c r="H98" s="35" t="s">
        <v>1247</v>
      </c>
      <c r="I98" s="34"/>
      <c r="J98" s="32">
        <v>4527713.0</v>
      </c>
      <c r="K98" s="35" t="s">
        <v>41</v>
      </c>
      <c r="L98" s="37" t="str">
        <f>+972 (0)9 886 6113</f>
        <v>#ERROR!</v>
      </c>
      <c r="M98" s="37"/>
      <c r="N98" s="35" t="s">
        <v>2140</v>
      </c>
      <c r="O98" s="35" t="s">
        <v>4143</v>
      </c>
      <c r="P98" s="35" t="s">
        <v>4144</v>
      </c>
      <c r="Q98" s="34"/>
      <c r="R98" s="35" t="s">
        <v>3563</v>
      </c>
      <c r="S98" s="35" t="s">
        <v>3564</v>
      </c>
      <c r="T98" s="35" t="s">
        <v>3642</v>
      </c>
      <c r="U98" s="35" t="s">
        <v>4136</v>
      </c>
      <c r="V98" s="35" t="s">
        <v>10162</v>
      </c>
      <c r="W98" s="35" t="s">
        <v>3571</v>
      </c>
      <c r="X98" s="35" t="s">
        <v>3569</v>
      </c>
      <c r="Y98" s="32">
        <v>27.0</v>
      </c>
      <c r="Z98" s="40" t="s">
        <v>3559</v>
      </c>
    </row>
    <row r="99">
      <c r="A99" s="42" t="s">
        <v>4138</v>
      </c>
      <c r="B99" s="42" t="s">
        <v>4131</v>
      </c>
      <c r="C99" s="42" t="s">
        <v>4134</v>
      </c>
      <c r="D99" s="42" t="s">
        <v>10018</v>
      </c>
      <c r="E99" s="42" t="s">
        <v>10008</v>
      </c>
      <c r="F99" s="42" t="s">
        <v>10163</v>
      </c>
      <c r="G99" s="42" t="s">
        <v>10164</v>
      </c>
      <c r="H99" s="42" t="s">
        <v>10018</v>
      </c>
      <c r="I99" s="43"/>
      <c r="J99" s="41">
        <v>81827.0</v>
      </c>
      <c r="K99" s="42" t="s">
        <v>465</v>
      </c>
      <c r="L99" s="45" t="str">
        <f>+49 (0)89 2154 7758 3</f>
        <v>#ERROR!</v>
      </c>
      <c r="M99" s="45"/>
      <c r="N99" s="42" t="s">
        <v>2140</v>
      </c>
      <c r="O99" s="42" t="s">
        <v>4143</v>
      </c>
      <c r="P99" s="42" t="s">
        <v>4144</v>
      </c>
      <c r="Q99" s="43"/>
      <c r="R99" s="42" t="s">
        <v>3563</v>
      </c>
      <c r="S99" s="42" t="s">
        <v>3564</v>
      </c>
      <c r="T99" s="42" t="s">
        <v>3642</v>
      </c>
      <c r="U99" s="42" t="s">
        <v>4136</v>
      </c>
      <c r="V99" s="42" t="s">
        <v>10162</v>
      </c>
      <c r="W99" s="42" t="s">
        <v>3571</v>
      </c>
      <c r="X99" s="42" t="s">
        <v>3569</v>
      </c>
      <c r="Y99" s="41">
        <v>27.0</v>
      </c>
      <c r="Z99" s="48" t="s">
        <v>3559</v>
      </c>
    </row>
    <row r="100">
      <c r="A100" s="35" t="s">
        <v>4168</v>
      </c>
      <c r="B100" s="35" t="s">
        <v>4161</v>
      </c>
      <c r="C100" s="35" t="s">
        <v>4164</v>
      </c>
      <c r="D100" s="35" t="s">
        <v>880</v>
      </c>
      <c r="E100" s="35" t="s">
        <v>10008</v>
      </c>
      <c r="F100" s="34"/>
      <c r="G100" s="34"/>
      <c r="H100" s="35" t="s">
        <v>880</v>
      </c>
      <c r="I100" s="35" t="s">
        <v>881</v>
      </c>
      <c r="J100" s="37"/>
      <c r="K100" s="35" t="s">
        <v>60</v>
      </c>
      <c r="L100" s="37"/>
      <c r="M100" s="37"/>
      <c r="N100" s="35" t="s">
        <v>4177</v>
      </c>
      <c r="O100" s="35" t="s">
        <v>4173</v>
      </c>
      <c r="P100" s="35" t="s">
        <v>4033</v>
      </c>
      <c r="Q100" s="34"/>
      <c r="R100" s="35" t="s">
        <v>3563</v>
      </c>
      <c r="S100" s="35" t="s">
        <v>3564</v>
      </c>
      <c r="T100" s="35" t="s">
        <v>3565</v>
      </c>
      <c r="U100" s="35" t="s">
        <v>4166</v>
      </c>
      <c r="V100" s="35" t="s">
        <v>10165</v>
      </c>
      <c r="W100" s="35" t="s">
        <v>3571</v>
      </c>
      <c r="X100" s="35" t="s">
        <v>3569</v>
      </c>
      <c r="Y100" s="32">
        <v>204.0</v>
      </c>
      <c r="Z100" s="40" t="s">
        <v>3559</v>
      </c>
    </row>
    <row r="101">
      <c r="A101" s="42" t="s">
        <v>4168</v>
      </c>
      <c r="B101" s="42" t="s">
        <v>4161</v>
      </c>
      <c r="C101" s="42" t="s">
        <v>4164</v>
      </c>
      <c r="D101" s="42" t="s">
        <v>10166</v>
      </c>
      <c r="E101" s="42" t="s">
        <v>10008</v>
      </c>
      <c r="F101" s="42" t="s">
        <v>10167</v>
      </c>
      <c r="G101" s="42" t="s">
        <v>10168</v>
      </c>
      <c r="H101" s="42" t="s">
        <v>10166</v>
      </c>
      <c r="I101" s="42" t="s">
        <v>10032</v>
      </c>
      <c r="J101" s="41" t="s">
        <v>10169</v>
      </c>
      <c r="K101" s="42" t="s">
        <v>211</v>
      </c>
      <c r="L101" s="45"/>
      <c r="M101" s="45"/>
      <c r="N101" s="42" t="s">
        <v>4177</v>
      </c>
      <c r="O101" s="42" t="s">
        <v>4173</v>
      </c>
      <c r="P101" s="42" t="s">
        <v>4033</v>
      </c>
      <c r="Q101" s="43"/>
      <c r="R101" s="42" t="s">
        <v>3563</v>
      </c>
      <c r="S101" s="42" t="s">
        <v>3564</v>
      </c>
      <c r="T101" s="42" t="s">
        <v>3565</v>
      </c>
      <c r="U101" s="42" t="s">
        <v>4166</v>
      </c>
      <c r="V101" s="42" t="s">
        <v>10165</v>
      </c>
      <c r="W101" s="42" t="s">
        <v>3571</v>
      </c>
      <c r="X101" s="42" t="s">
        <v>3569</v>
      </c>
      <c r="Y101" s="41">
        <v>204.0</v>
      </c>
      <c r="Z101" s="48" t="s">
        <v>3559</v>
      </c>
    </row>
    <row r="102">
      <c r="A102" s="35" t="s">
        <v>4168</v>
      </c>
      <c r="B102" s="35" t="s">
        <v>4161</v>
      </c>
      <c r="C102" s="35" t="s">
        <v>4164</v>
      </c>
      <c r="D102" s="35" t="s">
        <v>111</v>
      </c>
      <c r="E102" s="35" t="s">
        <v>10015</v>
      </c>
      <c r="F102" s="34"/>
      <c r="G102" s="35" t="s">
        <v>10170</v>
      </c>
      <c r="H102" s="35" t="s">
        <v>111</v>
      </c>
      <c r="I102" s="35" t="s">
        <v>112</v>
      </c>
      <c r="J102" s="32">
        <v>60606.0</v>
      </c>
      <c r="K102" s="35" t="s">
        <v>60</v>
      </c>
      <c r="L102" s="37"/>
      <c r="M102" s="37"/>
      <c r="N102" s="35" t="s">
        <v>4177</v>
      </c>
      <c r="O102" s="35" t="s">
        <v>4173</v>
      </c>
      <c r="P102" s="35" t="s">
        <v>4033</v>
      </c>
      <c r="Q102" s="34"/>
      <c r="R102" s="35" t="s">
        <v>3563</v>
      </c>
      <c r="S102" s="35" t="s">
        <v>3564</v>
      </c>
      <c r="T102" s="35" t="s">
        <v>3565</v>
      </c>
      <c r="U102" s="35" t="s">
        <v>4166</v>
      </c>
      <c r="V102" s="35" t="s">
        <v>10165</v>
      </c>
      <c r="W102" s="35" t="s">
        <v>3571</v>
      </c>
      <c r="X102" s="35" t="s">
        <v>3569</v>
      </c>
      <c r="Y102" s="32">
        <v>204.0</v>
      </c>
      <c r="Z102" s="40" t="s">
        <v>3559</v>
      </c>
    </row>
    <row r="103">
      <c r="A103" s="42" t="s">
        <v>4168</v>
      </c>
      <c r="B103" s="42" t="s">
        <v>4161</v>
      </c>
      <c r="C103" s="42" t="s">
        <v>4164</v>
      </c>
      <c r="D103" s="42" t="s">
        <v>10171</v>
      </c>
      <c r="E103" s="42" t="s">
        <v>10008</v>
      </c>
      <c r="F103" s="42" t="s">
        <v>10172</v>
      </c>
      <c r="G103" s="42" t="s">
        <v>10173</v>
      </c>
      <c r="H103" s="42" t="s">
        <v>10171</v>
      </c>
      <c r="I103" s="42" t="s">
        <v>112</v>
      </c>
      <c r="J103" s="41">
        <v>60201.0</v>
      </c>
      <c r="K103" s="42" t="s">
        <v>60</v>
      </c>
      <c r="L103" s="45"/>
      <c r="M103" s="45"/>
      <c r="N103" s="42" t="s">
        <v>4177</v>
      </c>
      <c r="O103" s="42" t="s">
        <v>4173</v>
      </c>
      <c r="P103" s="42" t="s">
        <v>4033</v>
      </c>
      <c r="Q103" s="43"/>
      <c r="R103" s="42" t="s">
        <v>3563</v>
      </c>
      <c r="S103" s="42" t="s">
        <v>3564</v>
      </c>
      <c r="T103" s="42" t="s">
        <v>3565</v>
      </c>
      <c r="U103" s="42" t="s">
        <v>4166</v>
      </c>
      <c r="V103" s="42" t="s">
        <v>10165</v>
      </c>
      <c r="W103" s="42" t="s">
        <v>3571</v>
      </c>
      <c r="X103" s="42" t="s">
        <v>3569</v>
      </c>
      <c r="Y103" s="41">
        <v>204.0</v>
      </c>
      <c r="Z103" s="48" t="s">
        <v>3559</v>
      </c>
    </row>
    <row r="104">
      <c r="A104" s="35" t="s">
        <v>4168</v>
      </c>
      <c r="B104" s="35" t="s">
        <v>4161</v>
      </c>
      <c r="C104" s="35" t="s">
        <v>4164</v>
      </c>
      <c r="D104" s="35" t="s">
        <v>10174</v>
      </c>
      <c r="E104" s="35" t="s">
        <v>10008</v>
      </c>
      <c r="F104" s="35" t="s">
        <v>10175</v>
      </c>
      <c r="G104" s="35" t="s">
        <v>10176</v>
      </c>
      <c r="H104" s="35" t="s">
        <v>10174</v>
      </c>
      <c r="I104" s="34"/>
      <c r="J104" s="37"/>
      <c r="K104" s="35" t="s">
        <v>10177</v>
      </c>
      <c r="L104" s="37"/>
      <c r="M104" s="37"/>
      <c r="N104" s="35" t="s">
        <v>4177</v>
      </c>
      <c r="O104" s="35" t="s">
        <v>4173</v>
      </c>
      <c r="P104" s="35" t="s">
        <v>4033</v>
      </c>
      <c r="Q104" s="34"/>
      <c r="R104" s="35" t="s">
        <v>3563</v>
      </c>
      <c r="S104" s="35" t="s">
        <v>3564</v>
      </c>
      <c r="T104" s="35" t="s">
        <v>3565</v>
      </c>
      <c r="U104" s="35" t="s">
        <v>4166</v>
      </c>
      <c r="V104" s="35" t="s">
        <v>10165</v>
      </c>
      <c r="W104" s="35" t="s">
        <v>3571</v>
      </c>
      <c r="X104" s="35" t="s">
        <v>3569</v>
      </c>
      <c r="Y104" s="32">
        <v>204.0</v>
      </c>
      <c r="Z104" s="40" t="s">
        <v>3559</v>
      </c>
    </row>
    <row r="105">
      <c r="A105" s="77" t="s">
        <v>4168</v>
      </c>
      <c r="B105" s="77" t="s">
        <v>4161</v>
      </c>
      <c r="C105" s="77" t="s">
        <v>4164</v>
      </c>
      <c r="D105" s="77" t="s">
        <v>287</v>
      </c>
      <c r="E105" s="77" t="s">
        <v>10015</v>
      </c>
      <c r="F105" s="77" t="s">
        <v>10178</v>
      </c>
      <c r="G105" s="78"/>
      <c r="H105" s="77" t="s">
        <v>287</v>
      </c>
      <c r="I105" s="77" t="s">
        <v>10032</v>
      </c>
      <c r="J105" s="80" t="s">
        <v>10179</v>
      </c>
      <c r="K105" s="77" t="s">
        <v>211</v>
      </c>
      <c r="L105" s="79"/>
      <c r="M105" s="79"/>
      <c r="N105" s="77" t="s">
        <v>4177</v>
      </c>
      <c r="O105" s="77" t="s">
        <v>4173</v>
      </c>
      <c r="P105" s="77" t="s">
        <v>4033</v>
      </c>
      <c r="Q105" s="78"/>
      <c r="R105" s="77" t="s">
        <v>3563</v>
      </c>
      <c r="S105" s="77" t="s">
        <v>3564</v>
      </c>
      <c r="T105" s="77" t="s">
        <v>3565</v>
      </c>
      <c r="U105" s="77" t="s">
        <v>4166</v>
      </c>
      <c r="V105" s="77" t="s">
        <v>10165</v>
      </c>
      <c r="W105" s="77" t="s">
        <v>3571</v>
      </c>
      <c r="X105" s="77" t="s">
        <v>3569</v>
      </c>
      <c r="Y105" s="80">
        <v>204.0</v>
      </c>
      <c r="Z105" s="81" t="s">
        <v>3559</v>
      </c>
    </row>
    <row r="106">
      <c r="A106" s="35" t="s">
        <v>4168</v>
      </c>
      <c r="B106" s="35" t="s">
        <v>4161</v>
      </c>
      <c r="C106" s="35" t="s">
        <v>4164</v>
      </c>
      <c r="D106" s="35" t="s">
        <v>506</v>
      </c>
      <c r="E106" s="35" t="s">
        <v>10008</v>
      </c>
      <c r="F106" s="35" t="s">
        <v>10180</v>
      </c>
      <c r="G106" s="34"/>
      <c r="H106" s="35" t="s">
        <v>506</v>
      </c>
      <c r="I106" s="35" t="s">
        <v>507</v>
      </c>
      <c r="J106" s="32">
        <v>10001.0</v>
      </c>
      <c r="K106" s="35" t="s">
        <v>60</v>
      </c>
      <c r="L106" s="37"/>
      <c r="M106" s="37"/>
      <c r="N106" s="35" t="s">
        <v>4177</v>
      </c>
      <c r="O106" s="35" t="s">
        <v>4173</v>
      </c>
      <c r="P106" s="35" t="s">
        <v>4033</v>
      </c>
      <c r="Q106" s="34"/>
      <c r="R106" s="35" t="s">
        <v>3563</v>
      </c>
      <c r="S106" s="35" t="s">
        <v>3564</v>
      </c>
      <c r="T106" s="35" t="s">
        <v>3565</v>
      </c>
      <c r="U106" s="35" t="s">
        <v>4166</v>
      </c>
      <c r="V106" s="35" t="s">
        <v>10165</v>
      </c>
      <c r="W106" s="35" t="s">
        <v>3571</v>
      </c>
      <c r="X106" s="35" t="s">
        <v>3569</v>
      </c>
      <c r="Y106" s="32">
        <v>204.0</v>
      </c>
      <c r="Z106" s="40" t="s">
        <v>3559</v>
      </c>
    </row>
    <row r="107">
      <c r="A107" s="42" t="s">
        <v>4168</v>
      </c>
      <c r="B107" s="42" t="s">
        <v>4161</v>
      </c>
      <c r="C107" s="42" t="s">
        <v>4164</v>
      </c>
      <c r="D107" s="42" t="s">
        <v>10181</v>
      </c>
      <c r="E107" s="42" t="s">
        <v>10008</v>
      </c>
      <c r="F107" s="42" t="s">
        <v>10182</v>
      </c>
      <c r="G107" s="43"/>
      <c r="H107" s="43"/>
      <c r="I107" s="43"/>
      <c r="J107" s="45"/>
      <c r="K107" s="42" t="s">
        <v>10181</v>
      </c>
      <c r="L107" s="45"/>
      <c r="M107" s="45"/>
      <c r="N107" s="42" t="s">
        <v>4177</v>
      </c>
      <c r="O107" s="42" t="s">
        <v>4173</v>
      </c>
      <c r="P107" s="42" t="s">
        <v>4033</v>
      </c>
      <c r="Q107" s="43"/>
      <c r="R107" s="42" t="s">
        <v>3563</v>
      </c>
      <c r="S107" s="42" t="s">
        <v>3564</v>
      </c>
      <c r="T107" s="42" t="s">
        <v>3565</v>
      </c>
      <c r="U107" s="42" t="s">
        <v>4166</v>
      </c>
      <c r="V107" s="42" t="s">
        <v>10165</v>
      </c>
      <c r="W107" s="42" t="s">
        <v>3571</v>
      </c>
      <c r="X107" s="42" t="s">
        <v>3569</v>
      </c>
      <c r="Y107" s="41">
        <v>204.0</v>
      </c>
      <c r="Z107" s="48" t="s">
        <v>3559</v>
      </c>
    </row>
    <row r="108">
      <c r="A108" s="35" t="s">
        <v>4168</v>
      </c>
      <c r="B108" s="35" t="s">
        <v>4161</v>
      </c>
      <c r="C108" s="35" t="s">
        <v>4164</v>
      </c>
      <c r="D108" s="35" t="s">
        <v>10110</v>
      </c>
      <c r="E108" s="35" t="s">
        <v>10008</v>
      </c>
      <c r="F108" s="34"/>
      <c r="G108" s="34"/>
      <c r="H108" s="35" t="s">
        <v>10110</v>
      </c>
      <c r="I108" s="34"/>
      <c r="J108" s="37"/>
      <c r="K108" s="35" t="s">
        <v>10111</v>
      </c>
      <c r="L108" s="37"/>
      <c r="M108" s="37"/>
      <c r="N108" s="35" t="s">
        <v>4177</v>
      </c>
      <c r="O108" s="35" t="s">
        <v>4173</v>
      </c>
      <c r="P108" s="35" t="s">
        <v>4033</v>
      </c>
      <c r="Q108" s="34"/>
      <c r="R108" s="35" t="s">
        <v>3563</v>
      </c>
      <c r="S108" s="35" t="s">
        <v>3564</v>
      </c>
      <c r="T108" s="35" t="s">
        <v>3565</v>
      </c>
      <c r="U108" s="35" t="s">
        <v>4166</v>
      </c>
      <c r="V108" s="35" t="s">
        <v>10165</v>
      </c>
      <c r="W108" s="35" t="s">
        <v>3571</v>
      </c>
      <c r="X108" s="35" t="s">
        <v>3569</v>
      </c>
      <c r="Y108" s="32">
        <v>204.0</v>
      </c>
      <c r="Z108" s="40" t="s">
        <v>3559</v>
      </c>
    </row>
    <row r="109">
      <c r="A109" s="42" t="s">
        <v>4168</v>
      </c>
      <c r="B109" s="42" t="s">
        <v>4161</v>
      </c>
      <c r="C109" s="42" t="s">
        <v>4164</v>
      </c>
      <c r="D109" s="42" t="s">
        <v>75</v>
      </c>
      <c r="E109" s="42" t="s">
        <v>10011</v>
      </c>
      <c r="F109" s="42" t="s">
        <v>4175</v>
      </c>
      <c r="G109" s="42" t="s">
        <v>4176</v>
      </c>
      <c r="H109" s="42" t="s">
        <v>75</v>
      </c>
      <c r="I109" s="43"/>
      <c r="J109" s="41">
        <v>6701101.0</v>
      </c>
      <c r="K109" s="42" t="s">
        <v>41</v>
      </c>
      <c r="L109" s="45"/>
      <c r="M109" s="45"/>
      <c r="N109" s="42" t="s">
        <v>4177</v>
      </c>
      <c r="O109" s="42" t="s">
        <v>4173</v>
      </c>
      <c r="P109" s="42" t="s">
        <v>4033</v>
      </c>
      <c r="Q109" s="43"/>
      <c r="R109" s="42" t="s">
        <v>3563</v>
      </c>
      <c r="S109" s="42" t="s">
        <v>3564</v>
      </c>
      <c r="T109" s="42" t="s">
        <v>3565</v>
      </c>
      <c r="U109" s="42" t="s">
        <v>4166</v>
      </c>
      <c r="V109" s="42" t="s">
        <v>10165</v>
      </c>
      <c r="W109" s="42" t="s">
        <v>3571</v>
      </c>
      <c r="X109" s="42" t="s">
        <v>3569</v>
      </c>
      <c r="Y109" s="41">
        <v>204.0</v>
      </c>
      <c r="Z109" s="48" t="s">
        <v>3559</v>
      </c>
    </row>
    <row r="110">
      <c r="A110" s="35" t="s">
        <v>4168</v>
      </c>
      <c r="B110" s="35" t="s">
        <v>4161</v>
      </c>
      <c r="C110" s="35" t="s">
        <v>4164</v>
      </c>
      <c r="D110" s="35" t="s">
        <v>925</v>
      </c>
      <c r="E110" s="35" t="s">
        <v>10008</v>
      </c>
      <c r="F110" s="35" t="s">
        <v>10183</v>
      </c>
      <c r="G110" s="34"/>
      <c r="H110" s="35" t="s">
        <v>925</v>
      </c>
      <c r="I110" s="35" t="s">
        <v>10184</v>
      </c>
      <c r="J110" s="32" t="s">
        <v>10185</v>
      </c>
      <c r="K110" s="35" t="s">
        <v>928</v>
      </c>
      <c r="L110" s="37"/>
      <c r="M110" s="37"/>
      <c r="N110" s="35" t="s">
        <v>4177</v>
      </c>
      <c r="O110" s="35" t="s">
        <v>4173</v>
      </c>
      <c r="P110" s="35" t="s">
        <v>4033</v>
      </c>
      <c r="Q110" s="34"/>
      <c r="R110" s="35" t="s">
        <v>3563</v>
      </c>
      <c r="S110" s="35" t="s">
        <v>3564</v>
      </c>
      <c r="T110" s="35" t="s">
        <v>3565</v>
      </c>
      <c r="U110" s="35" t="s">
        <v>4166</v>
      </c>
      <c r="V110" s="35" t="s">
        <v>10165</v>
      </c>
      <c r="W110" s="35" t="s">
        <v>3571</v>
      </c>
      <c r="X110" s="35" t="s">
        <v>3569</v>
      </c>
      <c r="Y110" s="32">
        <v>204.0</v>
      </c>
      <c r="Z110" s="40" t="s">
        <v>3559</v>
      </c>
    </row>
    <row r="111">
      <c r="A111" s="42" t="s">
        <v>4203</v>
      </c>
      <c r="B111" s="42" t="s">
        <v>4195</v>
      </c>
      <c r="C111" s="42" t="s">
        <v>4198</v>
      </c>
      <c r="D111" s="42" t="s">
        <v>6988</v>
      </c>
      <c r="E111" s="42" t="s">
        <v>10008</v>
      </c>
      <c r="F111" s="42" t="s">
        <v>10186</v>
      </c>
      <c r="G111" s="42" t="s">
        <v>10187</v>
      </c>
      <c r="H111" s="42" t="s">
        <v>6988</v>
      </c>
      <c r="I111" s="43"/>
      <c r="J111" s="45"/>
      <c r="K111" s="42" t="s">
        <v>41</v>
      </c>
      <c r="L111" s="45" t="str">
        <f>+972 (0)3 917 7055</f>
        <v>#ERROR!</v>
      </c>
      <c r="M111" s="45"/>
      <c r="N111" s="42" t="s">
        <v>2176</v>
      </c>
      <c r="O111" s="42" t="s">
        <v>4208</v>
      </c>
      <c r="P111" s="42" t="s">
        <v>4209</v>
      </c>
      <c r="Q111" s="43"/>
      <c r="R111" s="42" t="s">
        <v>3867</v>
      </c>
      <c r="S111" s="42" t="s">
        <v>4199</v>
      </c>
      <c r="T111" s="42" t="s">
        <v>4200</v>
      </c>
      <c r="U111" s="42" t="s">
        <v>3612</v>
      </c>
      <c r="V111" s="42" t="s">
        <v>4201</v>
      </c>
      <c r="W111" s="42" t="s">
        <v>3571</v>
      </c>
      <c r="X111" s="42" t="s">
        <v>3569</v>
      </c>
      <c r="Y111" s="41">
        <v>50.0</v>
      </c>
      <c r="Z111" s="48" t="s">
        <v>3559</v>
      </c>
    </row>
    <row r="112">
      <c r="A112" s="35" t="s">
        <v>4203</v>
      </c>
      <c r="B112" s="35" t="s">
        <v>4195</v>
      </c>
      <c r="C112" s="35" t="s">
        <v>4198</v>
      </c>
      <c r="D112" s="35" t="s">
        <v>4213</v>
      </c>
      <c r="E112" s="35" t="s">
        <v>10011</v>
      </c>
      <c r="F112" s="35" t="s">
        <v>4212</v>
      </c>
      <c r="G112" s="34"/>
      <c r="H112" s="35" t="s">
        <v>4213</v>
      </c>
      <c r="I112" s="34"/>
      <c r="J112" s="32">
        <v>4927189.0</v>
      </c>
      <c r="K112" s="35" t="s">
        <v>41</v>
      </c>
      <c r="L112" s="37" t="str">
        <f>+972 (0)3 917 7055</f>
        <v>#ERROR!</v>
      </c>
      <c r="M112" s="37"/>
      <c r="N112" s="35" t="s">
        <v>2176</v>
      </c>
      <c r="O112" s="35" t="s">
        <v>4208</v>
      </c>
      <c r="P112" s="35" t="s">
        <v>4209</v>
      </c>
      <c r="Q112" s="34"/>
      <c r="R112" s="35" t="s">
        <v>3867</v>
      </c>
      <c r="S112" s="35" t="s">
        <v>4199</v>
      </c>
      <c r="T112" s="35" t="s">
        <v>4200</v>
      </c>
      <c r="U112" s="35" t="s">
        <v>3612</v>
      </c>
      <c r="V112" s="35" t="s">
        <v>4201</v>
      </c>
      <c r="W112" s="35" t="s">
        <v>3571</v>
      </c>
      <c r="X112" s="35" t="s">
        <v>3569</v>
      </c>
      <c r="Y112" s="32">
        <v>50.0</v>
      </c>
      <c r="Z112" s="40" t="s">
        <v>3559</v>
      </c>
    </row>
    <row r="113">
      <c r="A113" s="42" t="s">
        <v>4232</v>
      </c>
      <c r="B113" s="42" t="s">
        <v>4226</v>
      </c>
      <c r="C113" s="42" t="s">
        <v>4228</v>
      </c>
      <c r="D113" s="42" t="s">
        <v>75</v>
      </c>
      <c r="E113" s="42" t="s">
        <v>10011</v>
      </c>
      <c r="F113" s="42" t="s">
        <v>4239</v>
      </c>
      <c r="G113" s="43"/>
      <c r="H113" s="42" t="s">
        <v>75</v>
      </c>
      <c r="I113" s="43"/>
      <c r="J113" s="41">
        <v>6578403.0</v>
      </c>
      <c r="K113" s="42" t="s">
        <v>41</v>
      </c>
      <c r="L113" s="45"/>
      <c r="M113" s="45"/>
      <c r="N113" s="42" t="s">
        <v>4240</v>
      </c>
      <c r="O113" s="42" t="s">
        <v>4237</v>
      </c>
      <c r="P113" s="42" t="s">
        <v>3579</v>
      </c>
      <c r="Q113" s="43"/>
      <c r="R113" s="42" t="s">
        <v>3563</v>
      </c>
      <c r="S113" s="42" t="s">
        <v>3564</v>
      </c>
      <c r="T113" s="42" t="s">
        <v>3642</v>
      </c>
      <c r="U113" s="42" t="s">
        <v>4230</v>
      </c>
      <c r="V113" s="42" t="s">
        <v>10188</v>
      </c>
      <c r="W113" s="42" t="s">
        <v>3571</v>
      </c>
      <c r="X113" s="42" t="s">
        <v>3569</v>
      </c>
      <c r="Y113" s="41">
        <v>12.0</v>
      </c>
      <c r="Z113" s="48" t="s">
        <v>3559</v>
      </c>
    </row>
    <row r="114">
      <c r="A114" s="35" t="s">
        <v>4255</v>
      </c>
      <c r="B114" s="35" t="s">
        <v>1264</v>
      </c>
      <c r="C114" s="35" t="s">
        <v>4251</v>
      </c>
      <c r="D114" s="35" t="s">
        <v>10145</v>
      </c>
      <c r="E114" s="35" t="s">
        <v>10008</v>
      </c>
      <c r="F114" s="35" t="s">
        <v>10189</v>
      </c>
      <c r="G114" s="35" t="s">
        <v>10190</v>
      </c>
      <c r="H114" s="35" t="s">
        <v>10145</v>
      </c>
      <c r="I114" s="34"/>
      <c r="J114" s="37"/>
      <c r="K114" s="35" t="s">
        <v>10146</v>
      </c>
      <c r="L114" s="37"/>
      <c r="M114" s="37"/>
      <c r="N114" s="35" t="s">
        <v>1271</v>
      </c>
      <c r="O114" s="35" t="s">
        <v>10191</v>
      </c>
      <c r="P114" s="35" t="s">
        <v>3685</v>
      </c>
      <c r="Q114" s="34"/>
      <c r="R114" s="35" t="s">
        <v>3563</v>
      </c>
      <c r="S114" s="35" t="s">
        <v>3564</v>
      </c>
      <c r="T114" s="35" t="s">
        <v>3565</v>
      </c>
      <c r="U114" s="35" t="s">
        <v>4253</v>
      </c>
      <c r="V114" s="35" t="s">
        <v>10192</v>
      </c>
      <c r="W114" s="35" t="s">
        <v>3571</v>
      </c>
      <c r="X114" s="35" t="s">
        <v>3569</v>
      </c>
      <c r="Y114" s="32">
        <v>33.0</v>
      </c>
      <c r="Z114" s="40" t="s">
        <v>3559</v>
      </c>
    </row>
    <row r="115">
      <c r="A115" s="42" t="s">
        <v>4255</v>
      </c>
      <c r="B115" s="42" t="s">
        <v>1264</v>
      </c>
      <c r="C115" s="42" t="s">
        <v>4251</v>
      </c>
      <c r="D115" s="42" t="s">
        <v>75</v>
      </c>
      <c r="E115" s="42" t="s">
        <v>10011</v>
      </c>
      <c r="F115" s="42" t="s">
        <v>4261</v>
      </c>
      <c r="G115" s="43"/>
      <c r="H115" s="42" t="s">
        <v>75</v>
      </c>
      <c r="I115" s="43"/>
      <c r="J115" s="45"/>
      <c r="K115" s="42" t="s">
        <v>41</v>
      </c>
      <c r="L115" s="45"/>
      <c r="M115" s="45"/>
      <c r="N115" s="42" t="s">
        <v>1271</v>
      </c>
      <c r="O115" s="42" t="s">
        <v>10191</v>
      </c>
      <c r="P115" s="42" t="s">
        <v>3685</v>
      </c>
      <c r="Q115" s="43"/>
      <c r="R115" s="42" t="s">
        <v>3563</v>
      </c>
      <c r="S115" s="42" t="s">
        <v>3564</v>
      </c>
      <c r="T115" s="42" t="s">
        <v>3565</v>
      </c>
      <c r="U115" s="42" t="s">
        <v>4253</v>
      </c>
      <c r="V115" s="42" t="s">
        <v>10192</v>
      </c>
      <c r="W115" s="42" t="s">
        <v>3571</v>
      </c>
      <c r="X115" s="42" t="s">
        <v>3569</v>
      </c>
      <c r="Y115" s="41">
        <v>33.0</v>
      </c>
      <c r="Z115" s="48" t="s">
        <v>3559</v>
      </c>
    </row>
    <row r="116">
      <c r="A116" s="35" t="s">
        <v>4278</v>
      </c>
      <c r="B116" s="35" t="s">
        <v>4271</v>
      </c>
      <c r="C116" s="35" t="s">
        <v>4274</v>
      </c>
      <c r="D116" s="35" t="s">
        <v>10193</v>
      </c>
      <c r="E116" s="35" t="s">
        <v>10015</v>
      </c>
      <c r="F116" s="35" t="s">
        <v>10194</v>
      </c>
      <c r="G116" s="35" t="s">
        <v>10195</v>
      </c>
      <c r="H116" s="35" t="s">
        <v>10193</v>
      </c>
      <c r="I116" s="35" t="s">
        <v>2128</v>
      </c>
      <c r="J116" s="32">
        <v>20878.0</v>
      </c>
      <c r="K116" s="35" t="s">
        <v>60</v>
      </c>
      <c r="L116" s="37" t="str">
        <f>+1 (833) 334-9233</f>
        <v>#ERROR!</v>
      </c>
      <c r="M116" s="37"/>
      <c r="N116" s="35" t="s">
        <v>4287</v>
      </c>
      <c r="O116" s="35" t="s">
        <v>4283</v>
      </c>
      <c r="P116" s="35" t="s">
        <v>4284</v>
      </c>
      <c r="Q116" s="34"/>
      <c r="R116" s="35" t="s">
        <v>3563</v>
      </c>
      <c r="S116" s="35" t="s">
        <v>3564</v>
      </c>
      <c r="T116" s="35" t="s">
        <v>3565</v>
      </c>
      <c r="U116" s="35" t="s">
        <v>4276</v>
      </c>
      <c r="V116" s="35" t="s">
        <v>10196</v>
      </c>
      <c r="W116" s="35" t="s">
        <v>3571</v>
      </c>
      <c r="X116" s="35" t="s">
        <v>3569</v>
      </c>
      <c r="Y116" s="32">
        <v>47.0</v>
      </c>
      <c r="Z116" s="40" t="s">
        <v>3559</v>
      </c>
    </row>
    <row r="117">
      <c r="A117" s="42" t="s">
        <v>4278</v>
      </c>
      <c r="B117" s="42" t="s">
        <v>4271</v>
      </c>
      <c r="C117" s="42" t="s">
        <v>4274</v>
      </c>
      <c r="D117" s="42" t="s">
        <v>552</v>
      </c>
      <c r="E117" s="42" t="s">
        <v>10011</v>
      </c>
      <c r="F117" s="42" t="s">
        <v>4286</v>
      </c>
      <c r="G117" s="43"/>
      <c r="H117" s="42" t="s">
        <v>552</v>
      </c>
      <c r="I117" s="43"/>
      <c r="J117" s="41">
        <v>4676670.0</v>
      </c>
      <c r="K117" s="42" t="s">
        <v>41</v>
      </c>
      <c r="L117" s="45"/>
      <c r="M117" s="45"/>
      <c r="N117" s="42" t="s">
        <v>4287</v>
      </c>
      <c r="O117" s="42" t="s">
        <v>4283</v>
      </c>
      <c r="P117" s="42" t="s">
        <v>4284</v>
      </c>
      <c r="Q117" s="43"/>
      <c r="R117" s="42" t="s">
        <v>3563</v>
      </c>
      <c r="S117" s="42" t="s">
        <v>3564</v>
      </c>
      <c r="T117" s="42" t="s">
        <v>3565</v>
      </c>
      <c r="U117" s="42" t="s">
        <v>4276</v>
      </c>
      <c r="V117" s="42" t="s">
        <v>10196</v>
      </c>
      <c r="W117" s="42" t="s">
        <v>3571</v>
      </c>
      <c r="X117" s="42" t="s">
        <v>3569</v>
      </c>
      <c r="Y117" s="41">
        <v>47.0</v>
      </c>
      <c r="Z117" s="48" t="s">
        <v>3559</v>
      </c>
    </row>
    <row r="118">
      <c r="A118" s="35" t="s">
        <v>4278</v>
      </c>
      <c r="B118" s="35" t="s">
        <v>4271</v>
      </c>
      <c r="C118" s="35" t="s">
        <v>4274</v>
      </c>
      <c r="D118" s="35" t="s">
        <v>10060</v>
      </c>
      <c r="E118" s="35" t="s">
        <v>10008</v>
      </c>
      <c r="F118" s="35" t="s">
        <v>10197</v>
      </c>
      <c r="G118" s="34"/>
      <c r="H118" s="35" t="s">
        <v>10060</v>
      </c>
      <c r="I118" s="35" t="s">
        <v>1431</v>
      </c>
      <c r="J118" s="32" t="s">
        <v>10198</v>
      </c>
      <c r="K118" s="35" t="s">
        <v>60</v>
      </c>
      <c r="L118" s="37" t="str">
        <f>+1 (302) 777-6508</f>
        <v>#ERROR!</v>
      </c>
      <c r="M118" s="37"/>
      <c r="N118" s="35" t="s">
        <v>4287</v>
      </c>
      <c r="O118" s="35" t="s">
        <v>4283</v>
      </c>
      <c r="P118" s="35" t="s">
        <v>4284</v>
      </c>
      <c r="Q118" s="34"/>
      <c r="R118" s="35" t="s">
        <v>3563</v>
      </c>
      <c r="S118" s="35" t="s">
        <v>3564</v>
      </c>
      <c r="T118" s="35" t="s">
        <v>3565</v>
      </c>
      <c r="U118" s="35" t="s">
        <v>4276</v>
      </c>
      <c r="V118" s="35" t="s">
        <v>10196</v>
      </c>
      <c r="W118" s="35" t="s">
        <v>3571</v>
      </c>
      <c r="X118" s="35" t="s">
        <v>3569</v>
      </c>
      <c r="Y118" s="32">
        <v>47.0</v>
      </c>
      <c r="Z118" s="40" t="s">
        <v>3559</v>
      </c>
    </row>
    <row r="119">
      <c r="A119" s="42" t="s">
        <v>4278</v>
      </c>
      <c r="B119" s="42" t="s">
        <v>4271</v>
      </c>
      <c r="C119" s="42" t="s">
        <v>4274</v>
      </c>
      <c r="D119" s="42" t="s">
        <v>10199</v>
      </c>
      <c r="E119" s="42" t="s">
        <v>10008</v>
      </c>
      <c r="F119" s="42" t="s">
        <v>10200</v>
      </c>
      <c r="G119" s="43"/>
      <c r="H119" s="42" t="s">
        <v>10199</v>
      </c>
      <c r="I119" s="42" t="s">
        <v>1431</v>
      </c>
      <c r="J119" s="41">
        <v>92122.0</v>
      </c>
      <c r="K119" s="42" t="s">
        <v>60</v>
      </c>
      <c r="L119" s="45" t="str">
        <f>+1 (833) 334-9233</f>
        <v>#ERROR!</v>
      </c>
      <c r="M119" s="45"/>
      <c r="N119" s="42" t="s">
        <v>4287</v>
      </c>
      <c r="O119" s="42" t="s">
        <v>4283</v>
      </c>
      <c r="P119" s="42" t="s">
        <v>4284</v>
      </c>
      <c r="Q119" s="43"/>
      <c r="R119" s="42" t="s">
        <v>3563</v>
      </c>
      <c r="S119" s="42" t="s">
        <v>3564</v>
      </c>
      <c r="T119" s="42" t="s">
        <v>3565</v>
      </c>
      <c r="U119" s="42" t="s">
        <v>4276</v>
      </c>
      <c r="V119" s="42" t="s">
        <v>10196</v>
      </c>
      <c r="W119" s="42" t="s">
        <v>3571</v>
      </c>
      <c r="X119" s="42" t="s">
        <v>3569</v>
      </c>
      <c r="Y119" s="41">
        <v>47.0</v>
      </c>
      <c r="Z119" s="48" t="s">
        <v>3559</v>
      </c>
    </row>
    <row r="120">
      <c r="A120" s="35" t="s">
        <v>4306</v>
      </c>
      <c r="B120" s="35" t="s">
        <v>413</v>
      </c>
      <c r="C120" s="35" t="s">
        <v>4302</v>
      </c>
      <c r="D120" s="35" t="s">
        <v>10201</v>
      </c>
      <c r="E120" s="35" t="s">
        <v>10008</v>
      </c>
      <c r="F120" s="35" t="s">
        <v>10202</v>
      </c>
      <c r="G120" s="34"/>
      <c r="H120" s="35" t="s">
        <v>10201</v>
      </c>
      <c r="I120" s="34"/>
      <c r="J120" s="32">
        <v>8012.0</v>
      </c>
      <c r="K120" s="35" t="s">
        <v>10073</v>
      </c>
      <c r="L120" s="37" t="str">
        <f>+34 90 075 1885</f>
        <v>#ERROR!</v>
      </c>
      <c r="M120" s="37"/>
      <c r="N120" s="35" t="s">
        <v>419</v>
      </c>
      <c r="O120" s="35" t="s">
        <v>4311</v>
      </c>
      <c r="P120" s="35" t="s">
        <v>4312</v>
      </c>
      <c r="Q120" s="34"/>
      <c r="R120" s="35" t="s">
        <v>3563</v>
      </c>
      <c r="S120" s="35" t="s">
        <v>3564</v>
      </c>
      <c r="T120" s="35" t="s">
        <v>3565</v>
      </c>
      <c r="U120" s="35" t="s">
        <v>4304</v>
      </c>
      <c r="V120" s="35" t="s">
        <v>10203</v>
      </c>
      <c r="W120" s="35" t="s">
        <v>3571</v>
      </c>
      <c r="X120" s="35" t="s">
        <v>3569</v>
      </c>
      <c r="Y120" s="32">
        <v>14.0</v>
      </c>
      <c r="Z120" s="40" t="s">
        <v>3559</v>
      </c>
    </row>
    <row r="121">
      <c r="A121" s="42" t="s">
        <v>4306</v>
      </c>
      <c r="B121" s="42" t="s">
        <v>413</v>
      </c>
      <c r="C121" s="42" t="s">
        <v>4302</v>
      </c>
      <c r="D121" s="42" t="s">
        <v>465</v>
      </c>
      <c r="E121" s="42" t="s">
        <v>10008</v>
      </c>
      <c r="F121" s="43"/>
      <c r="G121" s="43"/>
      <c r="H121" s="43"/>
      <c r="I121" s="43"/>
      <c r="J121" s="45"/>
      <c r="K121" s="42" t="s">
        <v>465</v>
      </c>
      <c r="L121" s="45" t="str">
        <f>+49 (0)80 0181 8155</f>
        <v>#ERROR!</v>
      </c>
      <c r="M121" s="45"/>
      <c r="N121" s="42" t="s">
        <v>419</v>
      </c>
      <c r="O121" s="42" t="s">
        <v>4311</v>
      </c>
      <c r="P121" s="42" t="s">
        <v>4312</v>
      </c>
      <c r="Q121" s="43"/>
      <c r="R121" s="42" t="s">
        <v>3563</v>
      </c>
      <c r="S121" s="42" t="s">
        <v>3564</v>
      </c>
      <c r="T121" s="42" t="s">
        <v>3565</v>
      </c>
      <c r="U121" s="42" t="s">
        <v>4304</v>
      </c>
      <c r="V121" s="42" t="s">
        <v>10203</v>
      </c>
      <c r="W121" s="42" t="s">
        <v>3571</v>
      </c>
      <c r="X121" s="42" t="s">
        <v>3569</v>
      </c>
      <c r="Y121" s="41">
        <v>14.0</v>
      </c>
      <c r="Z121" s="48" t="s">
        <v>3559</v>
      </c>
    </row>
    <row r="122">
      <c r="A122" s="35" t="s">
        <v>4306</v>
      </c>
      <c r="B122" s="35" t="s">
        <v>413</v>
      </c>
      <c r="C122" s="35" t="s">
        <v>4302</v>
      </c>
      <c r="D122" s="35" t="s">
        <v>75</v>
      </c>
      <c r="E122" s="35" t="s">
        <v>10011</v>
      </c>
      <c r="F122" s="35" t="s">
        <v>4314</v>
      </c>
      <c r="G122" s="35" t="s">
        <v>4315</v>
      </c>
      <c r="H122" s="35" t="s">
        <v>75</v>
      </c>
      <c r="I122" s="34"/>
      <c r="J122" s="37"/>
      <c r="K122" s="35" t="s">
        <v>41</v>
      </c>
      <c r="L122" s="37" t="str">
        <f>+972 (0)54 774 5401</f>
        <v>#ERROR!</v>
      </c>
      <c r="M122" s="37"/>
      <c r="N122" s="35" t="s">
        <v>419</v>
      </c>
      <c r="O122" s="35" t="s">
        <v>4311</v>
      </c>
      <c r="P122" s="35" t="s">
        <v>4312</v>
      </c>
      <c r="Q122" s="34"/>
      <c r="R122" s="35" t="s">
        <v>3563</v>
      </c>
      <c r="S122" s="35" t="s">
        <v>3564</v>
      </c>
      <c r="T122" s="35" t="s">
        <v>3565</v>
      </c>
      <c r="U122" s="35" t="s">
        <v>4304</v>
      </c>
      <c r="V122" s="35" t="s">
        <v>10203</v>
      </c>
      <c r="W122" s="35" t="s">
        <v>3571</v>
      </c>
      <c r="X122" s="35" t="s">
        <v>3569</v>
      </c>
      <c r="Y122" s="32">
        <v>14.0</v>
      </c>
      <c r="Z122" s="40" t="s">
        <v>3559</v>
      </c>
    </row>
    <row r="123">
      <c r="A123" s="42" t="s">
        <v>4306</v>
      </c>
      <c r="B123" s="42" t="s">
        <v>413</v>
      </c>
      <c r="C123" s="42" t="s">
        <v>4302</v>
      </c>
      <c r="D123" s="42" t="s">
        <v>10204</v>
      </c>
      <c r="E123" s="42" t="s">
        <v>10015</v>
      </c>
      <c r="F123" s="42" t="s">
        <v>10205</v>
      </c>
      <c r="G123" s="43"/>
      <c r="H123" s="42" t="s">
        <v>10204</v>
      </c>
      <c r="I123" s="42" t="s">
        <v>1790</v>
      </c>
      <c r="J123" s="41">
        <v>7670.0</v>
      </c>
      <c r="K123" s="42" t="s">
        <v>60</v>
      </c>
      <c r="L123" s="45"/>
      <c r="M123" s="45"/>
      <c r="N123" s="42" t="s">
        <v>419</v>
      </c>
      <c r="O123" s="42" t="s">
        <v>4311</v>
      </c>
      <c r="P123" s="42" t="s">
        <v>4312</v>
      </c>
      <c r="Q123" s="43"/>
      <c r="R123" s="42" t="s">
        <v>3563</v>
      </c>
      <c r="S123" s="42" t="s">
        <v>3564</v>
      </c>
      <c r="T123" s="42" t="s">
        <v>3565</v>
      </c>
      <c r="U123" s="42" t="s">
        <v>4304</v>
      </c>
      <c r="V123" s="42" t="s">
        <v>10203</v>
      </c>
      <c r="W123" s="42" t="s">
        <v>3571</v>
      </c>
      <c r="X123" s="42" t="s">
        <v>3569</v>
      </c>
      <c r="Y123" s="41">
        <v>14.0</v>
      </c>
      <c r="Z123" s="48" t="s">
        <v>3559</v>
      </c>
    </row>
    <row r="124">
      <c r="A124" s="35" t="s">
        <v>4332</v>
      </c>
      <c r="B124" s="35" t="s">
        <v>4326</v>
      </c>
      <c r="C124" s="35" t="s">
        <v>4328</v>
      </c>
      <c r="D124" s="35" t="s">
        <v>3625</v>
      </c>
      <c r="E124" s="35" t="s">
        <v>10011</v>
      </c>
      <c r="F124" s="35" t="s">
        <v>4340</v>
      </c>
      <c r="G124" s="34"/>
      <c r="H124" s="35" t="s">
        <v>3625</v>
      </c>
      <c r="I124" s="34"/>
      <c r="J124" s="32">
        <v>3079533.0</v>
      </c>
      <c r="K124" s="35" t="s">
        <v>41</v>
      </c>
      <c r="L124" s="37"/>
      <c r="M124" s="37" t="str">
        <f>+972 (0)2 500 2047</f>
        <v>#ERROR!</v>
      </c>
      <c r="N124" s="35" t="s">
        <v>4341</v>
      </c>
      <c r="O124" s="35" t="s">
        <v>4337</v>
      </c>
      <c r="P124" s="35" t="s">
        <v>4338</v>
      </c>
      <c r="Q124" s="34"/>
      <c r="R124" s="35" t="s">
        <v>3867</v>
      </c>
      <c r="S124" s="35" t="s">
        <v>4199</v>
      </c>
      <c r="T124" s="35" t="s">
        <v>4329</v>
      </c>
      <c r="U124" s="35" t="s">
        <v>3612</v>
      </c>
      <c r="V124" s="35" t="s">
        <v>10206</v>
      </c>
      <c r="W124" s="35" t="s">
        <v>3571</v>
      </c>
      <c r="X124" s="35" t="s">
        <v>3569</v>
      </c>
      <c r="Y124" s="32">
        <v>16.0</v>
      </c>
      <c r="Z124" s="40" t="s">
        <v>3559</v>
      </c>
    </row>
    <row r="125">
      <c r="A125" s="42" t="s">
        <v>4360</v>
      </c>
      <c r="B125" s="42" t="s">
        <v>1746</v>
      </c>
      <c r="C125" s="42" t="s">
        <v>4355</v>
      </c>
      <c r="D125" s="42" t="s">
        <v>1037</v>
      </c>
      <c r="E125" s="42" t="s">
        <v>10011</v>
      </c>
      <c r="F125" s="42" t="s">
        <v>4369</v>
      </c>
      <c r="G125" s="42" t="s">
        <v>4370</v>
      </c>
      <c r="H125" s="42" t="s">
        <v>1037</v>
      </c>
      <c r="I125" s="43"/>
      <c r="J125" s="45"/>
      <c r="K125" s="42" t="s">
        <v>41</v>
      </c>
      <c r="L125" s="45" t="str">
        <f>+972 (0)74 774 5744</f>
        <v>#ERROR!</v>
      </c>
      <c r="M125" s="45" t="str">
        <f>+972 (0)77 970 9031</f>
        <v>#ERROR!</v>
      </c>
      <c r="N125" s="42" t="s">
        <v>1751</v>
      </c>
      <c r="O125" s="42" t="s">
        <v>4365</v>
      </c>
      <c r="P125" s="42" t="s">
        <v>4366</v>
      </c>
      <c r="Q125" s="43"/>
      <c r="R125" s="42" t="s">
        <v>3563</v>
      </c>
      <c r="S125" s="42" t="s">
        <v>3564</v>
      </c>
      <c r="T125" s="42" t="s">
        <v>4356</v>
      </c>
      <c r="U125" s="42" t="s">
        <v>4358</v>
      </c>
      <c r="V125" s="42" t="s">
        <v>10207</v>
      </c>
      <c r="W125" s="42" t="s">
        <v>3571</v>
      </c>
      <c r="X125" s="42" t="s">
        <v>3569</v>
      </c>
      <c r="Y125" s="41">
        <v>27.0</v>
      </c>
      <c r="Z125" s="48" t="s">
        <v>3559</v>
      </c>
    </row>
    <row r="126">
      <c r="A126" s="35" t="s">
        <v>4390</v>
      </c>
      <c r="B126" s="35" t="s">
        <v>4382</v>
      </c>
      <c r="C126" s="35" t="s">
        <v>4386</v>
      </c>
      <c r="D126" s="35" t="s">
        <v>10018</v>
      </c>
      <c r="E126" s="35" t="s">
        <v>10008</v>
      </c>
      <c r="F126" s="34"/>
      <c r="G126" s="34"/>
      <c r="H126" s="35" t="s">
        <v>10018</v>
      </c>
      <c r="I126" s="34"/>
      <c r="J126" s="37"/>
      <c r="K126" s="35" t="s">
        <v>465</v>
      </c>
      <c r="L126" s="37"/>
      <c r="M126" s="37"/>
      <c r="N126" s="35" t="s">
        <v>368</v>
      </c>
      <c r="O126" s="35" t="s">
        <v>4396</v>
      </c>
      <c r="P126" s="35" t="s">
        <v>4397</v>
      </c>
      <c r="Q126" s="34"/>
      <c r="R126" s="35" t="s">
        <v>3563</v>
      </c>
      <c r="S126" s="35" t="s">
        <v>3564</v>
      </c>
      <c r="T126" s="35" t="s">
        <v>3565</v>
      </c>
      <c r="U126" s="35" t="s">
        <v>4387</v>
      </c>
      <c r="V126" s="35" t="s">
        <v>10049</v>
      </c>
      <c r="W126" s="35" t="s">
        <v>3571</v>
      </c>
      <c r="X126" s="35" t="s">
        <v>4389</v>
      </c>
      <c r="Y126" s="32">
        <v>113.0</v>
      </c>
      <c r="Z126" s="40" t="s">
        <v>3559</v>
      </c>
    </row>
    <row r="127">
      <c r="A127" s="42" t="s">
        <v>4390</v>
      </c>
      <c r="B127" s="42" t="s">
        <v>4382</v>
      </c>
      <c r="C127" s="42" t="s">
        <v>4386</v>
      </c>
      <c r="D127" s="42" t="s">
        <v>75</v>
      </c>
      <c r="E127" s="42" t="s">
        <v>10011</v>
      </c>
      <c r="F127" s="42" t="s">
        <v>4399</v>
      </c>
      <c r="G127" s="43"/>
      <c r="H127" s="42" t="s">
        <v>75</v>
      </c>
      <c r="I127" s="43"/>
      <c r="J127" s="41">
        <v>6713701.0</v>
      </c>
      <c r="K127" s="42" t="s">
        <v>41</v>
      </c>
      <c r="L127" s="45"/>
      <c r="M127" s="45"/>
      <c r="N127" s="42" t="s">
        <v>368</v>
      </c>
      <c r="O127" s="42" t="s">
        <v>4396</v>
      </c>
      <c r="P127" s="42" t="s">
        <v>4397</v>
      </c>
      <c r="Q127" s="43"/>
      <c r="R127" s="42" t="s">
        <v>3563</v>
      </c>
      <c r="S127" s="42" t="s">
        <v>3564</v>
      </c>
      <c r="T127" s="42" t="s">
        <v>3565</v>
      </c>
      <c r="U127" s="42" t="s">
        <v>4387</v>
      </c>
      <c r="V127" s="42" t="s">
        <v>10049</v>
      </c>
      <c r="W127" s="42" t="s">
        <v>3571</v>
      </c>
      <c r="X127" s="42" t="s">
        <v>4389</v>
      </c>
      <c r="Y127" s="41">
        <v>113.0</v>
      </c>
      <c r="Z127" s="48" t="s">
        <v>3559</v>
      </c>
    </row>
    <row r="128">
      <c r="A128" s="35" t="s">
        <v>4418</v>
      </c>
      <c r="B128" s="35" t="s">
        <v>4411</v>
      </c>
      <c r="C128" s="35" t="s">
        <v>4413</v>
      </c>
      <c r="D128" s="35" t="s">
        <v>10208</v>
      </c>
      <c r="E128" s="35" t="s">
        <v>10015</v>
      </c>
      <c r="F128" s="35" t="s">
        <v>10209</v>
      </c>
      <c r="G128" s="34"/>
      <c r="H128" s="35" t="s">
        <v>10208</v>
      </c>
      <c r="I128" s="35" t="s">
        <v>881</v>
      </c>
      <c r="J128" s="37"/>
      <c r="K128" s="35" t="s">
        <v>60</v>
      </c>
      <c r="L128" s="37"/>
      <c r="M128" s="37"/>
      <c r="N128" s="35" t="s">
        <v>2903</v>
      </c>
      <c r="O128" s="35" t="s">
        <v>2899</v>
      </c>
      <c r="P128" s="35" t="s">
        <v>3579</v>
      </c>
      <c r="Q128" s="34"/>
      <c r="R128" s="35" t="s">
        <v>3867</v>
      </c>
      <c r="S128" s="35" t="s">
        <v>4199</v>
      </c>
      <c r="T128" s="35" t="s">
        <v>4414</v>
      </c>
      <c r="U128" s="35" t="s">
        <v>4416</v>
      </c>
      <c r="V128" s="35" t="s">
        <v>4415</v>
      </c>
      <c r="W128" s="35" t="s">
        <v>3571</v>
      </c>
      <c r="X128" s="35" t="s">
        <v>3569</v>
      </c>
      <c r="Y128" s="32">
        <v>60.0</v>
      </c>
      <c r="Z128" s="40" t="s">
        <v>3559</v>
      </c>
    </row>
    <row r="129">
      <c r="A129" s="42" t="s">
        <v>4418</v>
      </c>
      <c r="B129" s="42" t="s">
        <v>4411</v>
      </c>
      <c r="C129" s="42" t="s">
        <v>4413</v>
      </c>
      <c r="D129" s="42" t="s">
        <v>485</v>
      </c>
      <c r="E129" s="42" t="s">
        <v>10008</v>
      </c>
      <c r="F129" s="42" t="s">
        <v>10210</v>
      </c>
      <c r="G129" s="42" t="s">
        <v>4427</v>
      </c>
      <c r="H129" s="42" t="s">
        <v>485</v>
      </c>
      <c r="I129" s="43"/>
      <c r="J129" s="41">
        <v>3701037.0</v>
      </c>
      <c r="K129" s="42" t="s">
        <v>41</v>
      </c>
      <c r="L129" s="45" t="str">
        <f>+972 (0)54 522 4044</f>
        <v>#ERROR!</v>
      </c>
      <c r="M129" s="45"/>
      <c r="N129" s="42" t="s">
        <v>2903</v>
      </c>
      <c r="O129" s="42" t="s">
        <v>2899</v>
      </c>
      <c r="P129" s="42" t="s">
        <v>3579</v>
      </c>
      <c r="Q129" s="43"/>
      <c r="R129" s="42" t="s">
        <v>3867</v>
      </c>
      <c r="S129" s="42" t="s">
        <v>4199</v>
      </c>
      <c r="T129" s="42" t="s">
        <v>4414</v>
      </c>
      <c r="U129" s="42" t="s">
        <v>4416</v>
      </c>
      <c r="V129" s="42" t="s">
        <v>4415</v>
      </c>
      <c r="W129" s="42" t="s">
        <v>3571</v>
      </c>
      <c r="X129" s="42" t="s">
        <v>3569</v>
      </c>
      <c r="Y129" s="41">
        <v>60.0</v>
      </c>
      <c r="Z129" s="48" t="s">
        <v>3559</v>
      </c>
    </row>
    <row r="130">
      <c r="A130" s="35" t="s">
        <v>4418</v>
      </c>
      <c r="B130" s="35" t="s">
        <v>4411</v>
      </c>
      <c r="C130" s="35" t="s">
        <v>4413</v>
      </c>
      <c r="D130" s="35" t="s">
        <v>4427</v>
      </c>
      <c r="E130" s="35" t="s">
        <v>10011</v>
      </c>
      <c r="F130" s="35" t="s">
        <v>4425</v>
      </c>
      <c r="G130" s="35" t="s">
        <v>4426</v>
      </c>
      <c r="H130" s="35" t="s">
        <v>4427</v>
      </c>
      <c r="I130" s="34"/>
      <c r="J130" s="32">
        <v>3701042.0</v>
      </c>
      <c r="K130" s="35" t="s">
        <v>41</v>
      </c>
      <c r="L130" s="37"/>
      <c r="M130" s="37"/>
      <c r="N130" s="35" t="s">
        <v>2903</v>
      </c>
      <c r="O130" s="35" t="s">
        <v>2899</v>
      </c>
      <c r="P130" s="35" t="s">
        <v>3579</v>
      </c>
      <c r="Q130" s="34"/>
      <c r="R130" s="35" t="s">
        <v>3867</v>
      </c>
      <c r="S130" s="35" t="s">
        <v>4199</v>
      </c>
      <c r="T130" s="35" t="s">
        <v>4414</v>
      </c>
      <c r="U130" s="35" t="s">
        <v>4416</v>
      </c>
      <c r="V130" s="35" t="s">
        <v>4415</v>
      </c>
      <c r="W130" s="35" t="s">
        <v>3571</v>
      </c>
      <c r="X130" s="35" t="s">
        <v>3569</v>
      </c>
      <c r="Y130" s="32">
        <v>60.0</v>
      </c>
      <c r="Z130" s="40" t="s">
        <v>3559</v>
      </c>
    </row>
    <row r="131">
      <c r="A131" s="42" t="s">
        <v>4441</v>
      </c>
      <c r="B131" s="42" t="s">
        <v>2022</v>
      </c>
      <c r="C131" s="42" t="s">
        <v>4438</v>
      </c>
      <c r="D131" s="42" t="s">
        <v>485</v>
      </c>
      <c r="E131" s="42" t="s">
        <v>10011</v>
      </c>
      <c r="F131" s="42" t="s">
        <v>4449</v>
      </c>
      <c r="G131" s="43"/>
      <c r="H131" s="42" t="s">
        <v>485</v>
      </c>
      <c r="I131" s="43"/>
      <c r="J131" s="41">
        <v>3303323.0</v>
      </c>
      <c r="K131" s="42" t="s">
        <v>41</v>
      </c>
      <c r="L131" s="45" t="str">
        <f>+972 (0)4 375 0050</f>
        <v>#ERROR!</v>
      </c>
      <c r="M131" s="45"/>
      <c r="N131" s="42" t="s">
        <v>2028</v>
      </c>
      <c r="O131" s="42" t="s">
        <v>4446</v>
      </c>
      <c r="P131" s="42" t="s">
        <v>4312</v>
      </c>
      <c r="Q131" s="43"/>
      <c r="R131" s="42" t="s">
        <v>3867</v>
      </c>
      <c r="S131" s="42" t="s">
        <v>3868</v>
      </c>
      <c r="T131" s="42" t="s">
        <v>3869</v>
      </c>
      <c r="U131" s="42" t="s">
        <v>3760</v>
      </c>
      <c r="V131" s="42" t="s">
        <v>10211</v>
      </c>
      <c r="W131" s="42" t="s">
        <v>3571</v>
      </c>
      <c r="X131" s="42" t="s">
        <v>3569</v>
      </c>
      <c r="Y131" s="41">
        <v>33.0</v>
      </c>
      <c r="Z131" s="48" t="s">
        <v>3559</v>
      </c>
    </row>
    <row r="132">
      <c r="A132" s="35" t="s">
        <v>4441</v>
      </c>
      <c r="B132" s="35" t="s">
        <v>2022</v>
      </c>
      <c r="C132" s="35" t="s">
        <v>4438</v>
      </c>
      <c r="D132" s="35" t="s">
        <v>10212</v>
      </c>
      <c r="E132" s="35" t="s">
        <v>10008</v>
      </c>
      <c r="F132" s="35" t="s">
        <v>10213</v>
      </c>
      <c r="G132" s="34"/>
      <c r="H132" s="35" t="s">
        <v>10212</v>
      </c>
      <c r="I132" s="34"/>
      <c r="J132" s="32">
        <v>73230.0</v>
      </c>
      <c r="K132" s="35" t="s">
        <v>465</v>
      </c>
      <c r="L132" s="37" t="str">
        <f>+49 (0)70 2186 6899 0</f>
        <v>#ERROR!</v>
      </c>
      <c r="M132" s="37"/>
      <c r="N132" s="35" t="s">
        <v>2028</v>
      </c>
      <c r="O132" s="35" t="s">
        <v>4446</v>
      </c>
      <c r="P132" s="35" t="s">
        <v>4312</v>
      </c>
      <c r="Q132" s="34"/>
      <c r="R132" s="35" t="s">
        <v>3867</v>
      </c>
      <c r="S132" s="35" t="s">
        <v>3868</v>
      </c>
      <c r="T132" s="35" t="s">
        <v>3869</v>
      </c>
      <c r="U132" s="35" t="s">
        <v>3760</v>
      </c>
      <c r="V132" s="35" t="s">
        <v>10211</v>
      </c>
      <c r="W132" s="35" t="s">
        <v>3571</v>
      </c>
      <c r="X132" s="35" t="s">
        <v>3569</v>
      </c>
      <c r="Y132" s="32">
        <v>33.0</v>
      </c>
      <c r="Z132" s="40" t="s">
        <v>3559</v>
      </c>
    </row>
    <row r="133">
      <c r="A133" s="42" t="s">
        <v>4441</v>
      </c>
      <c r="B133" s="42" t="s">
        <v>2022</v>
      </c>
      <c r="C133" s="42" t="s">
        <v>4438</v>
      </c>
      <c r="D133" s="42" t="s">
        <v>10156</v>
      </c>
      <c r="E133" s="42" t="s">
        <v>10008</v>
      </c>
      <c r="F133" s="42" t="s">
        <v>10214</v>
      </c>
      <c r="G133" s="43"/>
      <c r="H133" s="42" t="s">
        <v>10156</v>
      </c>
      <c r="I133" s="42" t="s">
        <v>1431</v>
      </c>
      <c r="J133" s="45"/>
      <c r="K133" s="42" t="s">
        <v>60</v>
      </c>
      <c r="L133" s="45"/>
      <c r="M133" s="45"/>
      <c r="N133" s="42" t="s">
        <v>2028</v>
      </c>
      <c r="O133" s="42" t="s">
        <v>4446</v>
      </c>
      <c r="P133" s="42" t="s">
        <v>4312</v>
      </c>
      <c r="Q133" s="43"/>
      <c r="R133" s="42" t="s">
        <v>3867</v>
      </c>
      <c r="S133" s="42" t="s">
        <v>3868</v>
      </c>
      <c r="T133" s="42" t="s">
        <v>3869</v>
      </c>
      <c r="U133" s="42" t="s">
        <v>3760</v>
      </c>
      <c r="V133" s="42" t="s">
        <v>10211</v>
      </c>
      <c r="W133" s="42" t="s">
        <v>3571</v>
      </c>
      <c r="X133" s="42" t="s">
        <v>3569</v>
      </c>
      <c r="Y133" s="41">
        <v>33.0</v>
      </c>
      <c r="Z133" s="48" t="s">
        <v>3559</v>
      </c>
    </row>
    <row r="134">
      <c r="A134" s="35" t="s">
        <v>4466</v>
      </c>
      <c r="B134" s="35" t="s">
        <v>4459</v>
      </c>
      <c r="C134" s="35" t="s">
        <v>4462</v>
      </c>
      <c r="D134" s="35" t="s">
        <v>10215</v>
      </c>
      <c r="E134" s="35" t="s">
        <v>10008</v>
      </c>
      <c r="F134" s="35" t="s">
        <v>10216</v>
      </c>
      <c r="G134" s="34"/>
      <c r="H134" s="35" t="s">
        <v>10215</v>
      </c>
      <c r="I134" s="34"/>
      <c r="J134" s="32">
        <v>7937000.0</v>
      </c>
      <c r="K134" s="35" t="s">
        <v>41</v>
      </c>
      <c r="L134" s="37"/>
      <c r="M134" s="37"/>
      <c r="N134" s="34"/>
      <c r="O134" s="35" t="s">
        <v>10217</v>
      </c>
      <c r="P134" s="35" t="s">
        <v>3579</v>
      </c>
      <c r="Q134" s="34"/>
      <c r="R134" s="35" t="s">
        <v>3563</v>
      </c>
      <c r="S134" s="35" t="s">
        <v>3609</v>
      </c>
      <c r="T134" s="35" t="s">
        <v>3610</v>
      </c>
      <c r="U134" s="35" t="s">
        <v>4464</v>
      </c>
      <c r="V134" s="35" t="s">
        <v>10218</v>
      </c>
      <c r="W134" s="35" t="s">
        <v>3571</v>
      </c>
      <c r="X134" s="35" t="s">
        <v>3569</v>
      </c>
      <c r="Y134" s="32">
        <v>10.0</v>
      </c>
      <c r="Z134" s="40" t="s">
        <v>3559</v>
      </c>
    </row>
    <row r="135">
      <c r="A135" s="42" t="s">
        <v>4466</v>
      </c>
      <c r="B135" s="42" t="s">
        <v>4459</v>
      </c>
      <c r="C135" s="42" t="s">
        <v>4462</v>
      </c>
      <c r="D135" s="42" t="s">
        <v>530</v>
      </c>
      <c r="E135" s="42" t="s">
        <v>10011</v>
      </c>
      <c r="F135" s="42" t="s">
        <v>4474</v>
      </c>
      <c r="G135" s="43"/>
      <c r="H135" s="42" t="s">
        <v>530</v>
      </c>
      <c r="I135" s="43"/>
      <c r="J135" s="41">
        <v>7658900.0</v>
      </c>
      <c r="K135" s="42" t="s">
        <v>41</v>
      </c>
      <c r="L135" s="45"/>
      <c r="M135" s="45"/>
      <c r="N135" s="43"/>
      <c r="O135" s="42" t="s">
        <v>10217</v>
      </c>
      <c r="P135" s="42" t="s">
        <v>3579</v>
      </c>
      <c r="Q135" s="43"/>
      <c r="R135" s="42" t="s">
        <v>3563</v>
      </c>
      <c r="S135" s="42" t="s">
        <v>3609</v>
      </c>
      <c r="T135" s="42" t="s">
        <v>3610</v>
      </c>
      <c r="U135" s="42" t="s">
        <v>4464</v>
      </c>
      <c r="V135" s="42" t="s">
        <v>10218</v>
      </c>
      <c r="W135" s="42" t="s">
        <v>3571</v>
      </c>
      <c r="X135" s="42" t="s">
        <v>3569</v>
      </c>
      <c r="Y135" s="41">
        <v>10.0</v>
      </c>
      <c r="Z135" s="48" t="s">
        <v>3559</v>
      </c>
    </row>
    <row r="136">
      <c r="A136" s="35" t="s">
        <v>4489</v>
      </c>
      <c r="B136" s="35" t="s">
        <v>3242</v>
      </c>
      <c r="C136" s="35" t="s">
        <v>4485</v>
      </c>
      <c r="D136" s="35" t="s">
        <v>485</v>
      </c>
      <c r="E136" s="35" t="s">
        <v>10011</v>
      </c>
      <c r="F136" s="35" t="s">
        <v>4496</v>
      </c>
      <c r="G136" s="35" t="s">
        <v>4497</v>
      </c>
      <c r="H136" s="35" t="s">
        <v>485</v>
      </c>
      <c r="I136" s="34"/>
      <c r="J136" s="32">
        <v>3303403.0</v>
      </c>
      <c r="K136" s="35" t="s">
        <v>41</v>
      </c>
      <c r="L136" s="37"/>
      <c r="M136" s="37"/>
      <c r="N136" s="35" t="s">
        <v>3248</v>
      </c>
      <c r="O136" s="35" t="s">
        <v>4494</v>
      </c>
      <c r="P136" s="35" t="s">
        <v>3579</v>
      </c>
      <c r="Q136" s="34"/>
      <c r="R136" s="35" t="s">
        <v>3563</v>
      </c>
      <c r="S136" s="35" t="s">
        <v>3564</v>
      </c>
      <c r="T136" s="35" t="s">
        <v>3565</v>
      </c>
      <c r="U136" s="35" t="s">
        <v>4487</v>
      </c>
      <c r="V136" s="35" t="s">
        <v>10219</v>
      </c>
      <c r="W136" s="35" t="s">
        <v>3571</v>
      </c>
      <c r="X136" s="35" t="s">
        <v>3569</v>
      </c>
      <c r="Y136" s="32">
        <v>19.0</v>
      </c>
      <c r="Z136" s="40" t="s">
        <v>3559</v>
      </c>
    </row>
    <row r="137">
      <c r="A137" s="42" t="s">
        <v>4513</v>
      </c>
      <c r="B137" s="42" t="s">
        <v>632</v>
      </c>
      <c r="C137" s="42" t="s">
        <v>4509</v>
      </c>
      <c r="D137" s="42" t="s">
        <v>10220</v>
      </c>
      <c r="E137" s="42" t="s">
        <v>10015</v>
      </c>
      <c r="F137" s="42" t="s">
        <v>10221</v>
      </c>
      <c r="G137" s="42" t="s">
        <v>10222</v>
      </c>
      <c r="H137" s="42" t="s">
        <v>10220</v>
      </c>
      <c r="I137" s="43"/>
      <c r="J137" s="45"/>
      <c r="K137" s="42" t="s">
        <v>10223</v>
      </c>
      <c r="L137" s="45"/>
      <c r="M137" s="45"/>
      <c r="N137" s="42" t="s">
        <v>639</v>
      </c>
      <c r="O137" s="42" t="s">
        <v>4518</v>
      </c>
      <c r="P137" s="42" t="s">
        <v>4519</v>
      </c>
      <c r="Q137" s="42" t="s">
        <v>10224</v>
      </c>
      <c r="R137" s="42" t="s">
        <v>3563</v>
      </c>
      <c r="S137" s="42" t="s">
        <v>3609</v>
      </c>
      <c r="T137" s="42" t="s">
        <v>4050</v>
      </c>
      <c r="U137" s="42" t="s">
        <v>4511</v>
      </c>
      <c r="V137" s="42" t="s">
        <v>10225</v>
      </c>
      <c r="W137" s="42" t="s">
        <v>3571</v>
      </c>
      <c r="X137" s="42" t="s">
        <v>3569</v>
      </c>
      <c r="Y137" s="41">
        <v>330.0</v>
      </c>
      <c r="Z137" s="48" t="s">
        <v>3559</v>
      </c>
    </row>
    <row r="138">
      <c r="A138" s="35" t="s">
        <v>4513</v>
      </c>
      <c r="B138" s="35" t="s">
        <v>632</v>
      </c>
      <c r="C138" s="35" t="s">
        <v>4509</v>
      </c>
      <c r="D138" s="35" t="s">
        <v>111</v>
      </c>
      <c r="E138" s="35" t="s">
        <v>10015</v>
      </c>
      <c r="F138" s="35" t="s">
        <v>10226</v>
      </c>
      <c r="G138" s="35" t="s">
        <v>10227</v>
      </c>
      <c r="H138" s="35" t="s">
        <v>111</v>
      </c>
      <c r="I138" s="35" t="s">
        <v>112</v>
      </c>
      <c r="J138" s="37"/>
      <c r="K138" s="35" t="s">
        <v>60</v>
      </c>
      <c r="L138" s="37"/>
      <c r="M138" s="37"/>
      <c r="N138" s="35" t="s">
        <v>639</v>
      </c>
      <c r="O138" s="35" t="s">
        <v>4518</v>
      </c>
      <c r="P138" s="35" t="s">
        <v>4519</v>
      </c>
      <c r="Q138" s="35" t="s">
        <v>10224</v>
      </c>
      <c r="R138" s="35" t="s">
        <v>3563</v>
      </c>
      <c r="S138" s="35" t="s">
        <v>3609</v>
      </c>
      <c r="T138" s="35" t="s">
        <v>4050</v>
      </c>
      <c r="U138" s="35" t="s">
        <v>4511</v>
      </c>
      <c r="V138" s="35" t="s">
        <v>10225</v>
      </c>
      <c r="W138" s="35" t="s">
        <v>3571</v>
      </c>
      <c r="X138" s="35" t="s">
        <v>3569</v>
      </c>
      <c r="Y138" s="32">
        <v>330.0</v>
      </c>
      <c r="Z138" s="40" t="s">
        <v>3559</v>
      </c>
    </row>
    <row r="139">
      <c r="A139" s="42" t="s">
        <v>4513</v>
      </c>
      <c r="B139" s="42" t="s">
        <v>632</v>
      </c>
      <c r="C139" s="42" t="s">
        <v>4509</v>
      </c>
      <c r="D139" s="42" t="s">
        <v>485</v>
      </c>
      <c r="E139" s="42" t="s">
        <v>10008</v>
      </c>
      <c r="F139" s="42" t="s">
        <v>10228</v>
      </c>
      <c r="G139" s="43"/>
      <c r="H139" s="42" t="s">
        <v>485</v>
      </c>
      <c r="I139" s="43"/>
      <c r="J139" s="45"/>
      <c r="K139" s="42" t="s">
        <v>41</v>
      </c>
      <c r="L139" s="45"/>
      <c r="M139" s="45"/>
      <c r="N139" s="42" t="s">
        <v>639</v>
      </c>
      <c r="O139" s="42" t="s">
        <v>4518</v>
      </c>
      <c r="P139" s="42" t="s">
        <v>4519</v>
      </c>
      <c r="Q139" s="42" t="s">
        <v>10224</v>
      </c>
      <c r="R139" s="42" t="s">
        <v>3563</v>
      </c>
      <c r="S139" s="42" t="s">
        <v>3609</v>
      </c>
      <c r="T139" s="42" t="s">
        <v>4050</v>
      </c>
      <c r="U139" s="42" t="s">
        <v>4511</v>
      </c>
      <c r="V139" s="42" t="s">
        <v>10225</v>
      </c>
      <c r="W139" s="42" t="s">
        <v>3571</v>
      </c>
      <c r="X139" s="42" t="s">
        <v>3569</v>
      </c>
      <c r="Y139" s="41">
        <v>330.0</v>
      </c>
      <c r="Z139" s="48" t="s">
        <v>3559</v>
      </c>
    </row>
    <row r="140">
      <c r="A140" s="35" t="s">
        <v>4513</v>
      </c>
      <c r="B140" s="35" t="s">
        <v>632</v>
      </c>
      <c r="C140" s="35" t="s">
        <v>4509</v>
      </c>
      <c r="D140" s="35" t="s">
        <v>147</v>
      </c>
      <c r="E140" s="35" t="s">
        <v>10008</v>
      </c>
      <c r="F140" s="35" t="s">
        <v>10229</v>
      </c>
      <c r="G140" s="34"/>
      <c r="H140" s="35" t="s">
        <v>147</v>
      </c>
      <c r="I140" s="34"/>
      <c r="J140" s="37"/>
      <c r="K140" s="35" t="s">
        <v>41</v>
      </c>
      <c r="L140" s="37"/>
      <c r="M140" s="37"/>
      <c r="N140" s="35" t="s">
        <v>639</v>
      </c>
      <c r="O140" s="35" t="s">
        <v>4518</v>
      </c>
      <c r="P140" s="35" t="s">
        <v>4519</v>
      </c>
      <c r="Q140" s="35" t="s">
        <v>10224</v>
      </c>
      <c r="R140" s="35" t="s">
        <v>3563</v>
      </c>
      <c r="S140" s="35" t="s">
        <v>3609</v>
      </c>
      <c r="T140" s="35" t="s">
        <v>4050</v>
      </c>
      <c r="U140" s="35" t="s">
        <v>4511</v>
      </c>
      <c r="V140" s="35" t="s">
        <v>10225</v>
      </c>
      <c r="W140" s="35" t="s">
        <v>3571</v>
      </c>
      <c r="X140" s="35" t="s">
        <v>3569</v>
      </c>
      <c r="Y140" s="32">
        <v>330.0</v>
      </c>
      <c r="Z140" s="40" t="s">
        <v>3559</v>
      </c>
    </row>
    <row r="141">
      <c r="A141" s="42" t="s">
        <v>4513</v>
      </c>
      <c r="B141" s="42" t="s">
        <v>632</v>
      </c>
      <c r="C141" s="42" t="s">
        <v>4509</v>
      </c>
      <c r="D141" s="42" t="s">
        <v>10117</v>
      </c>
      <c r="E141" s="42" t="s">
        <v>10008</v>
      </c>
      <c r="F141" s="42" t="s">
        <v>3958</v>
      </c>
      <c r="G141" s="43"/>
      <c r="H141" s="42" t="s">
        <v>137</v>
      </c>
      <c r="I141" s="43"/>
      <c r="J141" s="45"/>
      <c r="K141" s="42" t="s">
        <v>41</v>
      </c>
      <c r="L141" s="45"/>
      <c r="M141" s="45"/>
      <c r="N141" s="42" t="s">
        <v>639</v>
      </c>
      <c r="O141" s="42" t="s">
        <v>4518</v>
      </c>
      <c r="P141" s="42" t="s">
        <v>4519</v>
      </c>
      <c r="Q141" s="42" t="s">
        <v>10224</v>
      </c>
      <c r="R141" s="42" t="s">
        <v>3563</v>
      </c>
      <c r="S141" s="42" t="s">
        <v>3609</v>
      </c>
      <c r="T141" s="42" t="s">
        <v>4050</v>
      </c>
      <c r="U141" s="42" t="s">
        <v>4511</v>
      </c>
      <c r="V141" s="42" t="s">
        <v>10225</v>
      </c>
      <c r="W141" s="42" t="s">
        <v>3571</v>
      </c>
      <c r="X141" s="42" t="s">
        <v>3569</v>
      </c>
      <c r="Y141" s="41">
        <v>330.0</v>
      </c>
      <c r="Z141" s="48" t="s">
        <v>3559</v>
      </c>
    </row>
    <row r="142">
      <c r="A142" s="35" t="s">
        <v>4513</v>
      </c>
      <c r="B142" s="35" t="s">
        <v>632</v>
      </c>
      <c r="C142" s="35" t="s">
        <v>4509</v>
      </c>
      <c r="D142" s="35" t="s">
        <v>452</v>
      </c>
      <c r="E142" s="35" t="s">
        <v>10008</v>
      </c>
      <c r="F142" s="35" t="s">
        <v>10230</v>
      </c>
      <c r="G142" s="34"/>
      <c r="H142" s="35" t="s">
        <v>452</v>
      </c>
      <c r="I142" s="34"/>
      <c r="J142" s="37"/>
      <c r="K142" s="35" t="s">
        <v>41</v>
      </c>
      <c r="L142" s="37"/>
      <c r="M142" s="37"/>
      <c r="N142" s="35" t="s">
        <v>639</v>
      </c>
      <c r="O142" s="35" t="s">
        <v>4518</v>
      </c>
      <c r="P142" s="35" t="s">
        <v>4519</v>
      </c>
      <c r="Q142" s="35" t="s">
        <v>10224</v>
      </c>
      <c r="R142" s="35" t="s">
        <v>3563</v>
      </c>
      <c r="S142" s="35" t="s">
        <v>3609</v>
      </c>
      <c r="T142" s="35" t="s">
        <v>4050</v>
      </c>
      <c r="U142" s="35" t="s">
        <v>4511</v>
      </c>
      <c r="V142" s="35" t="s">
        <v>10225</v>
      </c>
      <c r="W142" s="35" t="s">
        <v>3571</v>
      </c>
      <c r="X142" s="35" t="s">
        <v>3569</v>
      </c>
      <c r="Y142" s="32">
        <v>330.0</v>
      </c>
      <c r="Z142" s="40" t="s">
        <v>3559</v>
      </c>
    </row>
    <row r="143">
      <c r="A143" s="42" t="s">
        <v>4513</v>
      </c>
      <c r="B143" s="42" t="s">
        <v>632</v>
      </c>
      <c r="C143" s="42" t="s">
        <v>4509</v>
      </c>
      <c r="D143" s="42" t="s">
        <v>10113</v>
      </c>
      <c r="E143" s="42" t="s">
        <v>10015</v>
      </c>
      <c r="F143" s="42" t="s">
        <v>10231</v>
      </c>
      <c r="G143" s="43"/>
      <c r="H143" s="42" t="s">
        <v>10113</v>
      </c>
      <c r="I143" s="43"/>
      <c r="J143" s="41" t="s">
        <v>10232</v>
      </c>
      <c r="K143" s="42" t="s">
        <v>10027</v>
      </c>
      <c r="L143" s="45"/>
      <c r="M143" s="45"/>
      <c r="N143" s="42" t="s">
        <v>639</v>
      </c>
      <c r="O143" s="42" t="s">
        <v>4518</v>
      </c>
      <c r="P143" s="42" t="s">
        <v>4519</v>
      </c>
      <c r="Q143" s="42" t="s">
        <v>10224</v>
      </c>
      <c r="R143" s="42" t="s">
        <v>3563</v>
      </c>
      <c r="S143" s="42" t="s">
        <v>3609</v>
      </c>
      <c r="T143" s="42" t="s">
        <v>4050</v>
      </c>
      <c r="U143" s="42" t="s">
        <v>4511</v>
      </c>
      <c r="V143" s="42" t="s">
        <v>10225</v>
      </c>
      <c r="W143" s="42" t="s">
        <v>3571</v>
      </c>
      <c r="X143" s="42" t="s">
        <v>3569</v>
      </c>
      <c r="Y143" s="41">
        <v>330.0</v>
      </c>
      <c r="Z143" s="48" t="s">
        <v>3559</v>
      </c>
    </row>
    <row r="144">
      <c r="A144" s="35" t="s">
        <v>4513</v>
      </c>
      <c r="B144" s="35" t="s">
        <v>632</v>
      </c>
      <c r="C144" s="35" t="s">
        <v>4509</v>
      </c>
      <c r="D144" s="35" t="s">
        <v>10045</v>
      </c>
      <c r="E144" s="35" t="s">
        <v>10015</v>
      </c>
      <c r="F144" s="35" t="s">
        <v>10233</v>
      </c>
      <c r="G144" s="35" t="s">
        <v>10234</v>
      </c>
      <c r="H144" s="35" t="s">
        <v>10045</v>
      </c>
      <c r="I144" s="34"/>
      <c r="J144" s="37"/>
      <c r="K144" s="35" t="s">
        <v>10028</v>
      </c>
      <c r="L144" s="37"/>
      <c r="M144" s="37"/>
      <c r="N144" s="35" t="s">
        <v>639</v>
      </c>
      <c r="O144" s="35" t="s">
        <v>4518</v>
      </c>
      <c r="P144" s="35" t="s">
        <v>4519</v>
      </c>
      <c r="Q144" s="35" t="s">
        <v>10224</v>
      </c>
      <c r="R144" s="35" t="s">
        <v>3563</v>
      </c>
      <c r="S144" s="35" t="s">
        <v>3609</v>
      </c>
      <c r="T144" s="35" t="s">
        <v>4050</v>
      </c>
      <c r="U144" s="35" t="s">
        <v>4511</v>
      </c>
      <c r="V144" s="35" t="s">
        <v>10225</v>
      </c>
      <c r="W144" s="35" t="s">
        <v>3571</v>
      </c>
      <c r="X144" s="35" t="s">
        <v>3569</v>
      </c>
      <c r="Y144" s="32">
        <v>330.0</v>
      </c>
      <c r="Z144" s="40" t="s">
        <v>3559</v>
      </c>
    </row>
    <row r="145">
      <c r="A145" s="42" t="s">
        <v>4513</v>
      </c>
      <c r="B145" s="42" t="s">
        <v>632</v>
      </c>
      <c r="C145" s="42" t="s">
        <v>4509</v>
      </c>
      <c r="D145" s="42" t="s">
        <v>638</v>
      </c>
      <c r="E145" s="42" t="s">
        <v>10011</v>
      </c>
      <c r="F145" s="42" t="s">
        <v>4521</v>
      </c>
      <c r="G145" s="43"/>
      <c r="H145" s="42" t="s">
        <v>638</v>
      </c>
      <c r="I145" s="43"/>
      <c r="J145" s="41">
        <v>5623108.0</v>
      </c>
      <c r="K145" s="42" t="s">
        <v>41</v>
      </c>
      <c r="L145" s="45"/>
      <c r="M145" s="45"/>
      <c r="N145" s="42" t="s">
        <v>639</v>
      </c>
      <c r="O145" s="42" t="s">
        <v>4518</v>
      </c>
      <c r="P145" s="42" t="s">
        <v>4519</v>
      </c>
      <c r="Q145" s="42" t="s">
        <v>10224</v>
      </c>
      <c r="R145" s="42" t="s">
        <v>3563</v>
      </c>
      <c r="S145" s="42" t="s">
        <v>3609</v>
      </c>
      <c r="T145" s="42" t="s">
        <v>4050</v>
      </c>
      <c r="U145" s="42" t="s">
        <v>4511</v>
      </c>
      <c r="V145" s="42" t="s">
        <v>10225</v>
      </c>
      <c r="W145" s="42" t="s">
        <v>3571</v>
      </c>
      <c r="X145" s="42" t="s">
        <v>3569</v>
      </c>
      <c r="Y145" s="41">
        <v>330.0</v>
      </c>
      <c r="Z145" s="48" t="s">
        <v>3559</v>
      </c>
    </row>
    <row r="146">
      <c r="A146" s="35" t="s">
        <v>4539</v>
      </c>
      <c r="B146" s="35" t="s">
        <v>954</v>
      </c>
      <c r="C146" s="35" t="s">
        <v>4536</v>
      </c>
      <c r="D146" s="35" t="s">
        <v>10026</v>
      </c>
      <c r="E146" s="35" t="s">
        <v>10008</v>
      </c>
      <c r="F146" s="34"/>
      <c r="G146" s="34"/>
      <c r="H146" s="35" t="s">
        <v>10026</v>
      </c>
      <c r="I146" s="34"/>
      <c r="J146" s="37"/>
      <c r="K146" s="35" t="s">
        <v>10027</v>
      </c>
      <c r="L146" s="37"/>
      <c r="M146" s="37"/>
      <c r="N146" s="35" t="s">
        <v>960</v>
      </c>
      <c r="O146" s="35" t="s">
        <v>4544</v>
      </c>
      <c r="P146" s="35" t="s">
        <v>4545</v>
      </c>
      <c r="Q146" s="34"/>
      <c r="R146" s="35" t="s">
        <v>3563</v>
      </c>
      <c r="S146" s="35" t="s">
        <v>3564</v>
      </c>
      <c r="T146" s="35" t="s">
        <v>3565</v>
      </c>
      <c r="U146" s="35" t="s">
        <v>3567</v>
      </c>
      <c r="V146" s="35" t="s">
        <v>10235</v>
      </c>
      <c r="W146" s="35" t="s">
        <v>3571</v>
      </c>
      <c r="X146" s="35" t="s">
        <v>3569</v>
      </c>
      <c r="Y146" s="32">
        <v>141.0</v>
      </c>
      <c r="Z146" s="40" t="s">
        <v>3559</v>
      </c>
    </row>
    <row r="147">
      <c r="A147" s="42" t="s">
        <v>4539</v>
      </c>
      <c r="B147" s="42" t="s">
        <v>954</v>
      </c>
      <c r="C147" s="42" t="s">
        <v>4536</v>
      </c>
      <c r="D147" s="42" t="s">
        <v>10018</v>
      </c>
      <c r="E147" s="42" t="s">
        <v>10008</v>
      </c>
      <c r="F147" s="43"/>
      <c r="G147" s="43"/>
      <c r="H147" s="42" t="s">
        <v>10018</v>
      </c>
      <c r="I147" s="43"/>
      <c r="J147" s="45"/>
      <c r="K147" s="42" t="s">
        <v>465</v>
      </c>
      <c r="L147" s="45"/>
      <c r="M147" s="45"/>
      <c r="N147" s="42" t="s">
        <v>960</v>
      </c>
      <c r="O147" s="42" t="s">
        <v>4544</v>
      </c>
      <c r="P147" s="42" t="s">
        <v>4545</v>
      </c>
      <c r="Q147" s="43"/>
      <c r="R147" s="42" t="s">
        <v>3563</v>
      </c>
      <c r="S147" s="42" t="s">
        <v>3564</v>
      </c>
      <c r="T147" s="42" t="s">
        <v>3565</v>
      </c>
      <c r="U147" s="42" t="s">
        <v>3567</v>
      </c>
      <c r="V147" s="42" t="s">
        <v>10235</v>
      </c>
      <c r="W147" s="42" t="s">
        <v>3571</v>
      </c>
      <c r="X147" s="42" t="s">
        <v>3569</v>
      </c>
      <c r="Y147" s="41">
        <v>141.0</v>
      </c>
      <c r="Z147" s="48" t="s">
        <v>3559</v>
      </c>
    </row>
    <row r="148">
      <c r="A148" s="35" t="s">
        <v>4539</v>
      </c>
      <c r="B148" s="35" t="s">
        <v>954</v>
      </c>
      <c r="C148" s="35" t="s">
        <v>4536</v>
      </c>
      <c r="D148" s="35" t="s">
        <v>616</v>
      </c>
      <c r="E148" s="35" t="s">
        <v>10011</v>
      </c>
      <c r="F148" s="35" t="s">
        <v>4547</v>
      </c>
      <c r="G148" s="34"/>
      <c r="H148" s="35" t="s">
        <v>616</v>
      </c>
      <c r="I148" s="34"/>
      <c r="J148" s="37"/>
      <c r="K148" s="35" t="s">
        <v>41</v>
      </c>
      <c r="L148" s="37"/>
      <c r="M148" s="37"/>
      <c r="N148" s="35" t="s">
        <v>960</v>
      </c>
      <c r="O148" s="35" t="s">
        <v>4544</v>
      </c>
      <c r="P148" s="35" t="s">
        <v>4545</v>
      </c>
      <c r="Q148" s="34"/>
      <c r="R148" s="35" t="s">
        <v>3563</v>
      </c>
      <c r="S148" s="35" t="s">
        <v>3564</v>
      </c>
      <c r="T148" s="35" t="s">
        <v>3565</v>
      </c>
      <c r="U148" s="35" t="s">
        <v>3567</v>
      </c>
      <c r="V148" s="35" t="s">
        <v>10235</v>
      </c>
      <c r="W148" s="35" t="s">
        <v>3571</v>
      </c>
      <c r="X148" s="35" t="s">
        <v>3569</v>
      </c>
      <c r="Y148" s="32">
        <v>141.0</v>
      </c>
      <c r="Z148" s="40" t="s">
        <v>3559</v>
      </c>
    </row>
    <row r="149">
      <c r="A149" s="42" t="s">
        <v>4539</v>
      </c>
      <c r="B149" s="42" t="s">
        <v>954</v>
      </c>
      <c r="C149" s="42" t="s">
        <v>4536</v>
      </c>
      <c r="D149" s="42" t="s">
        <v>10063</v>
      </c>
      <c r="E149" s="42" t="s">
        <v>10008</v>
      </c>
      <c r="F149" s="43"/>
      <c r="G149" s="43"/>
      <c r="H149" s="42" t="s">
        <v>10063</v>
      </c>
      <c r="I149" s="42" t="s">
        <v>1431</v>
      </c>
      <c r="J149" s="45"/>
      <c r="K149" s="42" t="s">
        <v>60</v>
      </c>
      <c r="L149" s="45"/>
      <c r="M149" s="45"/>
      <c r="N149" s="42" t="s">
        <v>960</v>
      </c>
      <c r="O149" s="42" t="s">
        <v>4544</v>
      </c>
      <c r="P149" s="42" t="s">
        <v>4545</v>
      </c>
      <c r="Q149" s="43"/>
      <c r="R149" s="42" t="s">
        <v>3563</v>
      </c>
      <c r="S149" s="42" t="s">
        <v>3564</v>
      </c>
      <c r="T149" s="42" t="s">
        <v>3565</v>
      </c>
      <c r="U149" s="42" t="s">
        <v>3567</v>
      </c>
      <c r="V149" s="42" t="s">
        <v>10235</v>
      </c>
      <c r="W149" s="42" t="s">
        <v>3571</v>
      </c>
      <c r="X149" s="42" t="s">
        <v>3569</v>
      </c>
      <c r="Y149" s="41">
        <v>141.0</v>
      </c>
      <c r="Z149" s="48" t="s">
        <v>3559</v>
      </c>
    </row>
    <row r="150">
      <c r="A150" s="35" t="s">
        <v>4539</v>
      </c>
      <c r="B150" s="35" t="s">
        <v>954</v>
      </c>
      <c r="C150" s="35" t="s">
        <v>4536</v>
      </c>
      <c r="D150" s="35" t="s">
        <v>10236</v>
      </c>
      <c r="E150" s="35" t="s">
        <v>10008</v>
      </c>
      <c r="F150" s="34"/>
      <c r="G150" s="34"/>
      <c r="H150" s="35" t="s">
        <v>10236</v>
      </c>
      <c r="I150" s="34"/>
      <c r="J150" s="37"/>
      <c r="K150" s="35" t="s">
        <v>10223</v>
      </c>
      <c r="L150" s="37"/>
      <c r="M150" s="37"/>
      <c r="N150" s="35" t="s">
        <v>960</v>
      </c>
      <c r="O150" s="35" t="s">
        <v>4544</v>
      </c>
      <c r="P150" s="35" t="s">
        <v>4545</v>
      </c>
      <c r="Q150" s="34"/>
      <c r="R150" s="35" t="s">
        <v>3563</v>
      </c>
      <c r="S150" s="35" t="s">
        <v>3564</v>
      </c>
      <c r="T150" s="35" t="s">
        <v>3565</v>
      </c>
      <c r="U150" s="35" t="s">
        <v>3567</v>
      </c>
      <c r="V150" s="35" t="s">
        <v>10235</v>
      </c>
      <c r="W150" s="35" t="s">
        <v>3571</v>
      </c>
      <c r="X150" s="35" t="s">
        <v>3569</v>
      </c>
      <c r="Y150" s="32">
        <v>141.0</v>
      </c>
      <c r="Z150" s="40" t="s">
        <v>3559</v>
      </c>
    </row>
    <row r="151">
      <c r="A151" s="42" t="s">
        <v>4539</v>
      </c>
      <c r="B151" s="42" t="s">
        <v>954</v>
      </c>
      <c r="C151" s="42" t="s">
        <v>4536</v>
      </c>
      <c r="D151" s="42" t="s">
        <v>75</v>
      </c>
      <c r="E151" s="42" t="s">
        <v>10008</v>
      </c>
      <c r="F151" s="42" t="s">
        <v>3582</v>
      </c>
      <c r="G151" s="43"/>
      <c r="H151" s="42" t="s">
        <v>75</v>
      </c>
      <c r="I151" s="43"/>
      <c r="J151" s="45"/>
      <c r="K151" s="42" t="s">
        <v>41</v>
      </c>
      <c r="L151" s="45" t="str">
        <f>+972 (0)51 240 4040</f>
        <v>#ERROR!</v>
      </c>
      <c r="M151" s="45"/>
      <c r="N151" s="42" t="s">
        <v>960</v>
      </c>
      <c r="O151" s="42" t="s">
        <v>4544</v>
      </c>
      <c r="P151" s="42" t="s">
        <v>4545</v>
      </c>
      <c r="Q151" s="43"/>
      <c r="R151" s="42" t="s">
        <v>3563</v>
      </c>
      <c r="S151" s="42" t="s">
        <v>3564</v>
      </c>
      <c r="T151" s="42" t="s">
        <v>3565</v>
      </c>
      <c r="U151" s="42" t="s">
        <v>3567</v>
      </c>
      <c r="V151" s="42" t="s">
        <v>10235</v>
      </c>
      <c r="W151" s="42" t="s">
        <v>3571</v>
      </c>
      <c r="X151" s="42" t="s">
        <v>3569</v>
      </c>
      <c r="Y151" s="41">
        <v>141.0</v>
      </c>
      <c r="Z151" s="48" t="s">
        <v>3559</v>
      </c>
    </row>
    <row r="152">
      <c r="A152" s="35" t="s">
        <v>4539</v>
      </c>
      <c r="B152" s="35" t="s">
        <v>954</v>
      </c>
      <c r="C152" s="35" t="s">
        <v>4536</v>
      </c>
      <c r="D152" s="35" t="s">
        <v>10045</v>
      </c>
      <c r="E152" s="35" t="s">
        <v>10008</v>
      </c>
      <c r="F152" s="34"/>
      <c r="G152" s="34"/>
      <c r="H152" s="35" t="s">
        <v>10045</v>
      </c>
      <c r="I152" s="34"/>
      <c r="J152" s="37"/>
      <c r="K152" s="35" t="s">
        <v>10028</v>
      </c>
      <c r="L152" s="37"/>
      <c r="M152" s="37"/>
      <c r="N152" s="35" t="s">
        <v>960</v>
      </c>
      <c r="O152" s="35" t="s">
        <v>4544</v>
      </c>
      <c r="P152" s="35" t="s">
        <v>4545</v>
      </c>
      <c r="Q152" s="34"/>
      <c r="R152" s="35" t="s">
        <v>3563</v>
      </c>
      <c r="S152" s="35" t="s">
        <v>3564</v>
      </c>
      <c r="T152" s="35" t="s">
        <v>3565</v>
      </c>
      <c r="U152" s="35" t="s">
        <v>3567</v>
      </c>
      <c r="V152" s="35" t="s">
        <v>10235</v>
      </c>
      <c r="W152" s="35" t="s">
        <v>3571</v>
      </c>
      <c r="X152" s="35" t="s">
        <v>3569</v>
      </c>
      <c r="Y152" s="32">
        <v>141.0</v>
      </c>
      <c r="Z152" s="40" t="s">
        <v>3559</v>
      </c>
    </row>
    <row r="153">
      <c r="A153" s="42" t="s">
        <v>4565</v>
      </c>
      <c r="B153" s="42" t="s">
        <v>897</v>
      </c>
      <c r="C153" s="42" t="s">
        <v>4559</v>
      </c>
      <c r="D153" s="42" t="s">
        <v>75</v>
      </c>
      <c r="E153" s="42" t="s">
        <v>10011</v>
      </c>
      <c r="F153" s="42" t="s">
        <v>4571</v>
      </c>
      <c r="G153" s="43"/>
      <c r="H153" s="42" t="s">
        <v>75</v>
      </c>
      <c r="I153" s="43"/>
      <c r="J153" s="45"/>
      <c r="K153" s="42" t="s">
        <v>41</v>
      </c>
      <c r="L153" s="45" t="str">
        <f>+972 (0)54 435 0592</f>
        <v>#ERROR!</v>
      </c>
      <c r="M153" s="45" t="str">
        <f>+972 (0)77 317 9258</f>
        <v>#ERROR!</v>
      </c>
      <c r="N153" s="42" t="s">
        <v>903</v>
      </c>
      <c r="O153" s="42" t="s">
        <v>10237</v>
      </c>
      <c r="P153" s="42" t="s">
        <v>3685</v>
      </c>
      <c r="Q153" s="43"/>
      <c r="R153" s="42" t="s">
        <v>4560</v>
      </c>
      <c r="S153" s="42" t="s">
        <v>4561</v>
      </c>
      <c r="T153" s="42" t="s">
        <v>66</v>
      </c>
      <c r="U153" s="42" t="s">
        <v>4563</v>
      </c>
      <c r="V153" s="42" t="s">
        <v>4562</v>
      </c>
      <c r="W153" s="42" t="s">
        <v>3571</v>
      </c>
      <c r="X153" s="42" t="s">
        <v>3569</v>
      </c>
      <c r="Y153" s="41">
        <v>15.0</v>
      </c>
      <c r="Z153" s="48" t="s">
        <v>3559</v>
      </c>
    </row>
    <row r="154">
      <c r="A154" s="35" t="s">
        <v>4589</v>
      </c>
      <c r="B154" s="35" t="s">
        <v>3326</v>
      </c>
      <c r="C154" s="35" t="s">
        <v>4585</v>
      </c>
      <c r="D154" s="35" t="s">
        <v>10238</v>
      </c>
      <c r="E154" s="35" t="s">
        <v>10015</v>
      </c>
      <c r="F154" s="35" t="s">
        <v>10239</v>
      </c>
      <c r="G154" s="35" t="s">
        <v>10240</v>
      </c>
      <c r="H154" s="35" t="s">
        <v>10238</v>
      </c>
      <c r="I154" s="34"/>
      <c r="J154" s="32">
        <v>560102.0</v>
      </c>
      <c r="K154" s="35" t="s">
        <v>10241</v>
      </c>
      <c r="L154" s="37" t="str">
        <f>+91 (0)96 8655 0247</f>
        <v>#ERROR!</v>
      </c>
      <c r="M154" s="37"/>
      <c r="N154" s="35" t="s">
        <v>10242</v>
      </c>
      <c r="O154" s="35" t="s">
        <v>4594</v>
      </c>
      <c r="P154" s="35" t="s">
        <v>3579</v>
      </c>
      <c r="Q154" s="34"/>
      <c r="R154" s="35" t="s">
        <v>4560</v>
      </c>
      <c r="S154" s="35" t="s">
        <v>4561</v>
      </c>
      <c r="T154" s="35" t="s">
        <v>66</v>
      </c>
      <c r="U154" s="35" t="s">
        <v>4587</v>
      </c>
      <c r="V154" s="35" t="s">
        <v>10243</v>
      </c>
      <c r="W154" s="35" t="s">
        <v>3571</v>
      </c>
      <c r="X154" s="35" t="s">
        <v>3569</v>
      </c>
      <c r="Y154" s="32">
        <v>88.0</v>
      </c>
      <c r="Z154" s="40" t="s">
        <v>3559</v>
      </c>
    </row>
    <row r="155">
      <c r="A155" s="42" t="s">
        <v>4589</v>
      </c>
      <c r="B155" s="42" t="s">
        <v>3326</v>
      </c>
      <c r="C155" s="42" t="s">
        <v>4585</v>
      </c>
      <c r="D155" s="42" t="s">
        <v>10201</v>
      </c>
      <c r="E155" s="42" t="s">
        <v>10008</v>
      </c>
      <c r="F155" s="42" t="s">
        <v>10244</v>
      </c>
      <c r="G155" s="42" t="s">
        <v>10245</v>
      </c>
      <c r="H155" s="42" t="s">
        <v>10201</v>
      </c>
      <c r="I155" s="43"/>
      <c r="J155" s="41">
        <v>8040.0</v>
      </c>
      <c r="K155" s="42" t="s">
        <v>10073</v>
      </c>
      <c r="L155" s="45"/>
      <c r="M155" s="45"/>
      <c r="N155" s="42" t="s">
        <v>10246</v>
      </c>
      <c r="O155" s="42" t="s">
        <v>4594</v>
      </c>
      <c r="P155" s="42" t="s">
        <v>3579</v>
      </c>
      <c r="Q155" s="43"/>
      <c r="R155" s="42" t="s">
        <v>4560</v>
      </c>
      <c r="S155" s="42" t="s">
        <v>4561</v>
      </c>
      <c r="T155" s="42" t="s">
        <v>66</v>
      </c>
      <c r="U155" s="42" t="s">
        <v>4587</v>
      </c>
      <c r="V155" s="42" t="s">
        <v>10243</v>
      </c>
      <c r="W155" s="42" t="s">
        <v>3571</v>
      </c>
      <c r="X155" s="42" t="s">
        <v>3569</v>
      </c>
      <c r="Y155" s="41">
        <v>88.0</v>
      </c>
      <c r="Z155" s="48" t="s">
        <v>3559</v>
      </c>
    </row>
    <row r="156">
      <c r="A156" s="35" t="s">
        <v>4589</v>
      </c>
      <c r="B156" s="35" t="s">
        <v>3326</v>
      </c>
      <c r="C156" s="35" t="s">
        <v>4585</v>
      </c>
      <c r="D156" s="35" t="s">
        <v>1037</v>
      </c>
      <c r="E156" s="35" t="s">
        <v>10011</v>
      </c>
      <c r="F156" s="35" t="s">
        <v>4369</v>
      </c>
      <c r="G156" s="35" t="s">
        <v>4596</v>
      </c>
      <c r="H156" s="35" t="s">
        <v>1037</v>
      </c>
      <c r="I156" s="34"/>
      <c r="J156" s="32">
        <v>7403649.0</v>
      </c>
      <c r="K156" s="35" t="s">
        <v>41</v>
      </c>
      <c r="L156" s="37" t="str">
        <f>+972 (0)72 241 5626</f>
        <v>#ERROR!</v>
      </c>
      <c r="M156" s="37"/>
      <c r="N156" s="35" t="s">
        <v>3331</v>
      </c>
      <c r="O156" s="35" t="s">
        <v>4594</v>
      </c>
      <c r="P156" s="35" t="s">
        <v>3579</v>
      </c>
      <c r="Q156" s="34"/>
      <c r="R156" s="35" t="s">
        <v>4560</v>
      </c>
      <c r="S156" s="35" t="s">
        <v>4561</v>
      </c>
      <c r="T156" s="35" t="s">
        <v>66</v>
      </c>
      <c r="U156" s="35" t="s">
        <v>4587</v>
      </c>
      <c r="V156" s="35" t="s">
        <v>10243</v>
      </c>
      <c r="W156" s="35" t="s">
        <v>3571</v>
      </c>
      <c r="X156" s="35" t="s">
        <v>3569</v>
      </c>
      <c r="Y156" s="32">
        <v>88.0</v>
      </c>
      <c r="Z156" s="40" t="s">
        <v>3559</v>
      </c>
    </row>
    <row r="157">
      <c r="A157" s="42" t="s">
        <v>4589</v>
      </c>
      <c r="B157" s="42" t="s">
        <v>3326</v>
      </c>
      <c r="C157" s="42" t="s">
        <v>4585</v>
      </c>
      <c r="D157" s="42" t="s">
        <v>75</v>
      </c>
      <c r="E157" s="42" t="s">
        <v>10008</v>
      </c>
      <c r="F157" s="42" t="s">
        <v>10247</v>
      </c>
      <c r="G157" s="43"/>
      <c r="H157" s="42" t="s">
        <v>75</v>
      </c>
      <c r="I157" s="43"/>
      <c r="J157" s="41">
        <v>7403649.0</v>
      </c>
      <c r="K157" s="42" t="s">
        <v>41</v>
      </c>
      <c r="L157" s="45" t="str">
        <f>+972 (0)72 241 5626</f>
        <v>#ERROR!</v>
      </c>
      <c r="M157" s="45"/>
      <c r="N157" s="42" t="s">
        <v>3331</v>
      </c>
      <c r="O157" s="42" t="s">
        <v>4594</v>
      </c>
      <c r="P157" s="42" t="s">
        <v>3579</v>
      </c>
      <c r="Q157" s="43"/>
      <c r="R157" s="42" t="s">
        <v>4560</v>
      </c>
      <c r="S157" s="42" t="s">
        <v>4561</v>
      </c>
      <c r="T157" s="42" t="s">
        <v>66</v>
      </c>
      <c r="U157" s="42" t="s">
        <v>4587</v>
      </c>
      <c r="V157" s="42" t="s">
        <v>10243</v>
      </c>
      <c r="W157" s="42" t="s">
        <v>3571</v>
      </c>
      <c r="X157" s="42" t="s">
        <v>3569</v>
      </c>
      <c r="Y157" s="41">
        <v>88.0</v>
      </c>
      <c r="Z157" s="48" t="s">
        <v>3559</v>
      </c>
    </row>
    <row r="158">
      <c r="A158" s="35" t="s">
        <v>4609</v>
      </c>
      <c r="B158" s="35" t="s">
        <v>3289</v>
      </c>
      <c r="C158" s="35" t="s">
        <v>4606</v>
      </c>
      <c r="D158" s="35" t="s">
        <v>552</v>
      </c>
      <c r="E158" s="35" t="s">
        <v>10011</v>
      </c>
      <c r="F158" s="35" t="s">
        <v>4616</v>
      </c>
      <c r="G158" s="34"/>
      <c r="H158" s="35" t="s">
        <v>552</v>
      </c>
      <c r="I158" s="34"/>
      <c r="J158" s="32">
        <v>4673304.0</v>
      </c>
      <c r="K158" s="35" t="s">
        <v>41</v>
      </c>
      <c r="L158" s="37" t="str">
        <f>+972 (0)54 520 2120</f>
        <v>#ERROR!</v>
      </c>
      <c r="M158" s="37"/>
      <c r="N158" s="35" t="s">
        <v>3296</v>
      </c>
      <c r="O158" s="35" t="s">
        <v>4613</v>
      </c>
      <c r="P158" s="35" t="s">
        <v>4614</v>
      </c>
      <c r="Q158" s="34"/>
      <c r="R158" s="35" t="s">
        <v>3867</v>
      </c>
      <c r="S158" s="35" t="s">
        <v>4199</v>
      </c>
      <c r="T158" s="35" t="s">
        <v>4200</v>
      </c>
      <c r="U158" s="35" t="s">
        <v>3612</v>
      </c>
      <c r="V158" s="35" t="s">
        <v>10248</v>
      </c>
      <c r="W158" s="35" t="s">
        <v>3571</v>
      </c>
      <c r="X158" s="35" t="s">
        <v>3569</v>
      </c>
      <c r="Y158" s="37"/>
      <c r="Z158" s="40" t="s">
        <v>3559</v>
      </c>
    </row>
    <row r="159">
      <c r="A159" s="77" t="s">
        <v>4609</v>
      </c>
      <c r="B159" s="77" t="s">
        <v>3289</v>
      </c>
      <c r="C159" s="77" t="s">
        <v>4606</v>
      </c>
      <c r="D159" s="77" t="s">
        <v>287</v>
      </c>
      <c r="E159" s="77" t="s">
        <v>10008</v>
      </c>
      <c r="F159" s="78"/>
      <c r="G159" s="78"/>
      <c r="H159" s="77" t="s">
        <v>287</v>
      </c>
      <c r="I159" s="77" t="s">
        <v>10032</v>
      </c>
      <c r="J159" s="79"/>
      <c r="K159" s="77" t="s">
        <v>211</v>
      </c>
      <c r="L159" s="79"/>
      <c r="M159" s="79"/>
      <c r="N159" s="77" t="s">
        <v>3296</v>
      </c>
      <c r="O159" s="77" t="s">
        <v>4613</v>
      </c>
      <c r="P159" s="77" t="s">
        <v>4614</v>
      </c>
      <c r="Q159" s="78"/>
      <c r="R159" s="77" t="s">
        <v>3867</v>
      </c>
      <c r="S159" s="77" t="s">
        <v>4199</v>
      </c>
      <c r="T159" s="77" t="s">
        <v>4200</v>
      </c>
      <c r="U159" s="77" t="s">
        <v>3612</v>
      </c>
      <c r="V159" s="77" t="s">
        <v>10248</v>
      </c>
      <c r="W159" s="77" t="s">
        <v>3571</v>
      </c>
      <c r="X159" s="77" t="s">
        <v>3569</v>
      </c>
      <c r="Y159" s="79"/>
      <c r="Z159" s="81" t="s">
        <v>3559</v>
      </c>
    </row>
    <row r="160">
      <c r="A160" s="35" t="s">
        <v>4609</v>
      </c>
      <c r="B160" s="35" t="s">
        <v>3289</v>
      </c>
      <c r="C160" s="35" t="s">
        <v>4606</v>
      </c>
      <c r="D160" s="35" t="s">
        <v>616</v>
      </c>
      <c r="E160" s="35" t="s">
        <v>10008</v>
      </c>
      <c r="F160" s="35" t="s">
        <v>10249</v>
      </c>
      <c r="G160" s="34"/>
      <c r="H160" s="35" t="s">
        <v>616</v>
      </c>
      <c r="I160" s="34"/>
      <c r="J160" s="32">
        <v>52572.0</v>
      </c>
      <c r="K160" s="35" t="s">
        <v>41</v>
      </c>
      <c r="L160" s="37"/>
      <c r="M160" s="37"/>
      <c r="N160" s="35" t="s">
        <v>3296</v>
      </c>
      <c r="O160" s="35" t="s">
        <v>4613</v>
      </c>
      <c r="P160" s="35" t="s">
        <v>4614</v>
      </c>
      <c r="Q160" s="34"/>
      <c r="R160" s="35" t="s">
        <v>3867</v>
      </c>
      <c r="S160" s="35" t="s">
        <v>4199</v>
      </c>
      <c r="T160" s="35" t="s">
        <v>4200</v>
      </c>
      <c r="U160" s="35" t="s">
        <v>3612</v>
      </c>
      <c r="V160" s="35" t="s">
        <v>10248</v>
      </c>
      <c r="W160" s="35" t="s">
        <v>3571</v>
      </c>
      <c r="X160" s="35" t="s">
        <v>3569</v>
      </c>
      <c r="Y160" s="37"/>
      <c r="Z160" s="40" t="s">
        <v>3559</v>
      </c>
    </row>
    <row r="161">
      <c r="A161" s="42" t="s">
        <v>4630</v>
      </c>
      <c r="B161" s="42" t="s">
        <v>4625</v>
      </c>
      <c r="C161" s="42" t="s">
        <v>4627</v>
      </c>
      <c r="D161" s="42" t="s">
        <v>75</v>
      </c>
      <c r="E161" s="42" t="s">
        <v>10011</v>
      </c>
      <c r="F161" s="42" t="s">
        <v>4637</v>
      </c>
      <c r="G161" s="43"/>
      <c r="H161" s="42" t="s">
        <v>75</v>
      </c>
      <c r="I161" s="43"/>
      <c r="J161" s="45"/>
      <c r="K161" s="42" t="s">
        <v>41</v>
      </c>
      <c r="L161" s="45" t="str">
        <f>+972 (0)54 282 8644</f>
        <v>#ERROR!</v>
      </c>
      <c r="M161" s="45"/>
      <c r="N161" s="42" t="s">
        <v>4638</v>
      </c>
      <c r="O161" s="42" t="s">
        <v>4635</v>
      </c>
      <c r="P161" s="42" t="s">
        <v>3579</v>
      </c>
      <c r="Q161" s="43"/>
      <c r="R161" s="42" t="s">
        <v>4560</v>
      </c>
      <c r="S161" s="42" t="s">
        <v>4561</v>
      </c>
      <c r="T161" s="42" t="s">
        <v>66</v>
      </c>
      <c r="U161" s="42" t="s">
        <v>4628</v>
      </c>
      <c r="V161" s="42" t="s">
        <v>4562</v>
      </c>
      <c r="W161" s="42" t="s">
        <v>3571</v>
      </c>
      <c r="X161" s="42" t="s">
        <v>3569</v>
      </c>
      <c r="Y161" s="41">
        <v>4.0</v>
      </c>
      <c r="Z161" s="48" t="s">
        <v>3559</v>
      </c>
    </row>
    <row r="162">
      <c r="A162" s="35" t="s">
        <v>4652</v>
      </c>
      <c r="B162" s="35" t="s">
        <v>3364</v>
      </c>
      <c r="C162" s="35" t="s">
        <v>4647</v>
      </c>
      <c r="D162" s="35" t="s">
        <v>10128</v>
      </c>
      <c r="E162" s="35" t="s">
        <v>10008</v>
      </c>
      <c r="F162" s="34"/>
      <c r="G162" s="34"/>
      <c r="H162" s="34"/>
      <c r="I162" s="34"/>
      <c r="J162" s="37"/>
      <c r="K162" s="35" t="s">
        <v>10128</v>
      </c>
      <c r="L162" s="37"/>
      <c r="M162" s="37"/>
      <c r="N162" s="35" t="s">
        <v>3370</v>
      </c>
      <c r="O162" s="35" t="s">
        <v>4657</v>
      </c>
      <c r="P162" s="35" t="s">
        <v>3579</v>
      </c>
      <c r="Q162" s="34"/>
      <c r="R162" s="35" t="s">
        <v>3563</v>
      </c>
      <c r="S162" s="35" t="s">
        <v>4648</v>
      </c>
      <c r="T162" s="35" t="s">
        <v>4649</v>
      </c>
      <c r="U162" s="35" t="s">
        <v>3612</v>
      </c>
      <c r="V162" s="35" t="s">
        <v>10250</v>
      </c>
      <c r="W162" s="35" t="s">
        <v>3571</v>
      </c>
      <c r="X162" s="35" t="s">
        <v>3569</v>
      </c>
      <c r="Y162" s="32">
        <v>6.0</v>
      </c>
      <c r="Z162" s="40" t="s">
        <v>3559</v>
      </c>
    </row>
    <row r="163">
      <c r="A163" s="42" t="s">
        <v>4652</v>
      </c>
      <c r="B163" s="42" t="s">
        <v>3364</v>
      </c>
      <c r="C163" s="42" t="s">
        <v>4647</v>
      </c>
      <c r="D163" s="42" t="s">
        <v>616</v>
      </c>
      <c r="E163" s="42" t="s">
        <v>10011</v>
      </c>
      <c r="F163" s="42" t="s">
        <v>4659</v>
      </c>
      <c r="G163" s="43"/>
      <c r="H163" s="42" t="s">
        <v>616</v>
      </c>
      <c r="I163" s="43"/>
      <c r="J163" s="45"/>
      <c r="K163" s="42" t="s">
        <v>41</v>
      </c>
      <c r="L163" s="45"/>
      <c r="M163" s="45"/>
      <c r="N163" s="42" t="s">
        <v>3370</v>
      </c>
      <c r="O163" s="42" t="s">
        <v>4657</v>
      </c>
      <c r="P163" s="42" t="s">
        <v>3579</v>
      </c>
      <c r="Q163" s="43"/>
      <c r="R163" s="42" t="s">
        <v>3563</v>
      </c>
      <c r="S163" s="42" t="s">
        <v>4648</v>
      </c>
      <c r="T163" s="42" t="s">
        <v>4649</v>
      </c>
      <c r="U163" s="42" t="s">
        <v>3612</v>
      </c>
      <c r="V163" s="42" t="s">
        <v>10250</v>
      </c>
      <c r="W163" s="42" t="s">
        <v>3571</v>
      </c>
      <c r="X163" s="42" t="s">
        <v>3569</v>
      </c>
      <c r="Y163" s="41">
        <v>6.0</v>
      </c>
      <c r="Z163" s="48" t="s">
        <v>3559</v>
      </c>
    </row>
    <row r="164">
      <c r="A164" s="35" t="s">
        <v>4652</v>
      </c>
      <c r="B164" s="35" t="s">
        <v>3364</v>
      </c>
      <c r="C164" s="35" t="s">
        <v>4647</v>
      </c>
      <c r="D164" s="35" t="s">
        <v>75</v>
      </c>
      <c r="E164" s="35" t="s">
        <v>10008</v>
      </c>
      <c r="F164" s="34"/>
      <c r="G164" s="34"/>
      <c r="H164" s="35" t="s">
        <v>75</v>
      </c>
      <c r="I164" s="34"/>
      <c r="J164" s="37"/>
      <c r="K164" s="35" t="s">
        <v>41</v>
      </c>
      <c r="L164" s="37"/>
      <c r="M164" s="37"/>
      <c r="N164" s="35" t="s">
        <v>3370</v>
      </c>
      <c r="O164" s="35" t="s">
        <v>4657</v>
      </c>
      <c r="P164" s="35" t="s">
        <v>3579</v>
      </c>
      <c r="Q164" s="34"/>
      <c r="R164" s="35" t="s">
        <v>3563</v>
      </c>
      <c r="S164" s="35" t="s">
        <v>4648</v>
      </c>
      <c r="T164" s="35" t="s">
        <v>4649</v>
      </c>
      <c r="U164" s="35" t="s">
        <v>3612</v>
      </c>
      <c r="V164" s="35" t="s">
        <v>10250</v>
      </c>
      <c r="W164" s="35" t="s">
        <v>3571</v>
      </c>
      <c r="X164" s="35" t="s">
        <v>3569</v>
      </c>
      <c r="Y164" s="32">
        <v>6.0</v>
      </c>
      <c r="Z164" s="40" t="s">
        <v>3559</v>
      </c>
    </row>
    <row r="165">
      <c r="A165" s="42" t="s">
        <v>4671</v>
      </c>
      <c r="B165" s="42" t="s">
        <v>546</v>
      </c>
      <c r="C165" s="42" t="s">
        <v>4667</v>
      </c>
      <c r="D165" s="42" t="s">
        <v>552</v>
      </c>
      <c r="E165" s="42" t="s">
        <v>10011</v>
      </c>
      <c r="F165" s="42" t="s">
        <v>4676</v>
      </c>
      <c r="G165" s="43"/>
      <c r="H165" s="42" t="s">
        <v>552</v>
      </c>
      <c r="I165" s="43"/>
      <c r="J165" s="41">
        <v>4672211.0</v>
      </c>
      <c r="K165" s="42" t="s">
        <v>41</v>
      </c>
      <c r="L165" s="45" t="str">
        <f>+972 (0)77 362 1656</f>
        <v>#ERROR!</v>
      </c>
      <c r="M165" s="45"/>
      <c r="N165" s="42" t="s">
        <v>4677</v>
      </c>
      <c r="O165" s="42" t="s">
        <v>548</v>
      </c>
      <c r="P165" s="42" t="s">
        <v>3579</v>
      </c>
      <c r="Q165" s="43"/>
      <c r="R165" s="42" t="s">
        <v>3563</v>
      </c>
      <c r="S165" s="42" t="s">
        <v>3609</v>
      </c>
      <c r="T165" s="42" t="s">
        <v>3610</v>
      </c>
      <c r="U165" s="42" t="s">
        <v>4669</v>
      </c>
      <c r="V165" s="42" t="s">
        <v>10251</v>
      </c>
      <c r="W165" s="42" t="s">
        <v>3571</v>
      </c>
      <c r="X165" s="42" t="s">
        <v>3569</v>
      </c>
      <c r="Y165" s="41">
        <v>14.0</v>
      </c>
      <c r="Z165" s="48" t="s">
        <v>3559</v>
      </c>
    </row>
    <row r="166">
      <c r="A166" s="35" t="s">
        <v>4671</v>
      </c>
      <c r="B166" s="35" t="s">
        <v>546</v>
      </c>
      <c r="C166" s="35" t="s">
        <v>4667</v>
      </c>
      <c r="D166" s="35" t="s">
        <v>10252</v>
      </c>
      <c r="E166" s="35" t="s">
        <v>10008</v>
      </c>
      <c r="F166" s="35" t="s">
        <v>10253</v>
      </c>
      <c r="G166" s="34"/>
      <c r="H166" s="35" t="s">
        <v>10252</v>
      </c>
      <c r="I166" s="34"/>
      <c r="J166" s="37"/>
      <c r="K166" s="35" t="s">
        <v>10105</v>
      </c>
      <c r="L166" s="37"/>
      <c r="M166" s="37"/>
      <c r="N166" s="34"/>
      <c r="O166" s="35" t="s">
        <v>548</v>
      </c>
      <c r="P166" s="35" t="s">
        <v>3579</v>
      </c>
      <c r="Q166" s="34"/>
      <c r="R166" s="35" t="s">
        <v>3563</v>
      </c>
      <c r="S166" s="35" t="s">
        <v>3609</v>
      </c>
      <c r="T166" s="35" t="s">
        <v>3610</v>
      </c>
      <c r="U166" s="35" t="s">
        <v>4669</v>
      </c>
      <c r="V166" s="35" t="s">
        <v>10251</v>
      </c>
      <c r="W166" s="35" t="s">
        <v>3571</v>
      </c>
      <c r="X166" s="35" t="s">
        <v>3569</v>
      </c>
      <c r="Y166" s="32">
        <v>14.0</v>
      </c>
      <c r="Z166" s="40" t="s">
        <v>3559</v>
      </c>
    </row>
    <row r="167">
      <c r="A167" s="42" t="s">
        <v>4671</v>
      </c>
      <c r="B167" s="42" t="s">
        <v>546</v>
      </c>
      <c r="C167" s="42" t="s">
        <v>4667</v>
      </c>
      <c r="D167" s="42" t="s">
        <v>10254</v>
      </c>
      <c r="E167" s="42" t="s">
        <v>10008</v>
      </c>
      <c r="F167" s="43"/>
      <c r="G167" s="43"/>
      <c r="H167" s="43"/>
      <c r="I167" s="42" t="s">
        <v>1431</v>
      </c>
      <c r="J167" s="45"/>
      <c r="K167" s="42" t="s">
        <v>60</v>
      </c>
      <c r="L167" s="45"/>
      <c r="M167" s="45"/>
      <c r="N167" s="42" t="s">
        <v>10255</v>
      </c>
      <c r="O167" s="42" t="s">
        <v>548</v>
      </c>
      <c r="P167" s="42" t="s">
        <v>3579</v>
      </c>
      <c r="Q167" s="43"/>
      <c r="R167" s="42" t="s">
        <v>3563</v>
      </c>
      <c r="S167" s="42" t="s">
        <v>3609</v>
      </c>
      <c r="T167" s="42" t="s">
        <v>3610</v>
      </c>
      <c r="U167" s="42" t="s">
        <v>4669</v>
      </c>
      <c r="V167" s="42" t="s">
        <v>10251</v>
      </c>
      <c r="W167" s="42" t="s">
        <v>3571</v>
      </c>
      <c r="X167" s="42" t="s">
        <v>3569</v>
      </c>
      <c r="Y167" s="41">
        <v>14.0</v>
      </c>
      <c r="Z167" s="48" t="s">
        <v>3559</v>
      </c>
    </row>
    <row r="168">
      <c r="A168" s="35" t="s">
        <v>4693</v>
      </c>
      <c r="B168" s="35" t="s">
        <v>4686</v>
      </c>
      <c r="C168" s="35" t="s">
        <v>4688</v>
      </c>
      <c r="D168" s="35" t="s">
        <v>1138</v>
      </c>
      <c r="E168" s="35" t="s">
        <v>10015</v>
      </c>
      <c r="F168" s="35" t="s">
        <v>10256</v>
      </c>
      <c r="G168" s="35" t="s">
        <v>10257</v>
      </c>
      <c r="H168" s="35" t="s">
        <v>1138</v>
      </c>
      <c r="I168" s="34"/>
      <c r="J168" s="32" t="s">
        <v>10258</v>
      </c>
      <c r="K168" s="35" t="s">
        <v>10259</v>
      </c>
      <c r="L168" s="37"/>
      <c r="M168" s="37"/>
      <c r="N168" s="35" t="s">
        <v>4702</v>
      </c>
      <c r="O168" s="35" t="s">
        <v>4698</v>
      </c>
      <c r="P168" s="35" t="s">
        <v>3579</v>
      </c>
      <c r="Q168" s="34"/>
      <c r="R168" s="35" t="s">
        <v>3867</v>
      </c>
      <c r="S168" s="35" t="s">
        <v>3897</v>
      </c>
      <c r="T168" s="35" t="s">
        <v>4689</v>
      </c>
      <c r="U168" s="35" t="s">
        <v>4691</v>
      </c>
      <c r="V168" s="35" t="s">
        <v>10260</v>
      </c>
      <c r="W168" s="35" t="s">
        <v>3571</v>
      </c>
      <c r="X168" s="35" t="s">
        <v>3569</v>
      </c>
      <c r="Y168" s="32">
        <v>13.0</v>
      </c>
      <c r="Z168" s="40" t="s">
        <v>3559</v>
      </c>
    </row>
    <row r="169">
      <c r="A169" s="42" t="s">
        <v>4693</v>
      </c>
      <c r="B169" s="42" t="s">
        <v>4686</v>
      </c>
      <c r="C169" s="42" t="s">
        <v>4688</v>
      </c>
      <c r="D169" s="42" t="s">
        <v>75</v>
      </c>
      <c r="E169" s="42" t="s">
        <v>10011</v>
      </c>
      <c r="F169" s="42" t="s">
        <v>4700</v>
      </c>
      <c r="G169" s="42" t="s">
        <v>4701</v>
      </c>
      <c r="H169" s="42" t="s">
        <v>75</v>
      </c>
      <c r="I169" s="43"/>
      <c r="J169" s="45"/>
      <c r="K169" s="42" t="s">
        <v>41</v>
      </c>
      <c r="L169" s="45" t="str">
        <f>+972 (0)54 555 9508</f>
        <v>#ERROR!</v>
      </c>
      <c r="M169" s="45"/>
      <c r="N169" s="42" t="s">
        <v>4702</v>
      </c>
      <c r="O169" s="42" t="s">
        <v>4698</v>
      </c>
      <c r="P169" s="42" t="s">
        <v>3579</v>
      </c>
      <c r="Q169" s="43"/>
      <c r="R169" s="42" t="s">
        <v>3867</v>
      </c>
      <c r="S169" s="42" t="s">
        <v>3897</v>
      </c>
      <c r="T169" s="42" t="s">
        <v>4689</v>
      </c>
      <c r="U169" s="42" t="s">
        <v>4691</v>
      </c>
      <c r="V169" s="42" t="s">
        <v>10260</v>
      </c>
      <c r="W169" s="42" t="s">
        <v>3571</v>
      </c>
      <c r="X169" s="42" t="s">
        <v>3569</v>
      </c>
      <c r="Y169" s="41">
        <v>13.0</v>
      </c>
      <c r="Z169" s="48" t="s">
        <v>3559</v>
      </c>
    </row>
    <row r="170">
      <c r="A170" s="35" t="s">
        <v>4711</v>
      </c>
      <c r="B170" s="35" t="s">
        <v>3042</v>
      </c>
      <c r="C170" s="35" t="s">
        <v>4707</v>
      </c>
      <c r="D170" s="35" t="s">
        <v>10117</v>
      </c>
      <c r="E170" s="35" t="s">
        <v>10011</v>
      </c>
      <c r="F170" s="35" t="s">
        <v>4719</v>
      </c>
      <c r="G170" s="34"/>
      <c r="H170" s="35" t="s">
        <v>4720</v>
      </c>
      <c r="I170" s="34"/>
      <c r="J170" s="32">
        <v>4436942.0</v>
      </c>
      <c r="K170" s="35" t="s">
        <v>41</v>
      </c>
      <c r="L170" s="37" t="str">
        <f>+972 (0)52 619 4205</f>
        <v>#ERROR!</v>
      </c>
      <c r="M170" s="37"/>
      <c r="N170" s="35" t="s">
        <v>3048</v>
      </c>
      <c r="O170" s="35" t="s">
        <v>4716</v>
      </c>
      <c r="P170" s="35" t="s">
        <v>4717</v>
      </c>
      <c r="Q170" s="34"/>
      <c r="R170" s="35" t="s">
        <v>3563</v>
      </c>
      <c r="S170" s="35" t="s">
        <v>3609</v>
      </c>
      <c r="T170" s="35" t="s">
        <v>3610</v>
      </c>
      <c r="U170" s="35" t="s">
        <v>4709</v>
      </c>
      <c r="V170" s="35" t="s">
        <v>10261</v>
      </c>
      <c r="W170" s="35" t="s">
        <v>3571</v>
      </c>
      <c r="X170" s="35" t="s">
        <v>3569</v>
      </c>
      <c r="Y170" s="32">
        <v>7.0</v>
      </c>
      <c r="Z170" s="40" t="s">
        <v>3559</v>
      </c>
    </row>
    <row r="171">
      <c r="A171" s="42" t="s">
        <v>4737</v>
      </c>
      <c r="B171" s="42" t="s">
        <v>4730</v>
      </c>
      <c r="C171" s="42" t="s">
        <v>4733</v>
      </c>
      <c r="D171" s="42" t="s">
        <v>58</v>
      </c>
      <c r="E171" s="42" t="s">
        <v>10008</v>
      </c>
      <c r="F171" s="43"/>
      <c r="G171" s="43"/>
      <c r="H171" s="42" t="s">
        <v>58</v>
      </c>
      <c r="I171" s="42" t="s">
        <v>59</v>
      </c>
      <c r="J171" s="45"/>
      <c r="K171" s="42" t="s">
        <v>60</v>
      </c>
      <c r="L171" s="45"/>
      <c r="M171" s="45"/>
      <c r="N171" s="42" t="s">
        <v>4745</v>
      </c>
      <c r="O171" s="42" t="s">
        <v>4742</v>
      </c>
      <c r="P171" s="42" t="s">
        <v>4743</v>
      </c>
      <c r="Q171" s="43"/>
      <c r="R171" s="42" t="s">
        <v>3563</v>
      </c>
      <c r="S171" s="42" t="s">
        <v>3564</v>
      </c>
      <c r="T171" s="42" t="s">
        <v>3565</v>
      </c>
      <c r="U171" s="42" t="s">
        <v>4735</v>
      </c>
      <c r="V171" s="42" t="s">
        <v>10262</v>
      </c>
      <c r="W171" s="42" t="s">
        <v>3571</v>
      </c>
      <c r="X171" s="42" t="s">
        <v>3569</v>
      </c>
      <c r="Y171" s="41">
        <v>9.0</v>
      </c>
      <c r="Z171" s="48" t="s">
        <v>3559</v>
      </c>
    </row>
    <row r="172">
      <c r="A172" s="35" t="s">
        <v>4737</v>
      </c>
      <c r="B172" s="35" t="s">
        <v>4730</v>
      </c>
      <c r="C172" s="35" t="s">
        <v>4733</v>
      </c>
      <c r="D172" s="35" t="s">
        <v>10263</v>
      </c>
      <c r="E172" s="35" t="s">
        <v>10008</v>
      </c>
      <c r="F172" s="34"/>
      <c r="G172" s="34"/>
      <c r="H172" s="35" t="s">
        <v>10263</v>
      </c>
      <c r="I172" s="35" t="s">
        <v>10264</v>
      </c>
      <c r="J172" s="37"/>
      <c r="K172" s="35" t="s">
        <v>60</v>
      </c>
      <c r="L172" s="37"/>
      <c r="M172" s="37"/>
      <c r="N172" s="34"/>
      <c r="O172" s="35" t="s">
        <v>4742</v>
      </c>
      <c r="P172" s="35" t="s">
        <v>4743</v>
      </c>
      <c r="Q172" s="34"/>
      <c r="R172" s="35" t="s">
        <v>3563</v>
      </c>
      <c r="S172" s="35" t="s">
        <v>3564</v>
      </c>
      <c r="T172" s="35" t="s">
        <v>3565</v>
      </c>
      <c r="U172" s="35" t="s">
        <v>4735</v>
      </c>
      <c r="V172" s="35" t="s">
        <v>10262</v>
      </c>
      <c r="W172" s="35" t="s">
        <v>3571</v>
      </c>
      <c r="X172" s="35" t="s">
        <v>3569</v>
      </c>
      <c r="Y172" s="32">
        <v>9.0</v>
      </c>
      <c r="Z172" s="40" t="s">
        <v>3559</v>
      </c>
    </row>
    <row r="173">
      <c r="A173" s="42" t="s">
        <v>4737</v>
      </c>
      <c r="B173" s="42" t="s">
        <v>4730</v>
      </c>
      <c r="C173" s="42" t="s">
        <v>4733</v>
      </c>
      <c r="D173" s="42" t="s">
        <v>452</v>
      </c>
      <c r="E173" s="42" t="s">
        <v>10008</v>
      </c>
      <c r="F173" s="42" t="s">
        <v>3881</v>
      </c>
      <c r="G173" s="42" t="s">
        <v>10265</v>
      </c>
      <c r="H173" s="42" t="s">
        <v>452</v>
      </c>
      <c r="I173" s="43"/>
      <c r="J173" s="41">
        <v>71700.0</v>
      </c>
      <c r="K173" s="42" t="s">
        <v>41</v>
      </c>
      <c r="L173" s="45" t="str">
        <f>+972 (0)54 480 0146</f>
        <v>#ERROR!</v>
      </c>
      <c r="M173" s="45"/>
      <c r="N173" s="42" t="s">
        <v>4745</v>
      </c>
      <c r="O173" s="42" t="s">
        <v>4742</v>
      </c>
      <c r="P173" s="42" t="s">
        <v>4743</v>
      </c>
      <c r="Q173" s="43"/>
      <c r="R173" s="42" t="s">
        <v>3563</v>
      </c>
      <c r="S173" s="42" t="s">
        <v>3564</v>
      </c>
      <c r="T173" s="42" t="s">
        <v>3565</v>
      </c>
      <c r="U173" s="42" t="s">
        <v>4735</v>
      </c>
      <c r="V173" s="42" t="s">
        <v>10262</v>
      </c>
      <c r="W173" s="42" t="s">
        <v>3571</v>
      </c>
      <c r="X173" s="42" t="s">
        <v>3569</v>
      </c>
      <c r="Y173" s="41">
        <v>9.0</v>
      </c>
      <c r="Z173" s="48" t="s">
        <v>3559</v>
      </c>
    </row>
    <row r="174">
      <c r="A174" s="35" t="s">
        <v>4737</v>
      </c>
      <c r="B174" s="35" t="s">
        <v>4730</v>
      </c>
      <c r="C174" s="35" t="s">
        <v>4733</v>
      </c>
      <c r="D174" s="35" t="s">
        <v>75</v>
      </c>
      <c r="E174" s="35" t="s">
        <v>10011</v>
      </c>
      <c r="F174" s="35" t="s">
        <v>4261</v>
      </c>
      <c r="G174" s="34"/>
      <c r="H174" s="35" t="s">
        <v>75</v>
      </c>
      <c r="I174" s="34"/>
      <c r="J174" s="32">
        <v>6777937.0</v>
      </c>
      <c r="K174" s="35" t="s">
        <v>41</v>
      </c>
      <c r="L174" s="37" t="str">
        <f>+972 (0)8 915 2929</f>
        <v>#ERROR!</v>
      </c>
      <c r="M174" s="37"/>
      <c r="N174" s="35" t="s">
        <v>4745</v>
      </c>
      <c r="O174" s="35" t="s">
        <v>4742</v>
      </c>
      <c r="P174" s="35" t="s">
        <v>4743</v>
      </c>
      <c r="Q174" s="34"/>
      <c r="R174" s="35" t="s">
        <v>3563</v>
      </c>
      <c r="S174" s="35" t="s">
        <v>3564</v>
      </c>
      <c r="T174" s="35" t="s">
        <v>3565</v>
      </c>
      <c r="U174" s="35" t="s">
        <v>4735</v>
      </c>
      <c r="V174" s="35" t="s">
        <v>10262</v>
      </c>
      <c r="W174" s="35" t="s">
        <v>3571</v>
      </c>
      <c r="X174" s="35" t="s">
        <v>3569</v>
      </c>
      <c r="Y174" s="32">
        <v>9.0</v>
      </c>
      <c r="Z174" s="40" t="s">
        <v>3559</v>
      </c>
    </row>
    <row r="175">
      <c r="A175" s="42" t="s">
        <v>4737</v>
      </c>
      <c r="B175" s="42" t="s">
        <v>4730</v>
      </c>
      <c r="C175" s="42" t="s">
        <v>4733</v>
      </c>
      <c r="D175" s="42" t="s">
        <v>10266</v>
      </c>
      <c r="E175" s="42" t="s">
        <v>10015</v>
      </c>
      <c r="F175" s="42" t="s">
        <v>10267</v>
      </c>
      <c r="G175" s="43"/>
      <c r="H175" s="42" t="s">
        <v>10266</v>
      </c>
      <c r="I175" s="42" t="s">
        <v>10268</v>
      </c>
      <c r="J175" s="41">
        <v>74103.0</v>
      </c>
      <c r="K175" s="42" t="s">
        <v>60</v>
      </c>
      <c r="L175" s="45"/>
      <c r="M175" s="45"/>
      <c r="N175" s="42" t="s">
        <v>4745</v>
      </c>
      <c r="O175" s="42" t="s">
        <v>4742</v>
      </c>
      <c r="P175" s="42" t="s">
        <v>4743</v>
      </c>
      <c r="Q175" s="43"/>
      <c r="R175" s="42" t="s">
        <v>3563</v>
      </c>
      <c r="S175" s="42" t="s">
        <v>3564</v>
      </c>
      <c r="T175" s="42" t="s">
        <v>3565</v>
      </c>
      <c r="U175" s="42" t="s">
        <v>4735</v>
      </c>
      <c r="V175" s="42" t="s">
        <v>10262</v>
      </c>
      <c r="W175" s="42" t="s">
        <v>3571</v>
      </c>
      <c r="X175" s="42" t="s">
        <v>3569</v>
      </c>
      <c r="Y175" s="41">
        <v>9.0</v>
      </c>
      <c r="Z175" s="48" t="s">
        <v>3559</v>
      </c>
    </row>
    <row r="176">
      <c r="A176" s="35" t="s">
        <v>4757</v>
      </c>
      <c r="B176" s="35" t="s">
        <v>3335</v>
      </c>
      <c r="C176" s="35" t="s">
        <v>4753</v>
      </c>
      <c r="D176" s="35" t="s">
        <v>552</v>
      </c>
      <c r="E176" s="35" t="s">
        <v>10011</v>
      </c>
      <c r="F176" s="35" t="s">
        <v>4764</v>
      </c>
      <c r="G176" s="35" t="s">
        <v>4765</v>
      </c>
      <c r="H176" s="35" t="s">
        <v>552</v>
      </c>
      <c r="I176" s="34"/>
      <c r="J176" s="32">
        <v>4672503.0</v>
      </c>
      <c r="K176" s="35" t="s">
        <v>41</v>
      </c>
      <c r="L176" s="37" t="str">
        <f>+972 (0)73 253 5400</f>
        <v>#ERROR!</v>
      </c>
      <c r="M176" s="37"/>
      <c r="N176" s="35" t="s">
        <v>3341</v>
      </c>
      <c r="O176" s="35" t="s">
        <v>10269</v>
      </c>
      <c r="P176" s="35" t="s">
        <v>3579</v>
      </c>
      <c r="Q176" s="34"/>
      <c r="R176" s="35" t="s">
        <v>4560</v>
      </c>
      <c r="S176" s="35" t="s">
        <v>4561</v>
      </c>
      <c r="T176" s="35" t="s">
        <v>66</v>
      </c>
      <c r="U176" s="35" t="s">
        <v>4755</v>
      </c>
      <c r="V176" s="35" t="s">
        <v>10270</v>
      </c>
      <c r="W176" s="35" t="s">
        <v>3571</v>
      </c>
      <c r="X176" s="35" t="s">
        <v>3569</v>
      </c>
      <c r="Y176" s="32">
        <v>105.0</v>
      </c>
      <c r="Z176" s="40" t="s">
        <v>3559</v>
      </c>
    </row>
    <row r="177">
      <c r="A177" s="42" t="s">
        <v>4786</v>
      </c>
      <c r="B177" s="42" t="s">
        <v>4779</v>
      </c>
      <c r="C177" s="42" t="s">
        <v>4783</v>
      </c>
      <c r="D177" s="42" t="s">
        <v>530</v>
      </c>
      <c r="E177" s="42" t="s">
        <v>10011</v>
      </c>
      <c r="F177" s="42" t="s">
        <v>4794</v>
      </c>
      <c r="G177" s="42" t="s">
        <v>4795</v>
      </c>
      <c r="H177" s="42" t="s">
        <v>530</v>
      </c>
      <c r="I177" s="43"/>
      <c r="J177" s="41">
        <v>81224.0</v>
      </c>
      <c r="K177" s="42" t="s">
        <v>41</v>
      </c>
      <c r="L177" s="45" t="str">
        <f>+972 (0)8 943 3640</f>
        <v>#ERROR!</v>
      </c>
      <c r="M177" s="45" t="str">
        <f>+972 (0)8 943 3644</f>
        <v>#ERROR!</v>
      </c>
      <c r="N177" s="42" t="s">
        <v>4796</v>
      </c>
      <c r="O177" s="42" t="s">
        <v>4791</v>
      </c>
      <c r="P177" s="42" t="s">
        <v>4792</v>
      </c>
      <c r="Q177" s="43"/>
      <c r="R177" s="42" t="s">
        <v>3867</v>
      </c>
      <c r="S177" s="42" t="s">
        <v>4199</v>
      </c>
      <c r="T177" s="42" t="s">
        <v>4414</v>
      </c>
      <c r="U177" s="42" t="s">
        <v>4784</v>
      </c>
      <c r="V177" s="42" t="s">
        <v>4415</v>
      </c>
      <c r="W177" s="42" t="s">
        <v>3571</v>
      </c>
      <c r="X177" s="42" t="s">
        <v>3569</v>
      </c>
      <c r="Y177" s="41">
        <v>12.0</v>
      </c>
      <c r="Z177" s="48" t="s">
        <v>3559</v>
      </c>
    </row>
    <row r="178">
      <c r="A178" s="35" t="s">
        <v>4813</v>
      </c>
      <c r="B178" s="35" t="s">
        <v>4808</v>
      </c>
      <c r="C178" s="35" t="s">
        <v>4810</v>
      </c>
      <c r="D178" s="35" t="s">
        <v>552</v>
      </c>
      <c r="E178" s="35" t="s">
        <v>10011</v>
      </c>
      <c r="F178" s="35" t="s">
        <v>4820</v>
      </c>
      <c r="G178" s="34"/>
      <c r="H178" s="35" t="s">
        <v>552</v>
      </c>
      <c r="I178" s="34"/>
      <c r="J178" s="37"/>
      <c r="K178" s="35" t="s">
        <v>41</v>
      </c>
      <c r="L178" s="37" t="str">
        <f>+972 (0)52 704 1100</f>
        <v>#ERROR!</v>
      </c>
      <c r="M178" s="37"/>
      <c r="N178" s="35" t="s">
        <v>4821</v>
      </c>
      <c r="O178" s="35" t="s">
        <v>4818</v>
      </c>
      <c r="P178" s="35" t="s">
        <v>3579</v>
      </c>
      <c r="Q178" s="34"/>
      <c r="R178" s="35" t="s">
        <v>3867</v>
      </c>
      <c r="S178" s="35" t="s">
        <v>3868</v>
      </c>
      <c r="T178" s="35" t="s">
        <v>3869</v>
      </c>
      <c r="U178" s="35" t="s">
        <v>4811</v>
      </c>
      <c r="V178" s="35" t="s">
        <v>10211</v>
      </c>
      <c r="W178" s="35" t="s">
        <v>3571</v>
      </c>
      <c r="X178" s="35" t="s">
        <v>3569</v>
      </c>
      <c r="Y178" s="32">
        <v>3.0</v>
      </c>
      <c r="Z178" s="40" t="s">
        <v>3559</v>
      </c>
    </row>
    <row r="179">
      <c r="A179" s="42" t="s">
        <v>4813</v>
      </c>
      <c r="B179" s="42" t="s">
        <v>4808</v>
      </c>
      <c r="C179" s="42" t="s">
        <v>4810</v>
      </c>
      <c r="D179" s="42" t="s">
        <v>8043</v>
      </c>
      <c r="E179" s="42" t="s">
        <v>10008</v>
      </c>
      <c r="F179" s="43"/>
      <c r="G179" s="43"/>
      <c r="H179" s="42" t="s">
        <v>75</v>
      </c>
      <c r="I179" s="43"/>
      <c r="J179" s="45"/>
      <c r="K179" s="42" t="s">
        <v>41</v>
      </c>
      <c r="L179" s="45" t="str">
        <f>+972 (0)52 704 1100</f>
        <v>#ERROR!</v>
      </c>
      <c r="M179" s="45"/>
      <c r="N179" s="42" t="s">
        <v>4821</v>
      </c>
      <c r="O179" s="42" t="s">
        <v>4818</v>
      </c>
      <c r="P179" s="42" t="s">
        <v>3579</v>
      </c>
      <c r="Q179" s="43"/>
      <c r="R179" s="42" t="s">
        <v>3867</v>
      </c>
      <c r="S179" s="42" t="s">
        <v>3868</v>
      </c>
      <c r="T179" s="42" t="s">
        <v>3869</v>
      </c>
      <c r="U179" s="42" t="s">
        <v>4811</v>
      </c>
      <c r="V179" s="42" t="s">
        <v>10211</v>
      </c>
      <c r="W179" s="42" t="s">
        <v>3571</v>
      </c>
      <c r="X179" s="42" t="s">
        <v>3569</v>
      </c>
      <c r="Y179" s="41">
        <v>3.0</v>
      </c>
      <c r="Z179" s="48" t="s">
        <v>3559</v>
      </c>
    </row>
    <row r="180">
      <c r="A180" s="77" t="s">
        <v>4835</v>
      </c>
      <c r="B180" s="77" t="s">
        <v>3231</v>
      </c>
      <c r="C180" s="77" t="s">
        <v>4832</v>
      </c>
      <c r="D180" s="77" t="s">
        <v>287</v>
      </c>
      <c r="E180" s="77" t="s">
        <v>10015</v>
      </c>
      <c r="F180" s="77" t="s">
        <v>10271</v>
      </c>
      <c r="G180" s="77" t="s">
        <v>10272</v>
      </c>
      <c r="H180" s="77" t="s">
        <v>287</v>
      </c>
      <c r="I180" s="77" t="s">
        <v>10032</v>
      </c>
      <c r="J180" s="80" t="s">
        <v>10273</v>
      </c>
      <c r="K180" s="77" t="s">
        <v>211</v>
      </c>
      <c r="L180" s="79"/>
      <c r="M180" s="79"/>
      <c r="N180" s="77" t="s">
        <v>3237</v>
      </c>
      <c r="O180" s="77" t="s">
        <v>4840</v>
      </c>
      <c r="P180" s="77" t="s">
        <v>4519</v>
      </c>
      <c r="Q180" s="78"/>
      <c r="R180" s="77" t="s">
        <v>3867</v>
      </c>
      <c r="S180" s="77" t="s">
        <v>3868</v>
      </c>
      <c r="T180" s="77" t="s">
        <v>3869</v>
      </c>
      <c r="U180" s="77" t="s">
        <v>4833</v>
      </c>
      <c r="V180" s="77" t="s">
        <v>10081</v>
      </c>
      <c r="W180" s="77" t="s">
        <v>3571</v>
      </c>
      <c r="X180" s="77" t="s">
        <v>3569</v>
      </c>
      <c r="Y180" s="80">
        <v>4.0</v>
      </c>
      <c r="Z180" s="81" t="s">
        <v>3559</v>
      </c>
    </row>
    <row r="181">
      <c r="A181" s="42" t="s">
        <v>4835</v>
      </c>
      <c r="B181" s="42" t="s">
        <v>3231</v>
      </c>
      <c r="C181" s="42" t="s">
        <v>4832</v>
      </c>
      <c r="D181" s="42" t="s">
        <v>75</v>
      </c>
      <c r="E181" s="42" t="s">
        <v>10011</v>
      </c>
      <c r="F181" s="42" t="s">
        <v>4841</v>
      </c>
      <c r="G181" s="43"/>
      <c r="H181" s="42" t="s">
        <v>75</v>
      </c>
      <c r="I181" s="43"/>
      <c r="J181" s="45"/>
      <c r="K181" s="42" t="s">
        <v>41</v>
      </c>
      <c r="L181" s="45" t="str">
        <f>+972 (0)54 692 5546</f>
        <v>#ERROR!</v>
      </c>
      <c r="M181" s="45"/>
      <c r="N181" s="42" t="s">
        <v>3237</v>
      </c>
      <c r="O181" s="42" t="s">
        <v>4840</v>
      </c>
      <c r="P181" s="42" t="s">
        <v>4519</v>
      </c>
      <c r="Q181" s="43"/>
      <c r="R181" s="42" t="s">
        <v>3867</v>
      </c>
      <c r="S181" s="42" t="s">
        <v>3868</v>
      </c>
      <c r="T181" s="42" t="s">
        <v>3869</v>
      </c>
      <c r="U181" s="42" t="s">
        <v>4833</v>
      </c>
      <c r="V181" s="42" t="s">
        <v>10081</v>
      </c>
      <c r="W181" s="42" t="s">
        <v>3571</v>
      </c>
      <c r="X181" s="42" t="s">
        <v>3569</v>
      </c>
      <c r="Y181" s="41">
        <v>4.0</v>
      </c>
      <c r="Z181" s="48" t="s">
        <v>3559</v>
      </c>
    </row>
    <row r="182">
      <c r="A182" s="35" t="s">
        <v>4855</v>
      </c>
      <c r="B182" s="35" t="s">
        <v>4847</v>
      </c>
      <c r="C182" s="35" t="s">
        <v>4851</v>
      </c>
      <c r="D182" s="35" t="s">
        <v>10274</v>
      </c>
      <c r="E182" s="35" t="s">
        <v>10015</v>
      </c>
      <c r="F182" s="35" t="s">
        <v>10275</v>
      </c>
      <c r="G182" s="34"/>
      <c r="H182" s="35" t="s">
        <v>10274</v>
      </c>
      <c r="I182" s="35" t="s">
        <v>10032</v>
      </c>
      <c r="J182" s="32" t="s">
        <v>10276</v>
      </c>
      <c r="K182" s="35" t="s">
        <v>211</v>
      </c>
      <c r="L182" s="37" t="str">
        <f>+44 (0)20 8205 7766</f>
        <v>#ERROR!</v>
      </c>
      <c r="M182" s="37"/>
      <c r="N182" s="35" t="s">
        <v>3390</v>
      </c>
      <c r="O182" s="35" t="s">
        <v>4861</v>
      </c>
      <c r="P182" s="35" t="s">
        <v>4862</v>
      </c>
      <c r="Q182" s="34"/>
      <c r="R182" s="35" t="s">
        <v>3563</v>
      </c>
      <c r="S182" s="35" t="s">
        <v>3564</v>
      </c>
      <c r="T182" s="35" t="s">
        <v>3565</v>
      </c>
      <c r="U182" s="35" t="s">
        <v>4853</v>
      </c>
      <c r="V182" s="35" t="s">
        <v>10277</v>
      </c>
      <c r="W182" s="35" t="s">
        <v>3571</v>
      </c>
      <c r="X182" s="35" t="s">
        <v>3569</v>
      </c>
      <c r="Y182" s="32">
        <v>38.0</v>
      </c>
      <c r="Z182" s="40" t="s">
        <v>3559</v>
      </c>
    </row>
    <row r="183">
      <c r="A183" s="77" t="s">
        <v>4855</v>
      </c>
      <c r="B183" s="77" t="s">
        <v>4847</v>
      </c>
      <c r="C183" s="77" t="s">
        <v>4851</v>
      </c>
      <c r="D183" s="77" t="s">
        <v>287</v>
      </c>
      <c r="E183" s="77" t="s">
        <v>10008</v>
      </c>
      <c r="F183" s="77" t="s">
        <v>10278</v>
      </c>
      <c r="G183" s="78"/>
      <c r="H183" s="77" t="s">
        <v>287</v>
      </c>
      <c r="I183" s="77" t="s">
        <v>10032</v>
      </c>
      <c r="J183" s="80" t="s">
        <v>10279</v>
      </c>
      <c r="K183" s="77" t="s">
        <v>211</v>
      </c>
      <c r="L183" s="79" t="str">
        <f>+44 (0)20 8205 7766</f>
        <v>#ERROR!</v>
      </c>
      <c r="M183" s="79"/>
      <c r="N183" s="77" t="s">
        <v>3390</v>
      </c>
      <c r="O183" s="77" t="s">
        <v>4861</v>
      </c>
      <c r="P183" s="77" t="s">
        <v>4862</v>
      </c>
      <c r="Q183" s="78"/>
      <c r="R183" s="77" t="s">
        <v>3563</v>
      </c>
      <c r="S183" s="77" t="s">
        <v>3564</v>
      </c>
      <c r="T183" s="77" t="s">
        <v>3565</v>
      </c>
      <c r="U183" s="77" t="s">
        <v>4853</v>
      </c>
      <c r="V183" s="77" t="s">
        <v>10277</v>
      </c>
      <c r="W183" s="77" t="s">
        <v>3571</v>
      </c>
      <c r="X183" s="77" t="s">
        <v>3569</v>
      </c>
      <c r="Y183" s="80">
        <v>38.0</v>
      </c>
      <c r="Z183" s="81" t="s">
        <v>3559</v>
      </c>
    </row>
    <row r="184">
      <c r="A184" s="35" t="s">
        <v>4855</v>
      </c>
      <c r="B184" s="35" t="s">
        <v>4847</v>
      </c>
      <c r="C184" s="35" t="s">
        <v>4851</v>
      </c>
      <c r="D184" s="35" t="s">
        <v>75</v>
      </c>
      <c r="E184" s="35" t="s">
        <v>10011</v>
      </c>
      <c r="F184" s="35" t="s">
        <v>4864</v>
      </c>
      <c r="G184" s="35" t="s">
        <v>616</v>
      </c>
      <c r="H184" s="35" t="s">
        <v>75</v>
      </c>
      <c r="I184" s="34"/>
      <c r="J184" s="32">
        <v>5252141.0</v>
      </c>
      <c r="K184" s="35" t="s">
        <v>41</v>
      </c>
      <c r="L184" s="37" t="str">
        <f>+972 (0)77 531 4838</f>
        <v>#ERROR!</v>
      </c>
      <c r="M184" s="37" t="str">
        <f>+972 (0)3 560 5684</f>
        <v>#ERROR!</v>
      </c>
      <c r="N184" s="35" t="s">
        <v>3390</v>
      </c>
      <c r="O184" s="35" t="s">
        <v>4861</v>
      </c>
      <c r="P184" s="35" t="s">
        <v>4862</v>
      </c>
      <c r="Q184" s="34"/>
      <c r="R184" s="35" t="s">
        <v>3563</v>
      </c>
      <c r="S184" s="35" t="s">
        <v>3564</v>
      </c>
      <c r="T184" s="35" t="s">
        <v>3565</v>
      </c>
      <c r="U184" s="35" t="s">
        <v>4853</v>
      </c>
      <c r="V184" s="35" t="s">
        <v>10277</v>
      </c>
      <c r="W184" s="35" t="s">
        <v>3571</v>
      </c>
      <c r="X184" s="35" t="s">
        <v>3569</v>
      </c>
      <c r="Y184" s="32">
        <v>38.0</v>
      </c>
      <c r="Z184" s="40" t="s">
        <v>3559</v>
      </c>
    </row>
    <row r="185">
      <c r="A185" s="42" t="s">
        <v>4884</v>
      </c>
      <c r="B185" s="42" t="s">
        <v>4878</v>
      </c>
      <c r="C185" s="42" t="s">
        <v>4881</v>
      </c>
      <c r="D185" s="42" t="s">
        <v>147</v>
      </c>
      <c r="E185" s="42" t="s">
        <v>10011</v>
      </c>
      <c r="F185" s="42" t="s">
        <v>4888</v>
      </c>
      <c r="G185" s="42" t="s">
        <v>4889</v>
      </c>
      <c r="H185" s="42" t="s">
        <v>147</v>
      </c>
      <c r="I185" s="43"/>
      <c r="J185" s="45"/>
      <c r="K185" s="42" t="s">
        <v>41</v>
      </c>
      <c r="L185" s="45"/>
      <c r="M185" s="45"/>
      <c r="N185" s="42" t="s">
        <v>4890</v>
      </c>
      <c r="O185" s="43"/>
      <c r="P185" s="43"/>
      <c r="Q185" s="43"/>
      <c r="R185" s="42" t="s">
        <v>3563</v>
      </c>
      <c r="S185" s="42" t="s">
        <v>3564</v>
      </c>
      <c r="T185" s="42" t="s">
        <v>3565</v>
      </c>
      <c r="U185" s="42" t="s">
        <v>4000</v>
      </c>
      <c r="V185" s="42" t="s">
        <v>10280</v>
      </c>
      <c r="W185" s="42" t="s">
        <v>3571</v>
      </c>
      <c r="X185" s="42" t="s">
        <v>3569</v>
      </c>
      <c r="Y185" s="41">
        <v>12.0</v>
      </c>
      <c r="Z185" s="48" t="s">
        <v>3559</v>
      </c>
    </row>
    <row r="186">
      <c r="A186" s="35" t="s">
        <v>4905</v>
      </c>
      <c r="B186" s="35" t="s">
        <v>4898</v>
      </c>
      <c r="C186" s="35" t="s">
        <v>4901</v>
      </c>
      <c r="D186" s="35" t="s">
        <v>552</v>
      </c>
      <c r="E186" s="35" t="s">
        <v>10011</v>
      </c>
      <c r="F186" s="35" t="s">
        <v>4911</v>
      </c>
      <c r="G186" s="34"/>
      <c r="H186" s="35" t="s">
        <v>552</v>
      </c>
      <c r="I186" s="34"/>
      <c r="J186" s="32">
        <v>46722.0</v>
      </c>
      <c r="K186" s="35" t="s">
        <v>41</v>
      </c>
      <c r="L186" s="37" t="str">
        <f>+972 (0)9 740 7551</f>
        <v>#ERROR!</v>
      </c>
      <c r="M186" s="37"/>
      <c r="N186" s="35" t="s">
        <v>4912</v>
      </c>
      <c r="O186" s="35" t="s">
        <v>4910</v>
      </c>
      <c r="P186" s="35" t="s">
        <v>265</v>
      </c>
      <c r="Q186" s="34"/>
      <c r="R186" s="35" t="s">
        <v>3563</v>
      </c>
      <c r="S186" s="35" t="s">
        <v>3564</v>
      </c>
      <c r="T186" s="35" t="s">
        <v>3565</v>
      </c>
      <c r="U186" s="35" t="s">
        <v>4903</v>
      </c>
      <c r="V186" s="35" t="s">
        <v>10281</v>
      </c>
      <c r="W186" s="35" t="s">
        <v>3571</v>
      </c>
      <c r="X186" s="35" t="s">
        <v>3569</v>
      </c>
      <c r="Y186" s="32">
        <v>5.0</v>
      </c>
      <c r="Z186" s="40" t="s">
        <v>3559</v>
      </c>
    </row>
    <row r="187">
      <c r="A187" s="42" t="s">
        <v>4905</v>
      </c>
      <c r="B187" s="42" t="s">
        <v>4898</v>
      </c>
      <c r="C187" s="42" t="s">
        <v>4901</v>
      </c>
      <c r="D187" s="42" t="s">
        <v>10143</v>
      </c>
      <c r="E187" s="42" t="s">
        <v>10008</v>
      </c>
      <c r="F187" s="42" t="s">
        <v>10282</v>
      </c>
      <c r="G187" s="43"/>
      <c r="H187" s="42" t="s">
        <v>10283</v>
      </c>
      <c r="I187" s="43"/>
      <c r="J187" s="41">
        <v>4809201.0</v>
      </c>
      <c r="K187" s="42" t="s">
        <v>41</v>
      </c>
      <c r="L187" s="45" t="str">
        <f>+972 (0)9 740 7551</f>
        <v>#ERROR!</v>
      </c>
      <c r="M187" s="45"/>
      <c r="N187" s="42" t="s">
        <v>4912</v>
      </c>
      <c r="O187" s="42" t="s">
        <v>4910</v>
      </c>
      <c r="P187" s="42" t="s">
        <v>265</v>
      </c>
      <c r="Q187" s="43"/>
      <c r="R187" s="42" t="s">
        <v>3563</v>
      </c>
      <c r="S187" s="42" t="s">
        <v>3564</v>
      </c>
      <c r="T187" s="42" t="s">
        <v>3565</v>
      </c>
      <c r="U187" s="42" t="s">
        <v>4903</v>
      </c>
      <c r="V187" s="42" t="s">
        <v>10281</v>
      </c>
      <c r="W187" s="42" t="s">
        <v>3571</v>
      </c>
      <c r="X187" s="42" t="s">
        <v>3569</v>
      </c>
      <c r="Y187" s="41">
        <v>5.0</v>
      </c>
      <c r="Z187" s="48" t="s">
        <v>3559</v>
      </c>
    </row>
    <row r="188">
      <c r="A188" s="35" t="s">
        <v>4924</v>
      </c>
      <c r="B188" s="35" t="s">
        <v>2619</v>
      </c>
      <c r="C188" s="35" t="s">
        <v>4921</v>
      </c>
      <c r="D188" s="35" t="s">
        <v>75</v>
      </c>
      <c r="E188" s="35" t="s">
        <v>10011</v>
      </c>
      <c r="F188" s="34"/>
      <c r="G188" s="34"/>
      <c r="H188" s="35" t="s">
        <v>75</v>
      </c>
      <c r="I188" s="34"/>
      <c r="J188" s="37"/>
      <c r="K188" s="35" t="s">
        <v>41</v>
      </c>
      <c r="L188" s="37"/>
      <c r="M188" s="37"/>
      <c r="N188" s="34"/>
      <c r="O188" s="35" t="s">
        <v>4929</v>
      </c>
      <c r="P188" s="35" t="s">
        <v>4930</v>
      </c>
      <c r="Q188" s="34"/>
      <c r="R188" s="35" t="s">
        <v>3867</v>
      </c>
      <c r="S188" s="35" t="s">
        <v>3868</v>
      </c>
      <c r="T188" s="35" t="s">
        <v>3869</v>
      </c>
      <c r="U188" s="34"/>
      <c r="V188" s="35" t="s">
        <v>4024</v>
      </c>
      <c r="W188" s="35" t="s">
        <v>3571</v>
      </c>
      <c r="X188" s="35" t="s">
        <v>4923</v>
      </c>
      <c r="Y188" s="37"/>
      <c r="Z188" s="40" t="s">
        <v>3559</v>
      </c>
    </row>
    <row r="189">
      <c r="A189" s="42" t="s">
        <v>4940</v>
      </c>
      <c r="B189" s="42" t="s">
        <v>4933</v>
      </c>
      <c r="C189" s="42" t="s">
        <v>4936</v>
      </c>
      <c r="D189" s="42" t="s">
        <v>552</v>
      </c>
      <c r="E189" s="42" t="s">
        <v>10008</v>
      </c>
      <c r="F189" s="42" t="s">
        <v>10284</v>
      </c>
      <c r="G189" s="43"/>
      <c r="H189" s="42" t="s">
        <v>552</v>
      </c>
      <c r="I189" s="43"/>
      <c r="J189" s="41">
        <v>46581.0</v>
      </c>
      <c r="K189" s="42" t="s">
        <v>41</v>
      </c>
      <c r="L189" s="45" t="str">
        <f>+972 (0)9 955 9525</f>
        <v>#ERROR!</v>
      </c>
      <c r="M189" s="45"/>
      <c r="N189" s="42" t="s">
        <v>3259</v>
      </c>
      <c r="O189" s="42" t="s">
        <v>4945</v>
      </c>
      <c r="P189" s="42" t="s">
        <v>3579</v>
      </c>
      <c r="Q189" s="43"/>
      <c r="R189" s="42" t="s">
        <v>3563</v>
      </c>
      <c r="S189" s="42" t="s">
        <v>3609</v>
      </c>
      <c r="T189" s="42" t="s">
        <v>3610</v>
      </c>
      <c r="U189" s="42" t="s">
        <v>4938</v>
      </c>
      <c r="V189" s="42" t="s">
        <v>10285</v>
      </c>
      <c r="W189" s="42" t="s">
        <v>3571</v>
      </c>
      <c r="X189" s="42" t="s">
        <v>3569</v>
      </c>
      <c r="Y189" s="41">
        <v>7.0</v>
      </c>
      <c r="Z189" s="48" t="s">
        <v>3559</v>
      </c>
    </row>
    <row r="190">
      <c r="A190" s="35" t="s">
        <v>4940</v>
      </c>
      <c r="B190" s="35" t="s">
        <v>4933</v>
      </c>
      <c r="C190" s="35" t="s">
        <v>4936</v>
      </c>
      <c r="D190" s="35" t="s">
        <v>183</v>
      </c>
      <c r="E190" s="35" t="s">
        <v>10011</v>
      </c>
      <c r="F190" s="35" t="s">
        <v>4946</v>
      </c>
      <c r="G190" s="34"/>
      <c r="H190" s="35" t="s">
        <v>183</v>
      </c>
      <c r="I190" s="34"/>
      <c r="J190" s="37"/>
      <c r="K190" s="35" t="s">
        <v>41</v>
      </c>
      <c r="L190" s="37" t="str">
        <f>+972 (0)9 955 9525</f>
        <v>#ERROR!</v>
      </c>
      <c r="M190" s="37"/>
      <c r="N190" s="35" t="s">
        <v>3259</v>
      </c>
      <c r="O190" s="35" t="s">
        <v>4945</v>
      </c>
      <c r="P190" s="35" t="s">
        <v>3579</v>
      </c>
      <c r="Q190" s="34"/>
      <c r="R190" s="35" t="s">
        <v>3563</v>
      </c>
      <c r="S190" s="35" t="s">
        <v>3609</v>
      </c>
      <c r="T190" s="35" t="s">
        <v>3610</v>
      </c>
      <c r="U190" s="35" t="s">
        <v>4938</v>
      </c>
      <c r="V190" s="35" t="s">
        <v>10285</v>
      </c>
      <c r="W190" s="35" t="s">
        <v>3571</v>
      </c>
      <c r="X190" s="35" t="s">
        <v>3569</v>
      </c>
      <c r="Y190" s="32">
        <v>7.0</v>
      </c>
      <c r="Z190" s="40" t="s">
        <v>3559</v>
      </c>
    </row>
    <row r="191">
      <c r="A191" s="42" t="s">
        <v>4940</v>
      </c>
      <c r="B191" s="42" t="s">
        <v>4933</v>
      </c>
      <c r="C191" s="42" t="s">
        <v>4936</v>
      </c>
      <c r="D191" s="42" t="s">
        <v>75</v>
      </c>
      <c r="E191" s="42" t="s">
        <v>10008</v>
      </c>
      <c r="F191" s="43"/>
      <c r="G191" s="43"/>
      <c r="H191" s="42" t="s">
        <v>75</v>
      </c>
      <c r="I191" s="43"/>
      <c r="J191" s="41">
        <v>46581.0</v>
      </c>
      <c r="K191" s="42" t="s">
        <v>41</v>
      </c>
      <c r="L191" s="45" t="str">
        <f>+972 (0)9 955 9525</f>
        <v>#ERROR!</v>
      </c>
      <c r="M191" s="45"/>
      <c r="N191" s="42" t="s">
        <v>3259</v>
      </c>
      <c r="O191" s="42" t="s">
        <v>4945</v>
      </c>
      <c r="P191" s="42" t="s">
        <v>3579</v>
      </c>
      <c r="Q191" s="43"/>
      <c r="R191" s="42" t="s">
        <v>3563</v>
      </c>
      <c r="S191" s="42" t="s">
        <v>3609</v>
      </c>
      <c r="T191" s="42" t="s">
        <v>3610</v>
      </c>
      <c r="U191" s="42" t="s">
        <v>4938</v>
      </c>
      <c r="V191" s="42" t="s">
        <v>10285</v>
      </c>
      <c r="W191" s="42" t="s">
        <v>3571</v>
      </c>
      <c r="X191" s="42" t="s">
        <v>3569</v>
      </c>
      <c r="Y191" s="41">
        <v>7.0</v>
      </c>
      <c r="Z191" s="48" t="s">
        <v>3559</v>
      </c>
    </row>
    <row r="192">
      <c r="A192" s="35" t="s">
        <v>4963</v>
      </c>
      <c r="B192" s="35" t="s">
        <v>4955</v>
      </c>
      <c r="C192" s="35" t="s">
        <v>4959</v>
      </c>
      <c r="D192" s="35" t="s">
        <v>4975</v>
      </c>
      <c r="E192" s="35" t="s">
        <v>10011</v>
      </c>
      <c r="F192" s="35" t="s">
        <v>4974</v>
      </c>
      <c r="G192" s="34"/>
      <c r="H192" s="35" t="s">
        <v>4975</v>
      </c>
      <c r="I192" s="34"/>
      <c r="J192" s="32">
        <v>75703.0</v>
      </c>
      <c r="K192" s="35" t="s">
        <v>41</v>
      </c>
      <c r="L192" s="37" t="str">
        <f>+972 (0)3 962 9296</f>
        <v>#ERROR!</v>
      </c>
      <c r="M192" s="37" t="str">
        <f>+972 (0)3 962 9297</f>
        <v>#ERROR!</v>
      </c>
      <c r="N192" s="34"/>
      <c r="O192" s="35" t="s">
        <v>4970</v>
      </c>
      <c r="P192" s="35" t="s">
        <v>4971</v>
      </c>
      <c r="Q192" s="34"/>
      <c r="R192" s="35" t="s">
        <v>4560</v>
      </c>
      <c r="S192" s="35" t="s">
        <v>4561</v>
      </c>
      <c r="T192" s="35" t="s">
        <v>66</v>
      </c>
      <c r="U192" s="34"/>
      <c r="V192" s="35" t="s">
        <v>10286</v>
      </c>
      <c r="W192" s="35" t="s">
        <v>3571</v>
      </c>
      <c r="X192" s="35" t="s">
        <v>4962</v>
      </c>
      <c r="Y192" s="32">
        <v>51.0</v>
      </c>
      <c r="Z192" s="40" t="s">
        <v>3559</v>
      </c>
    </row>
    <row r="193">
      <c r="A193" s="42" t="s">
        <v>4988</v>
      </c>
      <c r="B193" s="42" t="s">
        <v>4980</v>
      </c>
      <c r="C193" s="42" t="s">
        <v>4983</v>
      </c>
      <c r="D193" s="42" t="s">
        <v>2433</v>
      </c>
      <c r="E193" s="42" t="s">
        <v>10011</v>
      </c>
      <c r="F193" s="42" t="s">
        <v>4998</v>
      </c>
      <c r="G193" s="42" t="s">
        <v>4999</v>
      </c>
      <c r="H193" s="42" t="s">
        <v>2433</v>
      </c>
      <c r="I193" s="43"/>
      <c r="J193" s="41">
        <v>77107.0</v>
      </c>
      <c r="K193" s="42" t="s">
        <v>41</v>
      </c>
      <c r="L193" s="45" t="str">
        <f>+972 (0)8 863 0011</f>
        <v>#ERROR!</v>
      </c>
      <c r="M193" s="45"/>
      <c r="N193" s="42" t="s">
        <v>5000</v>
      </c>
      <c r="O193" s="42" t="s">
        <v>4995</v>
      </c>
      <c r="P193" s="42" t="s">
        <v>3982</v>
      </c>
      <c r="Q193" s="43"/>
      <c r="R193" s="42" t="s">
        <v>3867</v>
      </c>
      <c r="S193" s="42" t="s">
        <v>4199</v>
      </c>
      <c r="T193" s="42" t="s">
        <v>4984</v>
      </c>
      <c r="U193" s="42" t="s">
        <v>4986</v>
      </c>
      <c r="V193" s="42" t="s">
        <v>10287</v>
      </c>
      <c r="W193" s="42" t="s">
        <v>3571</v>
      </c>
      <c r="X193" s="42" t="s">
        <v>4389</v>
      </c>
      <c r="Y193" s="41">
        <v>1450.0</v>
      </c>
      <c r="Z193" s="48" t="s">
        <v>3559</v>
      </c>
    </row>
    <row r="194">
      <c r="A194" s="35" t="s">
        <v>5019</v>
      </c>
      <c r="B194" s="35" t="s">
        <v>5010</v>
      </c>
      <c r="C194" s="35" t="s">
        <v>5014</v>
      </c>
      <c r="D194" s="35" t="s">
        <v>10288</v>
      </c>
      <c r="E194" s="35" t="s">
        <v>10008</v>
      </c>
      <c r="F194" s="35" t="s">
        <v>10289</v>
      </c>
      <c r="G194" s="34"/>
      <c r="H194" s="35" t="s">
        <v>10288</v>
      </c>
      <c r="I194" s="35" t="s">
        <v>3090</v>
      </c>
      <c r="J194" s="32">
        <v>46229.0</v>
      </c>
      <c r="K194" s="35" t="s">
        <v>60</v>
      </c>
      <c r="L194" s="37"/>
      <c r="M194" s="37"/>
      <c r="N194" s="34"/>
      <c r="O194" s="34"/>
      <c r="P194" s="34"/>
      <c r="Q194" s="34"/>
      <c r="R194" s="35" t="s">
        <v>4560</v>
      </c>
      <c r="S194" s="35" t="s">
        <v>4561</v>
      </c>
      <c r="T194" s="35" t="s">
        <v>66</v>
      </c>
      <c r="U194" s="35" t="s">
        <v>5016</v>
      </c>
      <c r="V194" s="35" t="s">
        <v>10290</v>
      </c>
      <c r="W194" s="35" t="s">
        <v>3571</v>
      </c>
      <c r="X194" s="35" t="s">
        <v>5018</v>
      </c>
      <c r="Y194" s="32">
        <v>4.0</v>
      </c>
      <c r="Z194" s="40" t="s">
        <v>3559</v>
      </c>
    </row>
    <row r="195">
      <c r="A195" s="42" t="s">
        <v>5019</v>
      </c>
      <c r="B195" s="42" t="s">
        <v>5010</v>
      </c>
      <c r="C195" s="42" t="s">
        <v>5014</v>
      </c>
      <c r="D195" s="42" t="s">
        <v>10291</v>
      </c>
      <c r="E195" s="42" t="s">
        <v>10008</v>
      </c>
      <c r="F195" s="42" t="s">
        <v>10292</v>
      </c>
      <c r="G195" s="43"/>
      <c r="H195" s="42" t="s">
        <v>10291</v>
      </c>
      <c r="I195" s="43"/>
      <c r="J195" s="41">
        <v>892.0</v>
      </c>
      <c r="K195" s="42" t="s">
        <v>10293</v>
      </c>
      <c r="L195" s="45"/>
      <c r="M195" s="45"/>
      <c r="N195" s="43"/>
      <c r="O195" s="43"/>
      <c r="P195" s="43"/>
      <c r="Q195" s="43"/>
      <c r="R195" s="42" t="s">
        <v>4560</v>
      </c>
      <c r="S195" s="42" t="s">
        <v>4561</v>
      </c>
      <c r="T195" s="42" t="s">
        <v>66</v>
      </c>
      <c r="U195" s="42" t="s">
        <v>5016</v>
      </c>
      <c r="V195" s="42" t="s">
        <v>10290</v>
      </c>
      <c r="W195" s="42" t="s">
        <v>3571</v>
      </c>
      <c r="X195" s="42" t="s">
        <v>5018</v>
      </c>
      <c r="Y195" s="41">
        <v>4.0</v>
      </c>
      <c r="Z195" s="48" t="s">
        <v>3559</v>
      </c>
    </row>
    <row r="196">
      <c r="A196" s="77" t="s">
        <v>5019</v>
      </c>
      <c r="B196" s="77" t="s">
        <v>5010</v>
      </c>
      <c r="C196" s="77" t="s">
        <v>5014</v>
      </c>
      <c r="D196" s="77" t="s">
        <v>287</v>
      </c>
      <c r="E196" s="77" t="s">
        <v>10008</v>
      </c>
      <c r="F196" s="77" t="s">
        <v>10294</v>
      </c>
      <c r="G196" s="78"/>
      <c r="H196" s="77" t="s">
        <v>287</v>
      </c>
      <c r="I196" s="77" t="s">
        <v>10032</v>
      </c>
      <c r="J196" s="80" t="s">
        <v>10295</v>
      </c>
      <c r="K196" s="77" t="s">
        <v>211</v>
      </c>
      <c r="L196" s="79"/>
      <c r="M196" s="79"/>
      <c r="N196" s="78"/>
      <c r="O196" s="78"/>
      <c r="P196" s="78"/>
      <c r="Q196" s="78"/>
      <c r="R196" s="77" t="s">
        <v>4560</v>
      </c>
      <c r="S196" s="77" t="s">
        <v>4561</v>
      </c>
      <c r="T196" s="77" t="s">
        <v>66</v>
      </c>
      <c r="U196" s="77" t="s">
        <v>5016</v>
      </c>
      <c r="V196" s="77" t="s">
        <v>10290</v>
      </c>
      <c r="W196" s="77" t="s">
        <v>3571</v>
      </c>
      <c r="X196" s="77" t="s">
        <v>5018</v>
      </c>
      <c r="Y196" s="80">
        <v>4.0</v>
      </c>
      <c r="Z196" s="81" t="s">
        <v>3559</v>
      </c>
    </row>
    <row r="197">
      <c r="A197" s="42" t="s">
        <v>5019</v>
      </c>
      <c r="B197" s="42" t="s">
        <v>5010</v>
      </c>
      <c r="C197" s="42" t="s">
        <v>5014</v>
      </c>
      <c r="D197" s="42" t="s">
        <v>87</v>
      </c>
      <c r="E197" s="42" t="s">
        <v>10011</v>
      </c>
      <c r="F197" s="42" t="s">
        <v>5024</v>
      </c>
      <c r="G197" s="43"/>
      <c r="H197" s="42" t="s">
        <v>87</v>
      </c>
      <c r="I197" s="43"/>
      <c r="J197" s="41">
        <v>4060000.0</v>
      </c>
      <c r="K197" s="42" t="s">
        <v>41</v>
      </c>
      <c r="L197" s="45"/>
      <c r="M197" s="45"/>
      <c r="N197" s="43"/>
      <c r="O197" s="43"/>
      <c r="P197" s="43"/>
      <c r="Q197" s="43"/>
      <c r="R197" s="42" t="s">
        <v>4560</v>
      </c>
      <c r="S197" s="42" t="s">
        <v>4561</v>
      </c>
      <c r="T197" s="42" t="s">
        <v>66</v>
      </c>
      <c r="U197" s="42" t="s">
        <v>5016</v>
      </c>
      <c r="V197" s="42" t="s">
        <v>10290</v>
      </c>
      <c r="W197" s="42" t="s">
        <v>3571</v>
      </c>
      <c r="X197" s="42" t="s">
        <v>5018</v>
      </c>
      <c r="Y197" s="41">
        <v>4.0</v>
      </c>
      <c r="Z197" s="48" t="s">
        <v>3559</v>
      </c>
    </row>
    <row r="198">
      <c r="A198" s="35" t="s">
        <v>5037</v>
      </c>
      <c r="B198" s="35" t="s">
        <v>5032</v>
      </c>
      <c r="C198" s="35" t="s">
        <v>5034</v>
      </c>
      <c r="D198" s="35" t="s">
        <v>268</v>
      </c>
      <c r="E198" s="35" t="s">
        <v>10011</v>
      </c>
      <c r="F198" s="35" t="s">
        <v>5045</v>
      </c>
      <c r="G198" s="34"/>
      <c r="H198" s="35" t="s">
        <v>268</v>
      </c>
      <c r="I198" s="34"/>
      <c r="J198" s="32">
        <v>40591.0</v>
      </c>
      <c r="K198" s="35" t="s">
        <v>41</v>
      </c>
      <c r="L198" s="37"/>
      <c r="M198" s="37"/>
      <c r="N198" s="35" t="s">
        <v>5046</v>
      </c>
      <c r="O198" s="35" t="s">
        <v>5042</v>
      </c>
      <c r="P198" s="35" t="s">
        <v>5043</v>
      </c>
      <c r="Q198" s="34"/>
      <c r="R198" s="35" t="s">
        <v>3563</v>
      </c>
      <c r="S198" s="35" t="s">
        <v>3609</v>
      </c>
      <c r="T198" s="35" t="s">
        <v>3610</v>
      </c>
      <c r="U198" s="35" t="s">
        <v>3811</v>
      </c>
      <c r="V198" s="35" t="s">
        <v>10296</v>
      </c>
      <c r="W198" s="35" t="s">
        <v>3571</v>
      </c>
      <c r="X198" s="35" t="s">
        <v>3569</v>
      </c>
      <c r="Y198" s="32">
        <v>2.0</v>
      </c>
      <c r="Z198" s="40" t="s">
        <v>3559</v>
      </c>
    </row>
    <row r="199">
      <c r="A199" s="42" t="s">
        <v>5037</v>
      </c>
      <c r="B199" s="42" t="s">
        <v>5032</v>
      </c>
      <c r="C199" s="42" t="s">
        <v>5034</v>
      </c>
      <c r="D199" s="42" t="s">
        <v>10263</v>
      </c>
      <c r="E199" s="42" t="s">
        <v>10008</v>
      </c>
      <c r="F199" s="42" t="s">
        <v>10297</v>
      </c>
      <c r="G199" s="43"/>
      <c r="H199" s="42" t="s">
        <v>10263</v>
      </c>
      <c r="I199" s="42" t="s">
        <v>10264</v>
      </c>
      <c r="J199" s="41">
        <v>40591.0</v>
      </c>
      <c r="K199" s="42" t="s">
        <v>60</v>
      </c>
      <c r="L199" s="45"/>
      <c r="M199" s="45"/>
      <c r="N199" s="42" t="s">
        <v>5046</v>
      </c>
      <c r="O199" s="42" t="s">
        <v>5042</v>
      </c>
      <c r="P199" s="42" t="s">
        <v>5043</v>
      </c>
      <c r="Q199" s="43"/>
      <c r="R199" s="42" t="s">
        <v>3563</v>
      </c>
      <c r="S199" s="42" t="s">
        <v>3609</v>
      </c>
      <c r="T199" s="42" t="s">
        <v>3610</v>
      </c>
      <c r="U199" s="42" t="s">
        <v>3811</v>
      </c>
      <c r="V199" s="42" t="s">
        <v>10296</v>
      </c>
      <c r="W199" s="42" t="s">
        <v>3571</v>
      </c>
      <c r="X199" s="42" t="s">
        <v>3569</v>
      </c>
      <c r="Y199" s="41">
        <v>2.0</v>
      </c>
      <c r="Z199" s="48" t="s">
        <v>3559</v>
      </c>
    </row>
    <row r="200">
      <c r="A200" s="35" t="s">
        <v>5059</v>
      </c>
      <c r="B200" s="35" t="s">
        <v>5054</v>
      </c>
      <c r="C200" s="35" t="s">
        <v>5056</v>
      </c>
      <c r="D200" s="35" t="s">
        <v>616</v>
      </c>
      <c r="E200" s="35" t="s">
        <v>10011</v>
      </c>
      <c r="F200" s="35" t="s">
        <v>5063</v>
      </c>
      <c r="G200" s="34"/>
      <c r="H200" s="35" t="s">
        <v>616</v>
      </c>
      <c r="I200" s="34"/>
      <c r="J200" s="32">
        <v>89129.0</v>
      </c>
      <c r="K200" s="35" t="s">
        <v>41</v>
      </c>
      <c r="L200" s="37"/>
      <c r="M200" s="37"/>
      <c r="N200" s="34"/>
      <c r="O200" s="34"/>
      <c r="P200" s="34"/>
      <c r="Q200" s="34"/>
      <c r="R200" s="35" t="s">
        <v>4560</v>
      </c>
      <c r="S200" s="35" t="s">
        <v>4561</v>
      </c>
      <c r="T200" s="35" t="s">
        <v>5057</v>
      </c>
      <c r="U200" s="34"/>
      <c r="V200" s="35" t="s">
        <v>5058</v>
      </c>
      <c r="W200" s="34"/>
      <c r="X200" s="35" t="s">
        <v>4923</v>
      </c>
      <c r="Y200" s="32">
        <v>11.0</v>
      </c>
      <c r="Z200" s="40" t="s">
        <v>3559</v>
      </c>
    </row>
    <row r="201">
      <c r="A201" s="42" t="s">
        <v>5076</v>
      </c>
      <c r="B201" s="42" t="s">
        <v>5068</v>
      </c>
      <c r="C201" s="42" t="s">
        <v>5071</v>
      </c>
      <c r="D201" s="42" t="s">
        <v>75</v>
      </c>
      <c r="E201" s="42" t="s">
        <v>10011</v>
      </c>
      <c r="F201" s="42" t="s">
        <v>5079</v>
      </c>
      <c r="G201" s="43"/>
      <c r="H201" s="42" t="s">
        <v>75</v>
      </c>
      <c r="I201" s="43"/>
      <c r="J201" s="45"/>
      <c r="K201" s="42" t="s">
        <v>41</v>
      </c>
      <c r="L201" s="45"/>
      <c r="M201" s="45"/>
      <c r="N201" s="43"/>
      <c r="O201" s="43"/>
      <c r="P201" s="43"/>
      <c r="Q201" s="43"/>
      <c r="R201" s="42" t="s">
        <v>3563</v>
      </c>
      <c r="S201" s="42" t="s">
        <v>3564</v>
      </c>
      <c r="T201" s="42" t="s">
        <v>3565</v>
      </c>
      <c r="U201" s="42" t="s">
        <v>5073</v>
      </c>
      <c r="V201" s="42" t="s">
        <v>10298</v>
      </c>
      <c r="W201" s="42" t="s">
        <v>3571</v>
      </c>
      <c r="X201" s="42" t="s">
        <v>5075</v>
      </c>
      <c r="Y201" s="41">
        <v>23.0</v>
      </c>
      <c r="Z201" s="48" t="s">
        <v>3559</v>
      </c>
    </row>
    <row r="202">
      <c r="A202" s="35" t="s">
        <v>5095</v>
      </c>
      <c r="B202" s="35" t="s">
        <v>5089</v>
      </c>
      <c r="C202" s="35" t="s">
        <v>5091</v>
      </c>
      <c r="D202" s="35" t="s">
        <v>4213</v>
      </c>
      <c r="E202" s="35" t="s">
        <v>10011</v>
      </c>
      <c r="F202" s="35" t="s">
        <v>5102</v>
      </c>
      <c r="G202" s="35" t="s">
        <v>3688</v>
      </c>
      <c r="H202" s="35" t="s">
        <v>4213</v>
      </c>
      <c r="I202" s="34"/>
      <c r="J202" s="37"/>
      <c r="K202" s="35" t="s">
        <v>41</v>
      </c>
      <c r="L202" s="37" t="str">
        <f>+972 (0)73 200 1512</f>
        <v>#ERROR!</v>
      </c>
      <c r="M202" s="37"/>
      <c r="N202" s="34"/>
      <c r="O202" s="35" t="s">
        <v>5100</v>
      </c>
      <c r="P202" s="35" t="s">
        <v>3982</v>
      </c>
      <c r="Q202" s="34"/>
      <c r="R202" s="35" t="s">
        <v>3867</v>
      </c>
      <c r="S202" s="35" t="s">
        <v>3897</v>
      </c>
      <c r="T202" s="35" t="s">
        <v>5092</v>
      </c>
      <c r="U202" s="35" t="s">
        <v>3612</v>
      </c>
      <c r="V202" s="35" t="s">
        <v>10299</v>
      </c>
      <c r="W202" s="35" t="s">
        <v>3571</v>
      </c>
      <c r="X202" s="35" t="s">
        <v>4389</v>
      </c>
      <c r="Y202" s="37"/>
      <c r="Z202" s="40" t="s">
        <v>3559</v>
      </c>
    </row>
    <row r="203">
      <c r="A203" s="42" t="s">
        <v>5117</v>
      </c>
      <c r="B203" s="42" t="s">
        <v>5110</v>
      </c>
      <c r="C203" s="42" t="s">
        <v>5113</v>
      </c>
      <c r="D203" s="42" t="s">
        <v>2433</v>
      </c>
      <c r="E203" s="42" t="s">
        <v>10011</v>
      </c>
      <c r="F203" s="42" t="s">
        <v>5124</v>
      </c>
      <c r="G203" s="43"/>
      <c r="H203" s="42" t="s">
        <v>2433</v>
      </c>
      <c r="I203" s="43"/>
      <c r="J203" s="45"/>
      <c r="K203" s="42" t="s">
        <v>41</v>
      </c>
      <c r="L203" s="45" t="str">
        <f>+972 (0)54 662 5640</f>
        <v>#ERROR!</v>
      </c>
      <c r="M203" s="45"/>
      <c r="N203" s="42" t="s">
        <v>5125</v>
      </c>
      <c r="O203" s="42" t="s">
        <v>5122</v>
      </c>
      <c r="P203" s="42" t="s">
        <v>3579</v>
      </c>
      <c r="Q203" s="43"/>
      <c r="R203" s="42" t="s">
        <v>3563</v>
      </c>
      <c r="S203" s="42" t="s">
        <v>3564</v>
      </c>
      <c r="T203" s="42" t="s">
        <v>3565</v>
      </c>
      <c r="U203" s="42" t="s">
        <v>5115</v>
      </c>
      <c r="V203" s="42" t="s">
        <v>10300</v>
      </c>
      <c r="W203" s="42" t="s">
        <v>3571</v>
      </c>
      <c r="X203" s="42" t="s">
        <v>5018</v>
      </c>
      <c r="Y203" s="41">
        <v>3.0</v>
      </c>
      <c r="Z203" s="48" t="s">
        <v>3559</v>
      </c>
    </row>
    <row r="204">
      <c r="A204" s="35" t="s">
        <v>5117</v>
      </c>
      <c r="B204" s="35" t="s">
        <v>5110</v>
      </c>
      <c r="C204" s="35" t="s">
        <v>5113</v>
      </c>
      <c r="D204" s="35" t="s">
        <v>10301</v>
      </c>
      <c r="E204" s="35" t="s">
        <v>10008</v>
      </c>
      <c r="F204" s="35" t="s">
        <v>10302</v>
      </c>
      <c r="G204" s="34"/>
      <c r="H204" s="35" t="s">
        <v>10301</v>
      </c>
      <c r="I204" s="34"/>
      <c r="J204" s="32">
        <v>85080.0</v>
      </c>
      <c r="K204" s="35" t="s">
        <v>465</v>
      </c>
      <c r="L204" s="37" t="str">
        <f>+49 (0)17 2881 8189</f>
        <v>#ERROR!</v>
      </c>
      <c r="M204" s="37"/>
      <c r="N204" s="35" t="s">
        <v>5125</v>
      </c>
      <c r="O204" s="35" t="s">
        <v>5122</v>
      </c>
      <c r="P204" s="35" t="s">
        <v>3579</v>
      </c>
      <c r="Q204" s="34"/>
      <c r="R204" s="35" t="s">
        <v>3563</v>
      </c>
      <c r="S204" s="35" t="s">
        <v>3564</v>
      </c>
      <c r="T204" s="35" t="s">
        <v>3565</v>
      </c>
      <c r="U204" s="35" t="s">
        <v>5115</v>
      </c>
      <c r="V204" s="35" t="s">
        <v>10300</v>
      </c>
      <c r="W204" s="35" t="s">
        <v>3571</v>
      </c>
      <c r="X204" s="35" t="s">
        <v>5018</v>
      </c>
      <c r="Y204" s="32">
        <v>3.0</v>
      </c>
      <c r="Z204" s="40" t="s">
        <v>3559</v>
      </c>
    </row>
    <row r="205">
      <c r="A205" s="42" t="s">
        <v>5117</v>
      </c>
      <c r="B205" s="42" t="s">
        <v>5110</v>
      </c>
      <c r="C205" s="42" t="s">
        <v>5113</v>
      </c>
      <c r="D205" s="42" t="s">
        <v>10303</v>
      </c>
      <c r="E205" s="42" t="s">
        <v>10008</v>
      </c>
      <c r="F205" s="42" t="s">
        <v>10304</v>
      </c>
      <c r="G205" s="43"/>
      <c r="H205" s="42" t="s">
        <v>10303</v>
      </c>
      <c r="I205" s="43"/>
      <c r="J205" s="41">
        <v>71706.0</v>
      </c>
      <c r="K205" s="42" t="s">
        <v>465</v>
      </c>
      <c r="L205" s="45" t="str">
        <f>+49 (0)16 0992 9029 0</f>
        <v>#ERROR!</v>
      </c>
      <c r="M205" s="45"/>
      <c r="N205" s="42" t="s">
        <v>10305</v>
      </c>
      <c r="O205" s="42" t="s">
        <v>5122</v>
      </c>
      <c r="P205" s="42" t="s">
        <v>3579</v>
      </c>
      <c r="Q205" s="43"/>
      <c r="R205" s="42" t="s">
        <v>3563</v>
      </c>
      <c r="S205" s="42" t="s">
        <v>3564</v>
      </c>
      <c r="T205" s="42" t="s">
        <v>3565</v>
      </c>
      <c r="U205" s="42" t="s">
        <v>5115</v>
      </c>
      <c r="V205" s="42" t="s">
        <v>10300</v>
      </c>
      <c r="W205" s="42" t="s">
        <v>3571</v>
      </c>
      <c r="X205" s="42" t="s">
        <v>5018</v>
      </c>
      <c r="Y205" s="41">
        <v>3.0</v>
      </c>
      <c r="Z205" s="48" t="s">
        <v>3559</v>
      </c>
    </row>
    <row r="206">
      <c r="A206" s="35" t="s">
        <v>5117</v>
      </c>
      <c r="B206" s="35" t="s">
        <v>5110</v>
      </c>
      <c r="C206" s="35" t="s">
        <v>5113</v>
      </c>
      <c r="D206" s="35" t="s">
        <v>4213</v>
      </c>
      <c r="E206" s="35" t="s">
        <v>10008</v>
      </c>
      <c r="F206" s="35" t="s">
        <v>10306</v>
      </c>
      <c r="G206" s="34"/>
      <c r="H206" s="35" t="s">
        <v>4213</v>
      </c>
      <c r="I206" s="34"/>
      <c r="J206" s="32">
        <v>4970602.0</v>
      </c>
      <c r="K206" s="35" t="s">
        <v>41</v>
      </c>
      <c r="L206" s="37" t="str">
        <f>+972 (0)3 688 0874</f>
        <v>#ERROR!</v>
      </c>
      <c r="M206" s="37"/>
      <c r="N206" s="35" t="s">
        <v>5125</v>
      </c>
      <c r="O206" s="35" t="s">
        <v>5122</v>
      </c>
      <c r="P206" s="35" t="s">
        <v>3579</v>
      </c>
      <c r="Q206" s="34"/>
      <c r="R206" s="35" t="s">
        <v>3563</v>
      </c>
      <c r="S206" s="35" t="s">
        <v>3564</v>
      </c>
      <c r="T206" s="35" t="s">
        <v>3565</v>
      </c>
      <c r="U206" s="35" t="s">
        <v>5115</v>
      </c>
      <c r="V206" s="35" t="s">
        <v>10300</v>
      </c>
      <c r="W206" s="35" t="s">
        <v>3571</v>
      </c>
      <c r="X206" s="35" t="s">
        <v>5018</v>
      </c>
      <c r="Y206" s="32">
        <v>3.0</v>
      </c>
      <c r="Z206" s="40" t="s">
        <v>3559</v>
      </c>
    </row>
    <row r="207">
      <c r="A207" s="42" t="s">
        <v>5117</v>
      </c>
      <c r="B207" s="42" t="s">
        <v>5110</v>
      </c>
      <c r="C207" s="42" t="s">
        <v>5113</v>
      </c>
      <c r="D207" s="42" t="s">
        <v>75</v>
      </c>
      <c r="E207" s="42" t="s">
        <v>10008</v>
      </c>
      <c r="F207" s="42" t="s">
        <v>10307</v>
      </c>
      <c r="G207" s="42" t="s">
        <v>10308</v>
      </c>
      <c r="H207" s="42" t="s">
        <v>75</v>
      </c>
      <c r="I207" s="43"/>
      <c r="J207" s="41">
        <v>6997801.0</v>
      </c>
      <c r="K207" s="42" t="s">
        <v>41</v>
      </c>
      <c r="L207" s="45" t="str">
        <f>+972 (0)54 662 5640</f>
        <v>#ERROR!</v>
      </c>
      <c r="M207" s="45"/>
      <c r="N207" s="42" t="s">
        <v>10305</v>
      </c>
      <c r="O207" s="42" t="s">
        <v>5122</v>
      </c>
      <c r="P207" s="42" t="s">
        <v>3579</v>
      </c>
      <c r="Q207" s="43"/>
      <c r="R207" s="42" t="s">
        <v>3563</v>
      </c>
      <c r="S207" s="42" t="s">
        <v>3564</v>
      </c>
      <c r="T207" s="42" t="s">
        <v>3565</v>
      </c>
      <c r="U207" s="42" t="s">
        <v>5115</v>
      </c>
      <c r="V207" s="42" t="s">
        <v>10300</v>
      </c>
      <c r="W207" s="42" t="s">
        <v>3571</v>
      </c>
      <c r="X207" s="42" t="s">
        <v>5018</v>
      </c>
      <c r="Y207" s="41">
        <v>3.0</v>
      </c>
      <c r="Z207" s="48" t="s">
        <v>3559</v>
      </c>
    </row>
    <row r="208">
      <c r="A208" s="35" t="s">
        <v>5132</v>
      </c>
      <c r="B208" s="35" t="s">
        <v>5130</v>
      </c>
      <c r="C208" s="35" t="s">
        <v>5131</v>
      </c>
      <c r="D208" s="35" t="s">
        <v>485</v>
      </c>
      <c r="E208" s="35" t="s">
        <v>10011</v>
      </c>
      <c r="F208" s="34"/>
      <c r="G208" s="34"/>
      <c r="H208" s="35" t="s">
        <v>485</v>
      </c>
      <c r="I208" s="34"/>
      <c r="J208" s="32">
        <v>26030.0</v>
      </c>
      <c r="K208" s="35" t="s">
        <v>41</v>
      </c>
      <c r="L208" s="37"/>
      <c r="M208" s="37"/>
      <c r="N208" s="34"/>
      <c r="O208" s="34"/>
      <c r="P208" s="34"/>
      <c r="Q208" s="34"/>
      <c r="R208" s="35" t="s">
        <v>4560</v>
      </c>
      <c r="S208" s="35" t="s">
        <v>4561</v>
      </c>
      <c r="T208" s="35" t="s">
        <v>5057</v>
      </c>
      <c r="U208" s="34"/>
      <c r="V208" s="35" t="s">
        <v>5058</v>
      </c>
      <c r="W208" s="34"/>
      <c r="X208" s="35" t="s">
        <v>4923</v>
      </c>
      <c r="Y208" s="32">
        <v>10.0</v>
      </c>
      <c r="Z208" s="40" t="s">
        <v>3559</v>
      </c>
    </row>
    <row r="209">
      <c r="A209" s="42" t="s">
        <v>5146</v>
      </c>
      <c r="B209" s="42" t="s">
        <v>5138</v>
      </c>
      <c r="C209" s="42" t="s">
        <v>5141</v>
      </c>
      <c r="D209" s="42" t="s">
        <v>485</v>
      </c>
      <c r="E209" s="42" t="s">
        <v>10011</v>
      </c>
      <c r="F209" s="42" t="s">
        <v>5154</v>
      </c>
      <c r="G209" s="43"/>
      <c r="H209" s="42" t="s">
        <v>485</v>
      </c>
      <c r="I209" s="43"/>
      <c r="J209" s="41">
        <v>3280120.0</v>
      </c>
      <c r="K209" s="42" t="s">
        <v>41</v>
      </c>
      <c r="L209" s="45" t="str">
        <f>+972 (0)3 376 0616</f>
        <v>#ERROR!</v>
      </c>
      <c r="M209" s="45"/>
      <c r="N209" s="42" t="s">
        <v>5155</v>
      </c>
      <c r="O209" s="42" t="s">
        <v>5152</v>
      </c>
      <c r="P209" s="42" t="s">
        <v>5153</v>
      </c>
      <c r="Q209" s="43"/>
      <c r="R209" s="42" t="s">
        <v>3563</v>
      </c>
      <c r="S209" s="42" t="s">
        <v>3564</v>
      </c>
      <c r="T209" s="42" t="s">
        <v>4356</v>
      </c>
      <c r="U209" s="42" t="s">
        <v>5143</v>
      </c>
      <c r="V209" s="42" t="s">
        <v>10309</v>
      </c>
      <c r="W209" s="42" t="s">
        <v>3571</v>
      </c>
      <c r="X209" s="42" t="s">
        <v>5145</v>
      </c>
      <c r="Y209" s="41">
        <v>6.0</v>
      </c>
      <c r="Z209" s="48" t="s">
        <v>3559</v>
      </c>
    </row>
    <row r="210">
      <c r="A210" s="35" t="s">
        <v>5168</v>
      </c>
      <c r="B210" s="35" t="s">
        <v>5161</v>
      </c>
      <c r="C210" s="35" t="s">
        <v>5162</v>
      </c>
      <c r="D210" s="35" t="s">
        <v>5172</v>
      </c>
      <c r="E210" s="35" t="s">
        <v>10011</v>
      </c>
      <c r="F210" s="35" t="s">
        <v>5171</v>
      </c>
      <c r="G210" s="34"/>
      <c r="H210" s="35" t="s">
        <v>5172</v>
      </c>
      <c r="I210" s="34"/>
      <c r="J210" s="32">
        <v>81580.0</v>
      </c>
      <c r="K210" s="35" t="s">
        <v>41</v>
      </c>
      <c r="L210" s="37"/>
      <c r="M210" s="37"/>
      <c r="N210" s="34"/>
      <c r="O210" s="34"/>
      <c r="P210" s="34"/>
      <c r="Q210" s="34"/>
      <c r="R210" s="35" t="s">
        <v>4560</v>
      </c>
      <c r="S210" s="35" t="s">
        <v>5163</v>
      </c>
      <c r="T210" s="35" t="s">
        <v>5164</v>
      </c>
      <c r="U210" s="35" t="s">
        <v>5166</v>
      </c>
      <c r="V210" s="35" t="s">
        <v>10310</v>
      </c>
      <c r="W210" s="35" t="s">
        <v>3571</v>
      </c>
      <c r="X210" s="35" t="s">
        <v>4962</v>
      </c>
      <c r="Y210" s="37"/>
      <c r="Z210" s="40" t="s">
        <v>3559</v>
      </c>
    </row>
    <row r="211">
      <c r="A211" s="42" t="s">
        <v>5182</v>
      </c>
      <c r="B211" s="42" t="s">
        <v>5178</v>
      </c>
      <c r="C211" s="42" t="s">
        <v>5180</v>
      </c>
      <c r="D211" s="42" t="s">
        <v>5192</v>
      </c>
      <c r="E211" s="42" t="s">
        <v>10011</v>
      </c>
      <c r="F211" s="42" t="s">
        <v>5191</v>
      </c>
      <c r="G211" s="43"/>
      <c r="H211" s="42" t="s">
        <v>5192</v>
      </c>
      <c r="I211" s="43"/>
      <c r="J211" s="45"/>
      <c r="K211" s="42" t="s">
        <v>41</v>
      </c>
      <c r="L211" s="45" t="str">
        <f>+972 (0)4 990 5555</f>
        <v>#ERROR!</v>
      </c>
      <c r="M211" s="45" t="str">
        <f>+972 (0)4 998 8775</f>
        <v>#ERROR!</v>
      </c>
      <c r="N211" s="43"/>
      <c r="O211" s="42" t="s">
        <v>5188</v>
      </c>
      <c r="P211" s="42" t="s">
        <v>4093</v>
      </c>
      <c r="Q211" s="43"/>
      <c r="R211" s="42" t="s">
        <v>3867</v>
      </c>
      <c r="S211" s="42" t="s">
        <v>3868</v>
      </c>
      <c r="T211" s="42" t="s">
        <v>3869</v>
      </c>
      <c r="U211" s="42" t="s">
        <v>3612</v>
      </c>
      <c r="V211" s="42" t="s">
        <v>4024</v>
      </c>
      <c r="W211" s="42" t="s">
        <v>3571</v>
      </c>
      <c r="X211" s="42" t="s">
        <v>4962</v>
      </c>
      <c r="Y211" s="41">
        <v>150.0</v>
      </c>
      <c r="Z211" s="48" t="s">
        <v>3559</v>
      </c>
    </row>
    <row r="212">
      <c r="A212" s="35" t="s">
        <v>5203</v>
      </c>
      <c r="B212" s="35" t="s">
        <v>5197</v>
      </c>
      <c r="C212" s="35" t="s">
        <v>5199</v>
      </c>
      <c r="D212" s="35" t="s">
        <v>98</v>
      </c>
      <c r="E212" s="35" t="s">
        <v>10011</v>
      </c>
      <c r="F212" s="35" t="s">
        <v>5211</v>
      </c>
      <c r="G212" s="35" t="s">
        <v>5212</v>
      </c>
      <c r="H212" s="35" t="s">
        <v>98</v>
      </c>
      <c r="I212" s="34"/>
      <c r="J212" s="37"/>
      <c r="K212" s="35" t="s">
        <v>41</v>
      </c>
      <c r="L212" s="37" t="str">
        <f>+972 (0)54 903 3265</f>
        <v>#ERROR!</v>
      </c>
      <c r="M212" s="37"/>
      <c r="N212" s="35" t="s">
        <v>5213</v>
      </c>
      <c r="O212" s="35" t="s">
        <v>5207</v>
      </c>
      <c r="P212" s="35" t="s">
        <v>5208</v>
      </c>
      <c r="Q212" s="34"/>
      <c r="R212" s="35" t="s">
        <v>3867</v>
      </c>
      <c r="S212" s="35" t="s">
        <v>3868</v>
      </c>
      <c r="T212" s="35" t="s">
        <v>3869</v>
      </c>
      <c r="U212" s="35" t="s">
        <v>5201</v>
      </c>
      <c r="V212" s="35" t="s">
        <v>10311</v>
      </c>
      <c r="W212" s="35" t="s">
        <v>3571</v>
      </c>
      <c r="X212" s="35" t="s">
        <v>4923</v>
      </c>
      <c r="Y212" s="37"/>
      <c r="Z212" s="40" t="s">
        <v>3559</v>
      </c>
    </row>
    <row r="213">
      <c r="A213" s="42" t="s">
        <v>5221</v>
      </c>
      <c r="B213" s="42" t="s">
        <v>5216</v>
      </c>
      <c r="C213" s="42" t="s">
        <v>5217</v>
      </c>
      <c r="D213" s="42" t="s">
        <v>75</v>
      </c>
      <c r="E213" s="42" t="s">
        <v>10011</v>
      </c>
      <c r="F213" s="43"/>
      <c r="G213" s="43"/>
      <c r="H213" s="42" t="s">
        <v>75</v>
      </c>
      <c r="I213" s="43"/>
      <c r="J213" s="45"/>
      <c r="K213" s="42" t="s">
        <v>41</v>
      </c>
      <c r="L213" s="45" t="str">
        <f>+972 (0)54 222 8364</f>
        <v>#ERROR!</v>
      </c>
      <c r="M213" s="45"/>
      <c r="N213" s="43"/>
      <c r="O213" s="43"/>
      <c r="P213" s="43"/>
      <c r="Q213" s="43"/>
      <c r="R213" s="42" t="s">
        <v>4560</v>
      </c>
      <c r="S213" s="42" t="s">
        <v>4561</v>
      </c>
      <c r="T213" s="42" t="s">
        <v>66</v>
      </c>
      <c r="U213" s="42" t="s">
        <v>5219</v>
      </c>
      <c r="V213" s="42" t="s">
        <v>10312</v>
      </c>
      <c r="W213" s="42" t="s">
        <v>5222</v>
      </c>
      <c r="X213" s="42" t="s">
        <v>5018</v>
      </c>
      <c r="Y213" s="45"/>
      <c r="Z213" s="48" t="s">
        <v>3559</v>
      </c>
    </row>
    <row r="214">
      <c r="A214" s="35" t="s">
        <v>5235</v>
      </c>
      <c r="B214" s="35" t="s">
        <v>10313</v>
      </c>
      <c r="C214" s="35" t="s">
        <v>5232</v>
      </c>
      <c r="D214" s="35" t="s">
        <v>10314</v>
      </c>
      <c r="E214" s="35" t="s">
        <v>10008</v>
      </c>
      <c r="F214" s="35" t="s">
        <v>10315</v>
      </c>
      <c r="G214" s="34"/>
      <c r="H214" s="35" t="s">
        <v>10314</v>
      </c>
      <c r="I214" s="35" t="s">
        <v>881</v>
      </c>
      <c r="J214" s="32">
        <v>75075.0</v>
      </c>
      <c r="K214" s="35" t="s">
        <v>60</v>
      </c>
      <c r="L214" s="37"/>
      <c r="M214" s="37"/>
      <c r="N214" s="35" t="s">
        <v>754</v>
      </c>
      <c r="O214" s="35" t="s">
        <v>10316</v>
      </c>
      <c r="P214" s="35" t="s">
        <v>5248</v>
      </c>
      <c r="Q214" s="35" t="s">
        <v>10317</v>
      </c>
      <c r="R214" s="35" t="s">
        <v>3563</v>
      </c>
      <c r="S214" s="35" t="s">
        <v>3564</v>
      </c>
      <c r="T214" s="35" t="s">
        <v>3565</v>
      </c>
      <c r="U214" s="35" t="s">
        <v>4000</v>
      </c>
      <c r="V214" s="35" t="s">
        <v>10318</v>
      </c>
      <c r="W214" s="35" t="s">
        <v>3571</v>
      </c>
      <c r="X214" s="35" t="s">
        <v>5018</v>
      </c>
      <c r="Y214" s="32">
        <v>180.0</v>
      </c>
      <c r="Z214" s="40" t="s">
        <v>3559</v>
      </c>
    </row>
    <row r="215">
      <c r="A215" s="42" t="s">
        <v>5235</v>
      </c>
      <c r="B215" s="42" t="s">
        <v>10313</v>
      </c>
      <c r="C215" s="42" t="s">
        <v>5232</v>
      </c>
      <c r="D215" s="42" t="s">
        <v>75</v>
      </c>
      <c r="E215" s="42" t="s">
        <v>10011</v>
      </c>
      <c r="F215" s="42" t="s">
        <v>5250</v>
      </c>
      <c r="G215" s="43"/>
      <c r="H215" s="42" t="s">
        <v>75</v>
      </c>
      <c r="I215" s="43"/>
      <c r="J215" s="45"/>
      <c r="K215" s="42" t="s">
        <v>41</v>
      </c>
      <c r="L215" s="45" t="str">
        <f>+972 (0)73 796 9804</f>
        <v>#ERROR!</v>
      </c>
      <c r="M215" s="45"/>
      <c r="N215" s="42" t="s">
        <v>754</v>
      </c>
      <c r="O215" s="42" t="s">
        <v>10316</v>
      </c>
      <c r="P215" s="42" t="s">
        <v>5248</v>
      </c>
      <c r="Q215" s="42" t="s">
        <v>10317</v>
      </c>
      <c r="R215" s="42" t="s">
        <v>3563</v>
      </c>
      <c r="S215" s="42" t="s">
        <v>3564</v>
      </c>
      <c r="T215" s="42" t="s">
        <v>3565</v>
      </c>
      <c r="U215" s="42" t="s">
        <v>4000</v>
      </c>
      <c r="V215" s="42" t="s">
        <v>10318</v>
      </c>
      <c r="W215" s="42" t="s">
        <v>3571</v>
      </c>
      <c r="X215" s="42" t="s">
        <v>5018</v>
      </c>
      <c r="Y215" s="41">
        <v>180.0</v>
      </c>
      <c r="Z215" s="48" t="s">
        <v>3559</v>
      </c>
    </row>
    <row r="216">
      <c r="A216" s="77" t="s">
        <v>5270</v>
      </c>
      <c r="B216" s="77" t="s">
        <v>5264</v>
      </c>
      <c r="C216" s="77" t="s">
        <v>5266</v>
      </c>
      <c r="D216" s="77" t="s">
        <v>287</v>
      </c>
      <c r="E216" s="77" t="s">
        <v>10008</v>
      </c>
      <c r="F216" s="77" t="s">
        <v>10319</v>
      </c>
      <c r="G216" s="77" t="s">
        <v>10320</v>
      </c>
      <c r="H216" s="77" t="s">
        <v>287</v>
      </c>
      <c r="I216" s="77" t="s">
        <v>10032</v>
      </c>
      <c r="J216" s="80" t="s">
        <v>10321</v>
      </c>
      <c r="K216" s="77" t="s">
        <v>211</v>
      </c>
      <c r="L216" s="79" t="str">
        <f>+44 (0)20 3608 0404</f>
        <v>#ERROR!</v>
      </c>
      <c r="M216" s="79"/>
      <c r="N216" s="77" t="s">
        <v>5281</v>
      </c>
      <c r="O216" s="77" t="s">
        <v>5276</v>
      </c>
      <c r="P216" s="77" t="s">
        <v>4312</v>
      </c>
      <c r="Q216" s="78"/>
      <c r="R216" s="77" t="s">
        <v>3867</v>
      </c>
      <c r="S216" s="77" t="s">
        <v>3897</v>
      </c>
      <c r="T216" s="77" t="s">
        <v>5092</v>
      </c>
      <c r="U216" s="77" t="s">
        <v>5268</v>
      </c>
      <c r="V216" s="77" t="s">
        <v>10322</v>
      </c>
      <c r="W216" s="77" t="s">
        <v>3571</v>
      </c>
      <c r="X216" s="77" t="s">
        <v>5018</v>
      </c>
      <c r="Y216" s="80">
        <v>38.0</v>
      </c>
      <c r="Z216" s="81" t="s">
        <v>3559</v>
      </c>
    </row>
    <row r="217">
      <c r="A217" s="42" t="s">
        <v>5270</v>
      </c>
      <c r="B217" s="42" t="s">
        <v>5264</v>
      </c>
      <c r="C217" s="42" t="s">
        <v>5266</v>
      </c>
      <c r="D217" s="42" t="s">
        <v>5280</v>
      </c>
      <c r="E217" s="42" t="s">
        <v>10011</v>
      </c>
      <c r="F217" s="42" t="s">
        <v>5279</v>
      </c>
      <c r="G217" s="43"/>
      <c r="H217" s="42" t="s">
        <v>5280</v>
      </c>
      <c r="I217" s="43"/>
      <c r="J217" s="45"/>
      <c r="K217" s="42" t="s">
        <v>41</v>
      </c>
      <c r="L217" s="45" t="str">
        <f>+972 (0)3 738 2100</f>
        <v>#ERROR!</v>
      </c>
      <c r="M217" s="45"/>
      <c r="N217" s="42" t="s">
        <v>5281</v>
      </c>
      <c r="O217" s="42" t="s">
        <v>5276</v>
      </c>
      <c r="P217" s="42" t="s">
        <v>4312</v>
      </c>
      <c r="Q217" s="43"/>
      <c r="R217" s="42" t="s">
        <v>3867</v>
      </c>
      <c r="S217" s="42" t="s">
        <v>3897</v>
      </c>
      <c r="T217" s="42" t="s">
        <v>5092</v>
      </c>
      <c r="U217" s="42" t="s">
        <v>5268</v>
      </c>
      <c r="V217" s="42" t="s">
        <v>10322</v>
      </c>
      <c r="W217" s="42" t="s">
        <v>3571</v>
      </c>
      <c r="X217" s="42" t="s">
        <v>5018</v>
      </c>
      <c r="Y217" s="41">
        <v>38.0</v>
      </c>
      <c r="Z217" s="48" t="s">
        <v>3559</v>
      </c>
    </row>
    <row r="218">
      <c r="A218" s="35" t="s">
        <v>5296</v>
      </c>
      <c r="B218" s="35" t="s">
        <v>5290</v>
      </c>
      <c r="C218" s="35" t="s">
        <v>5294</v>
      </c>
      <c r="D218" s="35" t="s">
        <v>75</v>
      </c>
      <c r="E218" s="35" t="s">
        <v>10011</v>
      </c>
      <c r="F218" s="35" t="s">
        <v>5303</v>
      </c>
      <c r="G218" s="35" t="s">
        <v>5304</v>
      </c>
      <c r="H218" s="35" t="s">
        <v>75</v>
      </c>
      <c r="I218" s="34"/>
      <c r="J218" s="32">
        <v>61392.0</v>
      </c>
      <c r="K218" s="35" t="s">
        <v>41</v>
      </c>
      <c r="L218" s="37" t="str">
        <f>+972 (0)3 690 3712</f>
        <v>#ERROR!</v>
      </c>
      <c r="M218" s="37"/>
      <c r="N218" s="34"/>
      <c r="O218" s="35" t="s">
        <v>5301</v>
      </c>
      <c r="P218" s="35" t="s">
        <v>4093</v>
      </c>
      <c r="Q218" s="34"/>
      <c r="R218" s="35" t="s">
        <v>4560</v>
      </c>
      <c r="S218" s="35" t="s">
        <v>4561</v>
      </c>
      <c r="T218" s="35" t="s">
        <v>5057</v>
      </c>
      <c r="U218" s="34"/>
      <c r="V218" s="35" t="s">
        <v>5058</v>
      </c>
      <c r="W218" s="35" t="s">
        <v>3571</v>
      </c>
      <c r="X218" s="35" t="s">
        <v>4962</v>
      </c>
      <c r="Y218" s="32">
        <v>204.0</v>
      </c>
      <c r="Z218" s="40" t="s">
        <v>3559</v>
      </c>
    </row>
    <row r="219">
      <c r="A219" s="42" t="s">
        <v>5315</v>
      </c>
      <c r="B219" s="42" t="s">
        <v>5310</v>
      </c>
      <c r="C219" s="42" t="s">
        <v>5312</v>
      </c>
      <c r="D219" s="42" t="s">
        <v>75</v>
      </c>
      <c r="E219" s="42" t="s">
        <v>10011</v>
      </c>
      <c r="F219" s="42" t="s">
        <v>5317</v>
      </c>
      <c r="G219" s="43"/>
      <c r="H219" s="42" t="s">
        <v>75</v>
      </c>
      <c r="I219" s="43"/>
      <c r="J219" s="45"/>
      <c r="K219" s="42" t="s">
        <v>41</v>
      </c>
      <c r="L219" s="45"/>
      <c r="M219" s="45"/>
      <c r="N219" s="43"/>
      <c r="O219" s="43"/>
      <c r="P219" s="43"/>
      <c r="Q219" s="43"/>
      <c r="R219" s="42" t="s">
        <v>3867</v>
      </c>
      <c r="S219" s="42" t="s">
        <v>3868</v>
      </c>
      <c r="T219" s="42" t="s">
        <v>3869</v>
      </c>
      <c r="U219" s="42" t="s">
        <v>3612</v>
      </c>
      <c r="V219" s="42" t="s">
        <v>10323</v>
      </c>
      <c r="W219" s="42" t="s">
        <v>5222</v>
      </c>
      <c r="X219" s="42" t="s">
        <v>5018</v>
      </c>
      <c r="Y219" s="45"/>
      <c r="Z219" s="48" t="s">
        <v>3559</v>
      </c>
    </row>
    <row r="220">
      <c r="A220" s="35" t="s">
        <v>5327</v>
      </c>
      <c r="B220" s="35" t="s">
        <v>5322</v>
      </c>
      <c r="C220" s="35" t="s">
        <v>5324</v>
      </c>
      <c r="D220" s="35" t="s">
        <v>41</v>
      </c>
      <c r="E220" s="35" t="s">
        <v>10011</v>
      </c>
      <c r="F220" s="34"/>
      <c r="G220" s="34"/>
      <c r="H220" s="34"/>
      <c r="I220" s="34"/>
      <c r="J220" s="37"/>
      <c r="K220" s="35" t="s">
        <v>41</v>
      </c>
      <c r="L220" s="37"/>
      <c r="M220" s="37"/>
      <c r="N220" s="35" t="s">
        <v>5331</v>
      </c>
      <c r="O220" s="34"/>
      <c r="P220" s="34"/>
      <c r="Q220" s="34"/>
      <c r="R220" s="35" t="s">
        <v>3867</v>
      </c>
      <c r="S220" s="35" t="s">
        <v>4199</v>
      </c>
      <c r="T220" s="35" t="s">
        <v>4414</v>
      </c>
      <c r="U220" s="35" t="s">
        <v>5325</v>
      </c>
      <c r="V220" s="35" t="s">
        <v>4415</v>
      </c>
      <c r="W220" s="35" t="s">
        <v>5222</v>
      </c>
      <c r="X220" s="35" t="s">
        <v>4923</v>
      </c>
      <c r="Y220" s="32">
        <v>4.0</v>
      </c>
      <c r="Z220" s="40" t="s">
        <v>3559</v>
      </c>
    </row>
    <row r="221">
      <c r="A221" s="42" t="s">
        <v>5338</v>
      </c>
      <c r="B221" s="42" t="s">
        <v>5334</v>
      </c>
      <c r="C221" s="42" t="s">
        <v>5336</v>
      </c>
      <c r="D221" s="42" t="s">
        <v>2444</v>
      </c>
      <c r="E221" s="42" t="s">
        <v>10011</v>
      </c>
      <c r="F221" s="42" t="s">
        <v>5345</v>
      </c>
      <c r="G221" s="43"/>
      <c r="H221" s="42" t="s">
        <v>2444</v>
      </c>
      <c r="I221" s="43"/>
      <c r="J221" s="45"/>
      <c r="K221" s="42" t="s">
        <v>41</v>
      </c>
      <c r="L221" s="45" t="str">
        <f>+972 (0)3 570 3883</f>
        <v>#ERROR!</v>
      </c>
      <c r="M221" s="45" t="str">
        <f>+972 (0)3 570 8060</f>
        <v>#ERROR!</v>
      </c>
      <c r="N221" s="43"/>
      <c r="O221" s="42" t="s">
        <v>5343</v>
      </c>
      <c r="P221" s="42" t="s">
        <v>3982</v>
      </c>
      <c r="Q221" s="43"/>
      <c r="R221" s="42" t="s">
        <v>4560</v>
      </c>
      <c r="S221" s="42" t="s">
        <v>4561</v>
      </c>
      <c r="T221" s="42" t="s">
        <v>66</v>
      </c>
      <c r="U221" s="43"/>
      <c r="V221" s="42" t="s">
        <v>4562</v>
      </c>
      <c r="W221" s="42" t="s">
        <v>3571</v>
      </c>
      <c r="X221" s="42" t="s">
        <v>4962</v>
      </c>
      <c r="Y221" s="41">
        <v>80.0</v>
      </c>
      <c r="Z221" s="48" t="s">
        <v>3559</v>
      </c>
    </row>
    <row r="222">
      <c r="A222" s="35" t="s">
        <v>5358</v>
      </c>
      <c r="B222" s="35" t="s">
        <v>5351</v>
      </c>
      <c r="C222" s="35" t="s">
        <v>5354</v>
      </c>
      <c r="D222" s="35" t="s">
        <v>10028</v>
      </c>
      <c r="E222" s="35" t="s">
        <v>10008</v>
      </c>
      <c r="F222" s="34"/>
      <c r="G222" s="34"/>
      <c r="H222" s="34"/>
      <c r="I222" s="34"/>
      <c r="J222" s="37"/>
      <c r="K222" s="35" t="s">
        <v>10028</v>
      </c>
      <c r="L222" s="37"/>
      <c r="M222" s="37"/>
      <c r="N222" s="35" t="s">
        <v>10324</v>
      </c>
      <c r="O222" s="35" t="s">
        <v>5364</v>
      </c>
      <c r="P222" s="35" t="s">
        <v>4338</v>
      </c>
      <c r="Q222" s="34"/>
      <c r="R222" s="35" t="s">
        <v>3563</v>
      </c>
      <c r="S222" s="35" t="s">
        <v>3564</v>
      </c>
      <c r="T222" s="35" t="s">
        <v>3565</v>
      </c>
      <c r="U222" s="35" t="s">
        <v>5356</v>
      </c>
      <c r="V222" s="35" t="s">
        <v>10325</v>
      </c>
      <c r="W222" s="35" t="s">
        <v>3571</v>
      </c>
      <c r="X222" s="35" t="s">
        <v>5018</v>
      </c>
      <c r="Y222" s="32">
        <v>120.0</v>
      </c>
      <c r="Z222" s="40" t="s">
        <v>3559</v>
      </c>
    </row>
    <row r="223">
      <c r="A223" s="42" t="s">
        <v>5358</v>
      </c>
      <c r="B223" s="42" t="s">
        <v>5351</v>
      </c>
      <c r="C223" s="42" t="s">
        <v>5354</v>
      </c>
      <c r="D223" s="42" t="s">
        <v>506</v>
      </c>
      <c r="E223" s="42" t="s">
        <v>10008</v>
      </c>
      <c r="F223" s="43"/>
      <c r="G223" s="43"/>
      <c r="H223" s="42" t="s">
        <v>506</v>
      </c>
      <c r="I223" s="42" t="s">
        <v>507</v>
      </c>
      <c r="J223" s="45"/>
      <c r="K223" s="42" t="s">
        <v>60</v>
      </c>
      <c r="L223" s="45"/>
      <c r="M223" s="45"/>
      <c r="N223" s="42" t="s">
        <v>10324</v>
      </c>
      <c r="O223" s="42" t="s">
        <v>5364</v>
      </c>
      <c r="P223" s="42" t="s">
        <v>4338</v>
      </c>
      <c r="Q223" s="43"/>
      <c r="R223" s="42" t="s">
        <v>3563</v>
      </c>
      <c r="S223" s="42" t="s">
        <v>3564</v>
      </c>
      <c r="T223" s="42" t="s">
        <v>3565</v>
      </c>
      <c r="U223" s="42" t="s">
        <v>5356</v>
      </c>
      <c r="V223" s="42" t="s">
        <v>10325</v>
      </c>
      <c r="W223" s="42" t="s">
        <v>3571</v>
      </c>
      <c r="X223" s="42" t="s">
        <v>5018</v>
      </c>
      <c r="Y223" s="41">
        <v>120.0</v>
      </c>
      <c r="Z223" s="48" t="s">
        <v>3559</v>
      </c>
    </row>
    <row r="224">
      <c r="A224" s="35" t="s">
        <v>5358</v>
      </c>
      <c r="B224" s="35" t="s">
        <v>5351</v>
      </c>
      <c r="C224" s="35" t="s">
        <v>5354</v>
      </c>
      <c r="D224" s="35" t="s">
        <v>75</v>
      </c>
      <c r="E224" s="35" t="s">
        <v>10011</v>
      </c>
      <c r="F224" s="35" t="s">
        <v>5366</v>
      </c>
      <c r="G224" s="34"/>
      <c r="H224" s="35" t="s">
        <v>75</v>
      </c>
      <c r="I224" s="34"/>
      <c r="J224" s="32">
        <v>6721503.0</v>
      </c>
      <c r="K224" s="35" t="s">
        <v>41</v>
      </c>
      <c r="L224" s="37"/>
      <c r="M224" s="37"/>
      <c r="N224" s="35" t="s">
        <v>5367</v>
      </c>
      <c r="O224" s="35" t="s">
        <v>5364</v>
      </c>
      <c r="P224" s="35" t="s">
        <v>4338</v>
      </c>
      <c r="Q224" s="34"/>
      <c r="R224" s="35" t="s">
        <v>3563</v>
      </c>
      <c r="S224" s="35" t="s">
        <v>3564</v>
      </c>
      <c r="T224" s="35" t="s">
        <v>3565</v>
      </c>
      <c r="U224" s="35" t="s">
        <v>5356</v>
      </c>
      <c r="V224" s="35" t="s">
        <v>10325</v>
      </c>
      <c r="W224" s="35" t="s">
        <v>3571</v>
      </c>
      <c r="X224" s="35" t="s">
        <v>5018</v>
      </c>
      <c r="Y224" s="32">
        <v>120.0</v>
      </c>
      <c r="Z224" s="40" t="s">
        <v>3559</v>
      </c>
    </row>
    <row r="225">
      <c r="A225" s="42" t="s">
        <v>5358</v>
      </c>
      <c r="B225" s="42" t="s">
        <v>5351</v>
      </c>
      <c r="C225" s="42" t="s">
        <v>5354</v>
      </c>
      <c r="D225" s="42" t="s">
        <v>925</v>
      </c>
      <c r="E225" s="42" t="s">
        <v>10008</v>
      </c>
      <c r="F225" s="43"/>
      <c r="G225" s="43"/>
      <c r="H225" s="42" t="s">
        <v>925</v>
      </c>
      <c r="I225" s="42" t="s">
        <v>10184</v>
      </c>
      <c r="J225" s="45"/>
      <c r="K225" s="42" t="s">
        <v>928</v>
      </c>
      <c r="L225" s="45"/>
      <c r="M225" s="45"/>
      <c r="N225" s="42" t="s">
        <v>5367</v>
      </c>
      <c r="O225" s="42" t="s">
        <v>5364</v>
      </c>
      <c r="P225" s="42" t="s">
        <v>4338</v>
      </c>
      <c r="Q225" s="43"/>
      <c r="R225" s="42" t="s">
        <v>3563</v>
      </c>
      <c r="S225" s="42" t="s">
        <v>3564</v>
      </c>
      <c r="T225" s="42" t="s">
        <v>3565</v>
      </c>
      <c r="U225" s="42" t="s">
        <v>5356</v>
      </c>
      <c r="V225" s="42" t="s">
        <v>10325</v>
      </c>
      <c r="W225" s="42" t="s">
        <v>3571</v>
      </c>
      <c r="X225" s="42" t="s">
        <v>5018</v>
      </c>
      <c r="Y225" s="41">
        <v>120.0</v>
      </c>
      <c r="Z225" s="48" t="s">
        <v>3559</v>
      </c>
    </row>
    <row r="226">
      <c r="A226" s="35" t="s">
        <v>5380</v>
      </c>
      <c r="B226" s="35" t="s">
        <v>5373</v>
      </c>
      <c r="C226" s="35" t="s">
        <v>5376</v>
      </c>
      <c r="D226" s="35" t="s">
        <v>10326</v>
      </c>
      <c r="E226" s="35" t="s">
        <v>10008</v>
      </c>
      <c r="F226" s="35" t="s">
        <v>10327</v>
      </c>
      <c r="G226" s="35" t="s">
        <v>10328</v>
      </c>
      <c r="H226" s="35" t="s">
        <v>10326</v>
      </c>
      <c r="I226" s="34"/>
      <c r="J226" s="37"/>
      <c r="K226" s="35" t="s">
        <v>10223</v>
      </c>
      <c r="L226" s="37"/>
      <c r="M226" s="37"/>
      <c r="N226" s="34"/>
      <c r="O226" s="34"/>
      <c r="P226" s="34"/>
      <c r="Q226" s="34"/>
      <c r="R226" s="35" t="s">
        <v>3563</v>
      </c>
      <c r="S226" s="35" t="s">
        <v>351</v>
      </c>
      <c r="T226" s="35" t="s">
        <v>4111</v>
      </c>
      <c r="U226" s="35" t="s">
        <v>5378</v>
      </c>
      <c r="V226" s="35" t="s">
        <v>10329</v>
      </c>
      <c r="W226" s="35" t="s">
        <v>3571</v>
      </c>
      <c r="X226" s="35" t="s">
        <v>5018</v>
      </c>
      <c r="Y226" s="32">
        <v>123.0</v>
      </c>
      <c r="Z226" s="40" t="s">
        <v>3559</v>
      </c>
    </row>
    <row r="227">
      <c r="A227" s="42" t="s">
        <v>5380</v>
      </c>
      <c r="B227" s="42" t="s">
        <v>5373</v>
      </c>
      <c r="C227" s="42" t="s">
        <v>5376</v>
      </c>
      <c r="D227" s="42" t="s">
        <v>10330</v>
      </c>
      <c r="E227" s="42" t="s">
        <v>10008</v>
      </c>
      <c r="F227" s="42" t="s">
        <v>10331</v>
      </c>
      <c r="G227" s="43"/>
      <c r="H227" s="42" t="s">
        <v>10330</v>
      </c>
      <c r="I227" s="42" t="s">
        <v>816</v>
      </c>
      <c r="J227" s="41">
        <v>48347.0</v>
      </c>
      <c r="K227" s="42" t="s">
        <v>60</v>
      </c>
      <c r="L227" s="45"/>
      <c r="M227" s="45"/>
      <c r="N227" s="43"/>
      <c r="O227" s="43"/>
      <c r="P227" s="43"/>
      <c r="Q227" s="43"/>
      <c r="R227" s="42" t="s">
        <v>3563</v>
      </c>
      <c r="S227" s="42" t="s">
        <v>351</v>
      </c>
      <c r="T227" s="42" t="s">
        <v>4111</v>
      </c>
      <c r="U227" s="42" t="s">
        <v>5378</v>
      </c>
      <c r="V227" s="42" t="s">
        <v>10329</v>
      </c>
      <c r="W227" s="42" t="s">
        <v>3571</v>
      </c>
      <c r="X227" s="42" t="s">
        <v>5018</v>
      </c>
      <c r="Y227" s="41">
        <v>123.0</v>
      </c>
      <c r="Z227" s="48" t="s">
        <v>3559</v>
      </c>
    </row>
    <row r="228">
      <c r="A228" s="35" t="s">
        <v>5380</v>
      </c>
      <c r="B228" s="35" t="s">
        <v>5373</v>
      </c>
      <c r="C228" s="35" t="s">
        <v>5376</v>
      </c>
      <c r="D228" s="35" t="s">
        <v>5387</v>
      </c>
      <c r="E228" s="35" t="s">
        <v>10011</v>
      </c>
      <c r="F228" s="35" t="s">
        <v>5385</v>
      </c>
      <c r="G228" s="35" t="s">
        <v>5386</v>
      </c>
      <c r="H228" s="35" t="s">
        <v>5387</v>
      </c>
      <c r="I228" s="34"/>
      <c r="J228" s="32">
        <v>40593.0</v>
      </c>
      <c r="K228" s="35" t="s">
        <v>41</v>
      </c>
      <c r="L228" s="37"/>
      <c r="M228" s="37"/>
      <c r="N228" s="34"/>
      <c r="O228" s="34"/>
      <c r="P228" s="34"/>
      <c r="Q228" s="34"/>
      <c r="R228" s="35" t="s">
        <v>3563</v>
      </c>
      <c r="S228" s="35" t="s">
        <v>351</v>
      </c>
      <c r="T228" s="35" t="s">
        <v>4111</v>
      </c>
      <c r="U228" s="35" t="s">
        <v>5378</v>
      </c>
      <c r="V228" s="35" t="s">
        <v>10329</v>
      </c>
      <c r="W228" s="35" t="s">
        <v>3571</v>
      </c>
      <c r="X228" s="35" t="s">
        <v>5018</v>
      </c>
      <c r="Y228" s="32">
        <v>123.0</v>
      </c>
      <c r="Z228" s="40" t="s">
        <v>3559</v>
      </c>
    </row>
    <row r="229">
      <c r="A229" s="42" t="s">
        <v>5380</v>
      </c>
      <c r="B229" s="42" t="s">
        <v>5373</v>
      </c>
      <c r="C229" s="42" t="s">
        <v>5376</v>
      </c>
      <c r="D229" s="42" t="s">
        <v>10332</v>
      </c>
      <c r="E229" s="42" t="s">
        <v>10008</v>
      </c>
      <c r="F229" s="42" t="s">
        <v>10333</v>
      </c>
      <c r="G229" s="42" t="s">
        <v>10334</v>
      </c>
      <c r="H229" s="42" t="s">
        <v>10332</v>
      </c>
      <c r="I229" s="43"/>
      <c r="J229" s="41">
        <v>1030.0</v>
      </c>
      <c r="K229" s="42" t="s">
        <v>10177</v>
      </c>
      <c r="L229" s="45"/>
      <c r="M229" s="45"/>
      <c r="N229" s="43"/>
      <c r="O229" s="43"/>
      <c r="P229" s="43"/>
      <c r="Q229" s="43"/>
      <c r="R229" s="42" t="s">
        <v>3563</v>
      </c>
      <c r="S229" s="42" t="s">
        <v>351</v>
      </c>
      <c r="T229" s="42" t="s">
        <v>4111</v>
      </c>
      <c r="U229" s="42" t="s">
        <v>5378</v>
      </c>
      <c r="V229" s="42" t="s">
        <v>10329</v>
      </c>
      <c r="W229" s="42" t="s">
        <v>3571</v>
      </c>
      <c r="X229" s="42" t="s">
        <v>5018</v>
      </c>
      <c r="Y229" s="41">
        <v>123.0</v>
      </c>
      <c r="Z229" s="48" t="s">
        <v>3559</v>
      </c>
    </row>
    <row r="230">
      <c r="A230" s="35" t="s">
        <v>5380</v>
      </c>
      <c r="B230" s="35" t="s">
        <v>5373</v>
      </c>
      <c r="C230" s="35" t="s">
        <v>5376</v>
      </c>
      <c r="D230" s="35" t="s">
        <v>10335</v>
      </c>
      <c r="E230" s="35" t="s">
        <v>10008</v>
      </c>
      <c r="F230" s="35" t="s">
        <v>10336</v>
      </c>
      <c r="G230" s="34"/>
      <c r="H230" s="35" t="s">
        <v>10335</v>
      </c>
      <c r="I230" s="34"/>
      <c r="J230" s="32">
        <v>56412.0</v>
      </c>
      <c r="K230" s="35" t="s">
        <v>465</v>
      </c>
      <c r="L230" s="37"/>
      <c r="M230" s="37"/>
      <c r="N230" s="34"/>
      <c r="O230" s="34"/>
      <c r="P230" s="34"/>
      <c r="Q230" s="34"/>
      <c r="R230" s="35" t="s">
        <v>3563</v>
      </c>
      <c r="S230" s="35" t="s">
        <v>351</v>
      </c>
      <c r="T230" s="35" t="s">
        <v>4111</v>
      </c>
      <c r="U230" s="35" t="s">
        <v>5378</v>
      </c>
      <c r="V230" s="35" t="s">
        <v>10329</v>
      </c>
      <c r="W230" s="35" t="s">
        <v>3571</v>
      </c>
      <c r="X230" s="35" t="s">
        <v>5018</v>
      </c>
      <c r="Y230" s="32">
        <v>123.0</v>
      </c>
      <c r="Z230" s="40" t="s">
        <v>3559</v>
      </c>
    </row>
    <row r="231">
      <c r="A231" s="42" t="s">
        <v>5380</v>
      </c>
      <c r="B231" s="42" t="s">
        <v>5373</v>
      </c>
      <c r="C231" s="42" t="s">
        <v>5376</v>
      </c>
      <c r="D231" s="42" t="s">
        <v>10097</v>
      </c>
      <c r="E231" s="42" t="s">
        <v>10008</v>
      </c>
      <c r="F231" s="42" t="s">
        <v>10337</v>
      </c>
      <c r="G231" s="43"/>
      <c r="H231" s="42" t="s">
        <v>10097</v>
      </c>
      <c r="I231" s="43"/>
      <c r="J231" s="45"/>
      <c r="K231" s="42" t="s">
        <v>3209</v>
      </c>
      <c r="L231" s="45"/>
      <c r="M231" s="45"/>
      <c r="N231" s="43"/>
      <c r="O231" s="43"/>
      <c r="P231" s="43"/>
      <c r="Q231" s="43"/>
      <c r="R231" s="42" t="s">
        <v>3563</v>
      </c>
      <c r="S231" s="42" t="s">
        <v>351</v>
      </c>
      <c r="T231" s="42" t="s">
        <v>4111</v>
      </c>
      <c r="U231" s="42" t="s">
        <v>5378</v>
      </c>
      <c r="V231" s="42" t="s">
        <v>10329</v>
      </c>
      <c r="W231" s="42" t="s">
        <v>3571</v>
      </c>
      <c r="X231" s="42" t="s">
        <v>5018</v>
      </c>
      <c r="Y231" s="41">
        <v>123.0</v>
      </c>
      <c r="Z231" s="48" t="s">
        <v>3559</v>
      </c>
    </row>
    <row r="232">
      <c r="A232" s="35" t="s">
        <v>5380</v>
      </c>
      <c r="B232" s="35" t="s">
        <v>5373</v>
      </c>
      <c r="C232" s="35" t="s">
        <v>5376</v>
      </c>
      <c r="D232" s="35" t="s">
        <v>10145</v>
      </c>
      <c r="E232" s="35" t="s">
        <v>10008</v>
      </c>
      <c r="F232" s="35" t="s">
        <v>10338</v>
      </c>
      <c r="G232" s="35" t="s">
        <v>10339</v>
      </c>
      <c r="H232" s="35" t="s">
        <v>10145</v>
      </c>
      <c r="I232" s="34"/>
      <c r="J232" s="37"/>
      <c r="K232" s="35" t="s">
        <v>10146</v>
      </c>
      <c r="L232" s="37"/>
      <c r="M232" s="37"/>
      <c r="N232" s="34"/>
      <c r="O232" s="34"/>
      <c r="P232" s="34"/>
      <c r="Q232" s="34"/>
      <c r="R232" s="35" t="s">
        <v>3563</v>
      </c>
      <c r="S232" s="35" t="s">
        <v>351</v>
      </c>
      <c r="T232" s="35" t="s">
        <v>4111</v>
      </c>
      <c r="U232" s="35" t="s">
        <v>5378</v>
      </c>
      <c r="V232" s="35" t="s">
        <v>10329</v>
      </c>
      <c r="W232" s="35" t="s">
        <v>3571</v>
      </c>
      <c r="X232" s="35" t="s">
        <v>5018</v>
      </c>
      <c r="Y232" s="32">
        <v>123.0</v>
      </c>
      <c r="Z232" s="40" t="s">
        <v>3559</v>
      </c>
    </row>
    <row r="233">
      <c r="A233" s="42" t="s">
        <v>5380</v>
      </c>
      <c r="B233" s="42" t="s">
        <v>5373</v>
      </c>
      <c r="C233" s="42" t="s">
        <v>5376</v>
      </c>
      <c r="D233" s="42" t="s">
        <v>10340</v>
      </c>
      <c r="E233" s="42" t="s">
        <v>10008</v>
      </c>
      <c r="F233" s="42" t="s">
        <v>10341</v>
      </c>
      <c r="G233" s="42" t="s">
        <v>10342</v>
      </c>
      <c r="H233" s="42" t="s">
        <v>10340</v>
      </c>
      <c r="I233" s="43"/>
      <c r="J233" s="45"/>
      <c r="K233" s="42" t="s">
        <v>10028</v>
      </c>
      <c r="L233" s="45"/>
      <c r="M233" s="45"/>
      <c r="N233" s="43"/>
      <c r="O233" s="43"/>
      <c r="P233" s="43"/>
      <c r="Q233" s="43"/>
      <c r="R233" s="42" t="s">
        <v>3563</v>
      </c>
      <c r="S233" s="42" t="s">
        <v>351</v>
      </c>
      <c r="T233" s="42" t="s">
        <v>4111</v>
      </c>
      <c r="U233" s="42" t="s">
        <v>5378</v>
      </c>
      <c r="V233" s="42" t="s">
        <v>10329</v>
      </c>
      <c r="W233" s="42" t="s">
        <v>3571</v>
      </c>
      <c r="X233" s="42" t="s">
        <v>5018</v>
      </c>
      <c r="Y233" s="41">
        <v>123.0</v>
      </c>
      <c r="Z233" s="48" t="s">
        <v>3559</v>
      </c>
    </row>
    <row r="234">
      <c r="A234" s="35" t="s">
        <v>5398</v>
      </c>
      <c r="B234" s="35" t="s">
        <v>5396</v>
      </c>
      <c r="C234" s="35" t="s">
        <v>5397</v>
      </c>
      <c r="D234" s="35" t="s">
        <v>10117</v>
      </c>
      <c r="E234" s="35" t="s">
        <v>10011</v>
      </c>
      <c r="F234" s="34"/>
      <c r="G234" s="34"/>
      <c r="H234" s="35" t="s">
        <v>4720</v>
      </c>
      <c r="I234" s="34"/>
      <c r="J234" s="32">
        <v>44647.0</v>
      </c>
      <c r="K234" s="35" t="s">
        <v>41</v>
      </c>
      <c r="L234" s="37"/>
      <c r="M234" s="37"/>
      <c r="N234" s="35" t="s">
        <v>5402</v>
      </c>
      <c r="O234" s="34"/>
      <c r="P234" s="34"/>
      <c r="Q234" s="34"/>
      <c r="R234" s="35" t="s">
        <v>4560</v>
      </c>
      <c r="S234" s="35" t="s">
        <v>4561</v>
      </c>
      <c r="T234" s="35" t="s">
        <v>66</v>
      </c>
      <c r="U234" s="34"/>
      <c r="V234" s="35" t="s">
        <v>4562</v>
      </c>
      <c r="W234" s="34"/>
      <c r="X234" s="35" t="s">
        <v>4923</v>
      </c>
      <c r="Y234" s="37"/>
      <c r="Z234" s="40" t="s">
        <v>3559</v>
      </c>
    </row>
    <row r="235">
      <c r="A235" s="42" t="s">
        <v>5411</v>
      </c>
      <c r="B235" s="42" t="s">
        <v>118</v>
      </c>
      <c r="C235" s="42" t="s">
        <v>5407</v>
      </c>
      <c r="D235" s="42" t="s">
        <v>75</v>
      </c>
      <c r="E235" s="42" t="s">
        <v>10011</v>
      </c>
      <c r="F235" s="42" t="s">
        <v>5423</v>
      </c>
      <c r="G235" s="42" t="s">
        <v>5424</v>
      </c>
      <c r="H235" s="42" t="s">
        <v>75</v>
      </c>
      <c r="I235" s="43"/>
      <c r="J235" s="41">
        <v>6107439.0</v>
      </c>
      <c r="K235" s="42" t="s">
        <v>41</v>
      </c>
      <c r="L235" s="45" t="str">
        <f>+972 (0)4 834 2360</f>
        <v>#ERROR!</v>
      </c>
      <c r="M235" s="45"/>
      <c r="N235" s="42" t="s">
        <v>126</v>
      </c>
      <c r="O235" s="42" t="s">
        <v>5421</v>
      </c>
      <c r="P235" s="42" t="s">
        <v>4093</v>
      </c>
      <c r="Q235" s="43"/>
      <c r="R235" s="42" t="s">
        <v>3563</v>
      </c>
      <c r="S235" s="42" t="s">
        <v>3564</v>
      </c>
      <c r="T235" s="42" t="s">
        <v>3565</v>
      </c>
      <c r="U235" s="42" t="s">
        <v>5409</v>
      </c>
      <c r="V235" s="42" t="s">
        <v>10343</v>
      </c>
      <c r="W235" s="42" t="s">
        <v>5412</v>
      </c>
      <c r="X235" s="42" t="s">
        <v>5018</v>
      </c>
      <c r="Y235" s="41">
        <v>43.0</v>
      </c>
      <c r="Z235" s="48" t="s">
        <v>3559</v>
      </c>
    </row>
    <row r="236">
      <c r="A236" s="35" t="s">
        <v>5439</v>
      </c>
      <c r="B236" s="35" t="s">
        <v>5435</v>
      </c>
      <c r="C236" s="35" t="s">
        <v>5437</v>
      </c>
      <c r="D236" s="35" t="s">
        <v>41</v>
      </c>
      <c r="E236" s="35" t="s">
        <v>10011</v>
      </c>
      <c r="F236" s="34"/>
      <c r="G236" s="34"/>
      <c r="H236" s="34"/>
      <c r="I236" s="34"/>
      <c r="J236" s="32">
        <v>61181.0</v>
      </c>
      <c r="K236" s="35" t="s">
        <v>41</v>
      </c>
      <c r="L236" s="37"/>
      <c r="M236" s="37"/>
      <c r="N236" s="34"/>
      <c r="O236" s="34"/>
      <c r="P236" s="34"/>
      <c r="Q236" s="34"/>
      <c r="R236" s="35" t="s">
        <v>3867</v>
      </c>
      <c r="S236" s="35" t="s">
        <v>3868</v>
      </c>
      <c r="T236" s="35" t="s">
        <v>3869</v>
      </c>
      <c r="U236" s="34"/>
      <c r="V236" s="35" t="s">
        <v>10344</v>
      </c>
      <c r="W236" s="34"/>
      <c r="X236" s="35" t="s">
        <v>4923</v>
      </c>
      <c r="Y236" s="32">
        <v>51.0</v>
      </c>
      <c r="Z236" s="40" t="s">
        <v>3559</v>
      </c>
    </row>
    <row r="237">
      <c r="A237" s="42" t="s">
        <v>5453</v>
      </c>
      <c r="B237" s="42" t="s">
        <v>5448</v>
      </c>
      <c r="C237" s="42" t="s">
        <v>5450</v>
      </c>
      <c r="D237" s="42" t="s">
        <v>5457</v>
      </c>
      <c r="E237" s="42" t="s">
        <v>10011</v>
      </c>
      <c r="F237" s="43"/>
      <c r="G237" s="43"/>
      <c r="H237" s="42" t="s">
        <v>5457</v>
      </c>
      <c r="I237" s="43"/>
      <c r="J237" s="41">
        <v>9984500.0</v>
      </c>
      <c r="K237" s="42" t="s">
        <v>41</v>
      </c>
      <c r="L237" s="45" t="str">
        <f>+972 (0)54 458 0413</f>
        <v>#ERROR!</v>
      </c>
      <c r="M237" s="45"/>
      <c r="N237" s="43"/>
      <c r="O237" s="43"/>
      <c r="P237" s="43"/>
      <c r="Q237" s="43"/>
      <c r="R237" s="42" t="s">
        <v>4560</v>
      </c>
      <c r="S237" s="42" t="s">
        <v>4561</v>
      </c>
      <c r="T237" s="42" t="s">
        <v>66</v>
      </c>
      <c r="U237" s="42" t="s">
        <v>5451</v>
      </c>
      <c r="V237" s="42" t="s">
        <v>4562</v>
      </c>
      <c r="W237" s="42" t="s">
        <v>5222</v>
      </c>
      <c r="X237" s="42" t="s">
        <v>5018</v>
      </c>
      <c r="Y237" s="41">
        <v>2.0</v>
      </c>
      <c r="Z237" s="48" t="s">
        <v>3559</v>
      </c>
    </row>
    <row r="238">
      <c r="A238" s="35" t="s">
        <v>5453</v>
      </c>
      <c r="B238" s="35" t="s">
        <v>5448</v>
      </c>
      <c r="C238" s="35" t="s">
        <v>5450</v>
      </c>
      <c r="D238" s="35" t="s">
        <v>10345</v>
      </c>
      <c r="E238" s="35" t="s">
        <v>10008</v>
      </c>
      <c r="F238" s="34"/>
      <c r="G238" s="34"/>
      <c r="H238" s="35" t="s">
        <v>10345</v>
      </c>
      <c r="I238" s="34"/>
      <c r="J238" s="37"/>
      <c r="K238" s="35" t="s">
        <v>41</v>
      </c>
      <c r="L238" s="37"/>
      <c r="M238" s="37"/>
      <c r="N238" s="34"/>
      <c r="O238" s="34"/>
      <c r="P238" s="34"/>
      <c r="Q238" s="34"/>
      <c r="R238" s="35" t="s">
        <v>4560</v>
      </c>
      <c r="S238" s="35" t="s">
        <v>4561</v>
      </c>
      <c r="T238" s="35" t="s">
        <v>66</v>
      </c>
      <c r="U238" s="35" t="s">
        <v>5451</v>
      </c>
      <c r="V238" s="35" t="s">
        <v>4562</v>
      </c>
      <c r="W238" s="35" t="s">
        <v>5222</v>
      </c>
      <c r="X238" s="35" t="s">
        <v>5018</v>
      </c>
      <c r="Y238" s="32">
        <v>2.0</v>
      </c>
      <c r="Z238" s="40" t="s">
        <v>3559</v>
      </c>
    </row>
    <row r="239">
      <c r="A239" s="42" t="s">
        <v>5470</v>
      </c>
      <c r="B239" s="42" t="s">
        <v>5466</v>
      </c>
      <c r="C239" s="42" t="s">
        <v>5467</v>
      </c>
      <c r="D239" s="42" t="s">
        <v>5474</v>
      </c>
      <c r="E239" s="42" t="s">
        <v>10011</v>
      </c>
      <c r="F239" s="42" t="s">
        <v>5473</v>
      </c>
      <c r="G239" s="43"/>
      <c r="H239" s="42" t="s">
        <v>5474</v>
      </c>
      <c r="I239" s="43"/>
      <c r="J239" s="45"/>
      <c r="K239" s="42" t="s">
        <v>41</v>
      </c>
      <c r="L239" s="45" t="str">
        <f>+972 (0)54 631 3796</f>
        <v>#ERROR!</v>
      </c>
      <c r="M239" s="45"/>
      <c r="N239" s="43"/>
      <c r="O239" s="43"/>
      <c r="P239" s="43"/>
      <c r="Q239" s="43"/>
      <c r="R239" s="42" t="s">
        <v>3563</v>
      </c>
      <c r="S239" s="42" t="s">
        <v>3564</v>
      </c>
      <c r="T239" s="42" t="s">
        <v>3565</v>
      </c>
      <c r="U239" s="42" t="s">
        <v>5073</v>
      </c>
      <c r="V239" s="42" t="s">
        <v>10346</v>
      </c>
      <c r="W239" s="42" t="s">
        <v>3571</v>
      </c>
      <c r="X239" s="42" t="s">
        <v>4923</v>
      </c>
      <c r="Y239" s="45"/>
      <c r="Z239" s="48" t="s">
        <v>3559</v>
      </c>
    </row>
    <row r="240">
      <c r="A240" s="35" t="s">
        <v>5482</v>
      </c>
      <c r="B240" s="35" t="s">
        <v>5476</v>
      </c>
      <c r="C240" s="35" t="s">
        <v>5477</v>
      </c>
      <c r="D240" s="35" t="s">
        <v>75</v>
      </c>
      <c r="E240" s="35" t="s">
        <v>10011</v>
      </c>
      <c r="F240" s="34"/>
      <c r="G240" s="34"/>
      <c r="H240" s="35" t="s">
        <v>75</v>
      </c>
      <c r="I240" s="34"/>
      <c r="J240" s="37"/>
      <c r="K240" s="35" t="s">
        <v>41</v>
      </c>
      <c r="L240" s="37"/>
      <c r="M240" s="37"/>
      <c r="N240" s="34"/>
      <c r="O240" s="34"/>
      <c r="P240" s="34"/>
      <c r="Q240" s="34"/>
      <c r="R240" s="35" t="s">
        <v>3563</v>
      </c>
      <c r="S240" s="35" t="s">
        <v>3564</v>
      </c>
      <c r="T240" s="35" t="s">
        <v>5478</v>
      </c>
      <c r="U240" s="35" t="s">
        <v>3612</v>
      </c>
      <c r="V240" s="35" t="s">
        <v>10347</v>
      </c>
      <c r="W240" s="35" t="s">
        <v>5222</v>
      </c>
      <c r="X240" s="35" t="s">
        <v>5481</v>
      </c>
      <c r="Y240" s="37"/>
      <c r="Z240" s="40" t="s">
        <v>3559</v>
      </c>
    </row>
    <row r="241">
      <c r="A241" s="42" t="s">
        <v>5495</v>
      </c>
      <c r="B241" s="42" t="s">
        <v>5488</v>
      </c>
      <c r="C241" s="42" t="s">
        <v>5491</v>
      </c>
      <c r="D241" s="42" t="s">
        <v>75</v>
      </c>
      <c r="E241" s="42" t="s">
        <v>10011</v>
      </c>
      <c r="F241" s="42" t="s">
        <v>5499</v>
      </c>
      <c r="G241" s="42" t="s">
        <v>5500</v>
      </c>
      <c r="H241" s="42" t="s">
        <v>75</v>
      </c>
      <c r="I241" s="43"/>
      <c r="J241" s="41">
        <v>6971901.0</v>
      </c>
      <c r="K241" s="42" t="s">
        <v>41</v>
      </c>
      <c r="L241" s="45"/>
      <c r="M241" s="45"/>
      <c r="N241" s="43"/>
      <c r="O241" s="43"/>
      <c r="P241" s="43"/>
      <c r="Q241" s="43"/>
      <c r="R241" s="42" t="s">
        <v>3563</v>
      </c>
      <c r="S241" s="42" t="s">
        <v>3564</v>
      </c>
      <c r="T241" s="42" t="s">
        <v>2368</v>
      </c>
      <c r="U241" s="42" t="s">
        <v>5493</v>
      </c>
      <c r="V241" s="42" t="s">
        <v>10348</v>
      </c>
      <c r="W241" s="42" t="s">
        <v>5496</v>
      </c>
      <c r="X241" s="42" t="s">
        <v>5018</v>
      </c>
      <c r="Y241" s="41">
        <v>11.0</v>
      </c>
      <c r="Z241" s="48" t="s">
        <v>3559</v>
      </c>
    </row>
    <row r="242">
      <c r="A242" s="35" t="s">
        <v>5515</v>
      </c>
      <c r="B242" s="35" t="s">
        <v>5508</v>
      </c>
      <c r="C242" s="35" t="s">
        <v>5510</v>
      </c>
      <c r="D242" s="35" t="s">
        <v>75</v>
      </c>
      <c r="E242" s="35" t="s">
        <v>10011</v>
      </c>
      <c r="F242" s="34"/>
      <c r="G242" s="34"/>
      <c r="H242" s="35" t="s">
        <v>75</v>
      </c>
      <c r="I242" s="34"/>
      <c r="J242" s="37"/>
      <c r="K242" s="35" t="s">
        <v>41</v>
      </c>
      <c r="L242" s="37"/>
      <c r="M242" s="37"/>
      <c r="N242" s="34"/>
      <c r="O242" s="34"/>
      <c r="P242" s="34"/>
      <c r="Q242" s="34"/>
      <c r="R242" s="35" t="s">
        <v>4560</v>
      </c>
      <c r="S242" s="35" t="s">
        <v>4561</v>
      </c>
      <c r="T242" s="35" t="s">
        <v>5511</v>
      </c>
      <c r="U242" s="35" t="s">
        <v>5513</v>
      </c>
      <c r="V242" s="35" t="s">
        <v>10349</v>
      </c>
      <c r="W242" s="35" t="s">
        <v>5222</v>
      </c>
      <c r="X242" s="35" t="s">
        <v>5481</v>
      </c>
      <c r="Y242" s="37"/>
      <c r="Z242" s="40" t="s">
        <v>3559</v>
      </c>
    </row>
    <row r="243">
      <c r="A243" s="42" t="s">
        <v>5530</v>
      </c>
      <c r="B243" s="42" t="s">
        <v>5521</v>
      </c>
      <c r="C243" s="42" t="s">
        <v>5526</v>
      </c>
      <c r="D243" s="42" t="s">
        <v>10223</v>
      </c>
      <c r="E243" s="42" t="s">
        <v>10015</v>
      </c>
      <c r="F243" s="43"/>
      <c r="G243" s="43"/>
      <c r="H243" s="43"/>
      <c r="I243" s="43"/>
      <c r="J243" s="45"/>
      <c r="K243" s="42" t="s">
        <v>10223</v>
      </c>
      <c r="L243" s="45"/>
      <c r="M243" s="45"/>
      <c r="N243" s="43"/>
      <c r="O243" s="43"/>
      <c r="P243" s="43"/>
      <c r="Q243" s="43"/>
      <c r="R243" s="42" t="s">
        <v>4560</v>
      </c>
      <c r="S243" s="42" t="s">
        <v>4561</v>
      </c>
      <c r="T243" s="42" t="s">
        <v>66</v>
      </c>
      <c r="U243" s="42" t="s">
        <v>5528</v>
      </c>
      <c r="V243" s="42" t="s">
        <v>10350</v>
      </c>
      <c r="W243" s="42" t="s">
        <v>5222</v>
      </c>
      <c r="X243" s="42" t="s">
        <v>5018</v>
      </c>
      <c r="Y243" s="41">
        <v>85.0</v>
      </c>
      <c r="Z243" s="48" t="s">
        <v>3559</v>
      </c>
    </row>
    <row r="244">
      <c r="A244" s="35" t="s">
        <v>5530</v>
      </c>
      <c r="B244" s="35" t="s">
        <v>5521</v>
      </c>
      <c r="C244" s="35" t="s">
        <v>5526</v>
      </c>
      <c r="D244" s="35" t="s">
        <v>10127</v>
      </c>
      <c r="E244" s="35" t="s">
        <v>10015</v>
      </c>
      <c r="F244" s="35" t="s">
        <v>10351</v>
      </c>
      <c r="G244" s="34"/>
      <c r="H244" s="35" t="s">
        <v>10127</v>
      </c>
      <c r="I244" s="34"/>
      <c r="J244" s="32">
        <v>2400.0</v>
      </c>
      <c r="K244" s="35" t="s">
        <v>10128</v>
      </c>
      <c r="L244" s="37"/>
      <c r="M244" s="37"/>
      <c r="N244" s="34"/>
      <c r="O244" s="34"/>
      <c r="P244" s="34"/>
      <c r="Q244" s="34"/>
      <c r="R244" s="35" t="s">
        <v>4560</v>
      </c>
      <c r="S244" s="35" t="s">
        <v>4561</v>
      </c>
      <c r="T244" s="35" t="s">
        <v>66</v>
      </c>
      <c r="U244" s="35" t="s">
        <v>5528</v>
      </c>
      <c r="V244" s="35" t="s">
        <v>10350</v>
      </c>
      <c r="W244" s="35" t="s">
        <v>5222</v>
      </c>
      <c r="X244" s="35" t="s">
        <v>5018</v>
      </c>
      <c r="Y244" s="32">
        <v>85.0</v>
      </c>
      <c r="Z244" s="40" t="s">
        <v>3559</v>
      </c>
    </row>
    <row r="245">
      <c r="A245" s="42" t="s">
        <v>5530</v>
      </c>
      <c r="B245" s="42" t="s">
        <v>5521</v>
      </c>
      <c r="C245" s="42" t="s">
        <v>5526</v>
      </c>
      <c r="D245" s="42" t="s">
        <v>75</v>
      </c>
      <c r="E245" s="42" t="s">
        <v>10011</v>
      </c>
      <c r="F245" s="42" t="s">
        <v>5533</v>
      </c>
      <c r="G245" s="43"/>
      <c r="H245" s="42" t="s">
        <v>75</v>
      </c>
      <c r="I245" s="43"/>
      <c r="J245" s="45"/>
      <c r="K245" s="42" t="s">
        <v>41</v>
      </c>
      <c r="L245" s="45"/>
      <c r="M245" s="45"/>
      <c r="N245" s="43"/>
      <c r="O245" s="43"/>
      <c r="P245" s="43"/>
      <c r="Q245" s="43"/>
      <c r="R245" s="42" t="s">
        <v>4560</v>
      </c>
      <c r="S245" s="42" t="s">
        <v>4561</v>
      </c>
      <c r="T245" s="42" t="s">
        <v>66</v>
      </c>
      <c r="U245" s="42" t="s">
        <v>5528</v>
      </c>
      <c r="V245" s="42" t="s">
        <v>10350</v>
      </c>
      <c r="W245" s="42" t="s">
        <v>5222</v>
      </c>
      <c r="X245" s="42" t="s">
        <v>5018</v>
      </c>
      <c r="Y245" s="41">
        <v>85.0</v>
      </c>
      <c r="Z245" s="48" t="s">
        <v>3559</v>
      </c>
    </row>
    <row r="246">
      <c r="A246" s="35" t="s">
        <v>5551</v>
      </c>
      <c r="B246" s="35" t="s">
        <v>5544</v>
      </c>
      <c r="C246" s="35" t="s">
        <v>5547</v>
      </c>
      <c r="D246" s="35" t="s">
        <v>10352</v>
      </c>
      <c r="E246" s="35" t="s">
        <v>10008</v>
      </c>
      <c r="F246" s="34"/>
      <c r="G246" s="34"/>
      <c r="H246" s="35" t="s">
        <v>10352</v>
      </c>
      <c r="I246" s="35" t="s">
        <v>10353</v>
      </c>
      <c r="J246" s="37"/>
      <c r="K246" s="35" t="s">
        <v>60</v>
      </c>
      <c r="L246" s="37"/>
      <c r="M246" s="37"/>
      <c r="N246" s="34"/>
      <c r="O246" s="34"/>
      <c r="P246" s="34"/>
      <c r="Q246" s="34"/>
      <c r="R246" s="35" t="s">
        <v>3563</v>
      </c>
      <c r="S246" s="35" t="s">
        <v>3609</v>
      </c>
      <c r="T246" s="35" t="s">
        <v>4050</v>
      </c>
      <c r="U246" s="35" t="s">
        <v>5549</v>
      </c>
      <c r="V246" s="35" t="s">
        <v>10354</v>
      </c>
      <c r="W246" s="35" t="s">
        <v>5496</v>
      </c>
      <c r="X246" s="35" t="s">
        <v>5018</v>
      </c>
      <c r="Y246" s="32">
        <v>30.0</v>
      </c>
      <c r="Z246" s="40" t="s">
        <v>3559</v>
      </c>
    </row>
    <row r="247">
      <c r="A247" s="42" t="s">
        <v>5551</v>
      </c>
      <c r="B247" s="42" t="s">
        <v>5544</v>
      </c>
      <c r="C247" s="42" t="s">
        <v>5547</v>
      </c>
      <c r="D247" s="42" t="s">
        <v>10355</v>
      </c>
      <c r="E247" s="42" t="s">
        <v>10008</v>
      </c>
      <c r="F247" s="42" t="s">
        <v>10356</v>
      </c>
      <c r="G247" s="43"/>
      <c r="H247" s="42" t="s">
        <v>10355</v>
      </c>
      <c r="I247" s="43"/>
      <c r="J247" s="41">
        <v>85405.0</v>
      </c>
      <c r="K247" s="42" t="s">
        <v>41</v>
      </c>
      <c r="L247" s="45"/>
      <c r="M247" s="45"/>
      <c r="N247" s="43"/>
      <c r="O247" s="43"/>
      <c r="P247" s="43"/>
      <c r="Q247" s="43"/>
      <c r="R247" s="42" t="s">
        <v>3563</v>
      </c>
      <c r="S247" s="42" t="s">
        <v>3609</v>
      </c>
      <c r="T247" s="42" t="s">
        <v>4050</v>
      </c>
      <c r="U247" s="42" t="s">
        <v>5549</v>
      </c>
      <c r="V247" s="42" t="s">
        <v>10354</v>
      </c>
      <c r="W247" s="42" t="s">
        <v>5496</v>
      </c>
      <c r="X247" s="42" t="s">
        <v>5018</v>
      </c>
      <c r="Y247" s="41">
        <v>30.0</v>
      </c>
      <c r="Z247" s="48" t="s">
        <v>3559</v>
      </c>
    </row>
    <row r="248">
      <c r="A248" s="35" t="s">
        <v>5551</v>
      </c>
      <c r="B248" s="35" t="s">
        <v>5544</v>
      </c>
      <c r="C248" s="35" t="s">
        <v>5547</v>
      </c>
      <c r="D248" s="35" t="s">
        <v>10357</v>
      </c>
      <c r="E248" s="35" t="s">
        <v>10008</v>
      </c>
      <c r="F248" s="34"/>
      <c r="G248" s="34"/>
      <c r="H248" s="35" t="s">
        <v>10357</v>
      </c>
      <c r="I248" s="34"/>
      <c r="J248" s="37"/>
      <c r="K248" s="35" t="s">
        <v>41</v>
      </c>
      <c r="L248" s="37"/>
      <c r="M248" s="37"/>
      <c r="N248" s="34"/>
      <c r="O248" s="34"/>
      <c r="P248" s="34"/>
      <c r="Q248" s="34"/>
      <c r="R248" s="35" t="s">
        <v>3563</v>
      </c>
      <c r="S248" s="35" t="s">
        <v>3609</v>
      </c>
      <c r="T248" s="35" t="s">
        <v>4050</v>
      </c>
      <c r="U248" s="35" t="s">
        <v>5549</v>
      </c>
      <c r="V248" s="35" t="s">
        <v>10354</v>
      </c>
      <c r="W248" s="35" t="s">
        <v>5496</v>
      </c>
      <c r="X248" s="35" t="s">
        <v>5018</v>
      </c>
      <c r="Y248" s="32">
        <v>30.0</v>
      </c>
      <c r="Z248" s="40" t="s">
        <v>3559</v>
      </c>
    </row>
    <row r="249">
      <c r="A249" s="42" t="s">
        <v>5551</v>
      </c>
      <c r="B249" s="42" t="s">
        <v>5544</v>
      </c>
      <c r="C249" s="42" t="s">
        <v>5547</v>
      </c>
      <c r="D249" s="42" t="s">
        <v>10358</v>
      </c>
      <c r="E249" s="42" t="s">
        <v>10008</v>
      </c>
      <c r="F249" s="43"/>
      <c r="G249" s="43"/>
      <c r="H249" s="42" t="s">
        <v>10358</v>
      </c>
      <c r="I249" s="43"/>
      <c r="J249" s="45"/>
      <c r="K249" s="42" t="s">
        <v>41</v>
      </c>
      <c r="L249" s="45"/>
      <c r="M249" s="45"/>
      <c r="N249" s="43"/>
      <c r="O249" s="43"/>
      <c r="P249" s="43"/>
      <c r="Q249" s="43"/>
      <c r="R249" s="42" t="s">
        <v>3563</v>
      </c>
      <c r="S249" s="42" t="s">
        <v>3609</v>
      </c>
      <c r="T249" s="42" t="s">
        <v>4050</v>
      </c>
      <c r="U249" s="42" t="s">
        <v>5549</v>
      </c>
      <c r="V249" s="42" t="s">
        <v>10354</v>
      </c>
      <c r="W249" s="42" t="s">
        <v>5496</v>
      </c>
      <c r="X249" s="42" t="s">
        <v>5018</v>
      </c>
      <c r="Y249" s="41">
        <v>30.0</v>
      </c>
      <c r="Z249" s="48" t="s">
        <v>3559</v>
      </c>
    </row>
    <row r="250">
      <c r="A250" s="35" t="s">
        <v>5551</v>
      </c>
      <c r="B250" s="35" t="s">
        <v>5544</v>
      </c>
      <c r="C250" s="35" t="s">
        <v>5547</v>
      </c>
      <c r="D250" s="35" t="s">
        <v>582</v>
      </c>
      <c r="E250" s="35" t="s">
        <v>10011</v>
      </c>
      <c r="F250" s="35" t="s">
        <v>5555</v>
      </c>
      <c r="G250" s="35" t="s">
        <v>5556</v>
      </c>
      <c r="H250" s="35" t="s">
        <v>582</v>
      </c>
      <c r="I250" s="34"/>
      <c r="J250" s="37"/>
      <c r="K250" s="35" t="s">
        <v>41</v>
      </c>
      <c r="L250" s="37"/>
      <c r="M250" s="37"/>
      <c r="N250" s="34"/>
      <c r="O250" s="34"/>
      <c r="P250" s="34"/>
      <c r="Q250" s="34"/>
      <c r="R250" s="35" t="s">
        <v>3563</v>
      </c>
      <c r="S250" s="35" t="s">
        <v>3609</v>
      </c>
      <c r="T250" s="35" t="s">
        <v>4050</v>
      </c>
      <c r="U250" s="35" t="s">
        <v>5549</v>
      </c>
      <c r="V250" s="35" t="s">
        <v>10354</v>
      </c>
      <c r="W250" s="35" t="s">
        <v>5496</v>
      </c>
      <c r="X250" s="35" t="s">
        <v>5018</v>
      </c>
      <c r="Y250" s="32">
        <v>30.0</v>
      </c>
      <c r="Z250" s="40" t="s">
        <v>3559</v>
      </c>
    </row>
    <row r="251">
      <c r="A251" s="42" t="s">
        <v>5551</v>
      </c>
      <c r="B251" s="42" t="s">
        <v>5544</v>
      </c>
      <c r="C251" s="42" t="s">
        <v>5547</v>
      </c>
      <c r="D251" s="42" t="s">
        <v>10359</v>
      </c>
      <c r="E251" s="42" t="s">
        <v>10008</v>
      </c>
      <c r="F251" s="43"/>
      <c r="G251" s="43"/>
      <c r="H251" s="42" t="s">
        <v>10359</v>
      </c>
      <c r="I251" s="43"/>
      <c r="J251" s="45"/>
      <c r="K251" s="42" t="s">
        <v>41</v>
      </c>
      <c r="L251" s="45"/>
      <c r="M251" s="45"/>
      <c r="N251" s="43"/>
      <c r="O251" s="43"/>
      <c r="P251" s="43"/>
      <c r="Q251" s="43"/>
      <c r="R251" s="42" t="s">
        <v>3563</v>
      </c>
      <c r="S251" s="42" t="s">
        <v>3609</v>
      </c>
      <c r="T251" s="42" t="s">
        <v>4050</v>
      </c>
      <c r="U251" s="42" t="s">
        <v>5549</v>
      </c>
      <c r="V251" s="42" t="s">
        <v>10354</v>
      </c>
      <c r="W251" s="42" t="s">
        <v>5496</v>
      </c>
      <c r="X251" s="42" t="s">
        <v>5018</v>
      </c>
      <c r="Y251" s="41">
        <v>30.0</v>
      </c>
      <c r="Z251" s="48" t="s">
        <v>3559</v>
      </c>
    </row>
    <row r="252">
      <c r="A252" s="35" t="s">
        <v>5567</v>
      </c>
      <c r="B252" s="35" t="s">
        <v>1340</v>
      </c>
      <c r="C252" s="35" t="s">
        <v>5564</v>
      </c>
      <c r="D252" s="35" t="s">
        <v>75</v>
      </c>
      <c r="E252" s="35" t="s">
        <v>10011</v>
      </c>
      <c r="F252" s="35" t="s">
        <v>5576</v>
      </c>
      <c r="G252" s="34"/>
      <c r="H252" s="35" t="s">
        <v>75</v>
      </c>
      <c r="I252" s="34"/>
      <c r="J252" s="37"/>
      <c r="K252" s="35" t="s">
        <v>41</v>
      </c>
      <c r="L252" s="37" t="str">
        <f>+972 (0)72 255 5722</f>
        <v>#ERROR!</v>
      </c>
      <c r="M252" s="37" t="str">
        <f>+972 (0)72 255 5722</f>
        <v>#ERROR!</v>
      </c>
      <c r="N252" s="34"/>
      <c r="O252" s="35" t="s">
        <v>5574</v>
      </c>
      <c r="P252" s="35" t="s">
        <v>3982</v>
      </c>
      <c r="Q252" s="34"/>
      <c r="R252" s="35" t="s">
        <v>4560</v>
      </c>
      <c r="S252" s="35" t="s">
        <v>4561</v>
      </c>
      <c r="T252" s="35" t="s">
        <v>66</v>
      </c>
      <c r="U252" s="34"/>
      <c r="V252" s="35" t="s">
        <v>10360</v>
      </c>
      <c r="W252" s="35" t="s">
        <v>3571</v>
      </c>
      <c r="X252" s="35" t="s">
        <v>4923</v>
      </c>
      <c r="Y252" s="32">
        <v>12.0</v>
      </c>
      <c r="Z252" s="40" t="s">
        <v>3559</v>
      </c>
    </row>
    <row r="253">
      <c r="A253" s="42" t="s">
        <v>5586</v>
      </c>
      <c r="B253" s="42" t="s">
        <v>5581</v>
      </c>
      <c r="C253" s="42" t="s">
        <v>5582</v>
      </c>
      <c r="D253" s="42" t="s">
        <v>10361</v>
      </c>
      <c r="E253" s="42" t="s">
        <v>10011</v>
      </c>
      <c r="F253" s="42" t="s">
        <v>5589</v>
      </c>
      <c r="G253" s="43"/>
      <c r="H253" s="42" t="s">
        <v>75</v>
      </c>
      <c r="I253" s="43"/>
      <c r="J253" s="41">
        <v>64514.0</v>
      </c>
      <c r="K253" s="42" t="s">
        <v>41</v>
      </c>
      <c r="L253" s="45" t="str">
        <f>+972 (0)3 527 3968</f>
        <v>#ERROR!</v>
      </c>
      <c r="M253" s="45"/>
      <c r="N253" s="42" t="s">
        <v>5590</v>
      </c>
      <c r="O253" s="43"/>
      <c r="P253" s="43"/>
      <c r="Q253" s="43"/>
      <c r="R253" s="42" t="s">
        <v>3563</v>
      </c>
      <c r="S253" s="42" t="s">
        <v>3564</v>
      </c>
      <c r="T253" s="42" t="s">
        <v>5583</v>
      </c>
      <c r="U253" s="43"/>
      <c r="V253" s="42" t="s">
        <v>5584</v>
      </c>
      <c r="W253" s="43"/>
      <c r="X253" s="42" t="s">
        <v>4923</v>
      </c>
      <c r="Y253" s="41">
        <v>11.0</v>
      </c>
      <c r="Z253" s="48" t="s">
        <v>3559</v>
      </c>
    </row>
    <row r="254">
      <c r="A254" s="35" t="s">
        <v>5595</v>
      </c>
      <c r="B254" s="35" t="s">
        <v>5592</v>
      </c>
      <c r="C254" s="35" t="s">
        <v>5593</v>
      </c>
      <c r="D254" s="35" t="s">
        <v>4011</v>
      </c>
      <c r="E254" s="35" t="s">
        <v>10011</v>
      </c>
      <c r="F254" s="35" t="s">
        <v>5599</v>
      </c>
      <c r="G254" s="34"/>
      <c r="H254" s="35" t="s">
        <v>4011</v>
      </c>
      <c r="I254" s="34"/>
      <c r="J254" s="32">
        <v>20692.0</v>
      </c>
      <c r="K254" s="35" t="s">
        <v>41</v>
      </c>
      <c r="L254" s="37"/>
      <c r="M254" s="37"/>
      <c r="N254" s="34"/>
      <c r="O254" s="34"/>
      <c r="P254" s="34"/>
      <c r="Q254" s="34"/>
      <c r="R254" s="35" t="s">
        <v>4560</v>
      </c>
      <c r="S254" s="35" t="s">
        <v>4561</v>
      </c>
      <c r="T254" s="35" t="s">
        <v>66</v>
      </c>
      <c r="U254" s="34"/>
      <c r="V254" s="35" t="s">
        <v>4562</v>
      </c>
      <c r="W254" s="34"/>
      <c r="X254" s="35" t="s">
        <v>4923</v>
      </c>
      <c r="Y254" s="32">
        <v>7.0</v>
      </c>
      <c r="Z254" s="40" t="s">
        <v>3559</v>
      </c>
    </row>
    <row r="255">
      <c r="A255" s="42" t="s">
        <v>5608</v>
      </c>
      <c r="B255" s="42" t="s">
        <v>5602</v>
      </c>
      <c r="C255" s="42" t="s">
        <v>5603</v>
      </c>
      <c r="D255" s="42" t="s">
        <v>552</v>
      </c>
      <c r="E255" s="42" t="s">
        <v>10011</v>
      </c>
      <c r="F255" s="43"/>
      <c r="G255" s="43"/>
      <c r="H255" s="42" t="s">
        <v>552</v>
      </c>
      <c r="I255" s="43"/>
      <c r="J255" s="45"/>
      <c r="K255" s="42" t="s">
        <v>41</v>
      </c>
      <c r="L255" s="45" t="str">
        <f>+972 (0)52 609 0600</f>
        <v>#ERROR!</v>
      </c>
      <c r="M255" s="45"/>
      <c r="N255" s="42" t="s">
        <v>5615</v>
      </c>
      <c r="O255" s="42" t="s">
        <v>5613</v>
      </c>
      <c r="P255" s="42" t="s">
        <v>4930</v>
      </c>
      <c r="Q255" s="43"/>
      <c r="R255" s="42" t="s">
        <v>4560</v>
      </c>
      <c r="S255" s="42" t="s">
        <v>4561</v>
      </c>
      <c r="T255" s="42" t="s">
        <v>5604</v>
      </c>
      <c r="U255" s="42" t="s">
        <v>5606</v>
      </c>
      <c r="V255" s="42" t="s">
        <v>10362</v>
      </c>
      <c r="W255" s="42" t="s">
        <v>3571</v>
      </c>
      <c r="X255" s="42" t="s">
        <v>4923</v>
      </c>
      <c r="Y255" s="41">
        <v>6.0</v>
      </c>
      <c r="Z255" s="48" t="s">
        <v>3559</v>
      </c>
    </row>
    <row r="256">
      <c r="A256" s="35" t="s">
        <v>5623</v>
      </c>
      <c r="B256" s="35" t="s">
        <v>5618</v>
      </c>
      <c r="C256" s="35" t="s">
        <v>5620</v>
      </c>
      <c r="D256" s="35" t="s">
        <v>1407</v>
      </c>
      <c r="E256" s="35" t="s">
        <v>10011</v>
      </c>
      <c r="F256" s="35" t="s">
        <v>5630</v>
      </c>
      <c r="G256" s="34"/>
      <c r="H256" s="35" t="s">
        <v>1407</v>
      </c>
      <c r="I256" s="34"/>
      <c r="J256" s="37"/>
      <c r="K256" s="35" t="s">
        <v>41</v>
      </c>
      <c r="L256" s="37" t="str">
        <f>+972 (0)3 533 3779</f>
        <v>#ERROR!</v>
      </c>
      <c r="M256" s="37" t="str">
        <f>+972 (0)3 735 3703</f>
        <v>#ERROR!</v>
      </c>
      <c r="N256" s="34"/>
      <c r="O256" s="35" t="s">
        <v>5627</v>
      </c>
      <c r="P256" s="35" t="s">
        <v>3982</v>
      </c>
      <c r="Q256" s="34"/>
      <c r="R256" s="35" t="s">
        <v>3867</v>
      </c>
      <c r="S256" s="35" t="s">
        <v>3868</v>
      </c>
      <c r="T256" s="35" t="s">
        <v>3869</v>
      </c>
      <c r="U256" s="34"/>
      <c r="V256" s="35" t="s">
        <v>10363</v>
      </c>
      <c r="W256" s="35" t="s">
        <v>3571</v>
      </c>
      <c r="X256" s="35" t="s">
        <v>4389</v>
      </c>
      <c r="Y256" s="32">
        <v>24.0</v>
      </c>
      <c r="Z256" s="40" t="s">
        <v>3559</v>
      </c>
    </row>
    <row r="257">
      <c r="A257" s="42" t="s">
        <v>5645</v>
      </c>
      <c r="B257" s="42" t="s">
        <v>5638</v>
      </c>
      <c r="C257" s="42" t="s">
        <v>5641</v>
      </c>
      <c r="D257" s="42" t="s">
        <v>1205</v>
      </c>
      <c r="E257" s="42" t="s">
        <v>10011</v>
      </c>
      <c r="F257" s="42" t="s">
        <v>5653</v>
      </c>
      <c r="G257" s="43"/>
      <c r="H257" s="42" t="s">
        <v>1205</v>
      </c>
      <c r="I257" s="43"/>
      <c r="J257" s="41">
        <v>3508504.0</v>
      </c>
      <c r="K257" s="42" t="s">
        <v>41</v>
      </c>
      <c r="L257" s="45" t="str">
        <f>+972 (0)4 646 9900</f>
        <v>#ERROR!</v>
      </c>
      <c r="M257" s="45"/>
      <c r="N257" s="42" t="s">
        <v>5654</v>
      </c>
      <c r="O257" s="42" t="s">
        <v>1456</v>
      </c>
      <c r="P257" s="42" t="s">
        <v>3685</v>
      </c>
      <c r="Q257" s="43"/>
      <c r="R257" s="42" t="s">
        <v>3867</v>
      </c>
      <c r="S257" s="42" t="s">
        <v>4199</v>
      </c>
      <c r="T257" s="42" t="s">
        <v>4414</v>
      </c>
      <c r="U257" s="42" t="s">
        <v>5643</v>
      </c>
      <c r="V257" s="42" t="s">
        <v>10364</v>
      </c>
      <c r="W257" s="42" t="s">
        <v>3571</v>
      </c>
      <c r="X257" s="42" t="s">
        <v>3569</v>
      </c>
      <c r="Y257" s="41">
        <v>7.0</v>
      </c>
      <c r="Z257" s="48" t="s">
        <v>3559</v>
      </c>
    </row>
    <row r="258">
      <c r="A258" s="35" t="s">
        <v>5669</v>
      </c>
      <c r="B258" s="35" t="s">
        <v>5663</v>
      </c>
      <c r="C258" s="35" t="s">
        <v>5666</v>
      </c>
      <c r="D258" s="35" t="s">
        <v>10365</v>
      </c>
      <c r="E258" s="35" t="s">
        <v>10008</v>
      </c>
      <c r="F258" s="35" t="s">
        <v>10366</v>
      </c>
      <c r="G258" s="35" t="s">
        <v>10367</v>
      </c>
      <c r="H258" s="35" t="s">
        <v>10365</v>
      </c>
      <c r="I258" s="35" t="s">
        <v>816</v>
      </c>
      <c r="J258" s="32">
        <v>48167.0</v>
      </c>
      <c r="K258" s="35" t="s">
        <v>60</v>
      </c>
      <c r="L258" s="37"/>
      <c r="M258" s="37"/>
      <c r="N258" s="34"/>
      <c r="O258" s="34"/>
      <c r="P258" s="34"/>
      <c r="Q258" s="34"/>
      <c r="R258" s="35" t="s">
        <v>3563</v>
      </c>
      <c r="S258" s="35" t="s">
        <v>3564</v>
      </c>
      <c r="T258" s="35" t="s">
        <v>3565</v>
      </c>
      <c r="U258" s="35" t="s">
        <v>3811</v>
      </c>
      <c r="V258" s="35" t="s">
        <v>10368</v>
      </c>
      <c r="W258" s="35" t="s">
        <v>5222</v>
      </c>
      <c r="X258" s="35" t="s">
        <v>5018</v>
      </c>
      <c r="Y258" s="32">
        <v>37.0</v>
      </c>
      <c r="Z258" s="40" t="s">
        <v>3559</v>
      </c>
    </row>
    <row r="259">
      <c r="A259" s="42" t="s">
        <v>5669</v>
      </c>
      <c r="B259" s="42" t="s">
        <v>5663</v>
      </c>
      <c r="C259" s="42" t="s">
        <v>5666</v>
      </c>
      <c r="D259" s="42" t="s">
        <v>75</v>
      </c>
      <c r="E259" s="42" t="s">
        <v>10011</v>
      </c>
      <c r="F259" s="42" t="s">
        <v>5672</v>
      </c>
      <c r="G259" s="43"/>
      <c r="H259" s="42" t="s">
        <v>75</v>
      </c>
      <c r="I259" s="43"/>
      <c r="J259" s="45"/>
      <c r="K259" s="42" t="s">
        <v>41</v>
      </c>
      <c r="L259" s="45"/>
      <c r="M259" s="45"/>
      <c r="N259" s="43"/>
      <c r="O259" s="43"/>
      <c r="P259" s="43"/>
      <c r="Q259" s="43"/>
      <c r="R259" s="42" t="s">
        <v>3563</v>
      </c>
      <c r="S259" s="42" t="s">
        <v>3564</v>
      </c>
      <c r="T259" s="42" t="s">
        <v>3565</v>
      </c>
      <c r="U259" s="42" t="s">
        <v>3811</v>
      </c>
      <c r="V259" s="42" t="s">
        <v>10368</v>
      </c>
      <c r="W259" s="42" t="s">
        <v>5222</v>
      </c>
      <c r="X259" s="42" t="s">
        <v>5018</v>
      </c>
      <c r="Y259" s="41">
        <v>37.0</v>
      </c>
      <c r="Z259" s="48" t="s">
        <v>3559</v>
      </c>
    </row>
    <row r="260">
      <c r="A260" s="35" t="s">
        <v>5686</v>
      </c>
      <c r="B260" s="35" t="s">
        <v>5679</v>
      </c>
      <c r="C260" s="35" t="s">
        <v>5682</v>
      </c>
      <c r="D260" s="35" t="s">
        <v>298</v>
      </c>
      <c r="E260" s="35" t="s">
        <v>10011</v>
      </c>
      <c r="F260" s="35" t="s">
        <v>5690</v>
      </c>
      <c r="G260" s="34"/>
      <c r="H260" s="35" t="s">
        <v>298</v>
      </c>
      <c r="I260" s="34"/>
      <c r="J260" s="32">
        <v>4220669.0</v>
      </c>
      <c r="K260" s="35" t="s">
        <v>41</v>
      </c>
      <c r="L260" s="37"/>
      <c r="M260" s="37"/>
      <c r="N260" s="34"/>
      <c r="O260" s="34"/>
      <c r="P260" s="34"/>
      <c r="Q260" s="34"/>
      <c r="R260" s="35" t="s">
        <v>3563</v>
      </c>
      <c r="S260" s="35" t="s">
        <v>3609</v>
      </c>
      <c r="T260" s="35" t="s">
        <v>3610</v>
      </c>
      <c r="U260" s="35" t="s">
        <v>5684</v>
      </c>
      <c r="V260" s="35" t="s">
        <v>10369</v>
      </c>
      <c r="W260" s="35" t="s">
        <v>3571</v>
      </c>
      <c r="X260" s="35" t="s">
        <v>5018</v>
      </c>
      <c r="Y260" s="32">
        <v>6.0</v>
      </c>
      <c r="Z260" s="40" t="s">
        <v>3559</v>
      </c>
    </row>
    <row r="261">
      <c r="A261" s="42" t="s">
        <v>5686</v>
      </c>
      <c r="B261" s="42" t="s">
        <v>5679</v>
      </c>
      <c r="C261" s="42" t="s">
        <v>5682</v>
      </c>
      <c r="D261" s="42" t="s">
        <v>75</v>
      </c>
      <c r="E261" s="42" t="s">
        <v>10008</v>
      </c>
      <c r="F261" s="43"/>
      <c r="G261" s="43"/>
      <c r="H261" s="42" t="s">
        <v>75</v>
      </c>
      <c r="I261" s="43"/>
      <c r="J261" s="45"/>
      <c r="K261" s="42" t="s">
        <v>41</v>
      </c>
      <c r="L261" s="45"/>
      <c r="M261" s="45"/>
      <c r="N261" s="43"/>
      <c r="O261" s="43"/>
      <c r="P261" s="43"/>
      <c r="Q261" s="43"/>
      <c r="R261" s="42" t="s">
        <v>3563</v>
      </c>
      <c r="S261" s="42" t="s">
        <v>3609</v>
      </c>
      <c r="T261" s="42" t="s">
        <v>3610</v>
      </c>
      <c r="U261" s="42" t="s">
        <v>5684</v>
      </c>
      <c r="V261" s="42" t="s">
        <v>10369</v>
      </c>
      <c r="W261" s="42" t="s">
        <v>3571</v>
      </c>
      <c r="X261" s="42" t="s">
        <v>5018</v>
      </c>
      <c r="Y261" s="41">
        <v>6.0</v>
      </c>
      <c r="Z261" s="48" t="s">
        <v>3559</v>
      </c>
    </row>
    <row r="262">
      <c r="A262" s="35" t="s">
        <v>5700</v>
      </c>
      <c r="B262" s="35" t="s">
        <v>5697</v>
      </c>
      <c r="C262" s="35" t="s">
        <v>5698</v>
      </c>
      <c r="D262" s="35" t="s">
        <v>75</v>
      </c>
      <c r="E262" s="35" t="s">
        <v>10011</v>
      </c>
      <c r="F262" s="35" t="s">
        <v>5702</v>
      </c>
      <c r="G262" s="34"/>
      <c r="H262" s="35" t="s">
        <v>75</v>
      </c>
      <c r="I262" s="34"/>
      <c r="J262" s="37"/>
      <c r="K262" s="35" t="s">
        <v>41</v>
      </c>
      <c r="L262" s="37"/>
      <c r="M262" s="37"/>
      <c r="N262" s="34"/>
      <c r="O262" s="34"/>
      <c r="P262" s="34"/>
      <c r="Q262" s="34"/>
      <c r="R262" s="35" t="s">
        <v>4560</v>
      </c>
      <c r="S262" s="35" t="s">
        <v>4561</v>
      </c>
      <c r="T262" s="35" t="s">
        <v>66</v>
      </c>
      <c r="U262" s="34"/>
      <c r="V262" s="35" t="s">
        <v>10360</v>
      </c>
      <c r="W262" s="35" t="s">
        <v>3571</v>
      </c>
      <c r="X262" s="35" t="s">
        <v>4962</v>
      </c>
      <c r="Y262" s="37"/>
      <c r="Z262" s="40" t="s">
        <v>3559</v>
      </c>
    </row>
    <row r="263">
      <c r="A263" s="42" t="s">
        <v>5712</v>
      </c>
      <c r="B263" s="42" t="s">
        <v>5710</v>
      </c>
      <c r="C263" s="42" t="s">
        <v>5711</v>
      </c>
      <c r="D263" s="42" t="s">
        <v>828</v>
      </c>
      <c r="E263" s="42" t="s">
        <v>10011</v>
      </c>
      <c r="F263" s="42" t="s">
        <v>5717</v>
      </c>
      <c r="G263" s="43"/>
      <c r="H263" s="42" t="s">
        <v>828</v>
      </c>
      <c r="I263" s="43"/>
      <c r="J263" s="41">
        <v>4355133.0</v>
      </c>
      <c r="K263" s="42" t="s">
        <v>41</v>
      </c>
      <c r="L263" s="45"/>
      <c r="M263" s="45"/>
      <c r="N263" s="43"/>
      <c r="O263" s="43"/>
      <c r="P263" s="43"/>
      <c r="Q263" s="43"/>
      <c r="R263" s="42" t="s">
        <v>3867</v>
      </c>
      <c r="S263" s="42" t="s">
        <v>3868</v>
      </c>
      <c r="T263" s="42" t="s">
        <v>3869</v>
      </c>
      <c r="U263" s="43"/>
      <c r="V263" s="42" t="s">
        <v>10344</v>
      </c>
      <c r="W263" s="43"/>
      <c r="X263" s="42" t="s">
        <v>4923</v>
      </c>
      <c r="Y263" s="41">
        <v>3.0</v>
      </c>
      <c r="Z263" s="48" t="s">
        <v>3559</v>
      </c>
    </row>
    <row r="264">
      <c r="A264" s="35" t="s">
        <v>5724</v>
      </c>
      <c r="B264" s="35" t="s">
        <v>1627</v>
      </c>
      <c r="C264" s="35" t="s">
        <v>5721</v>
      </c>
      <c r="D264" s="35" t="s">
        <v>298</v>
      </c>
      <c r="E264" s="35" t="s">
        <v>10011</v>
      </c>
      <c r="F264" s="35" t="s">
        <v>5729</v>
      </c>
      <c r="G264" s="34"/>
      <c r="H264" s="35" t="s">
        <v>298</v>
      </c>
      <c r="I264" s="34"/>
      <c r="J264" s="37"/>
      <c r="K264" s="35" t="s">
        <v>41</v>
      </c>
      <c r="L264" s="37" t="str">
        <f>+972 (0)58 400 7968</f>
        <v>#ERROR!</v>
      </c>
      <c r="M264" s="37"/>
      <c r="N264" s="35" t="s">
        <v>1632</v>
      </c>
      <c r="O264" s="35" t="s">
        <v>1629</v>
      </c>
      <c r="P264" s="35" t="s">
        <v>4930</v>
      </c>
      <c r="Q264" s="34"/>
      <c r="R264" s="35" t="s">
        <v>3563</v>
      </c>
      <c r="S264" s="35" t="s">
        <v>3564</v>
      </c>
      <c r="T264" s="35" t="s">
        <v>3565</v>
      </c>
      <c r="U264" s="35" t="s">
        <v>5722</v>
      </c>
      <c r="V264" s="35" t="s">
        <v>10049</v>
      </c>
      <c r="W264" s="35" t="s">
        <v>3571</v>
      </c>
      <c r="X264" s="35" t="s">
        <v>4923</v>
      </c>
      <c r="Y264" s="37"/>
      <c r="Z264" s="40" t="s">
        <v>3559</v>
      </c>
    </row>
    <row r="265">
      <c r="A265" s="42" t="s">
        <v>5738</v>
      </c>
      <c r="B265" s="42" t="s">
        <v>5732</v>
      </c>
      <c r="C265" s="42" t="s">
        <v>5735</v>
      </c>
      <c r="D265" s="42" t="s">
        <v>75</v>
      </c>
      <c r="E265" s="42" t="s">
        <v>10011</v>
      </c>
      <c r="F265" s="42" t="s">
        <v>5740</v>
      </c>
      <c r="G265" s="43"/>
      <c r="H265" s="42" t="s">
        <v>75</v>
      </c>
      <c r="I265" s="43"/>
      <c r="J265" s="45"/>
      <c r="K265" s="42" t="s">
        <v>41</v>
      </c>
      <c r="L265" s="45"/>
      <c r="M265" s="45"/>
      <c r="N265" s="43"/>
      <c r="O265" s="43"/>
      <c r="P265" s="43"/>
      <c r="Q265" s="43"/>
      <c r="R265" s="42" t="s">
        <v>4560</v>
      </c>
      <c r="S265" s="42" t="s">
        <v>4561</v>
      </c>
      <c r="T265" s="42" t="s">
        <v>66</v>
      </c>
      <c r="U265" s="42" t="s">
        <v>5736</v>
      </c>
      <c r="V265" s="42" t="s">
        <v>4562</v>
      </c>
      <c r="W265" s="42" t="s">
        <v>3571</v>
      </c>
      <c r="X265" s="42" t="s">
        <v>4962</v>
      </c>
      <c r="Y265" s="45"/>
      <c r="Z265" s="48" t="s">
        <v>3559</v>
      </c>
    </row>
    <row r="266">
      <c r="A266" s="35" t="s">
        <v>5749</v>
      </c>
      <c r="B266" s="35" t="s">
        <v>5704</v>
      </c>
      <c r="C266" s="35" t="s">
        <v>5747</v>
      </c>
      <c r="D266" s="35" t="s">
        <v>5761</v>
      </c>
      <c r="E266" s="35" t="s">
        <v>10011</v>
      </c>
      <c r="F266" s="35" t="s">
        <v>5759</v>
      </c>
      <c r="G266" s="35" t="s">
        <v>5760</v>
      </c>
      <c r="H266" s="35" t="s">
        <v>5761</v>
      </c>
      <c r="I266" s="34"/>
      <c r="J266" s="32">
        <v>6086000.0</v>
      </c>
      <c r="K266" s="35" t="s">
        <v>41</v>
      </c>
      <c r="L266" s="37" t="str">
        <f>+972 (0)8 863 1111</f>
        <v>#ERROR!</v>
      </c>
      <c r="M266" s="37" t="str">
        <f>+972 (0)8 863 1556</f>
        <v>#ERROR!</v>
      </c>
      <c r="N266" s="34"/>
      <c r="O266" s="35" t="s">
        <v>5756</v>
      </c>
      <c r="P266" s="35" t="s">
        <v>5757</v>
      </c>
      <c r="Q266" s="34"/>
      <c r="R266" s="35" t="s">
        <v>4560</v>
      </c>
      <c r="S266" s="35" t="s">
        <v>4561</v>
      </c>
      <c r="T266" s="35" t="s">
        <v>66</v>
      </c>
      <c r="U266" s="35" t="s">
        <v>5736</v>
      </c>
      <c r="V266" s="35" t="s">
        <v>4562</v>
      </c>
      <c r="W266" s="35" t="s">
        <v>5750</v>
      </c>
      <c r="X266" s="35" t="s">
        <v>4923</v>
      </c>
      <c r="Y266" s="32">
        <v>504.0</v>
      </c>
      <c r="Z266" s="40" t="s">
        <v>3559</v>
      </c>
    </row>
    <row r="267">
      <c r="A267" s="42" t="s">
        <v>5773</v>
      </c>
      <c r="B267" s="42" t="s">
        <v>5768</v>
      </c>
      <c r="C267" s="42" t="s">
        <v>5770</v>
      </c>
      <c r="D267" s="42" t="s">
        <v>3625</v>
      </c>
      <c r="E267" s="42" t="s">
        <v>10011</v>
      </c>
      <c r="F267" s="42" t="s">
        <v>5775</v>
      </c>
      <c r="G267" s="43"/>
      <c r="H267" s="42" t="s">
        <v>3625</v>
      </c>
      <c r="I267" s="43"/>
      <c r="J267" s="41">
        <v>3088900.0</v>
      </c>
      <c r="K267" s="42" t="s">
        <v>41</v>
      </c>
      <c r="L267" s="45"/>
      <c r="M267" s="45"/>
      <c r="N267" s="43"/>
      <c r="O267" s="43"/>
      <c r="P267" s="43"/>
      <c r="Q267" s="43"/>
      <c r="R267" s="42" t="s">
        <v>3867</v>
      </c>
      <c r="S267" s="42" t="s">
        <v>4199</v>
      </c>
      <c r="T267" s="42" t="s">
        <v>4329</v>
      </c>
      <c r="U267" s="43"/>
      <c r="V267" s="42" t="s">
        <v>10370</v>
      </c>
      <c r="W267" s="42" t="s">
        <v>5222</v>
      </c>
      <c r="X267" s="42" t="s">
        <v>5075</v>
      </c>
      <c r="Y267" s="45"/>
      <c r="Z267" s="48" t="s">
        <v>3559</v>
      </c>
    </row>
    <row r="268">
      <c r="A268" s="35" t="s">
        <v>5786</v>
      </c>
      <c r="B268" s="35" t="s">
        <v>5783</v>
      </c>
      <c r="C268" s="35" t="s">
        <v>5784</v>
      </c>
      <c r="D268" s="35" t="s">
        <v>485</v>
      </c>
      <c r="E268" s="35" t="s">
        <v>10011</v>
      </c>
      <c r="F268" s="34"/>
      <c r="G268" s="34"/>
      <c r="H268" s="35" t="s">
        <v>485</v>
      </c>
      <c r="I268" s="34"/>
      <c r="J268" s="32">
        <v>89129.0</v>
      </c>
      <c r="K268" s="35" t="s">
        <v>41</v>
      </c>
      <c r="L268" s="37"/>
      <c r="M268" s="37"/>
      <c r="N268" s="34"/>
      <c r="O268" s="34"/>
      <c r="P268" s="34"/>
      <c r="Q268" s="34"/>
      <c r="R268" s="35" t="s">
        <v>3867</v>
      </c>
      <c r="S268" s="35" t="s">
        <v>4199</v>
      </c>
      <c r="T268" s="35" t="s">
        <v>4414</v>
      </c>
      <c r="U268" s="34"/>
      <c r="V268" s="35" t="s">
        <v>4415</v>
      </c>
      <c r="W268" s="34"/>
      <c r="X268" s="35" t="s">
        <v>4923</v>
      </c>
      <c r="Y268" s="32">
        <v>3.0</v>
      </c>
      <c r="Z268" s="40" t="s">
        <v>3559</v>
      </c>
    </row>
    <row r="269">
      <c r="A269" s="42" t="s">
        <v>5797</v>
      </c>
      <c r="B269" s="42" t="s">
        <v>5791</v>
      </c>
      <c r="C269" s="42" t="s">
        <v>5793</v>
      </c>
      <c r="D269" s="42" t="s">
        <v>75</v>
      </c>
      <c r="E269" s="42" t="s">
        <v>10011</v>
      </c>
      <c r="F269" s="42" t="s">
        <v>5799</v>
      </c>
      <c r="G269" s="43"/>
      <c r="H269" s="42" t="s">
        <v>75</v>
      </c>
      <c r="I269" s="43"/>
      <c r="J269" s="45"/>
      <c r="K269" s="42" t="s">
        <v>41</v>
      </c>
      <c r="L269" s="45"/>
      <c r="M269" s="45"/>
      <c r="N269" s="42" t="s">
        <v>5800</v>
      </c>
      <c r="O269" s="43"/>
      <c r="P269" s="43"/>
      <c r="Q269" s="43"/>
      <c r="R269" s="42" t="s">
        <v>3563</v>
      </c>
      <c r="S269" s="42" t="s">
        <v>3609</v>
      </c>
      <c r="T269" s="42" t="s">
        <v>4050</v>
      </c>
      <c r="U269" s="42" t="s">
        <v>5795</v>
      </c>
      <c r="V269" s="42" t="s">
        <v>10371</v>
      </c>
      <c r="W269" s="42" t="s">
        <v>5222</v>
      </c>
      <c r="X269" s="42" t="s">
        <v>4923</v>
      </c>
      <c r="Y269" s="45"/>
      <c r="Z269" s="48" t="s">
        <v>3559</v>
      </c>
    </row>
    <row r="270">
      <c r="A270" s="35" t="s">
        <v>5808</v>
      </c>
      <c r="B270" s="35" t="s">
        <v>5802</v>
      </c>
      <c r="C270" s="35" t="s">
        <v>5804</v>
      </c>
      <c r="D270" s="35" t="s">
        <v>298</v>
      </c>
      <c r="E270" s="35" t="s">
        <v>10011</v>
      </c>
      <c r="F270" s="35" t="s">
        <v>5811</v>
      </c>
      <c r="G270" s="35" t="s">
        <v>5812</v>
      </c>
      <c r="H270" s="35" t="s">
        <v>298</v>
      </c>
      <c r="I270" s="34"/>
      <c r="J270" s="32">
        <v>4250410.0</v>
      </c>
      <c r="K270" s="35" t="s">
        <v>41</v>
      </c>
      <c r="L270" s="37"/>
      <c r="M270" s="37"/>
      <c r="N270" s="34"/>
      <c r="O270" s="34"/>
      <c r="P270" s="34"/>
      <c r="Q270" s="34"/>
      <c r="R270" s="35" t="s">
        <v>3563</v>
      </c>
      <c r="S270" s="35" t="s">
        <v>351</v>
      </c>
      <c r="T270" s="35" t="s">
        <v>4111</v>
      </c>
      <c r="U270" s="35" t="s">
        <v>5806</v>
      </c>
      <c r="V270" s="35" t="s">
        <v>10372</v>
      </c>
      <c r="W270" s="35" t="s">
        <v>3571</v>
      </c>
      <c r="X270" s="35" t="s">
        <v>5018</v>
      </c>
      <c r="Y270" s="32">
        <v>11.0</v>
      </c>
      <c r="Z270" s="40" t="s">
        <v>3559</v>
      </c>
    </row>
    <row r="271">
      <c r="A271" s="42" t="s">
        <v>5826</v>
      </c>
      <c r="B271" s="42" t="s">
        <v>5820</v>
      </c>
      <c r="C271" s="42" t="s">
        <v>5823</v>
      </c>
      <c r="D271" s="42" t="s">
        <v>323</v>
      </c>
      <c r="E271" s="42" t="s">
        <v>10011</v>
      </c>
      <c r="F271" s="42" t="s">
        <v>5832</v>
      </c>
      <c r="G271" s="43"/>
      <c r="H271" s="42" t="s">
        <v>323</v>
      </c>
      <c r="I271" s="43"/>
      <c r="J271" s="41">
        <v>5885849.0</v>
      </c>
      <c r="K271" s="42" t="s">
        <v>41</v>
      </c>
      <c r="L271" s="45" t="str">
        <f>+972 (0)3 718 7711</f>
        <v>#ERROR!</v>
      </c>
      <c r="M271" s="45"/>
      <c r="N271" s="43"/>
      <c r="O271" s="42" t="s">
        <v>3108</v>
      </c>
      <c r="P271" s="42" t="s">
        <v>4093</v>
      </c>
      <c r="Q271" s="43"/>
      <c r="R271" s="42" t="s">
        <v>3867</v>
      </c>
      <c r="S271" s="42" t="s">
        <v>3868</v>
      </c>
      <c r="T271" s="42" t="s">
        <v>3869</v>
      </c>
      <c r="U271" s="43"/>
      <c r="V271" s="42" t="s">
        <v>10373</v>
      </c>
      <c r="W271" s="42" t="s">
        <v>3571</v>
      </c>
      <c r="X271" s="42" t="s">
        <v>4389</v>
      </c>
      <c r="Y271" s="41">
        <v>70.0</v>
      </c>
      <c r="Z271" s="48" t="s">
        <v>3559</v>
      </c>
    </row>
    <row r="272">
      <c r="A272" s="35" t="s">
        <v>5847</v>
      </c>
      <c r="B272" s="35" t="s">
        <v>5842</v>
      </c>
      <c r="C272" s="35" t="s">
        <v>5844</v>
      </c>
      <c r="D272" s="35" t="s">
        <v>2433</v>
      </c>
      <c r="E272" s="35" t="s">
        <v>10011</v>
      </c>
      <c r="F272" s="35" t="s">
        <v>5853</v>
      </c>
      <c r="G272" s="35" t="s">
        <v>5854</v>
      </c>
      <c r="H272" s="35" t="s">
        <v>2433</v>
      </c>
      <c r="I272" s="34"/>
      <c r="J272" s="37"/>
      <c r="K272" s="35" t="s">
        <v>41</v>
      </c>
      <c r="L272" s="37" t="str">
        <f>+972 (0)8 852 3883</f>
        <v>#ERROR!</v>
      </c>
      <c r="M272" s="37" t="str">
        <f>+972 (0)8 852 1236</f>
        <v>#ERROR!</v>
      </c>
      <c r="N272" s="34"/>
      <c r="O272" s="35" t="s">
        <v>5851</v>
      </c>
      <c r="P272" s="35" t="s">
        <v>4093</v>
      </c>
      <c r="Q272" s="34"/>
      <c r="R272" s="35" t="s">
        <v>3867</v>
      </c>
      <c r="S272" s="35" t="s">
        <v>3897</v>
      </c>
      <c r="T272" s="35" t="s">
        <v>3898</v>
      </c>
      <c r="U272" s="34"/>
      <c r="V272" s="35" t="s">
        <v>10374</v>
      </c>
      <c r="W272" s="35" t="s">
        <v>3571</v>
      </c>
      <c r="X272" s="35" t="s">
        <v>4962</v>
      </c>
      <c r="Y272" s="37"/>
      <c r="Z272" s="40" t="s">
        <v>3559</v>
      </c>
    </row>
    <row r="273">
      <c r="A273" s="42" t="s">
        <v>5866</v>
      </c>
      <c r="B273" s="42" t="s">
        <v>5858</v>
      </c>
      <c r="C273" s="42" t="s">
        <v>5862</v>
      </c>
      <c r="D273" s="42" t="s">
        <v>10375</v>
      </c>
      <c r="E273" s="42" t="s">
        <v>10008</v>
      </c>
      <c r="F273" s="42" t="s">
        <v>10376</v>
      </c>
      <c r="G273" s="43"/>
      <c r="H273" s="42" t="s">
        <v>10375</v>
      </c>
      <c r="I273" s="42" t="s">
        <v>1431</v>
      </c>
      <c r="J273" s="41">
        <v>95014.0</v>
      </c>
      <c r="K273" s="42" t="s">
        <v>60</v>
      </c>
      <c r="L273" s="45"/>
      <c r="M273" s="45"/>
      <c r="N273" s="43"/>
      <c r="O273" s="43"/>
      <c r="P273" s="43"/>
      <c r="Q273" s="43"/>
      <c r="R273" s="42" t="s">
        <v>3563</v>
      </c>
      <c r="S273" s="42" t="s">
        <v>3609</v>
      </c>
      <c r="T273" s="42" t="s">
        <v>3610</v>
      </c>
      <c r="U273" s="42" t="s">
        <v>5864</v>
      </c>
      <c r="V273" s="42" t="s">
        <v>10377</v>
      </c>
      <c r="W273" s="42" t="s">
        <v>3571</v>
      </c>
      <c r="X273" s="42" t="s">
        <v>4962</v>
      </c>
      <c r="Y273" s="41">
        <v>77.0</v>
      </c>
      <c r="Z273" s="48" t="s">
        <v>3559</v>
      </c>
    </row>
    <row r="274">
      <c r="A274" s="35" t="s">
        <v>5866</v>
      </c>
      <c r="B274" s="35" t="s">
        <v>5858</v>
      </c>
      <c r="C274" s="35" t="s">
        <v>5862</v>
      </c>
      <c r="D274" s="35" t="s">
        <v>552</v>
      </c>
      <c r="E274" s="35" t="s">
        <v>10011</v>
      </c>
      <c r="F274" s="35" t="s">
        <v>5870</v>
      </c>
      <c r="G274" s="35" t="s">
        <v>5871</v>
      </c>
      <c r="H274" s="35" t="s">
        <v>552</v>
      </c>
      <c r="I274" s="34"/>
      <c r="J274" s="32">
        <v>4673308.0</v>
      </c>
      <c r="K274" s="35" t="s">
        <v>41</v>
      </c>
      <c r="L274" s="37"/>
      <c r="M274" s="37"/>
      <c r="N274" s="34"/>
      <c r="O274" s="34"/>
      <c r="P274" s="34"/>
      <c r="Q274" s="34"/>
      <c r="R274" s="35" t="s">
        <v>3563</v>
      </c>
      <c r="S274" s="35" t="s">
        <v>3609</v>
      </c>
      <c r="T274" s="35" t="s">
        <v>3610</v>
      </c>
      <c r="U274" s="35" t="s">
        <v>5864</v>
      </c>
      <c r="V274" s="35" t="s">
        <v>10377</v>
      </c>
      <c r="W274" s="35" t="s">
        <v>3571</v>
      </c>
      <c r="X274" s="35" t="s">
        <v>4962</v>
      </c>
      <c r="Y274" s="32">
        <v>77.0</v>
      </c>
      <c r="Z274" s="40" t="s">
        <v>3559</v>
      </c>
    </row>
    <row r="275">
      <c r="A275" s="42" t="s">
        <v>5866</v>
      </c>
      <c r="B275" s="42" t="s">
        <v>5858</v>
      </c>
      <c r="C275" s="42" t="s">
        <v>5862</v>
      </c>
      <c r="D275" s="42" t="s">
        <v>10378</v>
      </c>
      <c r="E275" s="42" t="s">
        <v>10008</v>
      </c>
      <c r="F275" s="42" t="s">
        <v>10379</v>
      </c>
      <c r="G275" s="42" t="s">
        <v>10380</v>
      </c>
      <c r="H275" s="42" t="s">
        <v>10378</v>
      </c>
      <c r="I275" s="43"/>
      <c r="J275" s="45"/>
      <c r="K275" s="42" t="s">
        <v>10378</v>
      </c>
      <c r="L275" s="45"/>
      <c r="M275" s="45"/>
      <c r="N275" s="43"/>
      <c r="O275" s="43"/>
      <c r="P275" s="43"/>
      <c r="Q275" s="43"/>
      <c r="R275" s="42" t="s">
        <v>3563</v>
      </c>
      <c r="S275" s="42" t="s">
        <v>3609</v>
      </c>
      <c r="T275" s="42" t="s">
        <v>3610</v>
      </c>
      <c r="U275" s="42" t="s">
        <v>5864</v>
      </c>
      <c r="V275" s="42" t="s">
        <v>10377</v>
      </c>
      <c r="W275" s="42" t="s">
        <v>3571</v>
      </c>
      <c r="X275" s="42" t="s">
        <v>4962</v>
      </c>
      <c r="Y275" s="41">
        <v>77.0</v>
      </c>
      <c r="Z275" s="48" t="s">
        <v>3559</v>
      </c>
    </row>
    <row r="276">
      <c r="A276" s="35" t="s">
        <v>5866</v>
      </c>
      <c r="B276" s="35" t="s">
        <v>5858</v>
      </c>
      <c r="C276" s="35" t="s">
        <v>5862</v>
      </c>
      <c r="D276" s="35" t="s">
        <v>10381</v>
      </c>
      <c r="E276" s="35" t="s">
        <v>10008</v>
      </c>
      <c r="F276" s="35" t="s">
        <v>10382</v>
      </c>
      <c r="G276" s="34"/>
      <c r="H276" s="35" t="s">
        <v>10381</v>
      </c>
      <c r="I276" s="35" t="s">
        <v>10108</v>
      </c>
      <c r="J276" s="32">
        <v>98052.0</v>
      </c>
      <c r="K276" s="35" t="s">
        <v>60</v>
      </c>
      <c r="L276" s="37"/>
      <c r="M276" s="37"/>
      <c r="N276" s="34"/>
      <c r="O276" s="34"/>
      <c r="P276" s="34"/>
      <c r="Q276" s="34"/>
      <c r="R276" s="35" t="s">
        <v>3563</v>
      </c>
      <c r="S276" s="35" t="s">
        <v>3609</v>
      </c>
      <c r="T276" s="35" t="s">
        <v>3610</v>
      </c>
      <c r="U276" s="35" t="s">
        <v>5864</v>
      </c>
      <c r="V276" s="35" t="s">
        <v>10377</v>
      </c>
      <c r="W276" s="35" t="s">
        <v>3571</v>
      </c>
      <c r="X276" s="35" t="s">
        <v>4962</v>
      </c>
      <c r="Y276" s="32">
        <v>77.0</v>
      </c>
      <c r="Z276" s="40" t="s">
        <v>3559</v>
      </c>
    </row>
    <row r="277">
      <c r="A277" s="42" t="s">
        <v>5866</v>
      </c>
      <c r="B277" s="42" t="s">
        <v>5858</v>
      </c>
      <c r="C277" s="42" t="s">
        <v>5862</v>
      </c>
      <c r="D277" s="42" t="s">
        <v>10383</v>
      </c>
      <c r="E277" s="42" t="s">
        <v>10015</v>
      </c>
      <c r="F277" s="42" t="s">
        <v>10384</v>
      </c>
      <c r="G277" s="42" t="s">
        <v>10385</v>
      </c>
      <c r="H277" s="42" t="s">
        <v>10383</v>
      </c>
      <c r="I277" s="43"/>
      <c r="J277" s="45"/>
      <c r="K277" s="42" t="s">
        <v>10223</v>
      </c>
      <c r="L277" s="45"/>
      <c r="M277" s="45"/>
      <c r="N277" s="43"/>
      <c r="O277" s="43"/>
      <c r="P277" s="43"/>
      <c r="Q277" s="43"/>
      <c r="R277" s="42" t="s">
        <v>3563</v>
      </c>
      <c r="S277" s="42" t="s">
        <v>3609</v>
      </c>
      <c r="T277" s="42" t="s">
        <v>3610</v>
      </c>
      <c r="U277" s="42" t="s">
        <v>5864</v>
      </c>
      <c r="V277" s="42" t="s">
        <v>10377</v>
      </c>
      <c r="W277" s="42" t="s">
        <v>3571</v>
      </c>
      <c r="X277" s="42" t="s">
        <v>4962</v>
      </c>
      <c r="Y277" s="41">
        <v>77.0</v>
      </c>
      <c r="Z277" s="48" t="s">
        <v>3559</v>
      </c>
    </row>
    <row r="278">
      <c r="A278" s="35" t="s">
        <v>5886</v>
      </c>
      <c r="B278" s="35" t="s">
        <v>5879</v>
      </c>
      <c r="C278" s="35" t="s">
        <v>5882</v>
      </c>
      <c r="D278" s="35" t="s">
        <v>147</v>
      </c>
      <c r="E278" s="35" t="s">
        <v>10011</v>
      </c>
      <c r="F278" s="35" t="s">
        <v>5888</v>
      </c>
      <c r="G278" s="35" t="s">
        <v>5889</v>
      </c>
      <c r="H278" s="35" t="s">
        <v>147</v>
      </c>
      <c r="I278" s="34"/>
      <c r="J278" s="37"/>
      <c r="K278" s="35" t="s">
        <v>41</v>
      </c>
      <c r="L278" s="37"/>
      <c r="M278" s="37"/>
      <c r="N278" s="34"/>
      <c r="O278" s="34"/>
      <c r="P278" s="34"/>
      <c r="Q278" s="34"/>
      <c r="R278" s="35" t="s">
        <v>4560</v>
      </c>
      <c r="S278" s="35" t="s">
        <v>4561</v>
      </c>
      <c r="T278" s="35" t="s">
        <v>5883</v>
      </c>
      <c r="U278" s="35" t="s">
        <v>3612</v>
      </c>
      <c r="V278" s="35" t="s">
        <v>5884</v>
      </c>
      <c r="W278" s="35" t="s">
        <v>5222</v>
      </c>
      <c r="X278" s="35" t="s">
        <v>5075</v>
      </c>
      <c r="Y278" s="37"/>
      <c r="Z278" s="40" t="s">
        <v>3559</v>
      </c>
    </row>
    <row r="279">
      <c r="A279" s="42" t="s">
        <v>5900</v>
      </c>
      <c r="B279" s="42" t="s">
        <v>5895</v>
      </c>
      <c r="C279" s="42" t="s">
        <v>5897</v>
      </c>
      <c r="D279" s="42" t="s">
        <v>4475</v>
      </c>
      <c r="E279" s="42" t="s">
        <v>10011</v>
      </c>
      <c r="F279" s="43"/>
      <c r="G279" s="43"/>
      <c r="H279" s="42" t="s">
        <v>4475</v>
      </c>
      <c r="I279" s="43"/>
      <c r="J279" s="45"/>
      <c r="K279" s="42" t="s">
        <v>41</v>
      </c>
      <c r="L279" s="45"/>
      <c r="M279" s="45"/>
      <c r="N279" s="43"/>
      <c r="O279" s="43"/>
      <c r="P279" s="43"/>
      <c r="Q279" s="43"/>
      <c r="R279" s="42" t="s">
        <v>3867</v>
      </c>
      <c r="S279" s="42" t="s">
        <v>4199</v>
      </c>
      <c r="T279" s="42" t="s">
        <v>4200</v>
      </c>
      <c r="U279" s="42" t="s">
        <v>5736</v>
      </c>
      <c r="V279" s="42" t="s">
        <v>10386</v>
      </c>
      <c r="W279" s="42" t="s">
        <v>5222</v>
      </c>
      <c r="X279" s="42" t="s">
        <v>5481</v>
      </c>
      <c r="Y279" s="45"/>
      <c r="Z279" s="48" t="s">
        <v>3559</v>
      </c>
    </row>
    <row r="280">
      <c r="A280" s="35" t="s">
        <v>5914</v>
      </c>
      <c r="B280" s="35" t="s">
        <v>5908</v>
      </c>
      <c r="C280" s="35" t="s">
        <v>5910</v>
      </c>
      <c r="D280" s="35" t="s">
        <v>1442</v>
      </c>
      <c r="E280" s="35" t="s">
        <v>10011</v>
      </c>
      <c r="F280" s="35" t="s">
        <v>5918</v>
      </c>
      <c r="G280" s="35" t="s">
        <v>5919</v>
      </c>
      <c r="H280" s="35" t="s">
        <v>1442</v>
      </c>
      <c r="I280" s="34"/>
      <c r="J280" s="32">
        <v>7255811.0</v>
      </c>
      <c r="K280" s="35" t="s">
        <v>41</v>
      </c>
      <c r="L280" s="37" t="str">
        <f>+972 (0)73 222 2900</f>
        <v>#ERROR!</v>
      </c>
      <c r="M280" s="37" t="str">
        <f>+972 (0)8 921 5370</f>
        <v>#ERROR!</v>
      </c>
      <c r="N280" s="35" t="s">
        <v>5920</v>
      </c>
      <c r="O280" s="34"/>
      <c r="P280" s="34"/>
      <c r="Q280" s="34"/>
      <c r="R280" s="35" t="s">
        <v>3867</v>
      </c>
      <c r="S280" s="35" t="s">
        <v>4199</v>
      </c>
      <c r="T280" s="35" t="s">
        <v>5911</v>
      </c>
      <c r="U280" s="34"/>
      <c r="V280" s="35" t="s">
        <v>10387</v>
      </c>
      <c r="W280" s="35" t="s">
        <v>3571</v>
      </c>
      <c r="X280" s="35" t="s">
        <v>4962</v>
      </c>
      <c r="Y280" s="37"/>
      <c r="Z280" s="40" t="s">
        <v>3559</v>
      </c>
    </row>
    <row r="281">
      <c r="A281" s="42" t="s">
        <v>5931</v>
      </c>
      <c r="B281" s="42" t="s">
        <v>5926</v>
      </c>
      <c r="C281" s="42" t="s">
        <v>5928</v>
      </c>
      <c r="D281" s="42" t="s">
        <v>75</v>
      </c>
      <c r="E281" s="42" t="s">
        <v>10011</v>
      </c>
      <c r="F281" s="42" t="s">
        <v>5936</v>
      </c>
      <c r="G281" s="43"/>
      <c r="H281" s="42" t="s">
        <v>75</v>
      </c>
      <c r="I281" s="43"/>
      <c r="J281" s="41">
        <v>6722032.0</v>
      </c>
      <c r="K281" s="42" t="s">
        <v>41</v>
      </c>
      <c r="L281" s="45"/>
      <c r="M281" s="45"/>
      <c r="N281" s="42" t="s">
        <v>5937</v>
      </c>
      <c r="O281" s="42" t="s">
        <v>5934</v>
      </c>
      <c r="P281" s="42" t="s">
        <v>4397</v>
      </c>
      <c r="Q281" s="43"/>
      <c r="R281" s="42" t="s">
        <v>3563</v>
      </c>
      <c r="S281" s="42" t="s">
        <v>3564</v>
      </c>
      <c r="T281" s="42" t="s">
        <v>3565</v>
      </c>
      <c r="U281" s="43"/>
      <c r="V281" s="42" t="s">
        <v>5929</v>
      </c>
      <c r="W281" s="42" t="s">
        <v>3571</v>
      </c>
      <c r="X281" s="42" t="s">
        <v>4923</v>
      </c>
      <c r="Y281" s="45"/>
      <c r="Z281" s="48" t="s">
        <v>3559</v>
      </c>
    </row>
    <row r="282">
      <c r="A282" s="35" t="s">
        <v>5945</v>
      </c>
      <c r="B282" s="35" t="s">
        <v>5939</v>
      </c>
      <c r="C282" s="35" t="s">
        <v>5941</v>
      </c>
      <c r="D282" s="35" t="s">
        <v>10143</v>
      </c>
      <c r="E282" s="35" t="s">
        <v>10011</v>
      </c>
      <c r="F282" s="35" t="s">
        <v>5953</v>
      </c>
      <c r="G282" s="34"/>
      <c r="H282" s="35" t="s">
        <v>1928</v>
      </c>
      <c r="I282" s="34"/>
      <c r="J282" s="32">
        <v>4809262.0</v>
      </c>
      <c r="K282" s="35" t="s">
        <v>41</v>
      </c>
      <c r="L282" s="37"/>
      <c r="M282" s="37"/>
      <c r="N282" s="34"/>
      <c r="O282" s="35" t="s">
        <v>5949</v>
      </c>
      <c r="P282" s="35" t="s">
        <v>5950</v>
      </c>
      <c r="Q282" s="34"/>
      <c r="R282" s="35" t="s">
        <v>4560</v>
      </c>
      <c r="S282" s="35" t="s">
        <v>4561</v>
      </c>
      <c r="T282" s="35" t="s">
        <v>66</v>
      </c>
      <c r="U282" s="34"/>
      <c r="V282" s="35" t="s">
        <v>10388</v>
      </c>
      <c r="W282" s="35" t="s">
        <v>3571</v>
      </c>
      <c r="X282" s="35" t="s">
        <v>5944</v>
      </c>
      <c r="Y282" s="32">
        <v>1500.0</v>
      </c>
      <c r="Z282" s="40" t="s">
        <v>3559</v>
      </c>
    </row>
    <row r="283">
      <c r="A283" s="42" t="s">
        <v>5967</v>
      </c>
      <c r="B283" s="42" t="s">
        <v>5961</v>
      </c>
      <c r="C283" s="42" t="s">
        <v>5963</v>
      </c>
      <c r="D283" s="42" t="s">
        <v>530</v>
      </c>
      <c r="E283" s="42" t="s">
        <v>10011</v>
      </c>
      <c r="F283" s="42" t="s">
        <v>5975</v>
      </c>
      <c r="G283" s="43"/>
      <c r="H283" s="42" t="s">
        <v>530</v>
      </c>
      <c r="I283" s="43"/>
      <c r="J283" s="45"/>
      <c r="K283" s="42" t="s">
        <v>41</v>
      </c>
      <c r="L283" s="45" t="str">
        <f>+972 (0)54 882 4450</f>
        <v>#ERROR!</v>
      </c>
      <c r="M283" s="45"/>
      <c r="N283" s="43"/>
      <c r="O283" s="42" t="s">
        <v>5972</v>
      </c>
      <c r="P283" s="42" t="s">
        <v>5973</v>
      </c>
      <c r="Q283" s="43"/>
      <c r="R283" s="42" t="s">
        <v>3563</v>
      </c>
      <c r="S283" s="42" t="s">
        <v>3609</v>
      </c>
      <c r="T283" s="42" t="s">
        <v>4050</v>
      </c>
      <c r="U283" s="42" t="s">
        <v>5965</v>
      </c>
      <c r="V283" s="42" t="s">
        <v>10389</v>
      </c>
      <c r="W283" s="42" t="s">
        <v>3571</v>
      </c>
      <c r="X283" s="42" t="s">
        <v>4962</v>
      </c>
      <c r="Y283" s="41">
        <v>15.0</v>
      </c>
      <c r="Z283" s="48" t="s">
        <v>3559</v>
      </c>
    </row>
    <row r="284">
      <c r="A284" s="35" t="s">
        <v>5989</v>
      </c>
      <c r="B284" s="35" t="s">
        <v>5983</v>
      </c>
      <c r="C284" s="35" t="s">
        <v>5987</v>
      </c>
      <c r="D284" s="35" t="s">
        <v>147</v>
      </c>
      <c r="E284" s="35" t="s">
        <v>10011</v>
      </c>
      <c r="F284" s="35" t="s">
        <v>5994</v>
      </c>
      <c r="G284" s="34"/>
      <c r="H284" s="35" t="s">
        <v>147</v>
      </c>
      <c r="I284" s="34"/>
      <c r="J284" s="37"/>
      <c r="K284" s="35" t="s">
        <v>41</v>
      </c>
      <c r="L284" s="37"/>
      <c r="M284" s="37"/>
      <c r="N284" s="34"/>
      <c r="O284" s="35" t="s">
        <v>5992</v>
      </c>
      <c r="P284" s="35" t="s">
        <v>5993</v>
      </c>
      <c r="Q284" s="34"/>
      <c r="R284" s="35" t="s">
        <v>4560</v>
      </c>
      <c r="S284" s="35" t="s">
        <v>4561</v>
      </c>
      <c r="T284" s="35" t="s">
        <v>5883</v>
      </c>
      <c r="U284" s="34"/>
      <c r="V284" s="35" t="s">
        <v>5884</v>
      </c>
      <c r="W284" s="35" t="s">
        <v>3571</v>
      </c>
      <c r="X284" s="35" t="s">
        <v>4389</v>
      </c>
      <c r="Y284" s="37"/>
      <c r="Z284" s="40" t="s">
        <v>3559</v>
      </c>
    </row>
    <row r="285">
      <c r="A285" s="42" t="s">
        <v>6005</v>
      </c>
      <c r="B285" s="42" t="s">
        <v>1969</v>
      </c>
      <c r="C285" s="42" t="s">
        <v>6002</v>
      </c>
      <c r="D285" s="42" t="s">
        <v>485</v>
      </c>
      <c r="E285" s="42" t="s">
        <v>10011</v>
      </c>
      <c r="F285" s="42" t="s">
        <v>6011</v>
      </c>
      <c r="G285" s="42" t="s">
        <v>6012</v>
      </c>
      <c r="H285" s="42" t="s">
        <v>485</v>
      </c>
      <c r="I285" s="43"/>
      <c r="J285" s="41">
        <v>3244756.0</v>
      </c>
      <c r="K285" s="42" t="s">
        <v>41</v>
      </c>
      <c r="L285" s="45" t="str">
        <f>+972 (0)54 466 0939</f>
        <v>#ERROR!</v>
      </c>
      <c r="M285" s="45"/>
      <c r="N285" s="43"/>
      <c r="O285" s="42" t="s">
        <v>10390</v>
      </c>
      <c r="P285" s="42" t="s">
        <v>3579</v>
      </c>
      <c r="Q285" s="43"/>
      <c r="R285" s="42" t="s">
        <v>3563</v>
      </c>
      <c r="S285" s="42" t="s">
        <v>3564</v>
      </c>
      <c r="T285" s="42" t="s">
        <v>3565</v>
      </c>
      <c r="U285" s="42" t="s">
        <v>4387</v>
      </c>
      <c r="V285" s="42" t="s">
        <v>10391</v>
      </c>
      <c r="W285" s="42" t="s">
        <v>3571</v>
      </c>
      <c r="X285" s="42" t="s">
        <v>4923</v>
      </c>
      <c r="Y285" s="41">
        <v>7.0</v>
      </c>
      <c r="Z285" s="48" t="s">
        <v>3559</v>
      </c>
    </row>
    <row r="286">
      <c r="A286" s="35" t="s">
        <v>6023</v>
      </c>
      <c r="B286" s="35" t="s">
        <v>6016</v>
      </c>
      <c r="C286" s="35" t="s">
        <v>6019</v>
      </c>
      <c r="D286" s="35" t="s">
        <v>3625</v>
      </c>
      <c r="E286" s="35" t="s">
        <v>10011</v>
      </c>
      <c r="F286" s="35" t="s">
        <v>6026</v>
      </c>
      <c r="G286" s="34"/>
      <c r="H286" s="35" t="s">
        <v>3625</v>
      </c>
      <c r="I286" s="34"/>
      <c r="J286" s="32">
        <v>30889.0</v>
      </c>
      <c r="K286" s="35" t="s">
        <v>41</v>
      </c>
      <c r="L286" s="37"/>
      <c r="M286" s="37"/>
      <c r="N286" s="34"/>
      <c r="O286" s="34"/>
      <c r="P286" s="34"/>
      <c r="Q286" s="34"/>
      <c r="R286" s="35" t="s">
        <v>3563</v>
      </c>
      <c r="S286" s="35" t="s">
        <v>4648</v>
      </c>
      <c r="T286" s="35" t="s">
        <v>4649</v>
      </c>
      <c r="U286" s="35" t="s">
        <v>6021</v>
      </c>
      <c r="V286" s="35" t="s">
        <v>10392</v>
      </c>
      <c r="W286" s="35" t="s">
        <v>3571</v>
      </c>
      <c r="X286" s="35" t="s">
        <v>5018</v>
      </c>
      <c r="Y286" s="32">
        <v>29.0</v>
      </c>
      <c r="Z286" s="40" t="s">
        <v>3559</v>
      </c>
    </row>
    <row r="287">
      <c r="A287" s="42" t="s">
        <v>6040</v>
      </c>
      <c r="B287" s="42" t="s">
        <v>6032</v>
      </c>
      <c r="C287" s="42" t="s">
        <v>6033</v>
      </c>
      <c r="D287" s="42" t="s">
        <v>485</v>
      </c>
      <c r="E287" s="42" t="s">
        <v>10011</v>
      </c>
      <c r="F287" s="43"/>
      <c r="G287" s="43"/>
      <c r="H287" s="42" t="s">
        <v>485</v>
      </c>
      <c r="I287" s="43"/>
      <c r="J287" s="45"/>
      <c r="K287" s="42" t="s">
        <v>41</v>
      </c>
      <c r="L287" s="45"/>
      <c r="M287" s="45"/>
      <c r="N287" s="43"/>
      <c r="O287" s="42" t="s">
        <v>6043</v>
      </c>
      <c r="P287" s="42" t="s">
        <v>265</v>
      </c>
      <c r="Q287" s="43"/>
      <c r="R287" s="42" t="s">
        <v>4560</v>
      </c>
      <c r="S287" s="42" t="s">
        <v>6034</v>
      </c>
      <c r="T287" s="42" t="s">
        <v>6035</v>
      </c>
      <c r="U287" s="42" t="s">
        <v>6037</v>
      </c>
      <c r="V287" s="42" t="s">
        <v>10393</v>
      </c>
      <c r="W287" s="42" t="s">
        <v>6041</v>
      </c>
      <c r="X287" s="42" t="s">
        <v>6039</v>
      </c>
      <c r="Y287" s="45"/>
      <c r="Z287" s="48" t="s">
        <v>3559</v>
      </c>
    </row>
    <row r="288">
      <c r="A288" s="35" t="s">
        <v>6057</v>
      </c>
      <c r="B288" s="35" t="s">
        <v>6049</v>
      </c>
      <c r="C288" s="35" t="s">
        <v>6053</v>
      </c>
      <c r="D288" s="35" t="s">
        <v>10326</v>
      </c>
      <c r="E288" s="35" t="s">
        <v>10008</v>
      </c>
      <c r="F288" s="35" t="s">
        <v>10394</v>
      </c>
      <c r="G288" s="35" t="s">
        <v>10395</v>
      </c>
      <c r="H288" s="35" t="s">
        <v>10326</v>
      </c>
      <c r="I288" s="34"/>
      <c r="J288" s="32">
        <v>100193.0</v>
      </c>
      <c r="K288" s="35" t="s">
        <v>10223</v>
      </c>
      <c r="L288" s="37"/>
      <c r="M288" s="37"/>
      <c r="N288" s="35" t="s">
        <v>6066</v>
      </c>
      <c r="O288" s="35" t="s">
        <v>6063</v>
      </c>
      <c r="P288" s="35" t="s">
        <v>3685</v>
      </c>
      <c r="Q288" s="34"/>
      <c r="R288" s="35" t="s">
        <v>3563</v>
      </c>
      <c r="S288" s="35" t="s">
        <v>3564</v>
      </c>
      <c r="T288" s="35" t="s">
        <v>3642</v>
      </c>
      <c r="U288" s="35" t="s">
        <v>6055</v>
      </c>
      <c r="V288" s="35" t="s">
        <v>10396</v>
      </c>
      <c r="W288" s="35" t="s">
        <v>3571</v>
      </c>
      <c r="X288" s="35" t="s">
        <v>5018</v>
      </c>
      <c r="Y288" s="32">
        <v>74.0</v>
      </c>
      <c r="Z288" s="40" t="s">
        <v>3559</v>
      </c>
    </row>
    <row r="289">
      <c r="A289" s="42" t="s">
        <v>6057</v>
      </c>
      <c r="B289" s="42" t="s">
        <v>6049</v>
      </c>
      <c r="C289" s="42" t="s">
        <v>6053</v>
      </c>
      <c r="D289" s="42" t="s">
        <v>10025</v>
      </c>
      <c r="E289" s="42" t="s">
        <v>10008</v>
      </c>
      <c r="F289" s="42" t="s">
        <v>10397</v>
      </c>
      <c r="G289" s="42" t="s">
        <v>10398</v>
      </c>
      <c r="H289" s="42" t="s">
        <v>10025</v>
      </c>
      <c r="I289" s="43"/>
      <c r="J289" s="41">
        <v>19605.0</v>
      </c>
      <c r="K289" s="42" t="s">
        <v>465</v>
      </c>
      <c r="L289" s="45" t="str">
        <f>+49 (0)30 7262 1962 7</f>
        <v>#ERROR!</v>
      </c>
      <c r="M289" s="45"/>
      <c r="N289" s="42" t="s">
        <v>6066</v>
      </c>
      <c r="O289" s="42" t="s">
        <v>6063</v>
      </c>
      <c r="P289" s="42" t="s">
        <v>3685</v>
      </c>
      <c r="Q289" s="43"/>
      <c r="R289" s="42" t="s">
        <v>3563</v>
      </c>
      <c r="S289" s="42" t="s">
        <v>3564</v>
      </c>
      <c r="T289" s="42" t="s">
        <v>3642</v>
      </c>
      <c r="U289" s="42" t="s">
        <v>6055</v>
      </c>
      <c r="V289" s="42" t="s">
        <v>10396</v>
      </c>
      <c r="W289" s="42" t="s">
        <v>3571</v>
      </c>
      <c r="X289" s="42" t="s">
        <v>5018</v>
      </c>
      <c r="Y289" s="41">
        <v>74.0</v>
      </c>
      <c r="Z289" s="48" t="s">
        <v>3559</v>
      </c>
    </row>
    <row r="290">
      <c r="A290" s="35" t="s">
        <v>6057</v>
      </c>
      <c r="B290" s="35" t="s">
        <v>6049</v>
      </c>
      <c r="C290" s="35" t="s">
        <v>6053</v>
      </c>
      <c r="D290" s="35" t="s">
        <v>10063</v>
      </c>
      <c r="E290" s="35" t="s">
        <v>10008</v>
      </c>
      <c r="F290" s="35" t="s">
        <v>10399</v>
      </c>
      <c r="G290" s="34"/>
      <c r="H290" s="35" t="s">
        <v>10063</v>
      </c>
      <c r="I290" s="35" t="s">
        <v>1431</v>
      </c>
      <c r="J290" s="32">
        <v>94105.0</v>
      </c>
      <c r="K290" s="35" t="s">
        <v>60</v>
      </c>
      <c r="L290" s="37" t="str">
        <f>+1 (415) 992-6330</f>
        <v>#ERROR!</v>
      </c>
      <c r="M290" s="37"/>
      <c r="N290" s="35" t="s">
        <v>6066</v>
      </c>
      <c r="O290" s="35" t="s">
        <v>6063</v>
      </c>
      <c r="P290" s="35" t="s">
        <v>3685</v>
      </c>
      <c r="Q290" s="34"/>
      <c r="R290" s="35" t="s">
        <v>3563</v>
      </c>
      <c r="S290" s="35" t="s">
        <v>3564</v>
      </c>
      <c r="T290" s="35" t="s">
        <v>3642</v>
      </c>
      <c r="U290" s="35" t="s">
        <v>6055</v>
      </c>
      <c r="V290" s="35" t="s">
        <v>10396</v>
      </c>
      <c r="W290" s="35" t="s">
        <v>3571</v>
      </c>
      <c r="X290" s="35" t="s">
        <v>5018</v>
      </c>
      <c r="Y290" s="32">
        <v>74.0</v>
      </c>
      <c r="Z290" s="40" t="s">
        <v>3559</v>
      </c>
    </row>
    <row r="291">
      <c r="A291" s="42" t="s">
        <v>6057</v>
      </c>
      <c r="B291" s="42" t="s">
        <v>6049</v>
      </c>
      <c r="C291" s="42" t="s">
        <v>6053</v>
      </c>
      <c r="D291" s="42" t="s">
        <v>10400</v>
      </c>
      <c r="E291" s="42" t="s">
        <v>10015</v>
      </c>
      <c r="F291" s="42" t="s">
        <v>10401</v>
      </c>
      <c r="G291" s="42" t="s">
        <v>10402</v>
      </c>
      <c r="H291" s="42" t="s">
        <v>10400</v>
      </c>
      <c r="I291" s="43"/>
      <c r="J291" s="41">
        <v>114.0</v>
      </c>
      <c r="K291" s="42" t="s">
        <v>10403</v>
      </c>
      <c r="L291" s="45"/>
      <c r="M291" s="45"/>
      <c r="N291" s="42" t="s">
        <v>6066</v>
      </c>
      <c r="O291" s="42" t="s">
        <v>6063</v>
      </c>
      <c r="P291" s="42" t="s">
        <v>3685</v>
      </c>
      <c r="Q291" s="43"/>
      <c r="R291" s="42" t="s">
        <v>3563</v>
      </c>
      <c r="S291" s="42" t="s">
        <v>3564</v>
      </c>
      <c r="T291" s="42" t="s">
        <v>3642</v>
      </c>
      <c r="U291" s="42" t="s">
        <v>6055</v>
      </c>
      <c r="V291" s="42" t="s">
        <v>10396</v>
      </c>
      <c r="W291" s="42" t="s">
        <v>3571</v>
      </c>
      <c r="X291" s="42" t="s">
        <v>5018</v>
      </c>
      <c r="Y291" s="41">
        <v>74.0</v>
      </c>
      <c r="Z291" s="48" t="s">
        <v>3559</v>
      </c>
    </row>
    <row r="292">
      <c r="A292" s="35" t="s">
        <v>6057</v>
      </c>
      <c r="B292" s="35" t="s">
        <v>6049</v>
      </c>
      <c r="C292" s="35" t="s">
        <v>6053</v>
      </c>
      <c r="D292" s="35" t="s">
        <v>75</v>
      </c>
      <c r="E292" s="35" t="s">
        <v>10011</v>
      </c>
      <c r="F292" s="35" t="s">
        <v>6065</v>
      </c>
      <c r="G292" s="34"/>
      <c r="H292" s="35" t="s">
        <v>75</v>
      </c>
      <c r="I292" s="34"/>
      <c r="J292" s="32">
        <v>6706703.0</v>
      </c>
      <c r="K292" s="35" t="s">
        <v>41</v>
      </c>
      <c r="L292" s="37" t="str">
        <f>+972 (0)3 914 9140</f>
        <v>#ERROR!</v>
      </c>
      <c r="M292" s="37"/>
      <c r="N292" s="35" t="s">
        <v>6066</v>
      </c>
      <c r="O292" s="35" t="s">
        <v>6063</v>
      </c>
      <c r="P292" s="35" t="s">
        <v>3685</v>
      </c>
      <c r="Q292" s="34"/>
      <c r="R292" s="35" t="s">
        <v>3563</v>
      </c>
      <c r="S292" s="35" t="s">
        <v>3564</v>
      </c>
      <c r="T292" s="35" t="s">
        <v>3642</v>
      </c>
      <c r="U292" s="35" t="s">
        <v>6055</v>
      </c>
      <c r="V292" s="35" t="s">
        <v>10396</v>
      </c>
      <c r="W292" s="35" t="s">
        <v>3571</v>
      </c>
      <c r="X292" s="35" t="s">
        <v>5018</v>
      </c>
      <c r="Y292" s="32">
        <v>74.0</v>
      </c>
      <c r="Z292" s="40" t="s">
        <v>3559</v>
      </c>
    </row>
    <row r="293">
      <c r="A293" s="42" t="s">
        <v>6057</v>
      </c>
      <c r="B293" s="42" t="s">
        <v>6049</v>
      </c>
      <c r="C293" s="42" t="s">
        <v>6053</v>
      </c>
      <c r="D293" s="42" t="s">
        <v>10045</v>
      </c>
      <c r="E293" s="42" t="s">
        <v>10008</v>
      </c>
      <c r="F293" s="42" t="s">
        <v>10404</v>
      </c>
      <c r="G293" s="42" t="s">
        <v>10405</v>
      </c>
      <c r="H293" s="42" t="s">
        <v>10045</v>
      </c>
      <c r="I293" s="43"/>
      <c r="J293" s="41" t="s">
        <v>10406</v>
      </c>
      <c r="K293" s="42" t="s">
        <v>10028</v>
      </c>
      <c r="L293" s="45"/>
      <c r="M293" s="45"/>
      <c r="N293" s="42" t="s">
        <v>6066</v>
      </c>
      <c r="O293" s="42" t="s">
        <v>6063</v>
      </c>
      <c r="P293" s="42" t="s">
        <v>3685</v>
      </c>
      <c r="Q293" s="43"/>
      <c r="R293" s="42" t="s">
        <v>3563</v>
      </c>
      <c r="S293" s="42" t="s">
        <v>3564</v>
      </c>
      <c r="T293" s="42" t="s">
        <v>3642</v>
      </c>
      <c r="U293" s="42" t="s">
        <v>6055</v>
      </c>
      <c r="V293" s="42" t="s">
        <v>10396</v>
      </c>
      <c r="W293" s="42" t="s">
        <v>3571</v>
      </c>
      <c r="X293" s="42" t="s">
        <v>5018</v>
      </c>
      <c r="Y293" s="41">
        <v>74.0</v>
      </c>
      <c r="Z293" s="48" t="s">
        <v>3559</v>
      </c>
    </row>
    <row r="294">
      <c r="A294" s="35" t="s">
        <v>6057</v>
      </c>
      <c r="B294" s="35" t="s">
        <v>6049</v>
      </c>
      <c r="C294" s="35" t="s">
        <v>6053</v>
      </c>
      <c r="D294" s="35" t="s">
        <v>10074</v>
      </c>
      <c r="E294" s="35" t="s">
        <v>10008</v>
      </c>
      <c r="F294" s="35" t="s">
        <v>10407</v>
      </c>
      <c r="G294" s="35" t="s">
        <v>10036</v>
      </c>
      <c r="H294" s="35" t="s">
        <v>10074</v>
      </c>
      <c r="I294" s="35" t="s">
        <v>10076</v>
      </c>
      <c r="J294" s="32">
        <v>19801.0</v>
      </c>
      <c r="K294" s="35" t="s">
        <v>60</v>
      </c>
      <c r="L294" s="37" t="str">
        <f>+1 (415) 992-6330</f>
        <v>#ERROR!</v>
      </c>
      <c r="M294" s="37"/>
      <c r="N294" s="35" t="s">
        <v>6066</v>
      </c>
      <c r="O294" s="35" t="s">
        <v>6063</v>
      </c>
      <c r="P294" s="35" t="s">
        <v>3685</v>
      </c>
      <c r="Q294" s="34"/>
      <c r="R294" s="35" t="s">
        <v>3563</v>
      </c>
      <c r="S294" s="35" t="s">
        <v>3564</v>
      </c>
      <c r="T294" s="35" t="s">
        <v>3642</v>
      </c>
      <c r="U294" s="35" t="s">
        <v>6055</v>
      </c>
      <c r="V294" s="35" t="s">
        <v>10396</v>
      </c>
      <c r="W294" s="35" t="s">
        <v>3571</v>
      </c>
      <c r="X294" s="35" t="s">
        <v>5018</v>
      </c>
      <c r="Y294" s="32">
        <v>74.0</v>
      </c>
      <c r="Z294" s="40" t="s">
        <v>3559</v>
      </c>
    </row>
    <row r="295">
      <c r="A295" s="42" t="s">
        <v>6080</v>
      </c>
      <c r="B295" s="42" t="s">
        <v>6074</v>
      </c>
      <c r="C295" s="42" t="s">
        <v>6076</v>
      </c>
      <c r="D295" s="42" t="s">
        <v>75</v>
      </c>
      <c r="E295" s="42" t="s">
        <v>10011</v>
      </c>
      <c r="F295" s="42" t="s">
        <v>3582</v>
      </c>
      <c r="G295" s="42" t="s">
        <v>6088</v>
      </c>
      <c r="H295" s="42" t="s">
        <v>75</v>
      </c>
      <c r="I295" s="43"/>
      <c r="J295" s="41">
        <v>6789155.0</v>
      </c>
      <c r="K295" s="42" t="s">
        <v>41</v>
      </c>
      <c r="L295" s="45" t="str">
        <f>+972 (0)79 572 9960</f>
        <v>#ERROR!</v>
      </c>
      <c r="M295" s="45"/>
      <c r="N295" s="42" t="s">
        <v>983</v>
      </c>
      <c r="O295" s="42" t="s">
        <v>10408</v>
      </c>
      <c r="P295" s="42" t="s">
        <v>6086</v>
      </c>
      <c r="Q295" s="42" t="s">
        <v>10409</v>
      </c>
      <c r="R295" s="42" t="s">
        <v>3563</v>
      </c>
      <c r="S295" s="42" t="s">
        <v>3564</v>
      </c>
      <c r="T295" s="42" t="s">
        <v>3642</v>
      </c>
      <c r="U295" s="42" t="s">
        <v>6078</v>
      </c>
      <c r="V295" s="42" t="s">
        <v>10410</v>
      </c>
      <c r="W295" s="42" t="s">
        <v>3571</v>
      </c>
      <c r="X295" s="42" t="s">
        <v>4962</v>
      </c>
      <c r="Y295" s="41">
        <v>140.0</v>
      </c>
      <c r="Z295" s="48" t="s">
        <v>3559</v>
      </c>
    </row>
    <row r="296">
      <c r="A296" s="35" t="s">
        <v>6101</v>
      </c>
      <c r="B296" s="35" t="s">
        <v>6096</v>
      </c>
      <c r="C296" s="35" t="s">
        <v>6099</v>
      </c>
      <c r="D296" s="35" t="s">
        <v>616</v>
      </c>
      <c r="E296" s="35" t="s">
        <v>10011</v>
      </c>
      <c r="F296" s="35" t="s">
        <v>6107</v>
      </c>
      <c r="G296" s="35" t="s">
        <v>6108</v>
      </c>
      <c r="H296" s="35" t="s">
        <v>616</v>
      </c>
      <c r="I296" s="34"/>
      <c r="J296" s="32">
        <v>52521.0</v>
      </c>
      <c r="K296" s="35" t="s">
        <v>41</v>
      </c>
      <c r="L296" s="37" t="str">
        <f>+972 (0)3 687 1341</f>
        <v>#ERROR!</v>
      </c>
      <c r="M296" s="37"/>
      <c r="N296" s="34"/>
      <c r="O296" s="35" t="s">
        <v>6104</v>
      </c>
      <c r="P296" s="35" t="s">
        <v>6105</v>
      </c>
      <c r="Q296" s="34"/>
      <c r="R296" s="35" t="s">
        <v>4560</v>
      </c>
      <c r="S296" s="35" t="s">
        <v>4561</v>
      </c>
      <c r="T296" s="35" t="s">
        <v>66</v>
      </c>
      <c r="U296" s="34"/>
      <c r="V296" s="35" t="s">
        <v>4562</v>
      </c>
      <c r="W296" s="35" t="s">
        <v>3571</v>
      </c>
      <c r="X296" s="35" t="s">
        <v>4962</v>
      </c>
      <c r="Y296" s="32">
        <v>4500.0</v>
      </c>
      <c r="Z296" s="40" t="s">
        <v>3559</v>
      </c>
    </row>
    <row r="297">
      <c r="A297" s="42" t="s">
        <v>6120</v>
      </c>
      <c r="B297" s="42" t="s">
        <v>6115</v>
      </c>
      <c r="C297" s="42" t="s">
        <v>6116</v>
      </c>
      <c r="D297" s="42" t="s">
        <v>75</v>
      </c>
      <c r="E297" s="42" t="s">
        <v>10011</v>
      </c>
      <c r="F297" s="42" t="s">
        <v>6122</v>
      </c>
      <c r="G297" s="43"/>
      <c r="H297" s="42" t="s">
        <v>75</v>
      </c>
      <c r="I297" s="43"/>
      <c r="J297" s="41">
        <v>65603.0</v>
      </c>
      <c r="K297" s="42" t="s">
        <v>41</v>
      </c>
      <c r="L297" s="45" t="str">
        <f>+972 (0)55 997 5010</f>
        <v>#ERROR!</v>
      </c>
      <c r="M297" s="45"/>
      <c r="N297" s="42" t="s">
        <v>6123</v>
      </c>
      <c r="O297" s="43"/>
      <c r="P297" s="43"/>
      <c r="Q297" s="43"/>
      <c r="R297" s="42" t="s">
        <v>4560</v>
      </c>
      <c r="S297" s="42" t="s">
        <v>4561</v>
      </c>
      <c r="T297" s="42" t="s">
        <v>5511</v>
      </c>
      <c r="U297" s="42" t="s">
        <v>6118</v>
      </c>
      <c r="V297" s="42" t="s">
        <v>6117</v>
      </c>
      <c r="W297" s="42" t="s">
        <v>6041</v>
      </c>
      <c r="X297" s="42" t="s">
        <v>4923</v>
      </c>
      <c r="Y297" s="45"/>
      <c r="Z297" s="48" t="s">
        <v>3559</v>
      </c>
    </row>
    <row r="298">
      <c r="A298" s="35" t="s">
        <v>6131</v>
      </c>
      <c r="B298" s="35" t="s">
        <v>10411</v>
      </c>
      <c r="C298" s="35" t="s">
        <v>6128</v>
      </c>
      <c r="D298" s="35" t="s">
        <v>6141</v>
      </c>
      <c r="E298" s="35" t="s">
        <v>10011</v>
      </c>
      <c r="F298" s="35" t="s">
        <v>6139</v>
      </c>
      <c r="G298" s="35" t="s">
        <v>6140</v>
      </c>
      <c r="H298" s="35" t="s">
        <v>6141</v>
      </c>
      <c r="I298" s="34"/>
      <c r="J298" s="32">
        <v>7290500.0</v>
      </c>
      <c r="K298" s="35" t="s">
        <v>41</v>
      </c>
      <c r="L298" s="37" t="str">
        <f>+972 (0)8 913 9999</f>
        <v>#ERROR!</v>
      </c>
      <c r="M298" s="37"/>
      <c r="N298" s="34"/>
      <c r="O298" s="35" t="s">
        <v>6136</v>
      </c>
      <c r="P298" s="35" t="s">
        <v>6137</v>
      </c>
      <c r="Q298" s="34"/>
      <c r="R298" s="35" t="s">
        <v>3867</v>
      </c>
      <c r="S298" s="35" t="s">
        <v>4199</v>
      </c>
      <c r="T298" s="35" t="s">
        <v>5911</v>
      </c>
      <c r="U298" s="35" t="s">
        <v>5736</v>
      </c>
      <c r="V298" s="35" t="s">
        <v>10412</v>
      </c>
      <c r="W298" s="35" t="s">
        <v>5750</v>
      </c>
      <c r="X298" s="35" t="s">
        <v>4962</v>
      </c>
      <c r="Y298" s="32">
        <v>162.0</v>
      </c>
      <c r="Z298" s="40" t="s">
        <v>3559</v>
      </c>
    </row>
    <row r="299">
      <c r="A299" s="42" t="s">
        <v>6154</v>
      </c>
      <c r="B299" s="42" t="s">
        <v>6148</v>
      </c>
      <c r="C299" s="42" t="s">
        <v>6150</v>
      </c>
      <c r="D299" s="42" t="s">
        <v>75</v>
      </c>
      <c r="E299" s="42" t="s">
        <v>10011</v>
      </c>
      <c r="F299" s="42" t="s">
        <v>6160</v>
      </c>
      <c r="G299" s="42" t="s">
        <v>6161</v>
      </c>
      <c r="H299" s="42" t="s">
        <v>75</v>
      </c>
      <c r="I299" s="43"/>
      <c r="J299" s="45"/>
      <c r="K299" s="42" t="s">
        <v>41</v>
      </c>
      <c r="L299" s="45"/>
      <c r="M299" s="45"/>
      <c r="N299" s="42" t="s">
        <v>6162</v>
      </c>
      <c r="O299" s="42" t="s">
        <v>6158</v>
      </c>
      <c r="P299" s="42" t="s">
        <v>3579</v>
      </c>
      <c r="Q299" s="43"/>
      <c r="R299" s="42" t="s">
        <v>3867</v>
      </c>
      <c r="S299" s="42" t="s">
        <v>3897</v>
      </c>
      <c r="T299" s="42" t="s">
        <v>3898</v>
      </c>
      <c r="U299" s="42" t="s">
        <v>6152</v>
      </c>
      <c r="V299" s="42" t="s">
        <v>10413</v>
      </c>
      <c r="W299" s="42" t="s">
        <v>3571</v>
      </c>
      <c r="X299" s="42" t="s">
        <v>3569</v>
      </c>
      <c r="Y299" s="45"/>
      <c r="Z299" s="48" t="s">
        <v>3559</v>
      </c>
    </row>
    <row r="300">
      <c r="A300" s="35" t="s">
        <v>6172</v>
      </c>
      <c r="B300" s="35" t="s">
        <v>6167</v>
      </c>
      <c r="C300" s="35" t="s">
        <v>6169</v>
      </c>
      <c r="D300" s="35" t="s">
        <v>10143</v>
      </c>
      <c r="E300" s="35" t="s">
        <v>10011</v>
      </c>
      <c r="F300" s="35" t="s">
        <v>6175</v>
      </c>
      <c r="G300" s="34"/>
      <c r="H300" s="35" t="s">
        <v>1928</v>
      </c>
      <c r="I300" s="34"/>
      <c r="J300" s="32">
        <v>4810301.0</v>
      </c>
      <c r="K300" s="35" t="s">
        <v>41</v>
      </c>
      <c r="L300" s="37"/>
      <c r="M300" s="37"/>
      <c r="N300" s="34"/>
      <c r="O300" s="34"/>
      <c r="P300" s="34"/>
      <c r="Q300" s="34"/>
      <c r="R300" s="35" t="s">
        <v>3867</v>
      </c>
      <c r="S300" s="35" t="s">
        <v>3868</v>
      </c>
      <c r="T300" s="35" t="s">
        <v>3869</v>
      </c>
      <c r="U300" s="34"/>
      <c r="V300" s="35" t="s">
        <v>10414</v>
      </c>
      <c r="W300" s="35" t="s">
        <v>5222</v>
      </c>
      <c r="X300" s="35" t="s">
        <v>5075</v>
      </c>
      <c r="Y300" s="37"/>
      <c r="Z300" s="40" t="s">
        <v>3559</v>
      </c>
    </row>
    <row r="301">
      <c r="A301" s="42" t="s">
        <v>6192</v>
      </c>
      <c r="B301" s="42" t="s">
        <v>6186</v>
      </c>
      <c r="C301" s="42" t="s">
        <v>6188</v>
      </c>
      <c r="D301" s="42" t="s">
        <v>616</v>
      </c>
      <c r="E301" s="42" t="s">
        <v>10011</v>
      </c>
      <c r="F301" s="42" t="s">
        <v>6199</v>
      </c>
      <c r="G301" s="42" t="s">
        <v>6200</v>
      </c>
      <c r="H301" s="42" t="s">
        <v>616</v>
      </c>
      <c r="I301" s="43"/>
      <c r="J301" s="41">
        <v>5268104.0</v>
      </c>
      <c r="K301" s="42" t="s">
        <v>41</v>
      </c>
      <c r="L301" s="45" t="str">
        <f>+972 (0)54 725 0838</f>
        <v>#ERROR!</v>
      </c>
      <c r="M301" s="45"/>
      <c r="N301" s="42" t="s">
        <v>6201</v>
      </c>
      <c r="O301" s="42" t="s">
        <v>6197</v>
      </c>
      <c r="P301" s="42" t="s">
        <v>3685</v>
      </c>
      <c r="Q301" s="43"/>
      <c r="R301" s="42" t="s">
        <v>3867</v>
      </c>
      <c r="S301" s="42" t="s">
        <v>3897</v>
      </c>
      <c r="T301" s="42" t="s">
        <v>3898</v>
      </c>
      <c r="U301" s="42" t="s">
        <v>6190</v>
      </c>
      <c r="V301" s="42" t="s">
        <v>6189</v>
      </c>
      <c r="W301" s="42" t="s">
        <v>6041</v>
      </c>
      <c r="X301" s="42" t="s">
        <v>4923</v>
      </c>
      <c r="Y301" s="41">
        <v>6.0</v>
      </c>
      <c r="Z301" s="48" t="s">
        <v>3559</v>
      </c>
    </row>
    <row r="302">
      <c r="A302" s="35" t="s">
        <v>6192</v>
      </c>
      <c r="B302" s="35" t="s">
        <v>6186</v>
      </c>
      <c r="C302" s="35" t="s">
        <v>6188</v>
      </c>
      <c r="D302" s="35" t="s">
        <v>75</v>
      </c>
      <c r="E302" s="35" t="s">
        <v>10008</v>
      </c>
      <c r="F302" s="34"/>
      <c r="G302" s="34"/>
      <c r="H302" s="35" t="s">
        <v>75</v>
      </c>
      <c r="I302" s="34"/>
      <c r="J302" s="37"/>
      <c r="K302" s="35" t="s">
        <v>41</v>
      </c>
      <c r="L302" s="37"/>
      <c r="M302" s="37"/>
      <c r="N302" s="34"/>
      <c r="O302" s="35" t="s">
        <v>6197</v>
      </c>
      <c r="P302" s="35" t="s">
        <v>3685</v>
      </c>
      <c r="Q302" s="34"/>
      <c r="R302" s="35" t="s">
        <v>3867</v>
      </c>
      <c r="S302" s="35" t="s">
        <v>3897</v>
      </c>
      <c r="T302" s="35" t="s">
        <v>3898</v>
      </c>
      <c r="U302" s="35" t="s">
        <v>6190</v>
      </c>
      <c r="V302" s="35" t="s">
        <v>6189</v>
      </c>
      <c r="W302" s="35" t="s">
        <v>6041</v>
      </c>
      <c r="X302" s="35" t="s">
        <v>4923</v>
      </c>
      <c r="Y302" s="32">
        <v>6.0</v>
      </c>
      <c r="Z302" s="40" t="s">
        <v>3559</v>
      </c>
    </row>
    <row r="303">
      <c r="A303" s="42" t="s">
        <v>6192</v>
      </c>
      <c r="B303" s="42" t="s">
        <v>6186</v>
      </c>
      <c r="C303" s="42" t="s">
        <v>6188</v>
      </c>
      <c r="D303" s="42" t="s">
        <v>10415</v>
      </c>
      <c r="E303" s="42" t="s">
        <v>10008</v>
      </c>
      <c r="F303" s="43"/>
      <c r="G303" s="43"/>
      <c r="H303" s="42" t="s">
        <v>10415</v>
      </c>
      <c r="I303" s="43"/>
      <c r="J303" s="45"/>
      <c r="K303" s="42" t="s">
        <v>41</v>
      </c>
      <c r="L303" s="45"/>
      <c r="M303" s="45"/>
      <c r="N303" s="42" t="s">
        <v>6201</v>
      </c>
      <c r="O303" s="42" t="s">
        <v>6197</v>
      </c>
      <c r="P303" s="42" t="s">
        <v>3685</v>
      </c>
      <c r="Q303" s="43"/>
      <c r="R303" s="42" t="s">
        <v>3867</v>
      </c>
      <c r="S303" s="42" t="s">
        <v>3897</v>
      </c>
      <c r="T303" s="42" t="s">
        <v>3898</v>
      </c>
      <c r="U303" s="42" t="s">
        <v>6190</v>
      </c>
      <c r="V303" s="42" t="s">
        <v>6189</v>
      </c>
      <c r="W303" s="42" t="s">
        <v>6041</v>
      </c>
      <c r="X303" s="42" t="s">
        <v>4923</v>
      </c>
      <c r="Y303" s="41">
        <v>6.0</v>
      </c>
      <c r="Z303" s="48" t="s">
        <v>3559</v>
      </c>
    </row>
    <row r="304">
      <c r="A304" s="35" t="s">
        <v>6212</v>
      </c>
      <c r="B304" s="35" t="s">
        <v>6206</v>
      </c>
      <c r="C304" s="35" t="s">
        <v>6209</v>
      </c>
      <c r="D304" s="35" t="s">
        <v>6222</v>
      </c>
      <c r="E304" s="35" t="s">
        <v>10011</v>
      </c>
      <c r="F304" s="35" t="s">
        <v>6221</v>
      </c>
      <c r="G304" s="34"/>
      <c r="H304" s="35" t="s">
        <v>6222</v>
      </c>
      <c r="I304" s="34"/>
      <c r="J304" s="32">
        <v>4524075.0</v>
      </c>
      <c r="K304" s="35" t="s">
        <v>41</v>
      </c>
      <c r="L304" s="37" t="str">
        <f>+972 (0)73 223 9850</f>
        <v>#ERROR!</v>
      </c>
      <c r="M304" s="37"/>
      <c r="N304" s="35" t="s">
        <v>6223</v>
      </c>
      <c r="O304" s="35" t="s">
        <v>6218</v>
      </c>
      <c r="P304" s="35" t="s">
        <v>3982</v>
      </c>
      <c r="Q304" s="34"/>
      <c r="R304" s="35" t="s">
        <v>3563</v>
      </c>
      <c r="S304" s="35" t="s">
        <v>3564</v>
      </c>
      <c r="T304" s="35" t="s">
        <v>3565</v>
      </c>
      <c r="U304" s="35" t="s">
        <v>6210</v>
      </c>
      <c r="V304" s="35" t="s">
        <v>10203</v>
      </c>
      <c r="W304" s="35" t="s">
        <v>3571</v>
      </c>
      <c r="X304" s="35" t="s">
        <v>5018</v>
      </c>
      <c r="Y304" s="32">
        <v>120.0</v>
      </c>
      <c r="Z304" s="40" t="s">
        <v>3559</v>
      </c>
    </row>
    <row r="305">
      <c r="A305" s="42" t="s">
        <v>6212</v>
      </c>
      <c r="B305" s="42" t="s">
        <v>6206</v>
      </c>
      <c r="C305" s="42" t="s">
        <v>6209</v>
      </c>
      <c r="D305" s="42" t="s">
        <v>10416</v>
      </c>
      <c r="E305" s="42" t="s">
        <v>10015</v>
      </c>
      <c r="F305" s="42" t="s">
        <v>10417</v>
      </c>
      <c r="G305" s="42" t="s">
        <v>10418</v>
      </c>
      <c r="H305" s="42" t="s">
        <v>10416</v>
      </c>
      <c r="I305" s="42" t="s">
        <v>1431</v>
      </c>
      <c r="J305" s="41">
        <v>91403.0</v>
      </c>
      <c r="K305" s="42" t="s">
        <v>60</v>
      </c>
      <c r="L305" s="45" t="str">
        <f>+1 (714) 782-4494</f>
        <v>#ERROR!</v>
      </c>
      <c r="M305" s="45"/>
      <c r="N305" s="42" t="s">
        <v>6223</v>
      </c>
      <c r="O305" s="42" t="s">
        <v>6218</v>
      </c>
      <c r="P305" s="42" t="s">
        <v>3982</v>
      </c>
      <c r="Q305" s="43"/>
      <c r="R305" s="42" t="s">
        <v>3563</v>
      </c>
      <c r="S305" s="42" t="s">
        <v>3564</v>
      </c>
      <c r="T305" s="42" t="s">
        <v>3565</v>
      </c>
      <c r="U305" s="42" t="s">
        <v>6210</v>
      </c>
      <c r="V305" s="42" t="s">
        <v>10203</v>
      </c>
      <c r="W305" s="42" t="s">
        <v>3571</v>
      </c>
      <c r="X305" s="42" t="s">
        <v>5018</v>
      </c>
      <c r="Y305" s="41">
        <v>120.0</v>
      </c>
      <c r="Z305" s="48" t="s">
        <v>3559</v>
      </c>
    </row>
    <row r="306">
      <c r="A306" s="35" t="s">
        <v>6237</v>
      </c>
      <c r="B306" s="35" t="s">
        <v>6233</v>
      </c>
      <c r="C306" s="35" t="s">
        <v>6234</v>
      </c>
      <c r="D306" s="35" t="s">
        <v>10419</v>
      </c>
      <c r="E306" s="35" t="s">
        <v>10008</v>
      </c>
      <c r="F306" s="34"/>
      <c r="G306" s="34"/>
      <c r="H306" s="35" t="s">
        <v>10419</v>
      </c>
      <c r="I306" s="34"/>
      <c r="J306" s="37"/>
      <c r="K306" s="35" t="s">
        <v>41</v>
      </c>
      <c r="L306" s="37" t="str">
        <f>+972 (0)58 612 3456</f>
        <v>#ERROR!</v>
      </c>
      <c r="M306" s="37"/>
      <c r="N306" s="34"/>
      <c r="O306" s="35" t="s">
        <v>6242</v>
      </c>
      <c r="P306" s="35" t="s">
        <v>3579</v>
      </c>
      <c r="Q306" s="34"/>
      <c r="R306" s="35" t="s">
        <v>3563</v>
      </c>
      <c r="S306" s="35" t="s">
        <v>3564</v>
      </c>
      <c r="T306" s="35" t="s">
        <v>3565</v>
      </c>
      <c r="U306" s="35" t="s">
        <v>6235</v>
      </c>
      <c r="V306" s="35" t="s">
        <v>10010</v>
      </c>
      <c r="W306" s="35" t="s">
        <v>3571</v>
      </c>
      <c r="X306" s="35" t="s">
        <v>5145</v>
      </c>
      <c r="Y306" s="32">
        <v>3.0</v>
      </c>
      <c r="Z306" s="40" t="s">
        <v>3559</v>
      </c>
    </row>
    <row r="307">
      <c r="A307" s="42" t="s">
        <v>6237</v>
      </c>
      <c r="B307" s="42" t="s">
        <v>6233</v>
      </c>
      <c r="C307" s="42" t="s">
        <v>6234</v>
      </c>
      <c r="D307" s="42" t="s">
        <v>6246</v>
      </c>
      <c r="E307" s="42" t="s">
        <v>10011</v>
      </c>
      <c r="F307" s="42" t="s">
        <v>6245</v>
      </c>
      <c r="G307" s="43"/>
      <c r="H307" s="42" t="s">
        <v>6246</v>
      </c>
      <c r="I307" s="43"/>
      <c r="J307" s="45"/>
      <c r="K307" s="42" t="s">
        <v>41</v>
      </c>
      <c r="L307" s="45" t="str">
        <f>+972 (0)58 612 3456</f>
        <v>#ERROR!</v>
      </c>
      <c r="M307" s="45"/>
      <c r="N307" s="43"/>
      <c r="O307" s="42" t="s">
        <v>6242</v>
      </c>
      <c r="P307" s="42" t="s">
        <v>3579</v>
      </c>
      <c r="Q307" s="43"/>
      <c r="R307" s="42" t="s">
        <v>3563</v>
      </c>
      <c r="S307" s="42" t="s">
        <v>3564</v>
      </c>
      <c r="T307" s="42" t="s">
        <v>3565</v>
      </c>
      <c r="U307" s="42" t="s">
        <v>6235</v>
      </c>
      <c r="V307" s="42" t="s">
        <v>10010</v>
      </c>
      <c r="W307" s="42" t="s">
        <v>3571</v>
      </c>
      <c r="X307" s="42" t="s">
        <v>5145</v>
      </c>
      <c r="Y307" s="41">
        <v>3.0</v>
      </c>
      <c r="Z307" s="48" t="s">
        <v>3559</v>
      </c>
    </row>
    <row r="308">
      <c r="A308" s="35" t="s">
        <v>6254</v>
      </c>
      <c r="B308" s="35" t="s">
        <v>6251</v>
      </c>
      <c r="C308" s="35" t="s">
        <v>6252</v>
      </c>
      <c r="D308" s="35" t="s">
        <v>6259</v>
      </c>
      <c r="E308" s="35" t="s">
        <v>10011</v>
      </c>
      <c r="F308" s="35" t="s">
        <v>6258</v>
      </c>
      <c r="G308" s="34"/>
      <c r="H308" s="35" t="s">
        <v>6259</v>
      </c>
      <c r="I308" s="34"/>
      <c r="J308" s="37"/>
      <c r="K308" s="35" t="s">
        <v>41</v>
      </c>
      <c r="L308" s="37"/>
      <c r="M308" s="37"/>
      <c r="N308" s="35" t="s">
        <v>1206</v>
      </c>
      <c r="O308" s="34"/>
      <c r="P308" s="34"/>
      <c r="Q308" s="34"/>
      <c r="R308" s="35" t="s">
        <v>4560</v>
      </c>
      <c r="S308" s="35" t="s">
        <v>4561</v>
      </c>
      <c r="T308" s="35" t="s">
        <v>66</v>
      </c>
      <c r="U308" s="34"/>
      <c r="V308" s="35" t="s">
        <v>4562</v>
      </c>
      <c r="W308" s="34"/>
      <c r="X308" s="35" t="s">
        <v>4923</v>
      </c>
      <c r="Y308" s="32">
        <v>26.0</v>
      </c>
      <c r="Z308" s="40" t="s">
        <v>3559</v>
      </c>
    </row>
    <row r="309">
      <c r="A309" s="42" t="s">
        <v>6266</v>
      </c>
      <c r="B309" s="42" t="s">
        <v>6098</v>
      </c>
      <c r="C309" s="42" t="s">
        <v>6264</v>
      </c>
      <c r="D309" s="42" t="s">
        <v>223</v>
      </c>
      <c r="E309" s="42" t="s">
        <v>10011</v>
      </c>
      <c r="F309" s="42" t="s">
        <v>6275</v>
      </c>
      <c r="G309" s="42" t="s">
        <v>6276</v>
      </c>
      <c r="H309" s="42" t="s">
        <v>223</v>
      </c>
      <c r="I309" s="43"/>
      <c r="J309" s="41">
        <v>5020000.0</v>
      </c>
      <c r="K309" s="42" t="s">
        <v>41</v>
      </c>
      <c r="L309" s="45"/>
      <c r="M309" s="45"/>
      <c r="N309" s="43"/>
      <c r="O309" s="42" t="s">
        <v>6271</v>
      </c>
      <c r="P309" s="42" t="s">
        <v>6272</v>
      </c>
      <c r="Q309" s="43"/>
      <c r="R309" s="42" t="s">
        <v>4560</v>
      </c>
      <c r="S309" s="42" t="s">
        <v>4561</v>
      </c>
      <c r="T309" s="42" t="s">
        <v>66</v>
      </c>
      <c r="U309" s="43"/>
      <c r="V309" s="42" t="s">
        <v>4562</v>
      </c>
      <c r="W309" s="42" t="s">
        <v>3571</v>
      </c>
      <c r="X309" s="42" t="s">
        <v>4389</v>
      </c>
      <c r="Y309" s="41">
        <v>9000.0</v>
      </c>
      <c r="Z309" s="48" t="s">
        <v>3559</v>
      </c>
    </row>
    <row r="310">
      <c r="A310" s="35" t="s">
        <v>6291</v>
      </c>
      <c r="B310" s="35" t="s">
        <v>6286</v>
      </c>
      <c r="C310" s="35" t="s">
        <v>6288</v>
      </c>
      <c r="D310" s="35" t="s">
        <v>10143</v>
      </c>
      <c r="E310" s="35" t="s">
        <v>10011</v>
      </c>
      <c r="F310" s="35" t="s">
        <v>6294</v>
      </c>
      <c r="G310" s="35" t="s">
        <v>6295</v>
      </c>
      <c r="H310" s="35" t="s">
        <v>1928</v>
      </c>
      <c r="I310" s="34"/>
      <c r="J310" s="32">
        <v>4809157.0</v>
      </c>
      <c r="K310" s="35" t="s">
        <v>41</v>
      </c>
      <c r="L310" s="37"/>
      <c r="M310" s="37"/>
      <c r="N310" s="34"/>
      <c r="O310" s="34"/>
      <c r="P310" s="34"/>
      <c r="Q310" s="34"/>
      <c r="R310" s="35" t="s">
        <v>4560</v>
      </c>
      <c r="S310" s="35" t="s">
        <v>4561</v>
      </c>
      <c r="T310" s="35" t="s">
        <v>5511</v>
      </c>
      <c r="U310" s="34"/>
      <c r="V310" s="35" t="s">
        <v>10420</v>
      </c>
      <c r="W310" s="35" t="s">
        <v>3571</v>
      </c>
      <c r="X310" s="35" t="s">
        <v>4962</v>
      </c>
      <c r="Y310" s="37"/>
      <c r="Z310" s="40" t="s">
        <v>3559</v>
      </c>
    </row>
    <row r="311">
      <c r="A311" s="42" t="s">
        <v>6309</v>
      </c>
      <c r="B311" s="42" t="s">
        <v>7536</v>
      </c>
      <c r="C311" s="42" t="s">
        <v>6305</v>
      </c>
      <c r="D311" s="42" t="s">
        <v>246</v>
      </c>
      <c r="E311" s="42" t="s">
        <v>10011</v>
      </c>
      <c r="F311" s="42" t="s">
        <v>6318</v>
      </c>
      <c r="G311" s="43"/>
      <c r="H311" s="42" t="s">
        <v>246</v>
      </c>
      <c r="I311" s="43"/>
      <c r="J311" s="41">
        <v>7015001.0</v>
      </c>
      <c r="K311" s="42" t="s">
        <v>41</v>
      </c>
      <c r="L311" s="45" t="str">
        <f>+972 (0)3 977 1111</f>
        <v>#ERROR!</v>
      </c>
      <c r="M311" s="45" t="str">
        <f>+972 (0)3 971 7334</f>
        <v>#ERROR!</v>
      </c>
      <c r="N311" s="43"/>
      <c r="O311" s="42" t="s">
        <v>10421</v>
      </c>
      <c r="P311" s="42" t="s">
        <v>3982</v>
      </c>
      <c r="Q311" s="43"/>
      <c r="R311" s="42" t="s">
        <v>4560</v>
      </c>
      <c r="S311" s="42" t="s">
        <v>4561</v>
      </c>
      <c r="T311" s="42" t="s">
        <v>5057</v>
      </c>
      <c r="U311" s="42" t="s">
        <v>6307</v>
      </c>
      <c r="V311" s="42" t="s">
        <v>10422</v>
      </c>
      <c r="W311" s="42" t="s">
        <v>5412</v>
      </c>
      <c r="X311" s="42" t="s">
        <v>4962</v>
      </c>
      <c r="Y311" s="41">
        <v>5540.0</v>
      </c>
      <c r="Z311" s="48" t="s">
        <v>3559</v>
      </c>
    </row>
    <row r="312">
      <c r="A312" s="35" t="s">
        <v>6335</v>
      </c>
      <c r="B312" s="35" t="s">
        <v>6329</v>
      </c>
      <c r="C312" s="35" t="s">
        <v>6330</v>
      </c>
      <c r="D312" s="35" t="s">
        <v>485</v>
      </c>
      <c r="E312" s="35" t="s">
        <v>10011</v>
      </c>
      <c r="F312" s="35" t="s">
        <v>6337</v>
      </c>
      <c r="G312" s="35" t="s">
        <v>6338</v>
      </c>
      <c r="H312" s="35" t="s">
        <v>485</v>
      </c>
      <c r="I312" s="34"/>
      <c r="J312" s="32">
        <v>3100401.0</v>
      </c>
      <c r="K312" s="35" t="s">
        <v>41</v>
      </c>
      <c r="L312" s="37"/>
      <c r="M312" s="37"/>
      <c r="N312" s="34"/>
      <c r="O312" s="34"/>
      <c r="P312" s="34"/>
      <c r="Q312" s="34"/>
      <c r="R312" s="35" t="s">
        <v>30</v>
      </c>
      <c r="S312" s="35" t="s">
        <v>6331</v>
      </c>
      <c r="T312" s="35" t="s">
        <v>6331</v>
      </c>
      <c r="U312" s="35" t="s">
        <v>6333</v>
      </c>
      <c r="V312" s="35" t="s">
        <v>10423</v>
      </c>
      <c r="W312" s="35" t="s">
        <v>6336</v>
      </c>
      <c r="X312" s="35" t="s">
        <v>5018</v>
      </c>
      <c r="Y312" s="37"/>
      <c r="Z312" s="40" t="s">
        <v>3559</v>
      </c>
    </row>
    <row r="313">
      <c r="A313" s="42" t="s">
        <v>6347</v>
      </c>
      <c r="B313" s="42" t="s">
        <v>10424</v>
      </c>
      <c r="C313" s="42" t="s">
        <v>6345</v>
      </c>
      <c r="D313" s="42" t="s">
        <v>75</v>
      </c>
      <c r="E313" s="42" t="s">
        <v>10011</v>
      </c>
      <c r="F313" s="42" t="s">
        <v>6355</v>
      </c>
      <c r="G313" s="43"/>
      <c r="H313" s="42" t="s">
        <v>75</v>
      </c>
      <c r="I313" s="43"/>
      <c r="J313" s="45"/>
      <c r="K313" s="42" t="s">
        <v>41</v>
      </c>
      <c r="L313" s="45"/>
      <c r="M313" s="45"/>
      <c r="N313" s="43"/>
      <c r="O313" s="42" t="s">
        <v>6352</v>
      </c>
      <c r="P313" s="42" t="s">
        <v>6353</v>
      </c>
      <c r="Q313" s="43"/>
      <c r="R313" s="42" t="s">
        <v>4560</v>
      </c>
      <c r="S313" s="42" t="s">
        <v>4561</v>
      </c>
      <c r="T313" s="42" t="s">
        <v>66</v>
      </c>
      <c r="U313" s="43"/>
      <c r="V313" s="42" t="s">
        <v>4562</v>
      </c>
      <c r="W313" s="42" t="s">
        <v>3571</v>
      </c>
      <c r="X313" s="42" t="s">
        <v>4923</v>
      </c>
      <c r="Y313" s="45"/>
      <c r="Z313" s="48" t="s">
        <v>3559</v>
      </c>
    </row>
    <row r="314">
      <c r="A314" s="35" t="s">
        <v>6367</v>
      </c>
      <c r="B314" s="35" t="s">
        <v>10425</v>
      </c>
      <c r="C314" s="35" t="s">
        <v>6364</v>
      </c>
      <c r="D314" s="35" t="s">
        <v>603</v>
      </c>
      <c r="E314" s="35" t="s">
        <v>10011</v>
      </c>
      <c r="F314" s="35" t="s">
        <v>6374</v>
      </c>
      <c r="G314" s="34"/>
      <c r="H314" s="35" t="s">
        <v>603</v>
      </c>
      <c r="I314" s="34"/>
      <c r="J314" s="32">
        <v>4029800.0</v>
      </c>
      <c r="K314" s="35" t="s">
        <v>41</v>
      </c>
      <c r="L314" s="37"/>
      <c r="M314" s="37"/>
      <c r="N314" s="35" t="s">
        <v>604</v>
      </c>
      <c r="O314" s="35" t="s">
        <v>599</v>
      </c>
      <c r="P314" s="35" t="s">
        <v>3579</v>
      </c>
      <c r="Q314" s="34"/>
      <c r="R314" s="35" t="s">
        <v>4560</v>
      </c>
      <c r="S314" s="35" t="s">
        <v>4561</v>
      </c>
      <c r="T314" s="35" t="s">
        <v>66</v>
      </c>
      <c r="U314" s="35" t="s">
        <v>4563</v>
      </c>
      <c r="V314" s="35" t="s">
        <v>10426</v>
      </c>
      <c r="W314" s="35" t="s">
        <v>5412</v>
      </c>
      <c r="X314" s="35" t="s">
        <v>5018</v>
      </c>
      <c r="Y314" s="32">
        <v>153.0</v>
      </c>
      <c r="Z314" s="40" t="s">
        <v>3559</v>
      </c>
    </row>
    <row r="315">
      <c r="A315" s="42" t="s">
        <v>6392</v>
      </c>
      <c r="B315" s="42" t="s">
        <v>6386</v>
      </c>
      <c r="C315" s="42" t="s">
        <v>6388</v>
      </c>
      <c r="D315" s="42" t="s">
        <v>41</v>
      </c>
      <c r="E315" s="42" t="s">
        <v>10011</v>
      </c>
      <c r="F315" s="43"/>
      <c r="G315" s="43"/>
      <c r="H315" s="43"/>
      <c r="I315" s="43"/>
      <c r="J315" s="45"/>
      <c r="K315" s="42" t="s">
        <v>41</v>
      </c>
      <c r="L315" s="45"/>
      <c r="M315" s="45"/>
      <c r="N315" s="43"/>
      <c r="O315" s="43"/>
      <c r="P315" s="43"/>
      <c r="Q315" s="43"/>
      <c r="R315" s="42" t="s">
        <v>3867</v>
      </c>
      <c r="S315" s="42" t="s">
        <v>3868</v>
      </c>
      <c r="T315" s="42" t="s">
        <v>3869</v>
      </c>
      <c r="U315" s="42" t="s">
        <v>6390</v>
      </c>
      <c r="V315" s="42" t="s">
        <v>10427</v>
      </c>
      <c r="W315" s="42" t="s">
        <v>5222</v>
      </c>
      <c r="X315" s="42" t="s">
        <v>4923</v>
      </c>
      <c r="Y315" s="45"/>
      <c r="Z315" s="48" t="s">
        <v>3559</v>
      </c>
    </row>
    <row r="316">
      <c r="A316" s="35" t="s">
        <v>6398</v>
      </c>
      <c r="B316" s="35" t="s">
        <v>6395</v>
      </c>
      <c r="C316" s="35" t="s">
        <v>6396</v>
      </c>
      <c r="D316" s="35" t="s">
        <v>485</v>
      </c>
      <c r="E316" s="35" t="s">
        <v>10011</v>
      </c>
      <c r="F316" s="34"/>
      <c r="G316" s="34"/>
      <c r="H316" s="35" t="s">
        <v>485</v>
      </c>
      <c r="I316" s="34"/>
      <c r="J316" s="32" t="s">
        <v>6402</v>
      </c>
      <c r="K316" s="35" t="s">
        <v>41</v>
      </c>
      <c r="L316" s="37"/>
      <c r="M316" s="37"/>
      <c r="N316" s="34"/>
      <c r="O316" s="34"/>
      <c r="P316" s="34"/>
      <c r="Q316" s="34"/>
      <c r="R316" s="35" t="s">
        <v>4560</v>
      </c>
      <c r="S316" s="35" t="s">
        <v>4561</v>
      </c>
      <c r="T316" s="35" t="s">
        <v>66</v>
      </c>
      <c r="U316" s="34"/>
      <c r="V316" s="35" t="s">
        <v>4562</v>
      </c>
      <c r="W316" s="34"/>
      <c r="X316" s="35" t="s">
        <v>4923</v>
      </c>
      <c r="Y316" s="32">
        <v>2.0</v>
      </c>
      <c r="Z316" s="40" t="s">
        <v>3559</v>
      </c>
    </row>
    <row r="317">
      <c r="A317" s="42" t="s">
        <v>6406</v>
      </c>
      <c r="B317" s="42" t="s">
        <v>6404</v>
      </c>
      <c r="C317" s="42" t="s">
        <v>6405</v>
      </c>
      <c r="D317" s="42" t="s">
        <v>75</v>
      </c>
      <c r="E317" s="42" t="s">
        <v>10011</v>
      </c>
      <c r="F317" s="43"/>
      <c r="G317" s="43"/>
      <c r="H317" s="42" t="s">
        <v>75</v>
      </c>
      <c r="I317" s="43"/>
      <c r="J317" s="41" t="s">
        <v>6402</v>
      </c>
      <c r="K317" s="42" t="s">
        <v>41</v>
      </c>
      <c r="L317" s="45"/>
      <c r="M317" s="45"/>
      <c r="N317" s="43"/>
      <c r="O317" s="43"/>
      <c r="P317" s="43"/>
      <c r="Q317" s="43"/>
      <c r="R317" s="42" t="s">
        <v>4560</v>
      </c>
      <c r="S317" s="42" t="s">
        <v>4561</v>
      </c>
      <c r="T317" s="42" t="s">
        <v>66</v>
      </c>
      <c r="U317" s="43"/>
      <c r="V317" s="42" t="s">
        <v>4562</v>
      </c>
      <c r="W317" s="43"/>
      <c r="X317" s="42" t="s">
        <v>4923</v>
      </c>
      <c r="Y317" s="41">
        <v>11.0</v>
      </c>
      <c r="Z317" s="48" t="s">
        <v>3559</v>
      </c>
    </row>
    <row r="318">
      <c r="A318" s="35" t="s">
        <v>6416</v>
      </c>
      <c r="B318" s="35" t="s">
        <v>6410</v>
      </c>
      <c r="C318" s="35" t="s">
        <v>6412</v>
      </c>
      <c r="D318" s="35" t="s">
        <v>552</v>
      </c>
      <c r="E318" s="35" t="s">
        <v>10011</v>
      </c>
      <c r="F318" s="34"/>
      <c r="G318" s="34"/>
      <c r="H318" s="35" t="s">
        <v>552</v>
      </c>
      <c r="I318" s="34"/>
      <c r="J318" s="37"/>
      <c r="K318" s="35" t="s">
        <v>41</v>
      </c>
      <c r="L318" s="37"/>
      <c r="M318" s="37"/>
      <c r="N318" s="35" t="s">
        <v>6422</v>
      </c>
      <c r="O318" s="35" t="s">
        <v>6421</v>
      </c>
      <c r="P318" s="35" t="s">
        <v>3579</v>
      </c>
      <c r="Q318" s="34"/>
      <c r="R318" s="35" t="s">
        <v>30</v>
      </c>
      <c r="S318" s="35" t="s">
        <v>6331</v>
      </c>
      <c r="T318" s="35" t="s">
        <v>6331</v>
      </c>
      <c r="U318" s="35" t="s">
        <v>6414</v>
      </c>
      <c r="V318" s="35" t="s">
        <v>6413</v>
      </c>
      <c r="W318" s="35" t="s">
        <v>3571</v>
      </c>
      <c r="X318" s="35" t="s">
        <v>3569</v>
      </c>
      <c r="Y318" s="32">
        <v>6.0</v>
      </c>
      <c r="Z318" s="40" t="s">
        <v>3559</v>
      </c>
    </row>
    <row r="319">
      <c r="A319" s="42" t="s">
        <v>6416</v>
      </c>
      <c r="B319" s="42" t="s">
        <v>6410</v>
      </c>
      <c r="C319" s="42" t="s">
        <v>6412</v>
      </c>
      <c r="D319" s="42" t="s">
        <v>75</v>
      </c>
      <c r="E319" s="42" t="s">
        <v>10008</v>
      </c>
      <c r="F319" s="42" t="s">
        <v>10428</v>
      </c>
      <c r="G319" s="43"/>
      <c r="H319" s="42" t="s">
        <v>75</v>
      </c>
      <c r="I319" s="43"/>
      <c r="J319" s="41">
        <v>6967226.0</v>
      </c>
      <c r="K319" s="42" t="s">
        <v>41</v>
      </c>
      <c r="L319" s="45"/>
      <c r="M319" s="45"/>
      <c r="N319" s="42" t="s">
        <v>6422</v>
      </c>
      <c r="O319" s="42" t="s">
        <v>6421</v>
      </c>
      <c r="P319" s="42" t="s">
        <v>3579</v>
      </c>
      <c r="Q319" s="43"/>
      <c r="R319" s="42" t="s">
        <v>30</v>
      </c>
      <c r="S319" s="42" t="s">
        <v>6331</v>
      </c>
      <c r="T319" s="42" t="s">
        <v>6331</v>
      </c>
      <c r="U319" s="42" t="s">
        <v>6414</v>
      </c>
      <c r="V319" s="42" t="s">
        <v>6413</v>
      </c>
      <c r="W319" s="42" t="s">
        <v>3571</v>
      </c>
      <c r="X319" s="42" t="s">
        <v>3569</v>
      </c>
      <c r="Y319" s="41">
        <v>6.0</v>
      </c>
      <c r="Z319" s="48" t="s">
        <v>3559</v>
      </c>
    </row>
    <row r="320">
      <c r="A320" s="35" t="s">
        <v>6429</v>
      </c>
      <c r="B320" s="35" t="s">
        <v>6427</v>
      </c>
      <c r="C320" s="35" t="s">
        <v>6428</v>
      </c>
      <c r="D320" s="35" t="s">
        <v>75</v>
      </c>
      <c r="E320" s="35" t="s">
        <v>10011</v>
      </c>
      <c r="F320" s="35" t="s">
        <v>6432</v>
      </c>
      <c r="G320" s="34"/>
      <c r="H320" s="35" t="s">
        <v>75</v>
      </c>
      <c r="I320" s="34"/>
      <c r="J320" s="32">
        <v>62034.0</v>
      </c>
      <c r="K320" s="35" t="s">
        <v>41</v>
      </c>
      <c r="L320" s="37"/>
      <c r="M320" s="37"/>
      <c r="N320" s="34"/>
      <c r="O320" s="34"/>
      <c r="P320" s="34"/>
      <c r="Q320" s="34"/>
      <c r="R320" s="35" t="s">
        <v>4560</v>
      </c>
      <c r="S320" s="35" t="s">
        <v>4561</v>
      </c>
      <c r="T320" s="35" t="s">
        <v>66</v>
      </c>
      <c r="U320" s="34"/>
      <c r="V320" s="35" t="s">
        <v>4562</v>
      </c>
      <c r="W320" s="34"/>
      <c r="X320" s="35" t="s">
        <v>4923</v>
      </c>
      <c r="Y320" s="32">
        <v>2.0</v>
      </c>
      <c r="Z320" s="40" t="s">
        <v>3559</v>
      </c>
    </row>
    <row r="321">
      <c r="A321" s="42" t="s">
        <v>6439</v>
      </c>
      <c r="B321" s="42" t="s">
        <v>6433</v>
      </c>
      <c r="C321" s="42" t="s">
        <v>6436</v>
      </c>
      <c r="D321" s="42" t="s">
        <v>75</v>
      </c>
      <c r="E321" s="42" t="s">
        <v>10011</v>
      </c>
      <c r="F321" s="42" t="s">
        <v>6443</v>
      </c>
      <c r="G321" s="43"/>
      <c r="H321" s="42" t="s">
        <v>75</v>
      </c>
      <c r="I321" s="43"/>
      <c r="J321" s="45"/>
      <c r="K321" s="42" t="s">
        <v>41</v>
      </c>
      <c r="L321" s="45"/>
      <c r="M321" s="45"/>
      <c r="N321" s="43"/>
      <c r="O321" s="43"/>
      <c r="P321" s="43"/>
      <c r="Q321" s="43"/>
      <c r="R321" s="42" t="s">
        <v>4560</v>
      </c>
      <c r="S321" s="42" t="s">
        <v>4561</v>
      </c>
      <c r="T321" s="42" t="s">
        <v>66</v>
      </c>
      <c r="U321" s="42" t="s">
        <v>5513</v>
      </c>
      <c r="V321" s="42" t="s">
        <v>10429</v>
      </c>
      <c r="W321" s="42" t="s">
        <v>5222</v>
      </c>
      <c r="X321" s="42" t="s">
        <v>5018</v>
      </c>
      <c r="Y321" s="41">
        <v>20.0</v>
      </c>
      <c r="Z321" s="48" t="s">
        <v>3559</v>
      </c>
    </row>
    <row r="322">
      <c r="A322" s="35" t="s">
        <v>6457</v>
      </c>
      <c r="B322" s="35" t="s">
        <v>6450</v>
      </c>
      <c r="C322" s="35" t="s">
        <v>6451</v>
      </c>
      <c r="D322" s="35" t="s">
        <v>75</v>
      </c>
      <c r="E322" s="35" t="s">
        <v>10011</v>
      </c>
      <c r="F322" s="35" t="s">
        <v>6460</v>
      </c>
      <c r="G322" s="34"/>
      <c r="H322" s="35" t="s">
        <v>75</v>
      </c>
      <c r="I322" s="34"/>
      <c r="J322" s="32">
        <v>6777937.0</v>
      </c>
      <c r="K322" s="35" t="s">
        <v>41</v>
      </c>
      <c r="L322" s="37"/>
      <c r="M322" s="37"/>
      <c r="N322" s="35" t="s">
        <v>6461</v>
      </c>
      <c r="O322" s="34"/>
      <c r="P322" s="34"/>
      <c r="Q322" s="34"/>
      <c r="R322" s="35" t="s">
        <v>4560</v>
      </c>
      <c r="S322" s="35" t="s">
        <v>6452</v>
      </c>
      <c r="T322" s="35" t="s">
        <v>6453</v>
      </c>
      <c r="U322" s="35" t="s">
        <v>6455</v>
      </c>
      <c r="V322" s="35" t="s">
        <v>10430</v>
      </c>
      <c r="W322" s="35" t="s">
        <v>5222</v>
      </c>
      <c r="X322" s="35" t="s">
        <v>5018</v>
      </c>
      <c r="Y322" s="32">
        <v>3.0</v>
      </c>
      <c r="Z322" s="40" t="s">
        <v>3559</v>
      </c>
    </row>
    <row r="323">
      <c r="A323" s="42" t="s">
        <v>6469</v>
      </c>
      <c r="B323" s="42" t="s">
        <v>6467</v>
      </c>
      <c r="C323" s="42" t="s">
        <v>6468</v>
      </c>
      <c r="D323" s="42" t="s">
        <v>183</v>
      </c>
      <c r="E323" s="42" t="s">
        <v>10011</v>
      </c>
      <c r="F323" s="42" t="s">
        <v>6473</v>
      </c>
      <c r="G323" s="43"/>
      <c r="H323" s="42" t="s">
        <v>183</v>
      </c>
      <c r="I323" s="43"/>
      <c r="J323" s="41">
        <v>79905.0</v>
      </c>
      <c r="K323" s="42" t="s">
        <v>41</v>
      </c>
      <c r="L323" s="45"/>
      <c r="M323" s="45"/>
      <c r="N323" s="43"/>
      <c r="O323" s="43"/>
      <c r="P323" s="43"/>
      <c r="Q323" s="43"/>
      <c r="R323" s="42" t="s">
        <v>4560</v>
      </c>
      <c r="S323" s="42" t="s">
        <v>4561</v>
      </c>
      <c r="T323" s="42" t="s">
        <v>66</v>
      </c>
      <c r="U323" s="43"/>
      <c r="V323" s="42" t="s">
        <v>4562</v>
      </c>
      <c r="W323" s="43"/>
      <c r="X323" s="42" t="s">
        <v>4923</v>
      </c>
      <c r="Y323" s="41">
        <v>2.0</v>
      </c>
      <c r="Z323" s="48" t="s">
        <v>3559</v>
      </c>
    </row>
    <row r="324">
      <c r="A324" s="35" t="s">
        <v>6481</v>
      </c>
      <c r="B324" s="35" t="s">
        <v>6474</v>
      </c>
      <c r="C324" s="35" t="s">
        <v>6478</v>
      </c>
      <c r="D324" s="35" t="s">
        <v>4975</v>
      </c>
      <c r="E324" s="35" t="s">
        <v>10011</v>
      </c>
      <c r="F324" s="35" t="s">
        <v>6488</v>
      </c>
      <c r="G324" s="34"/>
      <c r="H324" s="35" t="s">
        <v>4975</v>
      </c>
      <c r="I324" s="34"/>
      <c r="J324" s="32">
        <v>7570418.0</v>
      </c>
      <c r="K324" s="35" t="s">
        <v>41</v>
      </c>
      <c r="L324" s="37" t="str">
        <f>+972 (0)3 941 3313</f>
        <v>#ERROR!</v>
      </c>
      <c r="M324" s="37" t="str">
        <f>+972 (0)3 941 3316</f>
        <v>#ERROR!</v>
      </c>
      <c r="N324" s="35" t="s">
        <v>6489</v>
      </c>
      <c r="O324" s="35" t="s">
        <v>6486</v>
      </c>
      <c r="P324" s="35" t="s">
        <v>6487</v>
      </c>
      <c r="Q324" s="34"/>
      <c r="R324" s="35" t="s">
        <v>3563</v>
      </c>
      <c r="S324" s="35" t="s">
        <v>3564</v>
      </c>
      <c r="T324" s="35" t="s">
        <v>3565</v>
      </c>
      <c r="U324" s="34"/>
      <c r="V324" s="35" t="s">
        <v>10431</v>
      </c>
      <c r="W324" s="35" t="s">
        <v>3571</v>
      </c>
      <c r="X324" s="35" t="s">
        <v>4962</v>
      </c>
      <c r="Y324" s="37"/>
      <c r="Z324" s="40" t="s">
        <v>3559</v>
      </c>
    </row>
    <row r="325">
      <c r="A325" s="42" t="s">
        <v>6500</v>
      </c>
      <c r="B325" s="42" t="s">
        <v>6495</v>
      </c>
      <c r="C325" s="42" t="s">
        <v>6497</v>
      </c>
      <c r="D325" s="42" t="s">
        <v>6510</v>
      </c>
      <c r="E325" s="42" t="s">
        <v>10011</v>
      </c>
      <c r="F325" s="42" t="s">
        <v>6509</v>
      </c>
      <c r="G325" s="43"/>
      <c r="H325" s="42" t="s">
        <v>6510</v>
      </c>
      <c r="I325" s="43"/>
      <c r="J325" s="45"/>
      <c r="K325" s="42" t="s">
        <v>41</v>
      </c>
      <c r="L325" s="45" t="str">
        <f>+972 (0)54 330 1895</f>
        <v>#ERROR!</v>
      </c>
      <c r="M325" s="45"/>
      <c r="N325" s="43"/>
      <c r="O325" s="42" t="s">
        <v>6506</v>
      </c>
      <c r="P325" s="42" t="s">
        <v>3579</v>
      </c>
      <c r="Q325" s="43"/>
      <c r="R325" s="42" t="s">
        <v>3563</v>
      </c>
      <c r="S325" s="42" t="s">
        <v>3564</v>
      </c>
      <c r="T325" s="42" t="s">
        <v>3565</v>
      </c>
      <c r="U325" s="42" t="s">
        <v>4000</v>
      </c>
      <c r="V325" s="42" t="s">
        <v>10432</v>
      </c>
      <c r="W325" s="42" t="s">
        <v>3571</v>
      </c>
      <c r="X325" s="42" t="s">
        <v>5145</v>
      </c>
      <c r="Y325" s="41">
        <v>5.0</v>
      </c>
      <c r="Z325" s="48" t="s">
        <v>3559</v>
      </c>
    </row>
    <row r="326">
      <c r="A326" s="35" t="s">
        <v>6500</v>
      </c>
      <c r="B326" s="35" t="s">
        <v>6495</v>
      </c>
      <c r="C326" s="35" t="s">
        <v>6497</v>
      </c>
      <c r="D326" s="35" t="s">
        <v>6222</v>
      </c>
      <c r="E326" s="35" t="s">
        <v>10008</v>
      </c>
      <c r="F326" s="34"/>
      <c r="G326" s="34"/>
      <c r="H326" s="35" t="s">
        <v>6222</v>
      </c>
      <c r="I326" s="34"/>
      <c r="J326" s="37"/>
      <c r="K326" s="35" t="s">
        <v>41</v>
      </c>
      <c r="L326" s="37" t="str">
        <f>+972 (0)3 752 6633</f>
        <v>#ERROR!</v>
      </c>
      <c r="M326" s="37"/>
      <c r="N326" s="34"/>
      <c r="O326" s="35" t="s">
        <v>6506</v>
      </c>
      <c r="P326" s="35" t="s">
        <v>3579</v>
      </c>
      <c r="Q326" s="34"/>
      <c r="R326" s="35" t="s">
        <v>3563</v>
      </c>
      <c r="S326" s="35" t="s">
        <v>3564</v>
      </c>
      <c r="T326" s="35" t="s">
        <v>3565</v>
      </c>
      <c r="U326" s="35" t="s">
        <v>4000</v>
      </c>
      <c r="V326" s="35" t="s">
        <v>10432</v>
      </c>
      <c r="W326" s="35" t="s">
        <v>3571</v>
      </c>
      <c r="X326" s="35" t="s">
        <v>5145</v>
      </c>
      <c r="Y326" s="32">
        <v>5.0</v>
      </c>
      <c r="Z326" s="40" t="s">
        <v>3559</v>
      </c>
    </row>
    <row r="327">
      <c r="A327" s="42" t="s">
        <v>6521</v>
      </c>
      <c r="B327" s="42" t="s">
        <v>10433</v>
      </c>
      <c r="C327" s="42" t="s">
        <v>6518</v>
      </c>
      <c r="D327" s="42" t="s">
        <v>323</v>
      </c>
      <c r="E327" s="42" t="s">
        <v>10011</v>
      </c>
      <c r="F327" s="42" t="s">
        <v>5832</v>
      </c>
      <c r="G327" s="42" t="s">
        <v>6527</v>
      </c>
      <c r="H327" s="42" t="s">
        <v>323</v>
      </c>
      <c r="I327" s="43"/>
      <c r="J327" s="41">
        <v>5885849.0</v>
      </c>
      <c r="K327" s="42" t="s">
        <v>41</v>
      </c>
      <c r="L327" s="45" t="str">
        <f>+972 (0)3 559 4050</f>
        <v>#ERROR!</v>
      </c>
      <c r="M327" s="45"/>
      <c r="N327" s="42" t="s">
        <v>6528</v>
      </c>
      <c r="O327" s="42" t="s">
        <v>6526</v>
      </c>
      <c r="P327" s="42" t="s">
        <v>3982</v>
      </c>
      <c r="Q327" s="43"/>
      <c r="R327" s="42" t="s">
        <v>4560</v>
      </c>
      <c r="S327" s="42" t="s">
        <v>4561</v>
      </c>
      <c r="T327" s="42" t="s">
        <v>5057</v>
      </c>
      <c r="U327" s="43"/>
      <c r="V327" s="42" t="s">
        <v>10434</v>
      </c>
      <c r="W327" s="42" t="s">
        <v>5750</v>
      </c>
      <c r="X327" s="42" t="s">
        <v>4923</v>
      </c>
      <c r="Y327" s="41">
        <v>275.0</v>
      </c>
      <c r="Z327" s="48" t="s">
        <v>3559</v>
      </c>
    </row>
    <row r="328">
      <c r="A328" s="35" t="s">
        <v>6540</v>
      </c>
      <c r="B328" s="35" t="s">
        <v>609</v>
      </c>
      <c r="C328" s="35" t="s">
        <v>6534</v>
      </c>
      <c r="D328" s="35" t="s">
        <v>616</v>
      </c>
      <c r="E328" s="35" t="s">
        <v>10011</v>
      </c>
      <c r="F328" s="35" t="s">
        <v>6542</v>
      </c>
      <c r="G328" s="35" t="s">
        <v>6543</v>
      </c>
      <c r="H328" s="35" t="s">
        <v>616</v>
      </c>
      <c r="I328" s="34"/>
      <c r="J328" s="32">
        <v>5290002.0</v>
      </c>
      <c r="K328" s="35" t="s">
        <v>41</v>
      </c>
      <c r="L328" s="37"/>
      <c r="M328" s="37"/>
      <c r="N328" s="34"/>
      <c r="O328" s="34"/>
      <c r="P328" s="34"/>
      <c r="Q328" s="34"/>
      <c r="R328" s="35" t="s">
        <v>6535</v>
      </c>
      <c r="S328" s="35" t="s">
        <v>6536</v>
      </c>
      <c r="T328" s="35" t="s">
        <v>6536</v>
      </c>
      <c r="U328" s="35" t="s">
        <v>6538</v>
      </c>
      <c r="V328" s="35" t="s">
        <v>6537</v>
      </c>
      <c r="W328" s="35" t="s">
        <v>3571</v>
      </c>
      <c r="X328" s="35" t="s">
        <v>5018</v>
      </c>
      <c r="Y328" s="37"/>
      <c r="Z328" s="40" t="s">
        <v>3559</v>
      </c>
    </row>
    <row r="329">
      <c r="A329" s="42" t="s">
        <v>6552</v>
      </c>
      <c r="B329" s="42" t="s">
        <v>6550</v>
      </c>
      <c r="C329" s="42" t="s">
        <v>6551</v>
      </c>
      <c r="D329" s="42" t="s">
        <v>75</v>
      </c>
      <c r="E329" s="42" t="s">
        <v>10011</v>
      </c>
      <c r="F329" s="42" t="s">
        <v>6556</v>
      </c>
      <c r="G329" s="43"/>
      <c r="H329" s="42" t="s">
        <v>75</v>
      </c>
      <c r="I329" s="43"/>
      <c r="J329" s="45"/>
      <c r="K329" s="42" t="s">
        <v>41</v>
      </c>
      <c r="L329" s="45"/>
      <c r="M329" s="45"/>
      <c r="N329" s="43"/>
      <c r="O329" s="43"/>
      <c r="P329" s="43"/>
      <c r="Q329" s="43"/>
      <c r="R329" s="42" t="s">
        <v>4560</v>
      </c>
      <c r="S329" s="42" t="s">
        <v>4561</v>
      </c>
      <c r="T329" s="42" t="s">
        <v>66</v>
      </c>
      <c r="U329" s="43"/>
      <c r="V329" s="42" t="s">
        <v>4562</v>
      </c>
      <c r="W329" s="43"/>
      <c r="X329" s="42" t="s">
        <v>4923</v>
      </c>
      <c r="Y329" s="41">
        <v>24.0</v>
      </c>
      <c r="Z329" s="48" t="s">
        <v>3559</v>
      </c>
    </row>
    <row r="330">
      <c r="A330" s="35" t="s">
        <v>6564</v>
      </c>
      <c r="B330" s="35" t="s">
        <v>6561</v>
      </c>
      <c r="C330" s="35" t="s">
        <v>6562</v>
      </c>
      <c r="D330" s="35" t="s">
        <v>75</v>
      </c>
      <c r="E330" s="35" t="s">
        <v>10011</v>
      </c>
      <c r="F330" s="34"/>
      <c r="G330" s="34"/>
      <c r="H330" s="35" t="s">
        <v>75</v>
      </c>
      <c r="I330" s="34"/>
      <c r="J330" s="37"/>
      <c r="K330" s="35" t="s">
        <v>41</v>
      </c>
      <c r="L330" s="37"/>
      <c r="M330" s="37"/>
      <c r="N330" s="34"/>
      <c r="O330" s="34"/>
      <c r="P330" s="34"/>
      <c r="Q330" s="34"/>
      <c r="R330" s="35" t="s">
        <v>4560</v>
      </c>
      <c r="S330" s="35" t="s">
        <v>4561</v>
      </c>
      <c r="T330" s="35" t="s">
        <v>66</v>
      </c>
      <c r="U330" s="34"/>
      <c r="V330" s="35" t="s">
        <v>10312</v>
      </c>
      <c r="W330" s="35" t="s">
        <v>3571</v>
      </c>
      <c r="X330" s="35" t="s">
        <v>4389</v>
      </c>
      <c r="Y330" s="37"/>
      <c r="Z330" s="40" t="s">
        <v>3559</v>
      </c>
    </row>
    <row r="331">
      <c r="A331" s="42" t="s">
        <v>6578</v>
      </c>
      <c r="B331" s="42" t="s">
        <v>6570</v>
      </c>
      <c r="C331" s="42" t="s">
        <v>6572</v>
      </c>
      <c r="D331" s="42" t="s">
        <v>75</v>
      </c>
      <c r="E331" s="42" t="s">
        <v>10011</v>
      </c>
      <c r="F331" s="42" t="s">
        <v>6584</v>
      </c>
      <c r="G331" s="43"/>
      <c r="H331" s="42" t="s">
        <v>75</v>
      </c>
      <c r="I331" s="43"/>
      <c r="J331" s="41">
        <v>6971915.0</v>
      </c>
      <c r="K331" s="42" t="s">
        <v>41</v>
      </c>
      <c r="L331" s="45" t="str">
        <f>+972 (0)77 363 3198</f>
        <v>#ERROR!</v>
      </c>
      <c r="M331" s="45"/>
      <c r="N331" s="42" t="s">
        <v>6585</v>
      </c>
      <c r="O331" s="42" t="s">
        <v>6582</v>
      </c>
      <c r="P331" s="42" t="s">
        <v>2744</v>
      </c>
      <c r="Q331" s="43"/>
      <c r="R331" s="42" t="s">
        <v>4560</v>
      </c>
      <c r="S331" s="42" t="s">
        <v>6573</v>
      </c>
      <c r="T331" s="42" t="s">
        <v>6574</v>
      </c>
      <c r="U331" s="42" t="s">
        <v>6576</v>
      </c>
      <c r="V331" s="42" t="s">
        <v>6575</v>
      </c>
      <c r="W331" s="42" t="s">
        <v>3571</v>
      </c>
      <c r="X331" s="42" t="s">
        <v>4923</v>
      </c>
      <c r="Y331" s="41">
        <v>16.0</v>
      </c>
      <c r="Z331" s="48" t="s">
        <v>3559</v>
      </c>
    </row>
    <row r="332">
      <c r="A332" s="35" t="s">
        <v>6590</v>
      </c>
      <c r="B332" s="35" t="s">
        <v>6586</v>
      </c>
      <c r="C332" s="35" t="s">
        <v>6588</v>
      </c>
      <c r="D332" s="35" t="s">
        <v>147</v>
      </c>
      <c r="E332" s="35" t="s">
        <v>10011</v>
      </c>
      <c r="F332" s="35" t="s">
        <v>6595</v>
      </c>
      <c r="G332" s="35" t="s">
        <v>6596</v>
      </c>
      <c r="H332" s="35" t="s">
        <v>147</v>
      </c>
      <c r="I332" s="34"/>
      <c r="J332" s="32">
        <v>9112001.0</v>
      </c>
      <c r="K332" s="35" t="s">
        <v>41</v>
      </c>
      <c r="L332" s="37"/>
      <c r="M332" s="37"/>
      <c r="N332" s="34"/>
      <c r="O332" s="35" t="s">
        <v>6593</v>
      </c>
      <c r="P332" s="35" t="s">
        <v>6594</v>
      </c>
      <c r="Q332" s="34"/>
      <c r="R332" s="35" t="s">
        <v>4560</v>
      </c>
      <c r="S332" s="35" t="s">
        <v>4561</v>
      </c>
      <c r="T332" s="35" t="s">
        <v>66</v>
      </c>
      <c r="U332" s="35" t="s">
        <v>4986</v>
      </c>
      <c r="V332" s="35" t="s">
        <v>10286</v>
      </c>
      <c r="W332" s="35" t="s">
        <v>3571</v>
      </c>
      <c r="X332" s="35" t="s">
        <v>4923</v>
      </c>
      <c r="Y332" s="37"/>
      <c r="Z332" s="40" t="s">
        <v>3559</v>
      </c>
    </row>
    <row r="333">
      <c r="A333" s="42" t="s">
        <v>6603</v>
      </c>
      <c r="B333" s="42" t="s">
        <v>6598</v>
      </c>
      <c r="C333" s="42" t="s">
        <v>6599</v>
      </c>
      <c r="D333" s="42" t="s">
        <v>75</v>
      </c>
      <c r="E333" s="42" t="s">
        <v>10011</v>
      </c>
      <c r="F333" s="42" t="s">
        <v>6605</v>
      </c>
      <c r="G333" s="43"/>
      <c r="H333" s="42" t="s">
        <v>75</v>
      </c>
      <c r="I333" s="43"/>
      <c r="J333" s="45"/>
      <c r="K333" s="42" t="s">
        <v>41</v>
      </c>
      <c r="L333" s="45"/>
      <c r="M333" s="45"/>
      <c r="N333" s="43"/>
      <c r="O333" s="43"/>
      <c r="P333" s="43"/>
      <c r="Q333" s="43"/>
      <c r="R333" s="42" t="s">
        <v>4560</v>
      </c>
      <c r="S333" s="42" t="s">
        <v>4561</v>
      </c>
      <c r="T333" s="42" t="s">
        <v>66</v>
      </c>
      <c r="U333" s="42" t="s">
        <v>6601</v>
      </c>
      <c r="V333" s="42" t="s">
        <v>10435</v>
      </c>
      <c r="W333" s="42" t="s">
        <v>5222</v>
      </c>
      <c r="X333" s="42" t="s">
        <v>4923</v>
      </c>
      <c r="Y333" s="45"/>
      <c r="Z333" s="48" t="s">
        <v>3559</v>
      </c>
    </row>
    <row r="334">
      <c r="A334" s="35" t="s">
        <v>6613</v>
      </c>
      <c r="B334" s="33" t="s">
        <v>6607</v>
      </c>
      <c r="C334" s="35" t="s">
        <v>6609</v>
      </c>
      <c r="D334" s="35" t="s">
        <v>485</v>
      </c>
      <c r="E334" s="35" t="s">
        <v>10008</v>
      </c>
      <c r="F334" s="34"/>
      <c r="G334" s="34"/>
      <c r="H334" s="35" t="s">
        <v>485</v>
      </c>
      <c r="I334" s="34"/>
      <c r="J334" s="37"/>
      <c r="K334" s="35" t="s">
        <v>41</v>
      </c>
      <c r="L334" s="37"/>
      <c r="M334" s="37"/>
      <c r="N334" s="34"/>
      <c r="O334" s="35" t="s">
        <v>6617</v>
      </c>
      <c r="P334" s="35" t="s">
        <v>3579</v>
      </c>
      <c r="Q334" s="34"/>
      <c r="R334" s="35" t="s">
        <v>3563</v>
      </c>
      <c r="S334" s="35" t="s">
        <v>3564</v>
      </c>
      <c r="T334" s="35" t="s">
        <v>3565</v>
      </c>
      <c r="U334" s="35" t="s">
        <v>6611</v>
      </c>
      <c r="V334" s="35" t="s">
        <v>10436</v>
      </c>
      <c r="W334" s="35" t="s">
        <v>3571</v>
      </c>
      <c r="X334" s="35" t="s">
        <v>3569</v>
      </c>
      <c r="Y334" s="32">
        <v>11.0</v>
      </c>
      <c r="Z334" s="40" t="s">
        <v>3559</v>
      </c>
    </row>
    <row r="335">
      <c r="A335" s="42" t="s">
        <v>6613</v>
      </c>
      <c r="B335" s="55" t="s">
        <v>6607</v>
      </c>
      <c r="C335" s="42" t="s">
        <v>6609</v>
      </c>
      <c r="D335" s="42" t="s">
        <v>6619</v>
      </c>
      <c r="E335" s="42" t="s">
        <v>10011</v>
      </c>
      <c r="F335" s="43"/>
      <c r="G335" s="43"/>
      <c r="H335" s="42" t="s">
        <v>6619</v>
      </c>
      <c r="I335" s="43"/>
      <c r="J335" s="45"/>
      <c r="K335" s="42" t="s">
        <v>41</v>
      </c>
      <c r="L335" s="45"/>
      <c r="M335" s="45"/>
      <c r="N335" s="43"/>
      <c r="O335" s="42" t="s">
        <v>6617</v>
      </c>
      <c r="P335" s="42" t="s">
        <v>3579</v>
      </c>
      <c r="Q335" s="43"/>
      <c r="R335" s="42" t="s">
        <v>3563</v>
      </c>
      <c r="S335" s="42" t="s">
        <v>3564</v>
      </c>
      <c r="T335" s="42" t="s">
        <v>3565</v>
      </c>
      <c r="U335" s="42" t="s">
        <v>6611</v>
      </c>
      <c r="V335" s="42" t="s">
        <v>10436</v>
      </c>
      <c r="W335" s="42" t="s">
        <v>3571</v>
      </c>
      <c r="X335" s="42" t="s">
        <v>3569</v>
      </c>
      <c r="Y335" s="41">
        <v>11.0</v>
      </c>
      <c r="Z335" s="48" t="s">
        <v>3559</v>
      </c>
    </row>
    <row r="336">
      <c r="A336" s="35" t="s">
        <v>6629</v>
      </c>
      <c r="B336" s="35" t="s">
        <v>6625</v>
      </c>
      <c r="C336" s="35" t="s">
        <v>6627</v>
      </c>
      <c r="D336" s="35" t="s">
        <v>4213</v>
      </c>
      <c r="E336" s="35" t="s">
        <v>10011</v>
      </c>
      <c r="F336" s="34"/>
      <c r="G336" s="34"/>
      <c r="H336" s="35" t="s">
        <v>4213</v>
      </c>
      <c r="I336" s="34"/>
      <c r="J336" s="37"/>
      <c r="K336" s="35" t="s">
        <v>41</v>
      </c>
      <c r="L336" s="37"/>
      <c r="M336" s="37"/>
      <c r="N336" s="34"/>
      <c r="O336" s="34"/>
      <c r="P336" s="34"/>
      <c r="Q336" s="34"/>
      <c r="R336" s="35" t="s">
        <v>3867</v>
      </c>
      <c r="S336" s="35" t="s">
        <v>3897</v>
      </c>
      <c r="T336" s="35" t="s">
        <v>3898</v>
      </c>
      <c r="U336" s="34"/>
      <c r="V336" s="35" t="s">
        <v>6189</v>
      </c>
      <c r="W336" s="34"/>
      <c r="X336" s="35" t="s">
        <v>4923</v>
      </c>
      <c r="Y336" s="32">
        <v>11.0</v>
      </c>
      <c r="Z336" s="40" t="s">
        <v>3559</v>
      </c>
    </row>
    <row r="337">
      <c r="A337" s="42" t="s">
        <v>6639</v>
      </c>
      <c r="B337" s="42" t="s">
        <v>6635</v>
      </c>
      <c r="C337" s="42" t="s">
        <v>6637</v>
      </c>
      <c r="D337" s="42" t="s">
        <v>75</v>
      </c>
      <c r="E337" s="42" t="s">
        <v>10011</v>
      </c>
      <c r="F337" s="43"/>
      <c r="G337" s="43"/>
      <c r="H337" s="42" t="s">
        <v>75</v>
      </c>
      <c r="I337" s="43"/>
      <c r="J337" s="45"/>
      <c r="K337" s="42" t="s">
        <v>41</v>
      </c>
      <c r="L337" s="45"/>
      <c r="M337" s="45"/>
      <c r="N337" s="43"/>
      <c r="O337" s="43"/>
      <c r="P337" s="43"/>
      <c r="Q337" s="43"/>
      <c r="R337" s="42" t="s">
        <v>4560</v>
      </c>
      <c r="S337" s="42" t="s">
        <v>4561</v>
      </c>
      <c r="T337" s="42" t="s">
        <v>66</v>
      </c>
      <c r="U337" s="42" t="s">
        <v>3612</v>
      </c>
      <c r="V337" s="42" t="s">
        <v>10312</v>
      </c>
      <c r="W337" s="42" t="s">
        <v>5222</v>
      </c>
      <c r="X337" s="42" t="s">
        <v>5018</v>
      </c>
      <c r="Y337" s="41">
        <v>3.0</v>
      </c>
      <c r="Z337" s="48" t="s">
        <v>3559</v>
      </c>
    </row>
    <row r="338">
      <c r="A338" s="35" t="s">
        <v>6651</v>
      </c>
      <c r="B338" s="35" t="s">
        <v>6646</v>
      </c>
      <c r="C338" s="35" t="s">
        <v>6648</v>
      </c>
      <c r="D338" s="35" t="s">
        <v>75</v>
      </c>
      <c r="E338" s="35" t="s">
        <v>10011</v>
      </c>
      <c r="F338" s="35" t="s">
        <v>6652</v>
      </c>
      <c r="G338" s="34"/>
      <c r="H338" s="35" t="s">
        <v>75</v>
      </c>
      <c r="I338" s="34"/>
      <c r="J338" s="32">
        <v>6701101.0</v>
      </c>
      <c r="K338" s="35" t="s">
        <v>41</v>
      </c>
      <c r="L338" s="37"/>
      <c r="M338" s="37"/>
      <c r="N338" s="34"/>
      <c r="O338" s="34"/>
      <c r="P338" s="34"/>
      <c r="Q338" s="34"/>
      <c r="R338" s="35" t="s">
        <v>3867</v>
      </c>
      <c r="S338" s="35" t="s">
        <v>3868</v>
      </c>
      <c r="T338" s="35" t="s">
        <v>3869</v>
      </c>
      <c r="U338" s="34"/>
      <c r="V338" s="35" t="s">
        <v>10437</v>
      </c>
      <c r="W338" s="35" t="s">
        <v>3571</v>
      </c>
      <c r="X338" s="35" t="s">
        <v>4962</v>
      </c>
      <c r="Y338" s="37"/>
      <c r="Z338" s="40" t="s">
        <v>3559</v>
      </c>
    </row>
    <row r="339">
      <c r="A339" s="42" t="s">
        <v>6659</v>
      </c>
      <c r="B339" s="55" t="s">
        <v>6657</v>
      </c>
      <c r="C339" s="42" t="s">
        <v>6658</v>
      </c>
      <c r="D339" s="42" t="s">
        <v>75</v>
      </c>
      <c r="E339" s="42" t="s">
        <v>10011</v>
      </c>
      <c r="F339" s="42" t="s">
        <v>6662</v>
      </c>
      <c r="G339" s="43"/>
      <c r="H339" s="42" t="s">
        <v>75</v>
      </c>
      <c r="I339" s="43"/>
      <c r="J339" s="41">
        <v>54332.0</v>
      </c>
      <c r="K339" s="42" t="s">
        <v>41</v>
      </c>
      <c r="L339" s="45"/>
      <c r="M339" s="45"/>
      <c r="N339" s="43"/>
      <c r="O339" s="43"/>
      <c r="P339" s="43"/>
      <c r="Q339" s="43"/>
      <c r="R339" s="42" t="s">
        <v>4560</v>
      </c>
      <c r="S339" s="42" t="s">
        <v>4561</v>
      </c>
      <c r="T339" s="42" t="s">
        <v>66</v>
      </c>
      <c r="U339" s="43"/>
      <c r="V339" s="42" t="s">
        <v>4562</v>
      </c>
      <c r="W339" s="43"/>
      <c r="X339" s="42" t="s">
        <v>4923</v>
      </c>
      <c r="Y339" s="45"/>
      <c r="Z339" s="48" t="s">
        <v>3559</v>
      </c>
    </row>
    <row r="340">
      <c r="A340" s="35" t="s">
        <v>6670</v>
      </c>
      <c r="B340" s="35" t="s">
        <v>6665</v>
      </c>
      <c r="C340" s="35" t="s">
        <v>6666</v>
      </c>
      <c r="D340" s="35" t="s">
        <v>8043</v>
      </c>
      <c r="E340" s="35" t="s">
        <v>10011</v>
      </c>
      <c r="F340" s="34"/>
      <c r="G340" s="34"/>
      <c r="H340" s="35" t="s">
        <v>75</v>
      </c>
      <c r="I340" s="34"/>
      <c r="J340" s="32" t="s">
        <v>6673</v>
      </c>
      <c r="K340" s="35" t="s">
        <v>41</v>
      </c>
      <c r="L340" s="37"/>
      <c r="M340" s="37"/>
      <c r="N340" s="34"/>
      <c r="O340" s="34"/>
      <c r="P340" s="34"/>
      <c r="Q340" s="34"/>
      <c r="R340" s="35" t="s">
        <v>3563</v>
      </c>
      <c r="S340" s="35" t="s">
        <v>6667</v>
      </c>
      <c r="T340" s="35" t="s">
        <v>6668</v>
      </c>
      <c r="U340" s="34"/>
      <c r="V340" s="35" t="s">
        <v>6669</v>
      </c>
      <c r="W340" s="34"/>
      <c r="X340" s="35" t="s">
        <v>4923</v>
      </c>
      <c r="Y340" s="37"/>
      <c r="Z340" s="40" t="s">
        <v>3559</v>
      </c>
    </row>
    <row r="341">
      <c r="A341" s="42" t="s">
        <v>6679</v>
      </c>
      <c r="B341" s="42" t="s">
        <v>10438</v>
      </c>
      <c r="C341" s="42" t="s">
        <v>6676</v>
      </c>
      <c r="D341" s="42" t="s">
        <v>10439</v>
      </c>
      <c r="E341" s="42" t="s">
        <v>10008</v>
      </c>
      <c r="F341" s="42" t="s">
        <v>10440</v>
      </c>
      <c r="G341" s="42" t="s">
        <v>10441</v>
      </c>
      <c r="H341" s="42" t="s">
        <v>10439</v>
      </c>
      <c r="I341" s="42" t="s">
        <v>10108</v>
      </c>
      <c r="J341" s="41">
        <v>98032.0</v>
      </c>
      <c r="K341" s="42" t="s">
        <v>60</v>
      </c>
      <c r="L341" s="45" t="str">
        <f>+1 (833) 724-3378</f>
        <v>#ERROR!</v>
      </c>
      <c r="M341" s="45"/>
      <c r="N341" s="43"/>
      <c r="O341" s="42" t="s">
        <v>133</v>
      </c>
      <c r="P341" s="42" t="s">
        <v>4614</v>
      </c>
      <c r="Q341" s="43"/>
      <c r="R341" s="42" t="s">
        <v>4560</v>
      </c>
      <c r="S341" s="42" t="s">
        <v>4561</v>
      </c>
      <c r="T341" s="42" t="s">
        <v>66</v>
      </c>
      <c r="U341" s="42" t="s">
        <v>6677</v>
      </c>
      <c r="V341" s="42" t="s">
        <v>4562</v>
      </c>
      <c r="W341" s="42" t="s">
        <v>3571</v>
      </c>
      <c r="X341" s="42" t="s">
        <v>5075</v>
      </c>
      <c r="Y341" s="41">
        <v>6.0</v>
      </c>
      <c r="Z341" s="48" t="s">
        <v>3559</v>
      </c>
    </row>
    <row r="342">
      <c r="A342" s="35" t="s">
        <v>6679</v>
      </c>
      <c r="B342" s="35" t="s">
        <v>10438</v>
      </c>
      <c r="C342" s="35" t="s">
        <v>6676</v>
      </c>
      <c r="D342" s="35" t="s">
        <v>10117</v>
      </c>
      <c r="E342" s="35" t="s">
        <v>10011</v>
      </c>
      <c r="F342" s="35" t="s">
        <v>6688</v>
      </c>
      <c r="G342" s="34"/>
      <c r="H342" s="35" t="s">
        <v>137</v>
      </c>
      <c r="I342" s="34"/>
      <c r="J342" s="32">
        <v>4464312.0</v>
      </c>
      <c r="K342" s="35" t="s">
        <v>41</v>
      </c>
      <c r="L342" s="37" t="str">
        <f>+972 (0)58 480 0964</f>
        <v>#ERROR!</v>
      </c>
      <c r="M342" s="37"/>
      <c r="N342" s="35" t="s">
        <v>6689</v>
      </c>
      <c r="O342" s="35" t="s">
        <v>133</v>
      </c>
      <c r="P342" s="35" t="s">
        <v>4614</v>
      </c>
      <c r="Q342" s="34"/>
      <c r="R342" s="35" t="s">
        <v>4560</v>
      </c>
      <c r="S342" s="35" t="s">
        <v>4561</v>
      </c>
      <c r="T342" s="35" t="s">
        <v>66</v>
      </c>
      <c r="U342" s="35" t="s">
        <v>6677</v>
      </c>
      <c r="V342" s="35" t="s">
        <v>4562</v>
      </c>
      <c r="W342" s="35" t="s">
        <v>3571</v>
      </c>
      <c r="X342" s="35" t="s">
        <v>5075</v>
      </c>
      <c r="Y342" s="32">
        <v>6.0</v>
      </c>
      <c r="Z342" s="40" t="s">
        <v>3559</v>
      </c>
    </row>
    <row r="343">
      <c r="A343" s="42" t="s">
        <v>6700</v>
      </c>
      <c r="B343" s="42" t="s">
        <v>6698</v>
      </c>
      <c r="C343" s="42" t="s">
        <v>6699</v>
      </c>
      <c r="D343" s="42" t="s">
        <v>552</v>
      </c>
      <c r="E343" s="42" t="s">
        <v>10011</v>
      </c>
      <c r="F343" s="43"/>
      <c r="G343" s="43"/>
      <c r="H343" s="42" t="s">
        <v>6704</v>
      </c>
      <c r="I343" s="43"/>
      <c r="J343" s="41">
        <v>54914.0</v>
      </c>
      <c r="K343" s="42" t="s">
        <v>41</v>
      </c>
      <c r="L343" s="45"/>
      <c r="M343" s="45"/>
      <c r="N343" s="43"/>
      <c r="O343" s="43"/>
      <c r="P343" s="43"/>
      <c r="Q343" s="43"/>
      <c r="R343" s="42" t="s">
        <v>4560</v>
      </c>
      <c r="S343" s="42" t="s">
        <v>4561</v>
      </c>
      <c r="T343" s="42" t="s">
        <v>5057</v>
      </c>
      <c r="U343" s="43"/>
      <c r="V343" s="42" t="s">
        <v>5058</v>
      </c>
      <c r="W343" s="43"/>
      <c r="X343" s="42" t="s">
        <v>4923</v>
      </c>
      <c r="Y343" s="45"/>
      <c r="Z343" s="48" t="s">
        <v>3559</v>
      </c>
    </row>
    <row r="344">
      <c r="A344" s="35" t="s">
        <v>6710</v>
      </c>
      <c r="B344" s="35" t="s">
        <v>6706</v>
      </c>
      <c r="C344" s="35" t="s">
        <v>6708</v>
      </c>
      <c r="D344" s="35" t="s">
        <v>323</v>
      </c>
      <c r="E344" s="35" t="s">
        <v>10011</v>
      </c>
      <c r="F344" s="35" t="s">
        <v>6711</v>
      </c>
      <c r="G344" s="34"/>
      <c r="H344" s="35" t="s">
        <v>323</v>
      </c>
      <c r="I344" s="34"/>
      <c r="J344" s="37"/>
      <c r="K344" s="35" t="s">
        <v>41</v>
      </c>
      <c r="L344" s="37"/>
      <c r="M344" s="37"/>
      <c r="N344" s="34"/>
      <c r="O344" s="34"/>
      <c r="P344" s="34"/>
      <c r="Q344" s="34"/>
      <c r="R344" s="35" t="s">
        <v>4560</v>
      </c>
      <c r="S344" s="35" t="s">
        <v>5163</v>
      </c>
      <c r="T344" s="35" t="s">
        <v>5164</v>
      </c>
      <c r="U344" s="35" t="s">
        <v>5736</v>
      </c>
      <c r="V344" s="35" t="s">
        <v>10310</v>
      </c>
      <c r="W344" s="35" t="s">
        <v>3571</v>
      </c>
      <c r="X344" s="35" t="s">
        <v>4962</v>
      </c>
      <c r="Y344" s="37"/>
      <c r="Z344" s="40" t="s">
        <v>3559</v>
      </c>
    </row>
    <row r="345">
      <c r="A345" s="42" t="s">
        <v>6721</v>
      </c>
      <c r="B345" s="42" t="s">
        <v>6715</v>
      </c>
      <c r="C345" s="42" t="s">
        <v>6718</v>
      </c>
      <c r="D345" s="42" t="s">
        <v>75</v>
      </c>
      <c r="E345" s="42" t="s">
        <v>10011</v>
      </c>
      <c r="F345" s="42" t="s">
        <v>6724</v>
      </c>
      <c r="G345" s="42" t="s">
        <v>6725</v>
      </c>
      <c r="H345" s="42" t="s">
        <v>75</v>
      </c>
      <c r="I345" s="43"/>
      <c r="J345" s="45"/>
      <c r="K345" s="42" t="s">
        <v>41</v>
      </c>
      <c r="L345" s="45"/>
      <c r="M345" s="45"/>
      <c r="N345" s="43"/>
      <c r="O345" s="43"/>
      <c r="P345" s="43"/>
      <c r="Q345" s="43"/>
      <c r="R345" s="42" t="s">
        <v>3563</v>
      </c>
      <c r="S345" s="42" t="s">
        <v>3564</v>
      </c>
      <c r="T345" s="42" t="s">
        <v>3565</v>
      </c>
      <c r="U345" s="42" t="s">
        <v>6719</v>
      </c>
      <c r="V345" s="42" t="s">
        <v>10203</v>
      </c>
      <c r="W345" s="42" t="s">
        <v>3571</v>
      </c>
      <c r="X345" s="42" t="s">
        <v>5018</v>
      </c>
      <c r="Y345" s="41">
        <v>15.0</v>
      </c>
      <c r="Z345" s="48" t="s">
        <v>3559</v>
      </c>
    </row>
    <row r="346">
      <c r="A346" s="35" t="s">
        <v>6739</v>
      </c>
      <c r="B346" s="35" t="s">
        <v>6733</v>
      </c>
      <c r="C346" s="35" t="s">
        <v>6735</v>
      </c>
      <c r="D346" s="35" t="s">
        <v>298</v>
      </c>
      <c r="E346" s="35" t="s">
        <v>10011</v>
      </c>
      <c r="F346" s="35" t="s">
        <v>6746</v>
      </c>
      <c r="G346" s="34"/>
      <c r="H346" s="35" t="s">
        <v>298</v>
      </c>
      <c r="I346" s="34"/>
      <c r="J346" s="32">
        <v>4230615.0</v>
      </c>
      <c r="K346" s="35" t="s">
        <v>41</v>
      </c>
      <c r="L346" s="37" t="str">
        <f>+972 (0)53 361 7358</f>
        <v>#ERROR!</v>
      </c>
      <c r="M346" s="37"/>
      <c r="N346" s="35" t="s">
        <v>6747</v>
      </c>
      <c r="O346" s="35" t="s">
        <v>6744</v>
      </c>
      <c r="P346" s="35" t="s">
        <v>3579</v>
      </c>
      <c r="Q346" s="34"/>
      <c r="R346" s="35" t="s">
        <v>3867</v>
      </c>
      <c r="S346" s="35" t="s">
        <v>3897</v>
      </c>
      <c r="T346" s="35" t="s">
        <v>5092</v>
      </c>
      <c r="U346" s="35" t="s">
        <v>6737</v>
      </c>
      <c r="V346" s="35" t="s">
        <v>10442</v>
      </c>
      <c r="W346" s="35" t="s">
        <v>3571</v>
      </c>
      <c r="X346" s="35" t="s">
        <v>5145</v>
      </c>
      <c r="Y346" s="32">
        <v>2.0</v>
      </c>
      <c r="Z346" s="40" t="s">
        <v>3559</v>
      </c>
    </row>
    <row r="347">
      <c r="A347" s="42" t="s">
        <v>6764</v>
      </c>
      <c r="B347" s="42" t="s">
        <v>10443</v>
      </c>
      <c r="C347" s="42" t="s">
        <v>6759</v>
      </c>
      <c r="D347" s="42" t="s">
        <v>1037</v>
      </c>
      <c r="E347" s="42" t="s">
        <v>10011</v>
      </c>
      <c r="F347" s="42" t="s">
        <v>6771</v>
      </c>
      <c r="G347" s="42" t="s">
        <v>4370</v>
      </c>
      <c r="H347" s="42" t="s">
        <v>1037</v>
      </c>
      <c r="I347" s="43"/>
      <c r="J347" s="41">
        <v>52520.0</v>
      </c>
      <c r="K347" s="42" t="s">
        <v>41</v>
      </c>
      <c r="L347" s="45" t="str">
        <f>+972 (0)77 970 9030</f>
        <v>#ERROR!</v>
      </c>
      <c r="M347" s="45" t="str">
        <f>+972 (0)77 970 9031</f>
        <v>#ERROR!</v>
      </c>
      <c r="N347" s="42" t="s">
        <v>3152</v>
      </c>
      <c r="O347" s="42" t="s">
        <v>4365</v>
      </c>
      <c r="P347" s="42" t="s">
        <v>6770</v>
      </c>
      <c r="Q347" s="43"/>
      <c r="R347" s="42" t="s">
        <v>3563</v>
      </c>
      <c r="S347" s="42" t="s">
        <v>3564</v>
      </c>
      <c r="T347" s="42" t="s">
        <v>6760</v>
      </c>
      <c r="U347" s="42" t="s">
        <v>6762</v>
      </c>
      <c r="V347" s="42" t="s">
        <v>10444</v>
      </c>
      <c r="W347" s="42" t="s">
        <v>5412</v>
      </c>
      <c r="X347" s="42" t="s">
        <v>4923</v>
      </c>
      <c r="Y347" s="41">
        <v>72.0</v>
      </c>
      <c r="Z347" s="48" t="s">
        <v>3559</v>
      </c>
    </row>
    <row r="348">
      <c r="A348" s="35" t="s">
        <v>6787</v>
      </c>
      <c r="B348" s="35" t="s">
        <v>10445</v>
      </c>
      <c r="C348" s="35" t="s">
        <v>6784</v>
      </c>
      <c r="D348" s="35" t="s">
        <v>10378</v>
      </c>
      <c r="E348" s="35" t="s">
        <v>10008</v>
      </c>
      <c r="F348" s="35" t="s">
        <v>10446</v>
      </c>
      <c r="G348" s="35" t="s">
        <v>10447</v>
      </c>
      <c r="H348" s="35" t="s">
        <v>10378</v>
      </c>
      <c r="I348" s="34"/>
      <c r="J348" s="32">
        <v>94306.0</v>
      </c>
      <c r="K348" s="35" t="s">
        <v>10378</v>
      </c>
      <c r="L348" s="37" t="str">
        <f>+852 3678 6793</f>
        <v>#ERROR!</v>
      </c>
      <c r="M348" s="37"/>
      <c r="N348" s="34"/>
      <c r="O348" s="35" t="s">
        <v>10448</v>
      </c>
      <c r="P348" s="35" t="s">
        <v>6794</v>
      </c>
      <c r="Q348" s="34"/>
      <c r="R348" s="35" t="s">
        <v>3867</v>
      </c>
      <c r="S348" s="35" t="s">
        <v>3897</v>
      </c>
      <c r="T348" s="35" t="s">
        <v>3898</v>
      </c>
      <c r="U348" s="35" t="s">
        <v>6152</v>
      </c>
      <c r="V348" s="35" t="s">
        <v>10449</v>
      </c>
      <c r="W348" s="35" t="s">
        <v>5412</v>
      </c>
      <c r="X348" s="35" t="s">
        <v>5018</v>
      </c>
      <c r="Y348" s="32">
        <v>378.0</v>
      </c>
      <c r="Z348" s="40" t="s">
        <v>3559</v>
      </c>
    </row>
    <row r="349">
      <c r="A349" s="42" t="s">
        <v>6787</v>
      </c>
      <c r="B349" s="42" t="s">
        <v>10445</v>
      </c>
      <c r="C349" s="42" t="s">
        <v>6784</v>
      </c>
      <c r="D349" s="42" t="s">
        <v>147</v>
      </c>
      <c r="E349" s="42" t="s">
        <v>10011</v>
      </c>
      <c r="F349" s="42" t="s">
        <v>6796</v>
      </c>
      <c r="G349" s="42" t="s">
        <v>6797</v>
      </c>
      <c r="H349" s="42" t="s">
        <v>147</v>
      </c>
      <c r="I349" s="43"/>
      <c r="J349" s="41">
        <v>9695102.0</v>
      </c>
      <c r="K349" s="42" t="s">
        <v>41</v>
      </c>
      <c r="L349" s="45"/>
      <c r="M349" s="45" t="str">
        <f>+972 (0)2 538 4317</f>
        <v>#ERROR!</v>
      </c>
      <c r="N349" s="43"/>
      <c r="O349" s="42" t="s">
        <v>10448</v>
      </c>
      <c r="P349" s="42" t="s">
        <v>6794</v>
      </c>
      <c r="Q349" s="43"/>
      <c r="R349" s="42" t="s">
        <v>3867</v>
      </c>
      <c r="S349" s="42" t="s">
        <v>3897</v>
      </c>
      <c r="T349" s="42" t="s">
        <v>3898</v>
      </c>
      <c r="U349" s="42" t="s">
        <v>6152</v>
      </c>
      <c r="V349" s="42" t="s">
        <v>10449</v>
      </c>
      <c r="W349" s="42" t="s">
        <v>5412</v>
      </c>
      <c r="X349" s="42" t="s">
        <v>5018</v>
      </c>
      <c r="Y349" s="41">
        <v>378.0</v>
      </c>
      <c r="Z349" s="48" t="s">
        <v>3559</v>
      </c>
    </row>
    <row r="350">
      <c r="A350" s="35" t="s">
        <v>6814</v>
      </c>
      <c r="B350" s="35" t="s">
        <v>6809</v>
      </c>
      <c r="C350" s="35" t="s">
        <v>6811</v>
      </c>
      <c r="D350" s="35" t="s">
        <v>4213</v>
      </c>
      <c r="E350" s="35" t="s">
        <v>10008</v>
      </c>
      <c r="F350" s="35" t="s">
        <v>10450</v>
      </c>
      <c r="G350" s="34"/>
      <c r="H350" s="35" t="s">
        <v>4213</v>
      </c>
      <c r="I350" s="34"/>
      <c r="J350" s="37"/>
      <c r="K350" s="35" t="s">
        <v>41</v>
      </c>
      <c r="L350" s="37" t="str">
        <f>+972 (0)3 926 3200</f>
        <v>#ERROR!</v>
      </c>
      <c r="M350" s="37"/>
      <c r="N350" s="34"/>
      <c r="O350" s="35" t="s">
        <v>6818</v>
      </c>
      <c r="P350" s="35" t="s">
        <v>6819</v>
      </c>
      <c r="Q350" s="34"/>
      <c r="R350" s="35" t="s">
        <v>3563</v>
      </c>
      <c r="S350" s="35" t="s">
        <v>3564</v>
      </c>
      <c r="T350" s="35" t="s">
        <v>3565</v>
      </c>
      <c r="U350" s="34"/>
      <c r="V350" s="35" t="s">
        <v>10451</v>
      </c>
      <c r="W350" s="35" t="s">
        <v>3571</v>
      </c>
      <c r="X350" s="35" t="s">
        <v>5018</v>
      </c>
      <c r="Y350" s="37"/>
      <c r="Z350" s="40" t="s">
        <v>3559</v>
      </c>
    </row>
    <row r="351">
      <c r="A351" s="42" t="s">
        <v>6814</v>
      </c>
      <c r="B351" s="42" t="s">
        <v>6809</v>
      </c>
      <c r="C351" s="42" t="s">
        <v>6811</v>
      </c>
      <c r="D351" s="42" t="s">
        <v>75</v>
      </c>
      <c r="E351" s="42" t="s">
        <v>10011</v>
      </c>
      <c r="F351" s="42" t="s">
        <v>6821</v>
      </c>
      <c r="G351" s="43"/>
      <c r="H351" s="42" t="s">
        <v>75</v>
      </c>
      <c r="I351" s="43"/>
      <c r="J351" s="45"/>
      <c r="K351" s="42" t="s">
        <v>41</v>
      </c>
      <c r="L351" s="45" t="str">
        <f>+972 (0)3 926 3200</f>
        <v>#ERROR!</v>
      </c>
      <c r="M351" s="45"/>
      <c r="N351" s="43"/>
      <c r="O351" s="42" t="s">
        <v>6818</v>
      </c>
      <c r="P351" s="42" t="s">
        <v>6819</v>
      </c>
      <c r="Q351" s="43"/>
      <c r="R351" s="42" t="s">
        <v>3563</v>
      </c>
      <c r="S351" s="42" t="s">
        <v>3564</v>
      </c>
      <c r="T351" s="42" t="s">
        <v>3565</v>
      </c>
      <c r="U351" s="43"/>
      <c r="V351" s="42" t="s">
        <v>10451</v>
      </c>
      <c r="W351" s="42" t="s">
        <v>3571</v>
      </c>
      <c r="X351" s="42" t="s">
        <v>5018</v>
      </c>
      <c r="Y351" s="45"/>
      <c r="Z351" s="48" t="s">
        <v>3559</v>
      </c>
    </row>
    <row r="352">
      <c r="A352" s="35" t="s">
        <v>6828</v>
      </c>
      <c r="B352" s="35" t="s">
        <v>6826</v>
      </c>
      <c r="C352" s="35" t="s">
        <v>6827</v>
      </c>
      <c r="D352" s="35" t="s">
        <v>552</v>
      </c>
      <c r="E352" s="35" t="s">
        <v>10011</v>
      </c>
      <c r="F352" s="35" t="s">
        <v>6831</v>
      </c>
      <c r="G352" s="34"/>
      <c r="H352" s="35" t="s">
        <v>552</v>
      </c>
      <c r="I352" s="34"/>
      <c r="J352" s="37"/>
      <c r="K352" s="35" t="s">
        <v>41</v>
      </c>
      <c r="L352" s="37"/>
      <c r="M352" s="37"/>
      <c r="N352" s="34"/>
      <c r="O352" s="34"/>
      <c r="P352" s="34"/>
      <c r="Q352" s="34"/>
      <c r="R352" s="35" t="s">
        <v>4560</v>
      </c>
      <c r="S352" s="35" t="s">
        <v>4561</v>
      </c>
      <c r="T352" s="35" t="s">
        <v>66</v>
      </c>
      <c r="U352" s="34"/>
      <c r="V352" s="35" t="s">
        <v>4562</v>
      </c>
      <c r="W352" s="34"/>
      <c r="X352" s="35" t="s">
        <v>4923</v>
      </c>
      <c r="Y352" s="37"/>
      <c r="Z352" s="40" t="s">
        <v>3559</v>
      </c>
    </row>
    <row r="353">
      <c r="A353" s="42" t="s">
        <v>6839</v>
      </c>
      <c r="B353" s="42" t="s">
        <v>6834</v>
      </c>
      <c r="C353" s="42" t="s">
        <v>6837</v>
      </c>
      <c r="D353" s="42" t="s">
        <v>75</v>
      </c>
      <c r="E353" s="42" t="s">
        <v>10011</v>
      </c>
      <c r="F353" s="42" t="s">
        <v>6841</v>
      </c>
      <c r="G353" s="43"/>
      <c r="H353" s="42" t="s">
        <v>75</v>
      </c>
      <c r="I353" s="43"/>
      <c r="J353" s="45"/>
      <c r="K353" s="42" t="s">
        <v>41</v>
      </c>
      <c r="L353" s="45"/>
      <c r="M353" s="45"/>
      <c r="N353" s="43"/>
      <c r="O353" s="43"/>
      <c r="P353" s="43"/>
      <c r="Q353" s="43"/>
      <c r="R353" s="42" t="s">
        <v>3563</v>
      </c>
      <c r="S353" s="42" t="s">
        <v>3564</v>
      </c>
      <c r="T353" s="42" t="s">
        <v>5478</v>
      </c>
      <c r="U353" s="43"/>
      <c r="V353" s="42" t="s">
        <v>10347</v>
      </c>
      <c r="W353" s="42" t="s">
        <v>5222</v>
      </c>
      <c r="X353" s="42" t="s">
        <v>4962</v>
      </c>
      <c r="Y353" s="45"/>
      <c r="Z353" s="48" t="s">
        <v>3559</v>
      </c>
    </row>
    <row r="354">
      <c r="A354" s="35" t="s">
        <v>6848</v>
      </c>
      <c r="B354" s="35" t="s">
        <v>6843</v>
      </c>
      <c r="C354" s="35" t="s">
        <v>6845</v>
      </c>
      <c r="D354" s="35" t="s">
        <v>10117</v>
      </c>
      <c r="E354" s="35" t="s">
        <v>10008</v>
      </c>
      <c r="F354" s="35" t="s">
        <v>10452</v>
      </c>
      <c r="G354" s="34"/>
      <c r="H354" s="35" t="s">
        <v>137</v>
      </c>
      <c r="I354" s="34"/>
      <c r="J354" s="37"/>
      <c r="K354" s="35" t="s">
        <v>41</v>
      </c>
      <c r="L354" s="37" t="str">
        <f>+972 (0)72 397 4190</f>
        <v>#ERROR!</v>
      </c>
      <c r="M354" s="37"/>
      <c r="N354" s="35" t="s">
        <v>6856</v>
      </c>
      <c r="O354" s="35" t="s">
        <v>6853</v>
      </c>
      <c r="P354" s="35" t="s">
        <v>3579</v>
      </c>
      <c r="Q354" s="34"/>
      <c r="R354" s="35" t="s">
        <v>3563</v>
      </c>
      <c r="S354" s="35" t="s">
        <v>3564</v>
      </c>
      <c r="T354" s="35" t="s">
        <v>3565</v>
      </c>
      <c r="U354" s="35" t="s">
        <v>6846</v>
      </c>
      <c r="V354" s="35" t="s">
        <v>10010</v>
      </c>
      <c r="W354" s="35" t="s">
        <v>3571</v>
      </c>
      <c r="X354" s="35" t="s">
        <v>5145</v>
      </c>
      <c r="Y354" s="32">
        <v>15.0</v>
      </c>
      <c r="Z354" s="40" t="s">
        <v>3559</v>
      </c>
    </row>
    <row r="355">
      <c r="A355" s="42" t="s">
        <v>6848</v>
      </c>
      <c r="B355" s="42" t="s">
        <v>6843</v>
      </c>
      <c r="C355" s="42" t="s">
        <v>6845</v>
      </c>
      <c r="D355" s="42" t="s">
        <v>75</v>
      </c>
      <c r="E355" s="42" t="s">
        <v>10011</v>
      </c>
      <c r="F355" s="42" t="s">
        <v>6855</v>
      </c>
      <c r="G355" s="43"/>
      <c r="H355" s="42" t="s">
        <v>75</v>
      </c>
      <c r="I355" s="43"/>
      <c r="J355" s="45"/>
      <c r="K355" s="42" t="s">
        <v>41</v>
      </c>
      <c r="L355" s="45" t="str">
        <f>+972 (0)72 397 4190</f>
        <v>#ERROR!</v>
      </c>
      <c r="M355" s="45"/>
      <c r="N355" s="42" t="s">
        <v>6856</v>
      </c>
      <c r="O355" s="42" t="s">
        <v>6853</v>
      </c>
      <c r="P355" s="42" t="s">
        <v>3579</v>
      </c>
      <c r="Q355" s="43"/>
      <c r="R355" s="42" t="s">
        <v>3563</v>
      </c>
      <c r="S355" s="42" t="s">
        <v>3564</v>
      </c>
      <c r="T355" s="42" t="s">
        <v>3565</v>
      </c>
      <c r="U355" s="42" t="s">
        <v>6846</v>
      </c>
      <c r="V355" s="42" t="s">
        <v>10010</v>
      </c>
      <c r="W355" s="42" t="s">
        <v>3571</v>
      </c>
      <c r="X355" s="42" t="s">
        <v>5145</v>
      </c>
      <c r="Y355" s="41">
        <v>15.0</v>
      </c>
      <c r="Z355" s="48" t="s">
        <v>3559</v>
      </c>
    </row>
    <row r="356">
      <c r="A356" s="35" t="s">
        <v>6867</v>
      </c>
      <c r="B356" s="35" t="s">
        <v>6862</v>
      </c>
      <c r="C356" s="35" t="s">
        <v>6864</v>
      </c>
      <c r="D356" s="35" t="s">
        <v>75</v>
      </c>
      <c r="E356" s="35" t="s">
        <v>10011</v>
      </c>
      <c r="F356" s="35" t="s">
        <v>6873</v>
      </c>
      <c r="G356" s="35" t="s">
        <v>6874</v>
      </c>
      <c r="H356" s="35" t="s">
        <v>75</v>
      </c>
      <c r="I356" s="34"/>
      <c r="J356" s="37"/>
      <c r="K356" s="35" t="s">
        <v>41</v>
      </c>
      <c r="L356" s="37" t="str">
        <f>+972 (0)3 791 8888</f>
        <v>#ERROR!</v>
      </c>
      <c r="M356" s="37"/>
      <c r="N356" s="35" t="s">
        <v>6875</v>
      </c>
      <c r="O356" s="35" t="s">
        <v>6871</v>
      </c>
      <c r="P356" s="35" t="s">
        <v>4717</v>
      </c>
      <c r="Q356" s="34"/>
      <c r="R356" s="35" t="s">
        <v>3867</v>
      </c>
      <c r="S356" s="35" t="s">
        <v>4199</v>
      </c>
      <c r="T356" s="35" t="s">
        <v>5911</v>
      </c>
      <c r="U356" s="35" t="s">
        <v>5736</v>
      </c>
      <c r="V356" s="35" t="s">
        <v>10453</v>
      </c>
      <c r="W356" s="35" t="s">
        <v>3571</v>
      </c>
      <c r="X356" s="35" t="s">
        <v>5075</v>
      </c>
      <c r="Y356" s="37"/>
      <c r="Z356" s="40" t="s">
        <v>3559</v>
      </c>
    </row>
    <row r="357">
      <c r="A357" s="42" t="s">
        <v>6884</v>
      </c>
      <c r="B357" s="42" t="s">
        <v>10454</v>
      </c>
      <c r="C357" s="42" t="s">
        <v>6882</v>
      </c>
      <c r="D357" s="42" t="s">
        <v>4975</v>
      </c>
      <c r="E357" s="42" t="s">
        <v>10011</v>
      </c>
      <c r="F357" s="42" t="s">
        <v>6894</v>
      </c>
      <c r="G357" s="43"/>
      <c r="H357" s="42" t="s">
        <v>4975</v>
      </c>
      <c r="I357" s="43"/>
      <c r="J357" s="45"/>
      <c r="K357" s="42" t="s">
        <v>41</v>
      </c>
      <c r="L357" s="45" t="str">
        <f>+972 (0)73 232 4971</f>
        <v>#ERROR!</v>
      </c>
      <c r="M357" s="45"/>
      <c r="N357" s="42" t="s">
        <v>6895</v>
      </c>
      <c r="O357" s="42" t="s">
        <v>6891</v>
      </c>
      <c r="P357" s="42" t="s">
        <v>6892</v>
      </c>
      <c r="Q357" s="43"/>
      <c r="R357" s="42" t="s">
        <v>4560</v>
      </c>
      <c r="S357" s="42" t="s">
        <v>4561</v>
      </c>
      <c r="T357" s="42" t="s">
        <v>66</v>
      </c>
      <c r="U357" s="43"/>
      <c r="V357" s="42" t="s">
        <v>4562</v>
      </c>
      <c r="W357" s="42" t="s">
        <v>5412</v>
      </c>
      <c r="X357" s="42" t="s">
        <v>4962</v>
      </c>
      <c r="Y357" s="41">
        <v>72.0</v>
      </c>
      <c r="Z357" s="48" t="s">
        <v>3559</v>
      </c>
    </row>
    <row r="358">
      <c r="A358" s="35" t="s">
        <v>6907</v>
      </c>
      <c r="B358" s="35" t="s">
        <v>1765</v>
      </c>
      <c r="C358" s="35" t="s">
        <v>6904</v>
      </c>
      <c r="D358" s="35" t="s">
        <v>6915</v>
      </c>
      <c r="E358" s="35" t="s">
        <v>10011</v>
      </c>
      <c r="F358" s="35" t="s">
        <v>6914</v>
      </c>
      <c r="G358" s="34"/>
      <c r="H358" s="35" t="s">
        <v>6915</v>
      </c>
      <c r="I358" s="34"/>
      <c r="J358" s="37"/>
      <c r="K358" s="35" t="s">
        <v>41</v>
      </c>
      <c r="L358" s="37" t="str">
        <f>+972 (0)77 220 0044</f>
        <v>#ERROR!</v>
      </c>
      <c r="M358" s="37"/>
      <c r="N358" s="34"/>
      <c r="O358" s="35" t="s">
        <v>1767</v>
      </c>
      <c r="P358" s="35" t="s">
        <v>4397</v>
      </c>
      <c r="Q358" s="34"/>
      <c r="R358" s="35" t="s">
        <v>4560</v>
      </c>
      <c r="S358" s="35" t="s">
        <v>4561</v>
      </c>
      <c r="T358" s="35" t="s">
        <v>66</v>
      </c>
      <c r="U358" s="35" t="s">
        <v>6601</v>
      </c>
      <c r="V358" s="35" t="s">
        <v>10455</v>
      </c>
      <c r="W358" s="35" t="s">
        <v>3571</v>
      </c>
      <c r="X358" s="35" t="s">
        <v>4962</v>
      </c>
      <c r="Y358" s="32">
        <v>21.0</v>
      </c>
      <c r="Z358" s="40" t="s">
        <v>3559</v>
      </c>
    </row>
    <row r="359">
      <c r="A359" s="42" t="s">
        <v>6929</v>
      </c>
      <c r="B359" s="42" t="s">
        <v>6922</v>
      </c>
      <c r="C359" s="42" t="s">
        <v>6925</v>
      </c>
      <c r="D359" s="42" t="s">
        <v>10456</v>
      </c>
      <c r="E359" s="42" t="s">
        <v>10008</v>
      </c>
      <c r="F359" s="42" t="s">
        <v>10457</v>
      </c>
      <c r="G359" s="43"/>
      <c r="H359" s="42" t="s">
        <v>10456</v>
      </c>
      <c r="I359" s="43"/>
      <c r="J359" s="45"/>
      <c r="K359" s="42" t="s">
        <v>10073</v>
      </c>
      <c r="L359" s="45"/>
      <c r="M359" s="45"/>
      <c r="N359" s="42" t="s">
        <v>10458</v>
      </c>
      <c r="O359" s="42" t="s">
        <v>6934</v>
      </c>
      <c r="P359" s="42" t="s">
        <v>3982</v>
      </c>
      <c r="Q359" s="43"/>
      <c r="R359" s="42" t="s">
        <v>4560</v>
      </c>
      <c r="S359" s="42" t="s">
        <v>4561</v>
      </c>
      <c r="T359" s="42" t="s">
        <v>66</v>
      </c>
      <c r="U359" s="42" t="s">
        <v>6927</v>
      </c>
      <c r="V359" s="42" t="s">
        <v>10459</v>
      </c>
      <c r="W359" s="42" t="s">
        <v>3571</v>
      </c>
      <c r="X359" s="42" t="s">
        <v>5018</v>
      </c>
      <c r="Y359" s="41">
        <v>89.0</v>
      </c>
      <c r="Z359" s="48" t="s">
        <v>3559</v>
      </c>
    </row>
    <row r="360">
      <c r="A360" s="35" t="s">
        <v>6929</v>
      </c>
      <c r="B360" s="35" t="s">
        <v>6922</v>
      </c>
      <c r="C360" s="35" t="s">
        <v>6925</v>
      </c>
      <c r="D360" s="35" t="s">
        <v>10460</v>
      </c>
      <c r="E360" s="35" t="s">
        <v>10015</v>
      </c>
      <c r="F360" s="35" t="s">
        <v>10461</v>
      </c>
      <c r="G360" s="35" t="s">
        <v>10462</v>
      </c>
      <c r="H360" s="35" t="s">
        <v>10460</v>
      </c>
      <c r="I360" s="34"/>
      <c r="J360" s="32" t="s">
        <v>10463</v>
      </c>
      <c r="K360" s="35" t="s">
        <v>10464</v>
      </c>
      <c r="L360" s="37"/>
      <c r="M360" s="37"/>
      <c r="N360" s="35" t="s">
        <v>10458</v>
      </c>
      <c r="O360" s="35" t="s">
        <v>6934</v>
      </c>
      <c r="P360" s="35" t="s">
        <v>3982</v>
      </c>
      <c r="Q360" s="34"/>
      <c r="R360" s="35" t="s">
        <v>4560</v>
      </c>
      <c r="S360" s="35" t="s">
        <v>4561</v>
      </c>
      <c r="T360" s="35" t="s">
        <v>66</v>
      </c>
      <c r="U360" s="35" t="s">
        <v>6927</v>
      </c>
      <c r="V360" s="35" t="s">
        <v>10459</v>
      </c>
      <c r="W360" s="35" t="s">
        <v>3571</v>
      </c>
      <c r="X360" s="35" t="s">
        <v>5018</v>
      </c>
      <c r="Y360" s="32">
        <v>89.0</v>
      </c>
      <c r="Z360" s="40" t="s">
        <v>3559</v>
      </c>
    </row>
    <row r="361">
      <c r="A361" s="42" t="s">
        <v>6929</v>
      </c>
      <c r="B361" s="42" t="s">
        <v>6922</v>
      </c>
      <c r="C361" s="42" t="s">
        <v>6925</v>
      </c>
      <c r="D361" s="42" t="s">
        <v>75</v>
      </c>
      <c r="E361" s="42" t="s">
        <v>10011</v>
      </c>
      <c r="F361" s="42" t="s">
        <v>6936</v>
      </c>
      <c r="G361" s="43"/>
      <c r="H361" s="42" t="s">
        <v>75</v>
      </c>
      <c r="I361" s="43"/>
      <c r="J361" s="45"/>
      <c r="K361" s="42" t="s">
        <v>41</v>
      </c>
      <c r="L361" s="45"/>
      <c r="M361" s="45"/>
      <c r="N361" s="43"/>
      <c r="O361" s="42" t="s">
        <v>6934</v>
      </c>
      <c r="P361" s="42" t="s">
        <v>3982</v>
      </c>
      <c r="Q361" s="43"/>
      <c r="R361" s="42" t="s">
        <v>4560</v>
      </c>
      <c r="S361" s="42" t="s">
        <v>4561</v>
      </c>
      <c r="T361" s="42" t="s">
        <v>66</v>
      </c>
      <c r="U361" s="42" t="s">
        <v>6927</v>
      </c>
      <c r="V361" s="42" t="s">
        <v>10459</v>
      </c>
      <c r="W361" s="42" t="s">
        <v>3571</v>
      </c>
      <c r="X361" s="42" t="s">
        <v>5018</v>
      </c>
      <c r="Y361" s="41">
        <v>89.0</v>
      </c>
      <c r="Z361" s="48" t="s">
        <v>3559</v>
      </c>
    </row>
    <row r="362">
      <c r="A362" s="35" t="s">
        <v>6953</v>
      </c>
      <c r="B362" s="35" t="s">
        <v>6947</v>
      </c>
      <c r="C362" s="35" t="s">
        <v>6949</v>
      </c>
      <c r="D362" s="35" t="s">
        <v>485</v>
      </c>
      <c r="E362" s="35" t="s">
        <v>10011</v>
      </c>
      <c r="F362" s="34"/>
      <c r="G362" s="34"/>
      <c r="H362" s="35" t="s">
        <v>485</v>
      </c>
      <c r="I362" s="34"/>
      <c r="J362" s="37"/>
      <c r="K362" s="35" t="s">
        <v>41</v>
      </c>
      <c r="L362" s="37" t="str">
        <f>+972 (0)52 920 3695</f>
        <v>#ERROR!</v>
      </c>
      <c r="M362" s="37"/>
      <c r="N362" s="35" t="s">
        <v>6960</v>
      </c>
      <c r="O362" s="35" t="s">
        <v>6958</v>
      </c>
      <c r="P362" s="35" t="s">
        <v>4397</v>
      </c>
      <c r="Q362" s="34"/>
      <c r="R362" s="35" t="s">
        <v>3867</v>
      </c>
      <c r="S362" s="35" t="s">
        <v>3897</v>
      </c>
      <c r="T362" s="35" t="s">
        <v>3898</v>
      </c>
      <c r="U362" s="35" t="s">
        <v>6951</v>
      </c>
      <c r="V362" s="35" t="s">
        <v>10465</v>
      </c>
      <c r="W362" s="35" t="s">
        <v>3571</v>
      </c>
      <c r="X362" s="35" t="s">
        <v>3569</v>
      </c>
      <c r="Y362" s="32">
        <v>5.0</v>
      </c>
      <c r="Z362" s="40" t="s">
        <v>3559</v>
      </c>
    </row>
    <row r="363">
      <c r="A363" s="42" t="s">
        <v>6953</v>
      </c>
      <c r="B363" s="42" t="s">
        <v>6947</v>
      </c>
      <c r="C363" s="42" t="s">
        <v>6949</v>
      </c>
      <c r="D363" s="42" t="s">
        <v>10466</v>
      </c>
      <c r="E363" s="42" t="s">
        <v>10008</v>
      </c>
      <c r="F363" s="42" t="s">
        <v>10467</v>
      </c>
      <c r="G363" s="43"/>
      <c r="H363" s="42" t="s">
        <v>10466</v>
      </c>
      <c r="I363" s="43"/>
      <c r="J363" s="45"/>
      <c r="K363" s="42" t="s">
        <v>41</v>
      </c>
      <c r="L363" s="45" t="str">
        <f>+972 (0)52 920 3695</f>
        <v>#ERROR!</v>
      </c>
      <c r="M363" s="45"/>
      <c r="N363" s="42" t="s">
        <v>6960</v>
      </c>
      <c r="O363" s="42" t="s">
        <v>6958</v>
      </c>
      <c r="P363" s="42" t="s">
        <v>4397</v>
      </c>
      <c r="Q363" s="43"/>
      <c r="R363" s="42" t="s">
        <v>3867</v>
      </c>
      <c r="S363" s="42" t="s">
        <v>3897</v>
      </c>
      <c r="T363" s="42" t="s">
        <v>3898</v>
      </c>
      <c r="U363" s="42" t="s">
        <v>6951</v>
      </c>
      <c r="V363" s="42" t="s">
        <v>10465</v>
      </c>
      <c r="W363" s="42" t="s">
        <v>3571</v>
      </c>
      <c r="X363" s="42" t="s">
        <v>3569</v>
      </c>
      <c r="Y363" s="41">
        <v>5.0</v>
      </c>
      <c r="Z363" s="48" t="s">
        <v>3559</v>
      </c>
    </row>
    <row r="364">
      <c r="A364" s="35" t="s">
        <v>6972</v>
      </c>
      <c r="B364" s="35" t="s">
        <v>6969</v>
      </c>
      <c r="C364" s="35" t="s">
        <v>6971</v>
      </c>
      <c r="D364" s="35" t="s">
        <v>485</v>
      </c>
      <c r="E364" s="35" t="s">
        <v>10011</v>
      </c>
      <c r="F364" s="35" t="s">
        <v>6975</v>
      </c>
      <c r="G364" s="34"/>
      <c r="H364" s="35" t="s">
        <v>485</v>
      </c>
      <c r="I364" s="34"/>
      <c r="J364" s="32">
        <v>580025.0</v>
      </c>
      <c r="K364" s="35" t="s">
        <v>41</v>
      </c>
      <c r="L364" s="37"/>
      <c r="M364" s="37"/>
      <c r="N364" s="34"/>
      <c r="O364" s="34"/>
      <c r="P364" s="34"/>
      <c r="Q364" s="34"/>
      <c r="R364" s="35" t="s">
        <v>4560</v>
      </c>
      <c r="S364" s="35" t="s">
        <v>4561</v>
      </c>
      <c r="T364" s="35" t="s">
        <v>66</v>
      </c>
      <c r="U364" s="34"/>
      <c r="V364" s="35" t="s">
        <v>4562</v>
      </c>
      <c r="W364" s="34"/>
      <c r="X364" s="35" t="s">
        <v>4923</v>
      </c>
      <c r="Y364" s="32">
        <v>11.0</v>
      </c>
      <c r="Z364" s="40" t="s">
        <v>3559</v>
      </c>
    </row>
    <row r="365">
      <c r="A365" s="42" t="s">
        <v>6983</v>
      </c>
      <c r="B365" s="42" t="s">
        <v>2428</v>
      </c>
      <c r="C365" s="42" t="s">
        <v>6980</v>
      </c>
      <c r="D365" s="42" t="s">
        <v>6988</v>
      </c>
      <c r="E365" s="42" t="s">
        <v>10011</v>
      </c>
      <c r="F365" s="42" t="s">
        <v>6987</v>
      </c>
      <c r="G365" s="43"/>
      <c r="H365" s="42" t="s">
        <v>6988</v>
      </c>
      <c r="I365" s="43"/>
      <c r="J365" s="45"/>
      <c r="K365" s="42" t="s">
        <v>41</v>
      </c>
      <c r="L365" s="45"/>
      <c r="M365" s="45"/>
      <c r="N365" s="43"/>
      <c r="O365" s="42" t="s">
        <v>6985</v>
      </c>
      <c r="P365" s="42" t="s">
        <v>4312</v>
      </c>
      <c r="Q365" s="43"/>
      <c r="R365" s="42" t="s">
        <v>4560</v>
      </c>
      <c r="S365" s="42" t="s">
        <v>4561</v>
      </c>
      <c r="T365" s="42" t="s">
        <v>66</v>
      </c>
      <c r="U365" s="42" t="s">
        <v>3612</v>
      </c>
      <c r="V365" s="42" t="s">
        <v>10468</v>
      </c>
      <c r="W365" s="42" t="s">
        <v>6041</v>
      </c>
      <c r="X365" s="42" t="s">
        <v>6039</v>
      </c>
      <c r="Y365" s="45"/>
      <c r="Z365" s="48" t="s">
        <v>3559</v>
      </c>
    </row>
    <row r="366">
      <c r="A366" s="35" t="s">
        <v>6999</v>
      </c>
      <c r="B366" s="35" t="s">
        <v>2487</v>
      </c>
      <c r="C366" s="35" t="s">
        <v>6996</v>
      </c>
      <c r="D366" s="35" t="s">
        <v>2493</v>
      </c>
      <c r="E366" s="35" t="s">
        <v>10011</v>
      </c>
      <c r="F366" s="35" t="s">
        <v>7004</v>
      </c>
      <c r="G366" s="34"/>
      <c r="H366" s="35" t="s">
        <v>2493</v>
      </c>
      <c r="I366" s="34"/>
      <c r="J366" s="32">
        <v>3657000.0</v>
      </c>
      <c r="K366" s="35" t="s">
        <v>41</v>
      </c>
      <c r="L366" s="37"/>
      <c r="M366" s="37"/>
      <c r="N366" s="35" t="s">
        <v>2494</v>
      </c>
      <c r="O366" s="35" t="s">
        <v>2489</v>
      </c>
      <c r="P366" s="35" t="s">
        <v>3579</v>
      </c>
      <c r="Q366" s="34"/>
      <c r="R366" s="35" t="s">
        <v>4560</v>
      </c>
      <c r="S366" s="35" t="s">
        <v>4561</v>
      </c>
      <c r="T366" s="35" t="s">
        <v>66</v>
      </c>
      <c r="U366" s="34"/>
      <c r="V366" s="35" t="s">
        <v>10469</v>
      </c>
      <c r="W366" s="35" t="s">
        <v>3571</v>
      </c>
      <c r="X366" s="35" t="s">
        <v>6039</v>
      </c>
      <c r="Y366" s="32">
        <v>2.0</v>
      </c>
      <c r="Z366" s="40" t="s">
        <v>3559</v>
      </c>
    </row>
    <row r="367">
      <c r="A367" s="42" t="s">
        <v>7014</v>
      </c>
      <c r="B367" s="42" t="s">
        <v>7007</v>
      </c>
      <c r="C367" s="42" t="s">
        <v>7011</v>
      </c>
      <c r="D367" s="42" t="s">
        <v>75</v>
      </c>
      <c r="E367" s="42" t="s">
        <v>10011</v>
      </c>
      <c r="F367" s="42" t="s">
        <v>7017</v>
      </c>
      <c r="G367" s="43"/>
      <c r="H367" s="42" t="s">
        <v>75</v>
      </c>
      <c r="I367" s="43"/>
      <c r="J367" s="41">
        <v>6789208.0</v>
      </c>
      <c r="K367" s="42" t="s">
        <v>41</v>
      </c>
      <c r="L367" s="45"/>
      <c r="M367" s="45"/>
      <c r="N367" s="43"/>
      <c r="O367" s="43"/>
      <c r="P367" s="43"/>
      <c r="Q367" s="43"/>
      <c r="R367" s="42" t="s">
        <v>3563</v>
      </c>
      <c r="S367" s="42" t="s">
        <v>3609</v>
      </c>
      <c r="T367" s="42" t="s">
        <v>3610</v>
      </c>
      <c r="U367" s="42" t="s">
        <v>5684</v>
      </c>
      <c r="V367" s="42" t="s">
        <v>10470</v>
      </c>
      <c r="W367" s="42" t="s">
        <v>3571</v>
      </c>
      <c r="X367" s="42" t="s">
        <v>5018</v>
      </c>
      <c r="Y367" s="41">
        <v>30.0</v>
      </c>
      <c r="Z367" s="48" t="s">
        <v>3559</v>
      </c>
    </row>
    <row r="368">
      <c r="A368" s="35" t="s">
        <v>7032</v>
      </c>
      <c r="B368" s="35" t="s">
        <v>1437</v>
      </c>
      <c r="C368" s="35" t="s">
        <v>7028</v>
      </c>
      <c r="D368" s="35" t="s">
        <v>10147</v>
      </c>
      <c r="E368" s="35" t="s">
        <v>10008</v>
      </c>
      <c r="F368" s="35" t="s">
        <v>10471</v>
      </c>
      <c r="G368" s="34"/>
      <c r="H368" s="35" t="s">
        <v>10147</v>
      </c>
      <c r="I368" s="35" t="s">
        <v>816</v>
      </c>
      <c r="J368" s="32">
        <v>48152.0</v>
      </c>
      <c r="K368" s="35" t="s">
        <v>60</v>
      </c>
      <c r="L368" s="37"/>
      <c r="M368" s="37"/>
      <c r="N368" s="34"/>
      <c r="O368" s="34"/>
      <c r="P368" s="34"/>
      <c r="Q368" s="34"/>
      <c r="R368" s="35" t="s">
        <v>4560</v>
      </c>
      <c r="S368" s="35" t="s">
        <v>4561</v>
      </c>
      <c r="T368" s="35" t="s">
        <v>66</v>
      </c>
      <c r="U368" s="35" t="s">
        <v>7030</v>
      </c>
      <c r="V368" s="35" t="s">
        <v>10472</v>
      </c>
      <c r="W368" s="35" t="s">
        <v>5222</v>
      </c>
      <c r="X368" s="35" t="s">
        <v>5018</v>
      </c>
      <c r="Y368" s="32">
        <v>80.0</v>
      </c>
      <c r="Z368" s="40" t="s">
        <v>3559</v>
      </c>
    </row>
    <row r="369">
      <c r="A369" s="42" t="s">
        <v>7032</v>
      </c>
      <c r="B369" s="42" t="s">
        <v>1437</v>
      </c>
      <c r="C369" s="42" t="s">
        <v>7028</v>
      </c>
      <c r="D369" s="42" t="s">
        <v>10018</v>
      </c>
      <c r="E369" s="42" t="s">
        <v>10015</v>
      </c>
      <c r="F369" s="42" t="s">
        <v>10473</v>
      </c>
      <c r="G369" s="43"/>
      <c r="H369" s="42" t="s">
        <v>10018</v>
      </c>
      <c r="I369" s="43"/>
      <c r="J369" s="41">
        <v>80331.0</v>
      </c>
      <c r="K369" s="42" t="s">
        <v>465</v>
      </c>
      <c r="L369" s="45"/>
      <c r="M369" s="45"/>
      <c r="N369" s="43"/>
      <c r="O369" s="43"/>
      <c r="P369" s="43"/>
      <c r="Q369" s="43"/>
      <c r="R369" s="42" t="s">
        <v>4560</v>
      </c>
      <c r="S369" s="42" t="s">
        <v>4561</v>
      </c>
      <c r="T369" s="42" t="s">
        <v>66</v>
      </c>
      <c r="U369" s="42" t="s">
        <v>7030</v>
      </c>
      <c r="V369" s="42" t="s">
        <v>10472</v>
      </c>
      <c r="W369" s="42" t="s">
        <v>5222</v>
      </c>
      <c r="X369" s="42" t="s">
        <v>5018</v>
      </c>
      <c r="Y369" s="41">
        <v>80.0</v>
      </c>
      <c r="Z369" s="48" t="s">
        <v>3559</v>
      </c>
    </row>
    <row r="370">
      <c r="A370" s="35" t="s">
        <v>7032</v>
      </c>
      <c r="B370" s="35" t="s">
        <v>1437</v>
      </c>
      <c r="C370" s="35" t="s">
        <v>7028</v>
      </c>
      <c r="D370" s="35" t="s">
        <v>1442</v>
      </c>
      <c r="E370" s="35" t="s">
        <v>10011</v>
      </c>
      <c r="F370" s="35" t="s">
        <v>7035</v>
      </c>
      <c r="G370" s="35" t="s">
        <v>7036</v>
      </c>
      <c r="H370" s="35" t="s">
        <v>1442</v>
      </c>
      <c r="I370" s="34"/>
      <c r="J370" s="32">
        <v>7210202.0</v>
      </c>
      <c r="K370" s="35" t="s">
        <v>41</v>
      </c>
      <c r="L370" s="37"/>
      <c r="M370" s="37"/>
      <c r="N370" s="34"/>
      <c r="O370" s="34"/>
      <c r="P370" s="34"/>
      <c r="Q370" s="34"/>
      <c r="R370" s="35" t="s">
        <v>4560</v>
      </c>
      <c r="S370" s="35" t="s">
        <v>4561</v>
      </c>
      <c r="T370" s="35" t="s">
        <v>66</v>
      </c>
      <c r="U370" s="35" t="s">
        <v>7030</v>
      </c>
      <c r="V370" s="35" t="s">
        <v>10472</v>
      </c>
      <c r="W370" s="35" t="s">
        <v>5222</v>
      </c>
      <c r="X370" s="35" t="s">
        <v>5018</v>
      </c>
      <c r="Y370" s="32">
        <v>80.0</v>
      </c>
      <c r="Z370" s="40" t="s">
        <v>3559</v>
      </c>
    </row>
    <row r="371">
      <c r="A371" s="42" t="s">
        <v>7048</v>
      </c>
      <c r="B371" s="42" t="s">
        <v>7043</v>
      </c>
      <c r="C371" s="42" t="s">
        <v>7045</v>
      </c>
      <c r="D371" s="42" t="s">
        <v>75</v>
      </c>
      <c r="E371" s="42" t="s">
        <v>10011</v>
      </c>
      <c r="F371" s="42" t="s">
        <v>7049</v>
      </c>
      <c r="G371" s="42" t="s">
        <v>75</v>
      </c>
      <c r="H371" s="42" t="s">
        <v>75</v>
      </c>
      <c r="I371" s="43"/>
      <c r="J371" s="41">
        <v>6701101.0</v>
      </c>
      <c r="K371" s="42" t="s">
        <v>41</v>
      </c>
      <c r="L371" s="45"/>
      <c r="M371" s="45"/>
      <c r="N371" s="43"/>
      <c r="O371" s="43"/>
      <c r="P371" s="43"/>
      <c r="Q371" s="43"/>
      <c r="R371" s="42" t="s">
        <v>3867</v>
      </c>
      <c r="S371" s="42" t="s">
        <v>3897</v>
      </c>
      <c r="T371" s="42" t="s">
        <v>5092</v>
      </c>
      <c r="U371" s="42" t="s">
        <v>5736</v>
      </c>
      <c r="V371" s="42" t="s">
        <v>10474</v>
      </c>
      <c r="W371" s="42" t="s">
        <v>3571</v>
      </c>
      <c r="X371" s="42" t="s">
        <v>4962</v>
      </c>
      <c r="Y371" s="45"/>
      <c r="Z371" s="48" t="s">
        <v>3559</v>
      </c>
    </row>
    <row r="372">
      <c r="A372" s="35" t="s">
        <v>7058</v>
      </c>
      <c r="B372" s="35" t="s">
        <v>7054</v>
      </c>
      <c r="C372" s="35" t="s">
        <v>7055</v>
      </c>
      <c r="D372" s="35" t="s">
        <v>6222</v>
      </c>
      <c r="E372" s="35" t="s">
        <v>10011</v>
      </c>
      <c r="F372" s="35" t="s">
        <v>7061</v>
      </c>
      <c r="G372" s="34"/>
      <c r="H372" s="35" t="s">
        <v>6222</v>
      </c>
      <c r="I372" s="34"/>
      <c r="J372" s="32">
        <v>580025.0</v>
      </c>
      <c r="K372" s="35" t="s">
        <v>41</v>
      </c>
      <c r="L372" s="37"/>
      <c r="M372" s="37"/>
      <c r="N372" s="34"/>
      <c r="O372" s="34"/>
      <c r="P372" s="34"/>
      <c r="Q372" s="34"/>
      <c r="R372" s="35" t="s">
        <v>3563</v>
      </c>
      <c r="S372" s="35" t="s">
        <v>4648</v>
      </c>
      <c r="T372" s="35" t="s">
        <v>7056</v>
      </c>
      <c r="U372" s="34"/>
      <c r="V372" s="35" t="s">
        <v>7057</v>
      </c>
      <c r="W372" s="34"/>
      <c r="X372" s="35" t="s">
        <v>4923</v>
      </c>
      <c r="Y372" s="32">
        <v>2.0</v>
      </c>
      <c r="Z372" s="40" t="s">
        <v>3559</v>
      </c>
    </row>
    <row r="373">
      <c r="A373" s="42" t="s">
        <v>7069</v>
      </c>
      <c r="B373" s="42" t="s">
        <v>7062</v>
      </c>
      <c r="C373" s="42" t="s">
        <v>7064</v>
      </c>
      <c r="D373" s="42" t="s">
        <v>1407</v>
      </c>
      <c r="E373" s="42" t="s">
        <v>10011</v>
      </c>
      <c r="F373" s="42" t="s">
        <v>7071</v>
      </c>
      <c r="G373" s="43"/>
      <c r="H373" s="42" t="s">
        <v>1407</v>
      </c>
      <c r="I373" s="43"/>
      <c r="J373" s="45"/>
      <c r="K373" s="42" t="s">
        <v>41</v>
      </c>
      <c r="L373" s="45" t="str">
        <f>+972 (0)3 538 3838</f>
        <v>#ERROR!</v>
      </c>
      <c r="M373" s="45"/>
      <c r="N373" s="43"/>
      <c r="O373" s="43"/>
      <c r="P373" s="43"/>
      <c r="Q373" s="43"/>
      <c r="R373" s="42" t="s">
        <v>3867</v>
      </c>
      <c r="S373" s="42" t="s">
        <v>7065</v>
      </c>
      <c r="T373" s="42" t="s">
        <v>7066</v>
      </c>
      <c r="U373" s="42" t="s">
        <v>5736</v>
      </c>
      <c r="V373" s="42" t="s">
        <v>10475</v>
      </c>
      <c r="W373" s="43"/>
      <c r="X373" s="42" t="s">
        <v>4962</v>
      </c>
      <c r="Y373" s="45"/>
      <c r="Z373" s="48" t="s">
        <v>3559</v>
      </c>
    </row>
    <row r="374">
      <c r="A374" s="35" t="s">
        <v>7079</v>
      </c>
      <c r="B374" s="35" t="s">
        <v>7074</v>
      </c>
      <c r="C374" s="35" t="s">
        <v>7076</v>
      </c>
      <c r="D374" s="35" t="s">
        <v>41</v>
      </c>
      <c r="E374" s="35" t="s">
        <v>10011</v>
      </c>
      <c r="F374" s="34"/>
      <c r="G374" s="34"/>
      <c r="H374" s="34"/>
      <c r="I374" s="34"/>
      <c r="J374" s="37"/>
      <c r="K374" s="35" t="s">
        <v>41</v>
      </c>
      <c r="L374" s="37"/>
      <c r="M374" s="37"/>
      <c r="N374" s="34"/>
      <c r="O374" s="34"/>
      <c r="P374" s="34"/>
      <c r="Q374" s="34"/>
      <c r="R374" s="35" t="s">
        <v>3563</v>
      </c>
      <c r="S374" s="35" t="s">
        <v>3609</v>
      </c>
      <c r="T374" s="35" t="s">
        <v>4050</v>
      </c>
      <c r="U374" s="35" t="s">
        <v>7077</v>
      </c>
      <c r="V374" s="35" t="s">
        <v>10389</v>
      </c>
      <c r="W374" s="35" t="s">
        <v>5222</v>
      </c>
      <c r="X374" s="35" t="s">
        <v>4923</v>
      </c>
      <c r="Y374" s="32">
        <v>2.0</v>
      </c>
      <c r="Z374" s="40" t="s">
        <v>3559</v>
      </c>
    </row>
    <row r="375">
      <c r="A375" s="42" t="s">
        <v>7086</v>
      </c>
      <c r="B375" s="42" t="s">
        <v>7081</v>
      </c>
      <c r="C375" s="42" t="s">
        <v>7082</v>
      </c>
      <c r="D375" s="42" t="s">
        <v>7096</v>
      </c>
      <c r="E375" s="42" t="s">
        <v>10011</v>
      </c>
      <c r="F375" s="42" t="s">
        <v>7094</v>
      </c>
      <c r="G375" s="42" t="s">
        <v>7095</v>
      </c>
      <c r="H375" s="42" t="s">
        <v>7096</v>
      </c>
      <c r="I375" s="43"/>
      <c r="J375" s="41">
        <v>7177908.0</v>
      </c>
      <c r="K375" s="42" t="s">
        <v>41</v>
      </c>
      <c r="L375" s="45" t="str">
        <f>+972 (0)3 375 1705</f>
        <v>#ERROR!</v>
      </c>
      <c r="M375" s="45" t="str">
        <f>+972 (0)8 679 8501</f>
        <v>#ERROR!</v>
      </c>
      <c r="N375" s="42" t="s">
        <v>2822</v>
      </c>
      <c r="O375" s="42" t="s">
        <v>7091</v>
      </c>
      <c r="P375" s="42" t="s">
        <v>7092</v>
      </c>
      <c r="Q375" s="43"/>
      <c r="R375" s="42" t="s">
        <v>3563</v>
      </c>
      <c r="S375" s="42" t="s">
        <v>3564</v>
      </c>
      <c r="T375" s="42" t="s">
        <v>3565</v>
      </c>
      <c r="U375" s="42" t="s">
        <v>7084</v>
      </c>
      <c r="V375" s="42" t="s">
        <v>10476</v>
      </c>
      <c r="W375" s="42" t="s">
        <v>3571</v>
      </c>
      <c r="X375" s="42" t="s">
        <v>3569</v>
      </c>
      <c r="Y375" s="41">
        <v>2.0</v>
      </c>
      <c r="Z375" s="48" t="s">
        <v>3559</v>
      </c>
    </row>
    <row r="376">
      <c r="A376" s="35" t="s">
        <v>7086</v>
      </c>
      <c r="B376" s="35" t="s">
        <v>7081</v>
      </c>
      <c r="C376" s="35" t="s">
        <v>7082</v>
      </c>
      <c r="D376" s="35" t="s">
        <v>75</v>
      </c>
      <c r="E376" s="35" t="s">
        <v>10008</v>
      </c>
      <c r="F376" s="35" t="s">
        <v>10477</v>
      </c>
      <c r="G376" s="34"/>
      <c r="H376" s="35" t="s">
        <v>75</v>
      </c>
      <c r="I376" s="34"/>
      <c r="J376" s="32">
        <v>6971072.0</v>
      </c>
      <c r="K376" s="35" t="s">
        <v>41</v>
      </c>
      <c r="L376" s="37" t="str">
        <f>+972 (0)8 679 8500</f>
        <v>#ERROR!</v>
      </c>
      <c r="M376" s="37" t="str">
        <f>+972 (0)8 679 8501</f>
        <v>#ERROR!</v>
      </c>
      <c r="N376" s="35" t="s">
        <v>2822</v>
      </c>
      <c r="O376" s="35" t="s">
        <v>7091</v>
      </c>
      <c r="P376" s="35" t="s">
        <v>7092</v>
      </c>
      <c r="Q376" s="34"/>
      <c r="R376" s="35" t="s">
        <v>3563</v>
      </c>
      <c r="S376" s="35" t="s">
        <v>3564</v>
      </c>
      <c r="T376" s="35" t="s">
        <v>3565</v>
      </c>
      <c r="U376" s="35" t="s">
        <v>7084</v>
      </c>
      <c r="V376" s="35" t="s">
        <v>10476</v>
      </c>
      <c r="W376" s="35" t="s">
        <v>3571</v>
      </c>
      <c r="X376" s="35" t="s">
        <v>3569</v>
      </c>
      <c r="Y376" s="32">
        <v>2.0</v>
      </c>
      <c r="Z376" s="40" t="s">
        <v>3559</v>
      </c>
    </row>
    <row r="377">
      <c r="A377" s="42" t="s">
        <v>7086</v>
      </c>
      <c r="B377" s="42" t="s">
        <v>7081</v>
      </c>
      <c r="C377" s="42" t="s">
        <v>7082</v>
      </c>
      <c r="D377" s="42" t="s">
        <v>60</v>
      </c>
      <c r="E377" s="42" t="s">
        <v>10008</v>
      </c>
      <c r="F377" s="43"/>
      <c r="G377" s="43"/>
      <c r="H377" s="43"/>
      <c r="I377" s="43"/>
      <c r="J377" s="45"/>
      <c r="K377" s="42" t="s">
        <v>60</v>
      </c>
      <c r="L377" s="45" t="str">
        <f>+1 (650) 924-9025</f>
        <v>#ERROR!</v>
      </c>
      <c r="M377" s="45"/>
      <c r="N377" s="42" t="s">
        <v>2822</v>
      </c>
      <c r="O377" s="42" t="s">
        <v>7091</v>
      </c>
      <c r="P377" s="42" t="s">
        <v>7092</v>
      </c>
      <c r="Q377" s="43"/>
      <c r="R377" s="42" t="s">
        <v>3563</v>
      </c>
      <c r="S377" s="42" t="s">
        <v>3564</v>
      </c>
      <c r="T377" s="42" t="s">
        <v>3565</v>
      </c>
      <c r="U377" s="42" t="s">
        <v>7084</v>
      </c>
      <c r="V377" s="42" t="s">
        <v>10476</v>
      </c>
      <c r="W377" s="42" t="s">
        <v>3571</v>
      </c>
      <c r="X377" s="42" t="s">
        <v>3569</v>
      </c>
      <c r="Y377" s="41">
        <v>2.0</v>
      </c>
      <c r="Z377" s="48" t="s">
        <v>3559</v>
      </c>
    </row>
    <row r="378">
      <c r="A378" s="35" t="s">
        <v>7107</v>
      </c>
      <c r="B378" s="35" t="s">
        <v>7104</v>
      </c>
      <c r="C378" s="35" t="s">
        <v>7105</v>
      </c>
      <c r="D378" s="35" t="s">
        <v>485</v>
      </c>
      <c r="E378" s="35" t="s">
        <v>10011</v>
      </c>
      <c r="F378" s="34"/>
      <c r="G378" s="34"/>
      <c r="H378" s="35" t="s">
        <v>485</v>
      </c>
      <c r="I378" s="34"/>
      <c r="J378" s="37"/>
      <c r="K378" s="35" t="s">
        <v>41</v>
      </c>
      <c r="L378" s="37"/>
      <c r="M378" s="37"/>
      <c r="N378" s="34"/>
      <c r="O378" s="34"/>
      <c r="P378" s="34"/>
      <c r="Q378" s="34"/>
      <c r="R378" s="35" t="s">
        <v>3867</v>
      </c>
      <c r="S378" s="35" t="s">
        <v>3868</v>
      </c>
      <c r="T378" s="35" t="s">
        <v>3869</v>
      </c>
      <c r="U378" s="35" t="s">
        <v>6762</v>
      </c>
      <c r="V378" s="35" t="s">
        <v>10081</v>
      </c>
      <c r="W378" s="35" t="s">
        <v>3571</v>
      </c>
      <c r="X378" s="35" t="s">
        <v>4962</v>
      </c>
      <c r="Y378" s="37"/>
      <c r="Z378" s="40" t="s">
        <v>3559</v>
      </c>
    </row>
    <row r="379">
      <c r="A379" s="42" t="s">
        <v>7118</v>
      </c>
      <c r="B379" s="42" t="s">
        <v>7113</v>
      </c>
      <c r="C379" s="42" t="s">
        <v>7115</v>
      </c>
      <c r="D379" s="42" t="s">
        <v>7125</v>
      </c>
      <c r="E379" s="42" t="s">
        <v>10011</v>
      </c>
      <c r="F379" s="42" t="s">
        <v>7124</v>
      </c>
      <c r="G379" s="43"/>
      <c r="H379" s="42" t="s">
        <v>7125</v>
      </c>
      <c r="I379" s="43"/>
      <c r="J379" s="45"/>
      <c r="K379" s="42" t="s">
        <v>41</v>
      </c>
      <c r="L379" s="45" t="str">
        <f>+972 (0)50 524 4185</f>
        <v>#ERROR!</v>
      </c>
      <c r="M379" s="45" t="str">
        <f>+972 (0)4 637 9644</f>
        <v>#ERROR!</v>
      </c>
      <c r="N379" s="43"/>
      <c r="O379" s="42" t="s">
        <v>7121</v>
      </c>
      <c r="P379" s="42" t="s">
        <v>7122</v>
      </c>
      <c r="Q379" s="43"/>
      <c r="R379" s="42" t="s">
        <v>3867</v>
      </c>
      <c r="S379" s="42" t="s">
        <v>3868</v>
      </c>
      <c r="T379" s="42" t="s">
        <v>3869</v>
      </c>
      <c r="U379" s="43"/>
      <c r="V379" s="42" t="s">
        <v>10478</v>
      </c>
      <c r="W379" s="42" t="s">
        <v>3571</v>
      </c>
      <c r="X379" s="42" t="s">
        <v>4923</v>
      </c>
      <c r="Y379" s="45"/>
      <c r="Z379" s="48" t="s">
        <v>3559</v>
      </c>
    </row>
    <row r="380">
      <c r="A380" s="35" t="s">
        <v>7130</v>
      </c>
      <c r="B380" s="35" t="s">
        <v>7127</v>
      </c>
      <c r="C380" s="35" t="s">
        <v>7128</v>
      </c>
      <c r="D380" s="35" t="s">
        <v>7132</v>
      </c>
      <c r="E380" s="35" t="s">
        <v>10011</v>
      </c>
      <c r="F380" s="34"/>
      <c r="G380" s="34"/>
      <c r="H380" s="35" t="s">
        <v>7132</v>
      </c>
      <c r="I380" s="34"/>
      <c r="J380" s="37"/>
      <c r="K380" s="35" t="s">
        <v>41</v>
      </c>
      <c r="L380" s="37"/>
      <c r="M380" s="37"/>
      <c r="N380" s="34"/>
      <c r="O380" s="34"/>
      <c r="P380" s="34"/>
      <c r="Q380" s="34"/>
      <c r="R380" s="35" t="s">
        <v>3867</v>
      </c>
      <c r="S380" s="35" t="s">
        <v>3868</v>
      </c>
      <c r="T380" s="35" t="s">
        <v>3869</v>
      </c>
      <c r="U380" s="35" t="s">
        <v>4986</v>
      </c>
      <c r="V380" s="35" t="s">
        <v>10478</v>
      </c>
      <c r="W380" s="35" t="s">
        <v>3571</v>
      </c>
      <c r="X380" s="35" t="s">
        <v>4962</v>
      </c>
      <c r="Y380" s="37"/>
      <c r="Z380" s="40" t="s">
        <v>3559</v>
      </c>
    </row>
    <row r="381">
      <c r="A381" s="42" t="s">
        <v>7144</v>
      </c>
      <c r="B381" s="42" t="s">
        <v>10479</v>
      </c>
      <c r="C381" s="42" t="s">
        <v>7140</v>
      </c>
      <c r="D381" s="42" t="s">
        <v>10223</v>
      </c>
      <c r="E381" s="42" t="s">
        <v>10008</v>
      </c>
      <c r="F381" s="43"/>
      <c r="G381" s="43"/>
      <c r="H381" s="43"/>
      <c r="I381" s="43"/>
      <c r="J381" s="45"/>
      <c r="K381" s="42" t="s">
        <v>10223</v>
      </c>
      <c r="L381" s="45"/>
      <c r="M381" s="45"/>
      <c r="N381" s="42" t="s">
        <v>10480</v>
      </c>
      <c r="O381" s="42" t="s">
        <v>7150</v>
      </c>
      <c r="P381" s="42" t="s">
        <v>7151</v>
      </c>
      <c r="Q381" s="43"/>
      <c r="R381" s="42" t="s">
        <v>3563</v>
      </c>
      <c r="S381" s="42" t="s">
        <v>3609</v>
      </c>
      <c r="T381" s="42" t="s">
        <v>3610</v>
      </c>
      <c r="U381" s="42" t="s">
        <v>7142</v>
      </c>
      <c r="V381" s="42" t="s">
        <v>10481</v>
      </c>
      <c r="W381" s="42" t="s">
        <v>5412</v>
      </c>
      <c r="X381" s="42" t="s">
        <v>5018</v>
      </c>
      <c r="Y381" s="41">
        <v>415.0</v>
      </c>
      <c r="Z381" s="48" t="s">
        <v>3559</v>
      </c>
    </row>
    <row r="382">
      <c r="A382" s="35" t="s">
        <v>7144</v>
      </c>
      <c r="B382" s="35" t="s">
        <v>10479</v>
      </c>
      <c r="C382" s="35" t="s">
        <v>7140</v>
      </c>
      <c r="D382" s="35" t="s">
        <v>465</v>
      </c>
      <c r="E382" s="35" t="s">
        <v>10008</v>
      </c>
      <c r="F382" s="34"/>
      <c r="G382" s="34"/>
      <c r="H382" s="34"/>
      <c r="I382" s="34"/>
      <c r="J382" s="37"/>
      <c r="K382" s="35" t="s">
        <v>465</v>
      </c>
      <c r="L382" s="37"/>
      <c r="M382" s="37"/>
      <c r="N382" s="35" t="s">
        <v>10480</v>
      </c>
      <c r="O382" s="35" t="s">
        <v>7150</v>
      </c>
      <c r="P382" s="35" t="s">
        <v>7151</v>
      </c>
      <c r="Q382" s="34"/>
      <c r="R382" s="35" t="s">
        <v>3563</v>
      </c>
      <c r="S382" s="35" t="s">
        <v>3609</v>
      </c>
      <c r="T382" s="35" t="s">
        <v>3610</v>
      </c>
      <c r="U382" s="35" t="s">
        <v>7142</v>
      </c>
      <c r="V382" s="35" t="s">
        <v>10481</v>
      </c>
      <c r="W382" s="35" t="s">
        <v>5412</v>
      </c>
      <c r="X382" s="35" t="s">
        <v>5018</v>
      </c>
      <c r="Y382" s="32">
        <v>415.0</v>
      </c>
      <c r="Z382" s="40" t="s">
        <v>3559</v>
      </c>
    </row>
    <row r="383">
      <c r="A383" s="42" t="s">
        <v>7144</v>
      </c>
      <c r="B383" s="42" t="s">
        <v>10479</v>
      </c>
      <c r="C383" s="42" t="s">
        <v>7140</v>
      </c>
      <c r="D383" s="42" t="s">
        <v>10028</v>
      </c>
      <c r="E383" s="42" t="s">
        <v>10008</v>
      </c>
      <c r="F383" s="43"/>
      <c r="G383" s="43"/>
      <c r="H383" s="43"/>
      <c r="I383" s="43"/>
      <c r="J383" s="45"/>
      <c r="K383" s="42" t="s">
        <v>10028</v>
      </c>
      <c r="L383" s="45"/>
      <c r="M383" s="45"/>
      <c r="N383" s="42" t="s">
        <v>10480</v>
      </c>
      <c r="O383" s="42" t="s">
        <v>7150</v>
      </c>
      <c r="P383" s="42" t="s">
        <v>7151</v>
      </c>
      <c r="Q383" s="43"/>
      <c r="R383" s="42" t="s">
        <v>3563</v>
      </c>
      <c r="S383" s="42" t="s">
        <v>3609</v>
      </c>
      <c r="T383" s="42" t="s">
        <v>3610</v>
      </c>
      <c r="U383" s="42" t="s">
        <v>7142</v>
      </c>
      <c r="V383" s="42" t="s">
        <v>10481</v>
      </c>
      <c r="W383" s="42" t="s">
        <v>5412</v>
      </c>
      <c r="X383" s="42" t="s">
        <v>5018</v>
      </c>
      <c r="Y383" s="41">
        <v>415.0</v>
      </c>
      <c r="Z383" s="48" t="s">
        <v>3559</v>
      </c>
    </row>
    <row r="384">
      <c r="A384" s="35" t="s">
        <v>7144</v>
      </c>
      <c r="B384" s="35" t="s">
        <v>10479</v>
      </c>
      <c r="C384" s="35" t="s">
        <v>7140</v>
      </c>
      <c r="D384" s="35" t="s">
        <v>10143</v>
      </c>
      <c r="E384" s="35" t="s">
        <v>10011</v>
      </c>
      <c r="F384" s="35" t="s">
        <v>7153</v>
      </c>
      <c r="G384" s="35" t="s">
        <v>7154</v>
      </c>
      <c r="H384" s="35" t="s">
        <v>1928</v>
      </c>
      <c r="I384" s="34"/>
      <c r="J384" s="32">
        <v>4809202.0</v>
      </c>
      <c r="K384" s="35" t="s">
        <v>41</v>
      </c>
      <c r="L384" s="37" t="str">
        <f>+972 (0)74 700 3692</f>
        <v>#ERROR!</v>
      </c>
      <c r="M384" s="37"/>
      <c r="N384" s="35" t="s">
        <v>7155</v>
      </c>
      <c r="O384" s="35" t="s">
        <v>7150</v>
      </c>
      <c r="P384" s="35" t="s">
        <v>7151</v>
      </c>
      <c r="Q384" s="34"/>
      <c r="R384" s="35" t="s">
        <v>3563</v>
      </c>
      <c r="S384" s="35" t="s">
        <v>3609</v>
      </c>
      <c r="T384" s="35" t="s">
        <v>3610</v>
      </c>
      <c r="U384" s="35" t="s">
        <v>7142</v>
      </c>
      <c r="V384" s="35" t="s">
        <v>10481</v>
      </c>
      <c r="W384" s="35" t="s">
        <v>5412</v>
      </c>
      <c r="X384" s="35" t="s">
        <v>5018</v>
      </c>
      <c r="Y384" s="32">
        <v>415.0</v>
      </c>
      <c r="Z384" s="40" t="s">
        <v>3559</v>
      </c>
    </row>
    <row r="385">
      <c r="A385" s="42" t="s">
        <v>7144</v>
      </c>
      <c r="B385" s="42" t="s">
        <v>10479</v>
      </c>
      <c r="C385" s="42" t="s">
        <v>7140</v>
      </c>
      <c r="D385" s="42" t="s">
        <v>60</v>
      </c>
      <c r="E385" s="42" t="s">
        <v>10008</v>
      </c>
      <c r="F385" s="43"/>
      <c r="G385" s="43"/>
      <c r="H385" s="43"/>
      <c r="I385" s="43"/>
      <c r="J385" s="45"/>
      <c r="K385" s="42" t="s">
        <v>60</v>
      </c>
      <c r="L385" s="45"/>
      <c r="M385" s="45"/>
      <c r="N385" s="42" t="s">
        <v>10480</v>
      </c>
      <c r="O385" s="42" t="s">
        <v>7150</v>
      </c>
      <c r="P385" s="42" t="s">
        <v>7151</v>
      </c>
      <c r="Q385" s="43"/>
      <c r="R385" s="42" t="s">
        <v>3563</v>
      </c>
      <c r="S385" s="42" t="s">
        <v>3609</v>
      </c>
      <c r="T385" s="42" t="s">
        <v>3610</v>
      </c>
      <c r="U385" s="42" t="s">
        <v>7142</v>
      </c>
      <c r="V385" s="42" t="s">
        <v>10481</v>
      </c>
      <c r="W385" s="42" t="s">
        <v>5412</v>
      </c>
      <c r="X385" s="42" t="s">
        <v>5018</v>
      </c>
      <c r="Y385" s="41">
        <v>415.0</v>
      </c>
      <c r="Z385" s="48" t="s">
        <v>3559</v>
      </c>
    </row>
    <row r="386">
      <c r="A386" s="35" t="s">
        <v>7169</v>
      </c>
      <c r="B386" s="35" t="s">
        <v>7165</v>
      </c>
      <c r="C386" s="35" t="s">
        <v>7167</v>
      </c>
      <c r="D386" s="35" t="s">
        <v>616</v>
      </c>
      <c r="E386" s="35" t="s">
        <v>10011</v>
      </c>
      <c r="F386" s="35" t="s">
        <v>7171</v>
      </c>
      <c r="G386" s="34"/>
      <c r="H386" s="35" t="s">
        <v>616</v>
      </c>
      <c r="I386" s="34"/>
      <c r="J386" s="32">
        <v>52523.0</v>
      </c>
      <c r="K386" s="35" t="s">
        <v>41</v>
      </c>
      <c r="L386" s="37" t="str">
        <f>+972 (0)74 702 0972</f>
        <v>#ERROR!</v>
      </c>
      <c r="M386" s="37" t="str">
        <f>+972 (0)3 761 7182</f>
        <v>#ERROR!</v>
      </c>
      <c r="N386" s="35" t="s">
        <v>7172</v>
      </c>
      <c r="O386" s="34"/>
      <c r="P386" s="34"/>
      <c r="Q386" s="34"/>
      <c r="R386" s="35" t="s">
        <v>4560</v>
      </c>
      <c r="S386" s="35" t="s">
        <v>4561</v>
      </c>
      <c r="T386" s="35" t="s">
        <v>66</v>
      </c>
      <c r="U386" s="35" t="s">
        <v>5513</v>
      </c>
      <c r="V386" s="35" t="s">
        <v>10469</v>
      </c>
      <c r="W386" s="35" t="s">
        <v>3571</v>
      </c>
      <c r="X386" s="35" t="s">
        <v>5018</v>
      </c>
      <c r="Y386" s="37"/>
      <c r="Z386" s="40" t="s">
        <v>3559</v>
      </c>
    </row>
    <row r="387">
      <c r="A387" s="42" t="s">
        <v>7185</v>
      </c>
      <c r="B387" s="42" t="s">
        <v>7180</v>
      </c>
      <c r="C387" s="42" t="s">
        <v>7182</v>
      </c>
      <c r="D387" s="42" t="s">
        <v>147</v>
      </c>
      <c r="E387" s="42" t="s">
        <v>10011</v>
      </c>
      <c r="F387" s="42" t="s">
        <v>7192</v>
      </c>
      <c r="G387" s="43"/>
      <c r="H387" s="42" t="s">
        <v>147</v>
      </c>
      <c r="I387" s="43"/>
      <c r="J387" s="41">
        <v>91036.0</v>
      </c>
      <c r="K387" s="42" t="s">
        <v>41</v>
      </c>
      <c r="L387" s="45"/>
      <c r="M387" s="45"/>
      <c r="N387" s="43"/>
      <c r="O387" s="42" t="s">
        <v>7189</v>
      </c>
      <c r="P387" s="42" t="s">
        <v>7190</v>
      </c>
      <c r="Q387" s="43"/>
      <c r="R387" s="42" t="s">
        <v>3867</v>
      </c>
      <c r="S387" s="42" t="s">
        <v>3897</v>
      </c>
      <c r="T387" s="42" t="s">
        <v>5092</v>
      </c>
      <c r="U387" s="43"/>
      <c r="V387" s="42" t="s">
        <v>10482</v>
      </c>
      <c r="W387" s="42" t="s">
        <v>3571</v>
      </c>
      <c r="X387" s="42" t="s">
        <v>4923</v>
      </c>
      <c r="Y387" s="45"/>
      <c r="Z387" s="48" t="s">
        <v>3559</v>
      </c>
    </row>
    <row r="388">
      <c r="A388" s="35" t="s">
        <v>7204</v>
      </c>
      <c r="B388" s="35" t="s">
        <v>9079</v>
      </c>
      <c r="C388" s="35" t="s">
        <v>7200</v>
      </c>
      <c r="D388" s="35" t="s">
        <v>75</v>
      </c>
      <c r="E388" s="35" t="s">
        <v>10011</v>
      </c>
      <c r="F388" s="35" t="s">
        <v>7213</v>
      </c>
      <c r="G388" s="34"/>
      <c r="H388" s="35" t="s">
        <v>75</v>
      </c>
      <c r="I388" s="34"/>
      <c r="J388" s="32">
        <v>6721503.0</v>
      </c>
      <c r="K388" s="35" t="s">
        <v>41</v>
      </c>
      <c r="L388" s="37" t="str">
        <f>+972 (0)3 510 9589</f>
        <v>#ERROR!</v>
      </c>
      <c r="M388" s="37" t="str">
        <f>+972 (0)3 795 4051</f>
        <v>#ERROR!</v>
      </c>
      <c r="N388" s="34"/>
      <c r="O388" s="35" t="s">
        <v>7211</v>
      </c>
      <c r="P388" s="35" t="s">
        <v>4093</v>
      </c>
      <c r="Q388" s="34"/>
      <c r="R388" s="35" t="s">
        <v>4560</v>
      </c>
      <c r="S388" s="35" t="s">
        <v>4561</v>
      </c>
      <c r="T388" s="35" t="s">
        <v>5057</v>
      </c>
      <c r="U388" s="35" t="s">
        <v>5736</v>
      </c>
      <c r="V388" s="35" t="s">
        <v>10483</v>
      </c>
      <c r="W388" s="35" t="s">
        <v>5750</v>
      </c>
      <c r="X388" s="35" t="s">
        <v>7203</v>
      </c>
      <c r="Y388" s="32">
        <v>841.0</v>
      </c>
      <c r="Z388" s="40" t="s">
        <v>3559</v>
      </c>
    </row>
    <row r="389">
      <c r="A389" s="42" t="s">
        <v>7230</v>
      </c>
      <c r="B389" s="42" t="s">
        <v>7226</v>
      </c>
      <c r="C389" s="42" t="s">
        <v>7227</v>
      </c>
      <c r="D389" s="42" t="s">
        <v>41</v>
      </c>
      <c r="E389" s="42" t="s">
        <v>10011</v>
      </c>
      <c r="F389" s="43"/>
      <c r="G389" s="43"/>
      <c r="H389" s="43"/>
      <c r="I389" s="43"/>
      <c r="J389" s="45"/>
      <c r="K389" s="42" t="s">
        <v>41</v>
      </c>
      <c r="L389" s="45"/>
      <c r="M389" s="45"/>
      <c r="N389" s="43"/>
      <c r="O389" s="43"/>
      <c r="P389" s="43"/>
      <c r="Q389" s="43"/>
      <c r="R389" s="42" t="s">
        <v>4560</v>
      </c>
      <c r="S389" s="42" t="s">
        <v>6452</v>
      </c>
      <c r="T389" s="42" t="s">
        <v>6453</v>
      </c>
      <c r="U389" s="43"/>
      <c r="V389" s="42" t="s">
        <v>10484</v>
      </c>
      <c r="W389" s="42" t="s">
        <v>3571</v>
      </c>
      <c r="X389" s="42" t="s">
        <v>4962</v>
      </c>
      <c r="Y389" s="45"/>
      <c r="Z389" s="48" t="s">
        <v>3559</v>
      </c>
    </row>
    <row r="390">
      <c r="A390" s="35" t="s">
        <v>7241</v>
      </c>
      <c r="B390" s="35" t="s">
        <v>6484</v>
      </c>
      <c r="C390" s="35" t="s">
        <v>7238</v>
      </c>
      <c r="D390" s="35" t="s">
        <v>7250</v>
      </c>
      <c r="E390" s="35" t="s">
        <v>10011</v>
      </c>
      <c r="F390" s="35" t="s">
        <v>7249</v>
      </c>
      <c r="G390" s="34"/>
      <c r="H390" s="35" t="s">
        <v>7250</v>
      </c>
      <c r="I390" s="34"/>
      <c r="J390" s="32">
        <v>5800182.0</v>
      </c>
      <c r="K390" s="35" t="s">
        <v>41</v>
      </c>
      <c r="L390" s="37" t="str">
        <f>+972 (0)3 557 1314</f>
        <v>#ERROR!</v>
      </c>
      <c r="M390" s="37" t="str">
        <f>+972 (0)3 557 1327</f>
        <v>#ERROR!</v>
      </c>
      <c r="N390" s="34"/>
      <c r="O390" s="35" t="s">
        <v>7247</v>
      </c>
      <c r="P390" s="35" t="s">
        <v>4033</v>
      </c>
      <c r="Q390" s="34"/>
      <c r="R390" s="35" t="s">
        <v>3563</v>
      </c>
      <c r="S390" s="35" t="s">
        <v>3564</v>
      </c>
      <c r="T390" s="35" t="s">
        <v>3565</v>
      </c>
      <c r="U390" s="35" t="s">
        <v>7240</v>
      </c>
      <c r="V390" s="35" t="s">
        <v>10485</v>
      </c>
      <c r="W390" s="35" t="s">
        <v>5750</v>
      </c>
      <c r="X390" s="35" t="s">
        <v>4923</v>
      </c>
      <c r="Y390" s="32">
        <v>2800.0</v>
      </c>
      <c r="Z390" s="40" t="s">
        <v>3559</v>
      </c>
    </row>
    <row r="391">
      <c r="A391" s="42" t="s">
        <v>7262</v>
      </c>
      <c r="B391" s="42" t="s">
        <v>7256</v>
      </c>
      <c r="C391" s="42" t="s">
        <v>7258</v>
      </c>
      <c r="D391" s="42" t="s">
        <v>75</v>
      </c>
      <c r="E391" s="42" t="s">
        <v>10011</v>
      </c>
      <c r="F391" s="42" t="s">
        <v>7264</v>
      </c>
      <c r="G391" s="43"/>
      <c r="H391" s="42" t="s">
        <v>75</v>
      </c>
      <c r="I391" s="43"/>
      <c r="J391" s="45"/>
      <c r="K391" s="42" t="s">
        <v>41</v>
      </c>
      <c r="L391" s="45"/>
      <c r="M391" s="45"/>
      <c r="N391" s="43"/>
      <c r="O391" s="43"/>
      <c r="P391" s="43"/>
      <c r="Q391" s="43"/>
      <c r="R391" s="42" t="s">
        <v>4560</v>
      </c>
      <c r="S391" s="42" t="s">
        <v>6034</v>
      </c>
      <c r="T391" s="42" t="s">
        <v>6035</v>
      </c>
      <c r="U391" s="42" t="s">
        <v>7260</v>
      </c>
      <c r="V391" s="42" t="s">
        <v>10486</v>
      </c>
      <c r="W391" s="42" t="s">
        <v>5222</v>
      </c>
      <c r="X391" s="42" t="s">
        <v>5018</v>
      </c>
      <c r="Y391" s="45"/>
      <c r="Z391" s="48" t="s">
        <v>3559</v>
      </c>
    </row>
    <row r="392">
      <c r="A392" s="35" t="s">
        <v>7272</v>
      </c>
      <c r="B392" s="35" t="s">
        <v>7270</v>
      </c>
      <c r="C392" s="35" t="s">
        <v>7271</v>
      </c>
      <c r="D392" s="35" t="s">
        <v>8043</v>
      </c>
      <c r="E392" s="35" t="s">
        <v>10011</v>
      </c>
      <c r="F392" s="34"/>
      <c r="G392" s="34"/>
      <c r="H392" s="35" t="s">
        <v>75</v>
      </c>
      <c r="I392" s="34"/>
      <c r="J392" s="37"/>
      <c r="K392" s="35" t="s">
        <v>41</v>
      </c>
      <c r="L392" s="37"/>
      <c r="M392" s="37"/>
      <c r="N392" s="34"/>
      <c r="O392" s="34"/>
      <c r="P392" s="34"/>
      <c r="Q392" s="34"/>
      <c r="R392" s="35" t="s">
        <v>3563</v>
      </c>
      <c r="S392" s="35" t="s">
        <v>3564</v>
      </c>
      <c r="T392" s="35" t="s">
        <v>5583</v>
      </c>
      <c r="U392" s="34"/>
      <c r="V392" s="35" t="s">
        <v>5584</v>
      </c>
      <c r="W392" s="34"/>
      <c r="X392" s="35" t="s">
        <v>4923</v>
      </c>
      <c r="Y392" s="32">
        <v>5.0</v>
      </c>
      <c r="Z392" s="40" t="s">
        <v>3559</v>
      </c>
    </row>
    <row r="393">
      <c r="A393" s="42" t="s">
        <v>7281</v>
      </c>
      <c r="B393" s="42" t="s">
        <v>7277</v>
      </c>
      <c r="C393" s="42" t="s">
        <v>7278</v>
      </c>
      <c r="D393" s="42" t="s">
        <v>616</v>
      </c>
      <c r="E393" s="42" t="s">
        <v>10011</v>
      </c>
      <c r="F393" s="42" t="s">
        <v>7283</v>
      </c>
      <c r="G393" s="43"/>
      <c r="H393" s="42" t="s">
        <v>616</v>
      </c>
      <c r="I393" s="43"/>
      <c r="J393" s="41">
        <v>5221550.0</v>
      </c>
      <c r="K393" s="42" t="s">
        <v>41</v>
      </c>
      <c r="L393" s="45" t="str">
        <f>+972 (0)3 529 5790</f>
        <v>#ERROR!</v>
      </c>
      <c r="M393" s="45"/>
      <c r="N393" s="42" t="s">
        <v>7284</v>
      </c>
      <c r="O393" s="43"/>
      <c r="P393" s="43"/>
      <c r="Q393" s="43"/>
      <c r="R393" s="42" t="s">
        <v>4560</v>
      </c>
      <c r="S393" s="42" t="s">
        <v>4561</v>
      </c>
      <c r="T393" s="42" t="s">
        <v>66</v>
      </c>
      <c r="U393" s="42" t="s">
        <v>7279</v>
      </c>
      <c r="V393" s="42" t="s">
        <v>4562</v>
      </c>
      <c r="W393" s="42" t="s">
        <v>5222</v>
      </c>
      <c r="X393" s="42" t="s">
        <v>4923</v>
      </c>
      <c r="Y393" s="45"/>
      <c r="Z393" s="48" t="s">
        <v>3559</v>
      </c>
    </row>
    <row r="394">
      <c r="A394" s="35" t="s">
        <v>7289</v>
      </c>
      <c r="B394" s="35" t="s">
        <v>2670</v>
      </c>
      <c r="C394" s="35" t="s">
        <v>7286</v>
      </c>
      <c r="D394" s="35" t="s">
        <v>41</v>
      </c>
      <c r="E394" s="35" t="s">
        <v>10011</v>
      </c>
      <c r="F394" s="34"/>
      <c r="G394" s="34"/>
      <c r="H394" s="34"/>
      <c r="I394" s="34"/>
      <c r="J394" s="37"/>
      <c r="K394" s="35" t="s">
        <v>41</v>
      </c>
      <c r="L394" s="37" t="str">
        <f>+972 (0)8 648 4849</f>
        <v>#ERROR!</v>
      </c>
      <c r="M394" s="37"/>
      <c r="N394" s="35" t="s">
        <v>2674</v>
      </c>
      <c r="O394" s="34"/>
      <c r="P394" s="34"/>
      <c r="Q394" s="34"/>
      <c r="R394" s="35" t="s">
        <v>4560</v>
      </c>
      <c r="S394" s="35" t="s">
        <v>4561</v>
      </c>
      <c r="T394" s="35" t="s">
        <v>66</v>
      </c>
      <c r="U394" s="35" t="s">
        <v>7287</v>
      </c>
      <c r="V394" s="35" t="s">
        <v>4562</v>
      </c>
      <c r="W394" s="35" t="s">
        <v>3571</v>
      </c>
      <c r="X394" s="35" t="s">
        <v>4923</v>
      </c>
      <c r="Y394" s="37"/>
      <c r="Z394" s="40" t="s">
        <v>3559</v>
      </c>
    </row>
    <row r="395">
      <c r="A395" s="42" t="s">
        <v>7299</v>
      </c>
      <c r="B395" s="42" t="s">
        <v>7292</v>
      </c>
      <c r="C395" s="42" t="s">
        <v>7295</v>
      </c>
      <c r="D395" s="42" t="s">
        <v>75</v>
      </c>
      <c r="E395" s="42" t="s">
        <v>10011</v>
      </c>
      <c r="F395" s="42" t="s">
        <v>7302</v>
      </c>
      <c r="G395" s="43"/>
      <c r="H395" s="42" t="s">
        <v>75</v>
      </c>
      <c r="I395" s="43"/>
      <c r="J395" s="41">
        <v>6789807.0</v>
      </c>
      <c r="K395" s="42" t="s">
        <v>41</v>
      </c>
      <c r="L395" s="45"/>
      <c r="M395" s="45"/>
      <c r="N395" s="43"/>
      <c r="O395" s="43"/>
      <c r="P395" s="43"/>
      <c r="Q395" s="43"/>
      <c r="R395" s="42" t="s">
        <v>4560</v>
      </c>
      <c r="S395" s="42" t="s">
        <v>4561</v>
      </c>
      <c r="T395" s="42" t="s">
        <v>66</v>
      </c>
      <c r="U395" s="42" t="s">
        <v>7297</v>
      </c>
      <c r="V395" s="42" t="s">
        <v>10487</v>
      </c>
      <c r="W395" s="42" t="s">
        <v>5222</v>
      </c>
      <c r="X395" s="42" t="s">
        <v>5018</v>
      </c>
      <c r="Y395" s="41">
        <v>7.0</v>
      </c>
      <c r="Z395" s="48" t="s">
        <v>3559</v>
      </c>
    </row>
    <row r="396">
      <c r="A396" s="35" t="s">
        <v>7315</v>
      </c>
      <c r="B396" s="35" t="s">
        <v>7308</v>
      </c>
      <c r="C396" s="35" t="s">
        <v>7310</v>
      </c>
      <c r="D396" s="35" t="s">
        <v>4213</v>
      </c>
      <c r="E396" s="35" t="s">
        <v>10011</v>
      </c>
      <c r="F396" s="35" t="s">
        <v>7320</v>
      </c>
      <c r="G396" s="34"/>
      <c r="H396" s="35" t="s">
        <v>4213</v>
      </c>
      <c r="I396" s="34"/>
      <c r="J396" s="37"/>
      <c r="K396" s="35" t="s">
        <v>41</v>
      </c>
      <c r="L396" s="37" t="str">
        <f>+972 (0)3 930 3863</f>
        <v>#ERROR!</v>
      </c>
      <c r="M396" s="37" t="str">
        <f>+972 (0)3 934 1119</f>
        <v>#ERROR!</v>
      </c>
      <c r="N396" s="35" t="s">
        <v>7321</v>
      </c>
      <c r="O396" s="35" t="s">
        <v>7319</v>
      </c>
      <c r="P396" s="35" t="s">
        <v>4093</v>
      </c>
      <c r="Q396" s="34"/>
      <c r="R396" s="35" t="s">
        <v>4560</v>
      </c>
      <c r="S396" s="35" t="s">
        <v>7311</v>
      </c>
      <c r="T396" s="35" t="s">
        <v>7312</v>
      </c>
      <c r="U396" s="34"/>
      <c r="V396" s="35" t="s">
        <v>10488</v>
      </c>
      <c r="W396" s="35" t="s">
        <v>3571</v>
      </c>
      <c r="X396" s="35" t="s">
        <v>4962</v>
      </c>
      <c r="Y396" s="37"/>
      <c r="Z396" s="40" t="s">
        <v>3559</v>
      </c>
    </row>
    <row r="397">
      <c r="A397" s="42" t="s">
        <v>7330</v>
      </c>
      <c r="B397" s="42" t="s">
        <v>7326</v>
      </c>
      <c r="C397" s="42" t="s">
        <v>7328</v>
      </c>
      <c r="D397" s="42" t="s">
        <v>7334</v>
      </c>
      <c r="E397" s="42" t="s">
        <v>10011</v>
      </c>
      <c r="F397" s="42" t="s">
        <v>7332</v>
      </c>
      <c r="G397" s="42" t="s">
        <v>7333</v>
      </c>
      <c r="H397" s="42" t="s">
        <v>7334</v>
      </c>
      <c r="I397" s="43"/>
      <c r="J397" s="41">
        <v>27112.0</v>
      </c>
      <c r="K397" s="42" t="s">
        <v>41</v>
      </c>
      <c r="L397" s="45" t="str">
        <f>+972 (0)4 880 8800</f>
        <v>#ERROR!</v>
      </c>
      <c r="M397" s="45" t="str">
        <f>+972 (0)4 876 4211</f>
        <v>#ERROR!</v>
      </c>
      <c r="N397" s="43"/>
      <c r="O397" s="43"/>
      <c r="P397" s="43"/>
      <c r="Q397" s="43"/>
      <c r="R397" s="42" t="s">
        <v>3867</v>
      </c>
      <c r="S397" s="42" t="s">
        <v>3868</v>
      </c>
      <c r="T397" s="42" t="s">
        <v>3869</v>
      </c>
      <c r="U397" s="42" t="s">
        <v>5736</v>
      </c>
      <c r="V397" s="42" t="s">
        <v>4024</v>
      </c>
      <c r="W397" s="43"/>
      <c r="X397" s="42" t="s">
        <v>4923</v>
      </c>
      <c r="Y397" s="45"/>
      <c r="Z397" s="48" t="s">
        <v>3559</v>
      </c>
    </row>
    <row r="398">
      <c r="A398" s="35" t="s">
        <v>7341</v>
      </c>
      <c r="B398" s="33" t="s">
        <v>7336</v>
      </c>
      <c r="C398" s="35" t="s">
        <v>7338</v>
      </c>
      <c r="D398" s="35" t="s">
        <v>75</v>
      </c>
      <c r="E398" s="35" t="s">
        <v>10011</v>
      </c>
      <c r="F398" s="34"/>
      <c r="G398" s="34"/>
      <c r="H398" s="35" t="s">
        <v>75</v>
      </c>
      <c r="I398" s="34"/>
      <c r="J398" s="37"/>
      <c r="K398" s="35" t="s">
        <v>41</v>
      </c>
      <c r="L398" s="37"/>
      <c r="M398" s="37"/>
      <c r="N398" s="34"/>
      <c r="O398" s="34"/>
      <c r="P398" s="34"/>
      <c r="Q398" s="34"/>
      <c r="R398" s="35" t="s">
        <v>3867</v>
      </c>
      <c r="S398" s="35" t="s">
        <v>3897</v>
      </c>
      <c r="T398" s="35" t="s">
        <v>4689</v>
      </c>
      <c r="U398" s="35" t="s">
        <v>3612</v>
      </c>
      <c r="V398" s="35" t="s">
        <v>10489</v>
      </c>
      <c r="W398" s="35" t="s">
        <v>5222</v>
      </c>
      <c r="X398" s="35" t="s">
        <v>5481</v>
      </c>
      <c r="Y398" s="37"/>
      <c r="Z398" s="40" t="s">
        <v>3559</v>
      </c>
    </row>
    <row r="399">
      <c r="A399" s="42" t="s">
        <v>7349</v>
      </c>
      <c r="B399" s="42" t="s">
        <v>7346</v>
      </c>
      <c r="C399" s="42" t="s">
        <v>7347</v>
      </c>
      <c r="D399" s="42" t="s">
        <v>147</v>
      </c>
      <c r="E399" s="42" t="s">
        <v>10011</v>
      </c>
      <c r="F399" s="42" t="s">
        <v>7353</v>
      </c>
      <c r="G399" s="43"/>
      <c r="H399" s="42" t="s">
        <v>147</v>
      </c>
      <c r="I399" s="43"/>
      <c r="J399" s="41" t="s">
        <v>7354</v>
      </c>
      <c r="K399" s="42" t="s">
        <v>41</v>
      </c>
      <c r="L399" s="45"/>
      <c r="M399" s="45"/>
      <c r="N399" s="43"/>
      <c r="O399" s="43"/>
      <c r="P399" s="43"/>
      <c r="Q399" s="43"/>
      <c r="R399" s="42" t="s">
        <v>3867</v>
      </c>
      <c r="S399" s="42" t="s">
        <v>3868</v>
      </c>
      <c r="T399" s="42" t="s">
        <v>3869</v>
      </c>
      <c r="U399" s="43"/>
      <c r="V399" s="42" t="s">
        <v>10344</v>
      </c>
      <c r="W399" s="43"/>
      <c r="X399" s="42" t="s">
        <v>4923</v>
      </c>
      <c r="Y399" s="41">
        <v>9.0</v>
      </c>
      <c r="Z399" s="48" t="s">
        <v>3559</v>
      </c>
    </row>
    <row r="400">
      <c r="A400" s="35" t="s">
        <v>7363</v>
      </c>
      <c r="B400" s="35" t="s">
        <v>10490</v>
      </c>
      <c r="C400" s="35" t="s">
        <v>7361</v>
      </c>
      <c r="D400" s="35" t="s">
        <v>75</v>
      </c>
      <c r="E400" s="35" t="s">
        <v>10011</v>
      </c>
      <c r="F400" s="35" t="s">
        <v>5499</v>
      </c>
      <c r="G400" s="35" t="s">
        <v>75</v>
      </c>
      <c r="H400" s="35" t="s">
        <v>616</v>
      </c>
      <c r="I400" s="34"/>
      <c r="J400" s="32">
        <v>6971901.0</v>
      </c>
      <c r="K400" s="35" t="s">
        <v>41</v>
      </c>
      <c r="L400" s="37" t="str">
        <f>+972 (0)3 653 9999</f>
        <v>#ERROR!</v>
      </c>
      <c r="M400" s="37" t="str">
        <f>+972 (0)3 653 9977</f>
        <v>#ERROR!</v>
      </c>
      <c r="N400" s="35" t="s">
        <v>7370</v>
      </c>
      <c r="O400" s="35" t="s">
        <v>7368</v>
      </c>
      <c r="P400" s="35" t="s">
        <v>3982</v>
      </c>
      <c r="Q400" s="34"/>
      <c r="R400" s="35" t="s">
        <v>4560</v>
      </c>
      <c r="S400" s="35" t="s">
        <v>4561</v>
      </c>
      <c r="T400" s="35" t="s">
        <v>5057</v>
      </c>
      <c r="U400" s="35" t="s">
        <v>5736</v>
      </c>
      <c r="V400" s="35" t="s">
        <v>5058</v>
      </c>
      <c r="W400" s="35" t="s">
        <v>5750</v>
      </c>
      <c r="X400" s="35" t="s">
        <v>4923</v>
      </c>
      <c r="Y400" s="32">
        <v>225.0</v>
      </c>
      <c r="Z400" s="40" t="s">
        <v>3559</v>
      </c>
    </row>
    <row r="401">
      <c r="A401" s="42" t="s">
        <v>7378</v>
      </c>
      <c r="B401" s="42" t="s">
        <v>7374</v>
      </c>
      <c r="C401" s="42" t="s">
        <v>7376</v>
      </c>
      <c r="D401" s="42" t="s">
        <v>75</v>
      </c>
      <c r="E401" s="42" t="s">
        <v>10011</v>
      </c>
      <c r="F401" s="42" t="s">
        <v>7384</v>
      </c>
      <c r="G401" s="42" t="s">
        <v>7385</v>
      </c>
      <c r="H401" s="42" t="s">
        <v>75</v>
      </c>
      <c r="I401" s="43"/>
      <c r="J401" s="45"/>
      <c r="K401" s="42" t="s">
        <v>41</v>
      </c>
      <c r="L401" s="45" t="str">
        <f>+972 (0)53 499 9190</f>
        <v>#ERROR!</v>
      </c>
      <c r="M401" s="45"/>
      <c r="N401" s="42" t="s">
        <v>7386</v>
      </c>
      <c r="O401" s="42" t="s">
        <v>10491</v>
      </c>
      <c r="P401" s="42" t="s">
        <v>6892</v>
      </c>
      <c r="Q401" s="43"/>
      <c r="R401" s="42" t="s">
        <v>3867</v>
      </c>
      <c r="S401" s="42" t="s">
        <v>3897</v>
      </c>
      <c r="T401" s="42" t="s">
        <v>4689</v>
      </c>
      <c r="U401" s="42" t="s">
        <v>3612</v>
      </c>
      <c r="V401" s="42" t="s">
        <v>10489</v>
      </c>
      <c r="W401" s="42" t="s">
        <v>3571</v>
      </c>
      <c r="X401" s="42" t="s">
        <v>4923</v>
      </c>
      <c r="Y401" s="41">
        <v>8.0</v>
      </c>
      <c r="Z401" s="48" t="s">
        <v>3559</v>
      </c>
    </row>
    <row r="402">
      <c r="A402" s="35" t="s">
        <v>7390</v>
      </c>
      <c r="B402" s="35" t="s">
        <v>7387</v>
      </c>
      <c r="C402" s="35" t="s">
        <v>7388</v>
      </c>
      <c r="D402" s="35" t="s">
        <v>616</v>
      </c>
      <c r="E402" s="35" t="s">
        <v>10011</v>
      </c>
      <c r="F402" s="35" t="s">
        <v>7392</v>
      </c>
      <c r="G402" s="34"/>
      <c r="H402" s="35" t="s">
        <v>616</v>
      </c>
      <c r="I402" s="34"/>
      <c r="J402" s="37"/>
      <c r="K402" s="35" t="s">
        <v>41</v>
      </c>
      <c r="L402" s="37"/>
      <c r="M402" s="37"/>
      <c r="N402" s="34"/>
      <c r="O402" s="34"/>
      <c r="P402" s="34"/>
      <c r="Q402" s="34"/>
      <c r="R402" s="35" t="s">
        <v>3867</v>
      </c>
      <c r="S402" s="35" t="s">
        <v>3897</v>
      </c>
      <c r="T402" s="35" t="s">
        <v>5092</v>
      </c>
      <c r="U402" s="35" t="s">
        <v>6118</v>
      </c>
      <c r="V402" s="35" t="s">
        <v>10474</v>
      </c>
      <c r="W402" s="35" t="s">
        <v>5222</v>
      </c>
      <c r="X402" s="35" t="s">
        <v>4962</v>
      </c>
      <c r="Y402" s="37"/>
      <c r="Z402" s="40" t="s">
        <v>3559</v>
      </c>
    </row>
    <row r="403">
      <c r="A403" s="42" t="s">
        <v>7402</v>
      </c>
      <c r="B403" s="42" t="s">
        <v>7397</v>
      </c>
      <c r="C403" s="42" t="s">
        <v>7399</v>
      </c>
      <c r="D403" s="42" t="s">
        <v>485</v>
      </c>
      <c r="E403" s="42" t="s">
        <v>10011</v>
      </c>
      <c r="F403" s="42" t="s">
        <v>7409</v>
      </c>
      <c r="G403" s="43"/>
      <c r="H403" s="42" t="s">
        <v>485</v>
      </c>
      <c r="I403" s="43"/>
      <c r="J403" s="41">
        <v>3303128.0</v>
      </c>
      <c r="K403" s="42" t="s">
        <v>41</v>
      </c>
      <c r="L403" s="45"/>
      <c r="M403" s="45"/>
      <c r="N403" s="42" t="s">
        <v>7410</v>
      </c>
      <c r="O403" s="42" t="s">
        <v>7407</v>
      </c>
      <c r="P403" s="42" t="s">
        <v>3579</v>
      </c>
      <c r="Q403" s="43"/>
      <c r="R403" s="42" t="s">
        <v>4560</v>
      </c>
      <c r="S403" s="42" t="s">
        <v>4561</v>
      </c>
      <c r="T403" s="42" t="s">
        <v>5604</v>
      </c>
      <c r="U403" s="42" t="s">
        <v>4986</v>
      </c>
      <c r="V403" s="42" t="s">
        <v>10492</v>
      </c>
      <c r="W403" s="42" t="s">
        <v>6041</v>
      </c>
      <c r="X403" s="42" t="s">
        <v>5145</v>
      </c>
      <c r="Y403" s="41">
        <v>3.0</v>
      </c>
      <c r="Z403" s="48" t="s">
        <v>3559</v>
      </c>
    </row>
    <row r="404">
      <c r="A404" s="35" t="s">
        <v>7422</v>
      </c>
      <c r="B404" s="35" t="s">
        <v>934</v>
      </c>
      <c r="C404" s="35" t="s">
        <v>7418</v>
      </c>
      <c r="D404" s="35" t="s">
        <v>147</v>
      </c>
      <c r="E404" s="35" t="s">
        <v>10011</v>
      </c>
      <c r="F404" s="35" t="s">
        <v>7430</v>
      </c>
      <c r="G404" s="34"/>
      <c r="H404" s="35" t="s">
        <v>147</v>
      </c>
      <c r="I404" s="34"/>
      <c r="J404" s="32">
        <v>9777019.0</v>
      </c>
      <c r="K404" s="35" t="s">
        <v>41</v>
      </c>
      <c r="L404" s="37"/>
      <c r="M404" s="37"/>
      <c r="N404" s="35" t="s">
        <v>940</v>
      </c>
      <c r="O404" s="35" t="s">
        <v>7427</v>
      </c>
      <c r="P404" s="35" t="s">
        <v>7428</v>
      </c>
      <c r="Q404" s="34"/>
      <c r="R404" s="35" t="s">
        <v>3563</v>
      </c>
      <c r="S404" s="35" t="s">
        <v>3564</v>
      </c>
      <c r="T404" s="35" t="s">
        <v>3565</v>
      </c>
      <c r="U404" s="35" t="s">
        <v>7420</v>
      </c>
      <c r="V404" s="35" t="s">
        <v>10493</v>
      </c>
      <c r="W404" s="35" t="s">
        <v>3571</v>
      </c>
      <c r="X404" s="35" t="s">
        <v>3569</v>
      </c>
      <c r="Y404" s="32">
        <v>13.0</v>
      </c>
      <c r="Z404" s="40" t="s">
        <v>3559</v>
      </c>
    </row>
    <row r="405">
      <c r="A405" s="42" t="s">
        <v>7443</v>
      </c>
      <c r="B405" s="42" t="s">
        <v>7436</v>
      </c>
      <c r="C405" s="42" t="s">
        <v>7439</v>
      </c>
      <c r="D405" s="42" t="s">
        <v>7447</v>
      </c>
      <c r="E405" s="42" t="s">
        <v>10011</v>
      </c>
      <c r="F405" s="42" t="s">
        <v>7445</v>
      </c>
      <c r="G405" s="42" t="s">
        <v>7446</v>
      </c>
      <c r="H405" s="42" t="s">
        <v>7447</v>
      </c>
      <c r="I405" s="43"/>
      <c r="J405" s="41">
        <v>27110.0</v>
      </c>
      <c r="K405" s="42" t="s">
        <v>41</v>
      </c>
      <c r="L405" s="45" t="str">
        <f>+972 (0)4 666 1900</f>
        <v>#ERROR!</v>
      </c>
      <c r="M405" s="45" t="str">
        <f>+972 (0)4 636 3110</f>
        <v>#ERROR!</v>
      </c>
      <c r="N405" s="43"/>
      <c r="O405" s="43"/>
      <c r="P405" s="43"/>
      <c r="Q405" s="43"/>
      <c r="R405" s="42" t="s">
        <v>3867</v>
      </c>
      <c r="S405" s="42" t="s">
        <v>4199</v>
      </c>
      <c r="T405" s="42" t="s">
        <v>4984</v>
      </c>
      <c r="U405" s="42" t="s">
        <v>7441</v>
      </c>
      <c r="V405" s="42" t="s">
        <v>10494</v>
      </c>
      <c r="W405" s="43"/>
      <c r="X405" s="42" t="s">
        <v>4923</v>
      </c>
      <c r="Y405" s="45"/>
      <c r="Z405" s="48" t="s">
        <v>3559</v>
      </c>
    </row>
    <row r="406">
      <c r="A406" s="35" t="s">
        <v>7451</v>
      </c>
      <c r="B406" s="35" t="s">
        <v>7448</v>
      </c>
      <c r="C406" s="35" t="s">
        <v>7449</v>
      </c>
      <c r="D406" s="35" t="s">
        <v>8043</v>
      </c>
      <c r="E406" s="35" t="s">
        <v>10011</v>
      </c>
      <c r="F406" s="34"/>
      <c r="G406" s="34"/>
      <c r="H406" s="35" t="s">
        <v>75</v>
      </c>
      <c r="I406" s="34"/>
      <c r="J406" s="37"/>
      <c r="K406" s="35" t="s">
        <v>41</v>
      </c>
      <c r="L406" s="37"/>
      <c r="M406" s="37"/>
      <c r="N406" s="34"/>
      <c r="O406" s="34"/>
      <c r="P406" s="34"/>
      <c r="Q406" s="34"/>
      <c r="R406" s="35" t="s">
        <v>3563</v>
      </c>
      <c r="S406" s="35" t="s">
        <v>3564</v>
      </c>
      <c r="T406" s="35" t="s">
        <v>5583</v>
      </c>
      <c r="U406" s="34"/>
      <c r="V406" s="35" t="s">
        <v>5584</v>
      </c>
      <c r="W406" s="34"/>
      <c r="X406" s="35" t="s">
        <v>4923</v>
      </c>
      <c r="Y406" s="37"/>
      <c r="Z406" s="40" t="s">
        <v>3559</v>
      </c>
    </row>
    <row r="407">
      <c r="A407" s="42" t="s">
        <v>7461</v>
      </c>
      <c r="B407" s="42" t="s">
        <v>7455</v>
      </c>
      <c r="C407" s="42" t="s">
        <v>7457</v>
      </c>
      <c r="D407" s="42" t="s">
        <v>75</v>
      </c>
      <c r="E407" s="42" t="s">
        <v>10011</v>
      </c>
      <c r="F407" s="42" t="s">
        <v>7463</v>
      </c>
      <c r="G407" s="43"/>
      <c r="H407" s="42" t="s">
        <v>75</v>
      </c>
      <c r="I407" s="43"/>
      <c r="J407" s="41">
        <v>6998923.0</v>
      </c>
      <c r="K407" s="42" t="s">
        <v>41</v>
      </c>
      <c r="L407" s="45"/>
      <c r="M407" s="45"/>
      <c r="N407" s="43"/>
      <c r="O407" s="43"/>
      <c r="P407" s="43"/>
      <c r="Q407" s="43"/>
      <c r="R407" s="42" t="s">
        <v>3563</v>
      </c>
      <c r="S407" s="42" t="s">
        <v>3564</v>
      </c>
      <c r="T407" s="42" t="s">
        <v>7458</v>
      </c>
      <c r="U407" s="42" t="s">
        <v>5513</v>
      </c>
      <c r="V407" s="42" t="s">
        <v>10495</v>
      </c>
      <c r="W407" s="42" t="s">
        <v>3571</v>
      </c>
      <c r="X407" s="42" t="s">
        <v>5018</v>
      </c>
      <c r="Y407" s="45"/>
      <c r="Z407" s="48" t="s">
        <v>3559</v>
      </c>
    </row>
    <row r="408">
      <c r="A408" s="35" t="s">
        <v>7477</v>
      </c>
      <c r="B408" s="35" t="s">
        <v>7472</v>
      </c>
      <c r="C408" s="35" t="s">
        <v>7474</v>
      </c>
      <c r="D408" s="35" t="s">
        <v>7481</v>
      </c>
      <c r="E408" s="35" t="s">
        <v>10011</v>
      </c>
      <c r="F408" s="34"/>
      <c r="G408" s="34"/>
      <c r="H408" s="35" t="s">
        <v>7481</v>
      </c>
      <c r="I408" s="34"/>
      <c r="J408" s="37"/>
      <c r="K408" s="35" t="s">
        <v>41</v>
      </c>
      <c r="L408" s="37" t="str">
        <f>+972 (0)54 900 9908</f>
        <v>#ERROR!</v>
      </c>
      <c r="M408" s="37"/>
      <c r="N408" s="34"/>
      <c r="O408" s="34"/>
      <c r="P408" s="34"/>
      <c r="Q408" s="34"/>
      <c r="R408" s="35" t="s">
        <v>4560</v>
      </c>
      <c r="S408" s="35" t="s">
        <v>4561</v>
      </c>
      <c r="T408" s="35" t="s">
        <v>66</v>
      </c>
      <c r="U408" s="35" t="s">
        <v>4986</v>
      </c>
      <c r="V408" s="35" t="s">
        <v>10496</v>
      </c>
      <c r="W408" s="35" t="s">
        <v>3571</v>
      </c>
      <c r="X408" s="35" t="s">
        <v>4923</v>
      </c>
      <c r="Y408" s="32">
        <v>14.0</v>
      </c>
      <c r="Z408" s="40" t="s">
        <v>3559</v>
      </c>
    </row>
    <row r="409">
      <c r="A409" s="42" t="s">
        <v>7486</v>
      </c>
      <c r="B409" s="42" t="s">
        <v>7484</v>
      </c>
      <c r="C409" s="42" t="s">
        <v>7485</v>
      </c>
      <c r="D409" s="42" t="s">
        <v>75</v>
      </c>
      <c r="E409" s="42" t="s">
        <v>10011</v>
      </c>
      <c r="F409" s="43"/>
      <c r="G409" s="43"/>
      <c r="H409" s="42" t="s">
        <v>75</v>
      </c>
      <c r="I409" s="43"/>
      <c r="J409" s="41">
        <v>27000.0</v>
      </c>
      <c r="K409" s="42" t="s">
        <v>41</v>
      </c>
      <c r="L409" s="45"/>
      <c r="M409" s="45"/>
      <c r="N409" s="43"/>
      <c r="O409" s="43"/>
      <c r="P409" s="43"/>
      <c r="Q409" s="43"/>
      <c r="R409" s="42" t="s">
        <v>4560</v>
      </c>
      <c r="S409" s="42" t="s">
        <v>4561</v>
      </c>
      <c r="T409" s="42" t="s">
        <v>66</v>
      </c>
      <c r="U409" s="43"/>
      <c r="V409" s="42" t="s">
        <v>4562</v>
      </c>
      <c r="W409" s="43"/>
      <c r="X409" s="42" t="s">
        <v>4923</v>
      </c>
      <c r="Y409" s="45"/>
      <c r="Z409" s="48" t="s">
        <v>3559</v>
      </c>
    </row>
    <row r="410">
      <c r="A410" s="35" t="s">
        <v>7492</v>
      </c>
      <c r="B410" s="35" t="s">
        <v>7489</v>
      </c>
      <c r="C410" s="35" t="s">
        <v>7490</v>
      </c>
      <c r="D410" s="35" t="s">
        <v>7497</v>
      </c>
      <c r="E410" s="35" t="s">
        <v>10011</v>
      </c>
      <c r="F410" s="34"/>
      <c r="G410" s="34"/>
      <c r="H410" s="35" t="s">
        <v>7497</v>
      </c>
      <c r="I410" s="34"/>
      <c r="J410" s="37"/>
      <c r="K410" s="35" t="s">
        <v>41</v>
      </c>
      <c r="L410" s="37"/>
      <c r="M410" s="37"/>
      <c r="N410" s="34"/>
      <c r="O410" s="34"/>
      <c r="P410" s="34"/>
      <c r="Q410" s="34"/>
      <c r="R410" s="35" t="s">
        <v>4560</v>
      </c>
      <c r="S410" s="35" t="s">
        <v>4561</v>
      </c>
      <c r="T410" s="35" t="s">
        <v>66</v>
      </c>
      <c r="U410" s="34"/>
      <c r="V410" s="35" t="s">
        <v>4562</v>
      </c>
      <c r="W410" s="34"/>
      <c r="X410" s="35" t="s">
        <v>4923</v>
      </c>
      <c r="Y410" s="32">
        <v>50.0</v>
      </c>
      <c r="Z410" s="40" t="s">
        <v>3559</v>
      </c>
    </row>
    <row r="411">
      <c r="A411" s="42" t="s">
        <v>7505</v>
      </c>
      <c r="B411" s="42" t="s">
        <v>177</v>
      </c>
      <c r="C411" s="42" t="s">
        <v>7501</v>
      </c>
      <c r="D411" s="42" t="s">
        <v>183</v>
      </c>
      <c r="E411" s="42" t="s">
        <v>10011</v>
      </c>
      <c r="F411" s="42" t="s">
        <v>7513</v>
      </c>
      <c r="G411" s="43"/>
      <c r="H411" s="42" t="s">
        <v>183</v>
      </c>
      <c r="I411" s="43"/>
      <c r="J411" s="41">
        <v>7608802.0</v>
      </c>
      <c r="K411" s="42" t="s">
        <v>41</v>
      </c>
      <c r="L411" s="45" t="str">
        <f>+972 (0)54 323 3092</f>
        <v>#ERROR!</v>
      </c>
      <c r="M411" s="45"/>
      <c r="N411" s="42" t="s">
        <v>184</v>
      </c>
      <c r="O411" s="42" t="s">
        <v>7510</v>
      </c>
      <c r="P411" s="42" t="s">
        <v>7511</v>
      </c>
      <c r="Q411" s="43"/>
      <c r="R411" s="42" t="s">
        <v>3563</v>
      </c>
      <c r="S411" s="42" t="s">
        <v>3609</v>
      </c>
      <c r="T411" s="42" t="s">
        <v>3610</v>
      </c>
      <c r="U411" s="42" t="s">
        <v>7503</v>
      </c>
      <c r="V411" s="42" t="s">
        <v>10497</v>
      </c>
      <c r="W411" s="42" t="s">
        <v>3571</v>
      </c>
      <c r="X411" s="42" t="s">
        <v>3569</v>
      </c>
      <c r="Y411" s="41">
        <v>15.0</v>
      </c>
      <c r="Z411" s="48" t="s">
        <v>3559</v>
      </c>
    </row>
    <row r="412">
      <c r="A412" s="35" t="s">
        <v>7524</v>
      </c>
      <c r="B412" s="35" t="s">
        <v>7519</v>
      </c>
      <c r="C412" s="35" t="s">
        <v>7521</v>
      </c>
      <c r="D412" s="35" t="s">
        <v>246</v>
      </c>
      <c r="E412" s="35" t="s">
        <v>10011</v>
      </c>
      <c r="F412" s="35" t="s">
        <v>7532</v>
      </c>
      <c r="G412" s="35" t="s">
        <v>7533</v>
      </c>
      <c r="H412" s="35" t="s">
        <v>246</v>
      </c>
      <c r="I412" s="34"/>
      <c r="J412" s="37"/>
      <c r="K412" s="35" t="s">
        <v>41</v>
      </c>
      <c r="L412" s="37" t="str">
        <f>+972 (0)3 971 5300</f>
        <v>#ERROR!</v>
      </c>
      <c r="M412" s="37" t="str">
        <f>+972 (0)3 972 1733</f>
        <v>#ERROR!</v>
      </c>
      <c r="N412" s="35" t="s">
        <v>7534</v>
      </c>
      <c r="O412" s="35" t="s">
        <v>7529</v>
      </c>
      <c r="P412" s="35" t="s">
        <v>7530</v>
      </c>
      <c r="Q412" s="34"/>
      <c r="R412" s="35" t="s">
        <v>3867</v>
      </c>
      <c r="S412" s="35" t="s">
        <v>3897</v>
      </c>
      <c r="T412" s="35" t="s">
        <v>3898</v>
      </c>
      <c r="U412" s="35" t="s">
        <v>5736</v>
      </c>
      <c r="V412" s="35" t="s">
        <v>10498</v>
      </c>
      <c r="W412" s="35" t="s">
        <v>3571</v>
      </c>
      <c r="X412" s="35" t="s">
        <v>4923</v>
      </c>
      <c r="Y412" s="32">
        <v>443.0</v>
      </c>
      <c r="Z412" s="40" t="s">
        <v>3559</v>
      </c>
    </row>
    <row r="413">
      <c r="A413" s="42" t="s">
        <v>7549</v>
      </c>
      <c r="B413" s="42" t="s">
        <v>7542</v>
      </c>
      <c r="C413" s="42" t="s">
        <v>7544</v>
      </c>
      <c r="D413" s="42" t="s">
        <v>3625</v>
      </c>
      <c r="E413" s="42" t="s">
        <v>10011</v>
      </c>
      <c r="F413" s="42" t="s">
        <v>7556</v>
      </c>
      <c r="G413" s="42" t="s">
        <v>7557</v>
      </c>
      <c r="H413" s="42" t="s">
        <v>3625</v>
      </c>
      <c r="I413" s="43"/>
      <c r="J413" s="41">
        <v>3079560.0</v>
      </c>
      <c r="K413" s="42" t="s">
        <v>41</v>
      </c>
      <c r="L413" s="45" t="str">
        <f>+972 (0)4 627 6771</f>
        <v>#ERROR!</v>
      </c>
      <c r="M413" s="45" t="str">
        <f>+972 (0)4 627 6773</f>
        <v>#ERROR!</v>
      </c>
      <c r="N413" s="42" t="s">
        <v>7558</v>
      </c>
      <c r="O413" s="42" t="s">
        <v>7554</v>
      </c>
      <c r="P413" s="42" t="s">
        <v>4614</v>
      </c>
      <c r="Q413" s="43"/>
      <c r="R413" s="42" t="s">
        <v>3867</v>
      </c>
      <c r="S413" s="42" t="s">
        <v>3868</v>
      </c>
      <c r="T413" s="42" t="s">
        <v>7545</v>
      </c>
      <c r="U413" s="42" t="s">
        <v>7547</v>
      </c>
      <c r="V413" s="42" t="s">
        <v>10499</v>
      </c>
      <c r="W413" s="42" t="s">
        <v>3571</v>
      </c>
      <c r="X413" s="42" t="s">
        <v>4923</v>
      </c>
      <c r="Y413" s="41">
        <v>3.0</v>
      </c>
      <c r="Z413" s="48" t="s">
        <v>3559</v>
      </c>
    </row>
    <row r="414">
      <c r="A414" s="35" t="s">
        <v>7567</v>
      </c>
      <c r="B414" s="35" t="s">
        <v>7561</v>
      </c>
      <c r="C414" s="35" t="s">
        <v>7563</v>
      </c>
      <c r="D414" s="35" t="s">
        <v>2444</v>
      </c>
      <c r="E414" s="35" t="s">
        <v>10011</v>
      </c>
      <c r="F414" s="35" t="s">
        <v>7572</v>
      </c>
      <c r="G414" s="34"/>
      <c r="H414" s="35" t="s">
        <v>2444</v>
      </c>
      <c r="I414" s="34"/>
      <c r="J414" s="37"/>
      <c r="K414" s="35" t="s">
        <v>41</v>
      </c>
      <c r="L414" s="37" t="str">
        <f>+972 (0)3 633 7070</f>
        <v>#ERROR!</v>
      </c>
      <c r="M414" s="37" t="str">
        <f>+972 (0)36 337 0780</f>
        <v>#ERROR!</v>
      </c>
      <c r="N414" s="35" t="s">
        <v>7573</v>
      </c>
      <c r="O414" s="35" t="s">
        <v>7571</v>
      </c>
      <c r="P414" s="35" t="s">
        <v>4093</v>
      </c>
      <c r="Q414" s="34"/>
      <c r="R414" s="35" t="s">
        <v>4560</v>
      </c>
      <c r="S414" s="35" t="s">
        <v>4561</v>
      </c>
      <c r="T414" s="35" t="s">
        <v>5604</v>
      </c>
      <c r="U414" s="35" t="s">
        <v>7565</v>
      </c>
      <c r="V414" s="35" t="s">
        <v>10500</v>
      </c>
      <c r="W414" s="35" t="s">
        <v>3571</v>
      </c>
      <c r="X414" s="35" t="s">
        <v>4923</v>
      </c>
      <c r="Y414" s="37"/>
      <c r="Z414" s="40" t="s">
        <v>3559</v>
      </c>
    </row>
    <row r="415">
      <c r="A415" s="42" t="s">
        <v>7579</v>
      </c>
      <c r="B415" s="42" t="s">
        <v>7575</v>
      </c>
      <c r="C415" s="42" t="s">
        <v>7576</v>
      </c>
      <c r="D415" s="42" t="s">
        <v>485</v>
      </c>
      <c r="E415" s="42" t="s">
        <v>10011</v>
      </c>
      <c r="F415" s="42" t="s">
        <v>7586</v>
      </c>
      <c r="G415" s="43"/>
      <c r="H415" s="42" t="s">
        <v>485</v>
      </c>
      <c r="I415" s="43"/>
      <c r="J415" s="45"/>
      <c r="K415" s="42" t="s">
        <v>41</v>
      </c>
      <c r="L415" s="45"/>
      <c r="M415" s="45"/>
      <c r="N415" s="42" t="s">
        <v>7587</v>
      </c>
      <c r="O415" s="42" t="s">
        <v>7584</v>
      </c>
      <c r="P415" s="42" t="s">
        <v>3579</v>
      </c>
      <c r="Q415" s="43"/>
      <c r="R415" s="42" t="s">
        <v>3563</v>
      </c>
      <c r="S415" s="42" t="s">
        <v>3564</v>
      </c>
      <c r="T415" s="42" t="s">
        <v>3565</v>
      </c>
      <c r="U415" s="42" t="s">
        <v>4000</v>
      </c>
      <c r="V415" s="42" t="s">
        <v>10501</v>
      </c>
      <c r="W415" s="42" t="s">
        <v>6041</v>
      </c>
      <c r="X415" s="42" t="s">
        <v>3569</v>
      </c>
      <c r="Y415" s="41">
        <v>9.0</v>
      </c>
      <c r="Z415" s="48" t="s">
        <v>3559</v>
      </c>
    </row>
    <row r="416">
      <c r="A416" s="35" t="s">
        <v>7599</v>
      </c>
      <c r="B416" s="35" t="s">
        <v>7594</v>
      </c>
      <c r="C416" s="35" t="s">
        <v>7597</v>
      </c>
      <c r="D416" s="35" t="s">
        <v>75</v>
      </c>
      <c r="E416" s="35" t="s">
        <v>10011</v>
      </c>
      <c r="F416" s="35" t="s">
        <v>7607</v>
      </c>
      <c r="G416" s="34"/>
      <c r="H416" s="35" t="s">
        <v>75</v>
      </c>
      <c r="I416" s="34"/>
      <c r="J416" s="37"/>
      <c r="K416" s="35" t="s">
        <v>41</v>
      </c>
      <c r="L416" s="37" t="str">
        <f>+972 (0)3 568 9999</f>
        <v>#ERROR!</v>
      </c>
      <c r="M416" s="37"/>
      <c r="N416" s="34"/>
      <c r="O416" s="35" t="s">
        <v>7605</v>
      </c>
      <c r="P416" s="35" t="s">
        <v>3982</v>
      </c>
      <c r="Q416" s="34"/>
      <c r="R416" s="35" t="s">
        <v>4560</v>
      </c>
      <c r="S416" s="35" t="s">
        <v>5163</v>
      </c>
      <c r="T416" s="35" t="s">
        <v>5164</v>
      </c>
      <c r="U416" s="35" t="s">
        <v>5736</v>
      </c>
      <c r="V416" s="35" t="s">
        <v>10310</v>
      </c>
      <c r="W416" s="35" t="s">
        <v>5750</v>
      </c>
      <c r="X416" s="35" t="s">
        <v>4962</v>
      </c>
      <c r="Y416" s="32">
        <v>2500.0</v>
      </c>
      <c r="Z416" s="40" t="s">
        <v>3559</v>
      </c>
    </row>
    <row r="417">
      <c r="A417" s="42" t="s">
        <v>7623</v>
      </c>
      <c r="B417" s="42" t="s">
        <v>7616</v>
      </c>
      <c r="C417" s="42" t="s">
        <v>7619</v>
      </c>
      <c r="D417" s="42" t="s">
        <v>485</v>
      </c>
      <c r="E417" s="42" t="s">
        <v>10008</v>
      </c>
      <c r="F417" s="42" t="s">
        <v>10502</v>
      </c>
      <c r="G417" s="43"/>
      <c r="H417" s="42" t="s">
        <v>485</v>
      </c>
      <c r="I417" s="43"/>
      <c r="J417" s="41">
        <v>3303321.0</v>
      </c>
      <c r="K417" s="42" t="s">
        <v>41</v>
      </c>
      <c r="L417" s="45" t="str">
        <f>+972 (0)54 423 7339</f>
        <v>#ERROR!</v>
      </c>
      <c r="M417" s="45"/>
      <c r="N417" s="43"/>
      <c r="O417" s="43"/>
      <c r="P417" s="43"/>
      <c r="Q417" s="43"/>
      <c r="R417" s="42" t="s">
        <v>3563</v>
      </c>
      <c r="S417" s="42" t="s">
        <v>3609</v>
      </c>
      <c r="T417" s="42" t="s">
        <v>3610</v>
      </c>
      <c r="U417" s="42" t="s">
        <v>7621</v>
      </c>
      <c r="V417" s="42" t="s">
        <v>10503</v>
      </c>
      <c r="W417" s="42" t="s">
        <v>5222</v>
      </c>
      <c r="X417" s="42" t="s">
        <v>5018</v>
      </c>
      <c r="Y417" s="41">
        <v>34.0</v>
      </c>
      <c r="Z417" s="48" t="s">
        <v>3559</v>
      </c>
    </row>
    <row r="418">
      <c r="A418" s="35" t="s">
        <v>7623</v>
      </c>
      <c r="B418" s="35" t="s">
        <v>7616</v>
      </c>
      <c r="C418" s="35" t="s">
        <v>7619</v>
      </c>
      <c r="D418" s="35" t="s">
        <v>75</v>
      </c>
      <c r="E418" s="35" t="s">
        <v>10011</v>
      </c>
      <c r="F418" s="35" t="s">
        <v>3582</v>
      </c>
      <c r="G418" s="34"/>
      <c r="H418" s="35" t="s">
        <v>75</v>
      </c>
      <c r="I418" s="34"/>
      <c r="J418" s="32">
        <v>6789139.0</v>
      </c>
      <c r="K418" s="35" t="s">
        <v>41</v>
      </c>
      <c r="L418" s="37"/>
      <c r="M418" s="37"/>
      <c r="N418" s="34"/>
      <c r="O418" s="34"/>
      <c r="P418" s="34"/>
      <c r="Q418" s="34"/>
      <c r="R418" s="35" t="s">
        <v>3563</v>
      </c>
      <c r="S418" s="35" t="s">
        <v>3609</v>
      </c>
      <c r="T418" s="35" t="s">
        <v>3610</v>
      </c>
      <c r="U418" s="35" t="s">
        <v>7621</v>
      </c>
      <c r="V418" s="35" t="s">
        <v>10503</v>
      </c>
      <c r="W418" s="35" t="s">
        <v>5222</v>
      </c>
      <c r="X418" s="35" t="s">
        <v>5018</v>
      </c>
      <c r="Y418" s="32">
        <v>34.0</v>
      </c>
      <c r="Z418" s="40" t="s">
        <v>3559</v>
      </c>
    </row>
    <row r="419">
      <c r="A419" s="42" t="s">
        <v>7633</v>
      </c>
      <c r="B419" s="42" t="s">
        <v>6713</v>
      </c>
      <c r="C419" s="43"/>
      <c r="D419" s="42" t="s">
        <v>75</v>
      </c>
      <c r="E419" s="42" t="s">
        <v>10011</v>
      </c>
      <c r="F419" s="43"/>
      <c r="G419" s="43"/>
      <c r="H419" s="42" t="s">
        <v>75</v>
      </c>
      <c r="I419" s="43"/>
      <c r="J419" s="45"/>
      <c r="K419" s="42" t="s">
        <v>41</v>
      </c>
      <c r="L419" s="45"/>
      <c r="M419" s="45"/>
      <c r="N419" s="43"/>
      <c r="O419" s="43"/>
      <c r="P419" s="43"/>
      <c r="Q419" s="43"/>
      <c r="R419" s="42" t="s">
        <v>4560</v>
      </c>
      <c r="S419" s="42" t="s">
        <v>4561</v>
      </c>
      <c r="T419" s="42" t="s">
        <v>66</v>
      </c>
      <c r="U419" s="43"/>
      <c r="V419" s="42" t="s">
        <v>4562</v>
      </c>
      <c r="W419" s="42" t="s">
        <v>3571</v>
      </c>
      <c r="X419" s="42" t="s">
        <v>4923</v>
      </c>
      <c r="Y419" s="41">
        <v>500.0</v>
      </c>
      <c r="Z419" s="48" t="s">
        <v>3559</v>
      </c>
    </row>
    <row r="420">
      <c r="A420" s="35" t="s">
        <v>7639</v>
      </c>
      <c r="B420" s="35" t="s">
        <v>7637</v>
      </c>
      <c r="C420" s="35" t="s">
        <v>7638</v>
      </c>
      <c r="D420" s="35" t="s">
        <v>485</v>
      </c>
      <c r="E420" s="35" t="s">
        <v>10011</v>
      </c>
      <c r="F420" s="35" t="s">
        <v>485</v>
      </c>
      <c r="G420" s="34"/>
      <c r="H420" s="35" t="s">
        <v>485</v>
      </c>
      <c r="I420" s="34"/>
      <c r="J420" s="37"/>
      <c r="K420" s="35" t="s">
        <v>41</v>
      </c>
      <c r="L420" s="37"/>
      <c r="M420" s="37"/>
      <c r="N420" s="34"/>
      <c r="O420" s="34"/>
      <c r="P420" s="34"/>
      <c r="Q420" s="34"/>
      <c r="R420" s="35" t="s">
        <v>3563</v>
      </c>
      <c r="S420" s="35" t="s">
        <v>3564</v>
      </c>
      <c r="T420" s="35" t="s">
        <v>5583</v>
      </c>
      <c r="U420" s="34"/>
      <c r="V420" s="35" t="s">
        <v>5584</v>
      </c>
      <c r="W420" s="34"/>
      <c r="X420" s="35" t="s">
        <v>4923</v>
      </c>
      <c r="Y420" s="37"/>
      <c r="Z420" s="40" t="s">
        <v>3559</v>
      </c>
    </row>
    <row r="421">
      <c r="A421" s="42" t="s">
        <v>7649</v>
      </c>
      <c r="B421" s="42" t="s">
        <v>7643</v>
      </c>
      <c r="C421" s="42" t="s">
        <v>7646</v>
      </c>
      <c r="D421" s="42" t="s">
        <v>868</v>
      </c>
      <c r="E421" s="42" t="s">
        <v>10011</v>
      </c>
      <c r="F421" s="42" t="s">
        <v>7656</v>
      </c>
      <c r="G421" s="43"/>
      <c r="H421" s="42" t="s">
        <v>868</v>
      </c>
      <c r="I421" s="43"/>
      <c r="J421" s="41">
        <v>5802919.0</v>
      </c>
      <c r="K421" s="42" t="s">
        <v>41</v>
      </c>
      <c r="L421" s="45" t="str">
        <f>+972 (0)3 795 9595</f>
        <v>#ERROR!</v>
      </c>
      <c r="M421" s="45"/>
      <c r="N421" s="42" t="s">
        <v>7657</v>
      </c>
      <c r="O421" s="42" t="s">
        <v>7653</v>
      </c>
      <c r="P421" s="42" t="s">
        <v>3982</v>
      </c>
      <c r="Q421" s="43"/>
      <c r="R421" s="42" t="s">
        <v>3867</v>
      </c>
      <c r="S421" s="42" t="s">
        <v>3897</v>
      </c>
      <c r="T421" s="42" t="s">
        <v>3898</v>
      </c>
      <c r="U421" s="43"/>
      <c r="V421" s="42" t="s">
        <v>10504</v>
      </c>
      <c r="W421" s="42" t="s">
        <v>3571</v>
      </c>
      <c r="X421" s="42" t="s">
        <v>4389</v>
      </c>
      <c r="Y421" s="41">
        <v>157.0</v>
      </c>
      <c r="Z421" s="48" t="s">
        <v>3559</v>
      </c>
    </row>
    <row r="422">
      <c r="A422" s="35" t="s">
        <v>7669</v>
      </c>
      <c r="B422" s="35" t="s">
        <v>7663</v>
      </c>
      <c r="C422" s="35" t="s">
        <v>7666</v>
      </c>
      <c r="D422" s="35" t="s">
        <v>10117</v>
      </c>
      <c r="E422" s="35" t="s">
        <v>10011</v>
      </c>
      <c r="F422" s="35" t="s">
        <v>7675</v>
      </c>
      <c r="G422" s="34"/>
      <c r="H422" s="35" t="s">
        <v>137</v>
      </c>
      <c r="I422" s="34"/>
      <c r="J422" s="32">
        <v>66463.0</v>
      </c>
      <c r="K422" s="35" t="s">
        <v>41</v>
      </c>
      <c r="L422" s="37" t="str">
        <f>+972 (0)3 633 5633</f>
        <v>#ERROR!</v>
      </c>
      <c r="M422" s="37"/>
      <c r="N422" s="34"/>
      <c r="O422" s="35" t="s">
        <v>7672</v>
      </c>
      <c r="P422" s="35" t="s">
        <v>7673</v>
      </c>
      <c r="Q422" s="34"/>
      <c r="R422" s="35" t="s">
        <v>4560</v>
      </c>
      <c r="S422" s="35" t="s">
        <v>4561</v>
      </c>
      <c r="T422" s="35" t="s">
        <v>66</v>
      </c>
      <c r="U422" s="35" t="s">
        <v>5736</v>
      </c>
      <c r="V422" s="35" t="s">
        <v>10505</v>
      </c>
      <c r="W422" s="35" t="s">
        <v>3571</v>
      </c>
      <c r="X422" s="35" t="s">
        <v>5075</v>
      </c>
      <c r="Y422" s="37"/>
      <c r="Z422" s="40" t="s">
        <v>3559</v>
      </c>
    </row>
    <row r="423">
      <c r="A423" s="42" t="s">
        <v>7688</v>
      </c>
      <c r="B423" s="42" t="s">
        <v>7684</v>
      </c>
      <c r="C423" s="42" t="s">
        <v>7686</v>
      </c>
      <c r="D423" s="42" t="s">
        <v>10117</v>
      </c>
      <c r="E423" s="42" t="s">
        <v>10011</v>
      </c>
      <c r="F423" s="42" t="s">
        <v>7690</v>
      </c>
      <c r="G423" s="43"/>
      <c r="H423" s="42" t="s">
        <v>137</v>
      </c>
      <c r="I423" s="43"/>
      <c r="J423" s="41">
        <v>4427728.0</v>
      </c>
      <c r="K423" s="42" t="s">
        <v>41</v>
      </c>
      <c r="L423" s="45"/>
      <c r="M423" s="45"/>
      <c r="N423" s="43"/>
      <c r="O423" s="43"/>
      <c r="P423" s="43"/>
      <c r="Q423" s="43"/>
      <c r="R423" s="42" t="s">
        <v>4560</v>
      </c>
      <c r="S423" s="42" t="s">
        <v>4561</v>
      </c>
      <c r="T423" s="42" t="s">
        <v>66</v>
      </c>
      <c r="U423" s="43"/>
      <c r="V423" s="42" t="s">
        <v>4562</v>
      </c>
      <c r="W423" s="42" t="s">
        <v>3571</v>
      </c>
      <c r="X423" s="42" t="s">
        <v>4389</v>
      </c>
      <c r="Y423" s="41">
        <v>1000.0</v>
      </c>
      <c r="Z423" s="48" t="s">
        <v>3559</v>
      </c>
    </row>
    <row r="424">
      <c r="A424" s="35" t="s">
        <v>7701</v>
      </c>
      <c r="B424" s="35" t="s">
        <v>7697</v>
      </c>
      <c r="C424" s="35" t="s">
        <v>7699</v>
      </c>
      <c r="D424" s="35" t="s">
        <v>41</v>
      </c>
      <c r="E424" s="35" t="s">
        <v>10011</v>
      </c>
      <c r="F424" s="34"/>
      <c r="G424" s="34"/>
      <c r="H424" s="34"/>
      <c r="I424" s="34"/>
      <c r="J424" s="37"/>
      <c r="K424" s="35" t="s">
        <v>41</v>
      </c>
      <c r="L424" s="37"/>
      <c r="M424" s="37"/>
      <c r="N424" s="34"/>
      <c r="O424" s="34"/>
      <c r="P424" s="34"/>
      <c r="Q424" s="34"/>
      <c r="R424" s="35" t="s">
        <v>3867</v>
      </c>
      <c r="S424" s="35" t="s">
        <v>3868</v>
      </c>
      <c r="T424" s="35" t="s">
        <v>3869</v>
      </c>
      <c r="U424" s="35" t="s">
        <v>5736</v>
      </c>
      <c r="V424" s="35" t="s">
        <v>4024</v>
      </c>
      <c r="W424" s="35" t="s">
        <v>3571</v>
      </c>
      <c r="X424" s="35" t="s">
        <v>4962</v>
      </c>
      <c r="Y424" s="37"/>
      <c r="Z424" s="40" t="s">
        <v>3559</v>
      </c>
    </row>
    <row r="425">
      <c r="A425" s="42" t="s">
        <v>7709</v>
      </c>
      <c r="B425" s="42" t="s">
        <v>10506</v>
      </c>
      <c r="C425" s="42" t="s">
        <v>7707</v>
      </c>
      <c r="D425" s="42" t="s">
        <v>75</v>
      </c>
      <c r="E425" s="42" t="s">
        <v>10011</v>
      </c>
      <c r="F425" s="42" t="s">
        <v>7715</v>
      </c>
      <c r="G425" s="42" t="s">
        <v>7716</v>
      </c>
      <c r="H425" s="42" t="s">
        <v>75</v>
      </c>
      <c r="I425" s="43"/>
      <c r="J425" s="45"/>
      <c r="K425" s="42" t="s">
        <v>41</v>
      </c>
      <c r="L425" s="45"/>
      <c r="M425" s="45"/>
      <c r="N425" s="42" t="s">
        <v>409</v>
      </c>
      <c r="O425" s="42" t="s">
        <v>7714</v>
      </c>
      <c r="P425" s="42" t="s">
        <v>4397</v>
      </c>
      <c r="Q425" s="43"/>
      <c r="R425" s="42" t="s">
        <v>4560</v>
      </c>
      <c r="S425" s="42" t="s">
        <v>4561</v>
      </c>
      <c r="T425" s="42" t="s">
        <v>66</v>
      </c>
      <c r="U425" s="42" t="s">
        <v>6390</v>
      </c>
      <c r="V425" s="42" t="s">
        <v>4562</v>
      </c>
      <c r="W425" s="42" t="s">
        <v>3571</v>
      </c>
      <c r="X425" s="42" t="s">
        <v>4923</v>
      </c>
      <c r="Y425" s="45"/>
      <c r="Z425" s="48" t="s">
        <v>3559</v>
      </c>
    </row>
    <row r="426">
      <c r="A426" s="35" t="s">
        <v>7727</v>
      </c>
      <c r="B426" s="35" t="s">
        <v>7722</v>
      </c>
      <c r="C426" s="35" t="s">
        <v>7723</v>
      </c>
      <c r="D426" s="35" t="s">
        <v>7733</v>
      </c>
      <c r="E426" s="35" t="s">
        <v>10011</v>
      </c>
      <c r="F426" s="35" t="s">
        <v>7732</v>
      </c>
      <c r="G426" s="34"/>
      <c r="H426" s="35" t="s">
        <v>7733</v>
      </c>
      <c r="I426" s="34"/>
      <c r="J426" s="32">
        <v>2300.0</v>
      </c>
      <c r="K426" s="35" t="s">
        <v>41</v>
      </c>
      <c r="L426" s="37"/>
      <c r="M426" s="37"/>
      <c r="N426" s="34"/>
      <c r="O426" s="34"/>
      <c r="P426" s="34"/>
      <c r="Q426" s="34"/>
      <c r="R426" s="35" t="s">
        <v>3867</v>
      </c>
      <c r="S426" s="35" t="s">
        <v>3897</v>
      </c>
      <c r="T426" s="35" t="s">
        <v>7724</v>
      </c>
      <c r="U426" s="34"/>
      <c r="V426" s="35" t="s">
        <v>7725</v>
      </c>
      <c r="W426" s="34"/>
      <c r="X426" s="35" t="s">
        <v>4923</v>
      </c>
      <c r="Y426" s="32">
        <v>20.0</v>
      </c>
      <c r="Z426" s="40" t="s">
        <v>3559</v>
      </c>
    </row>
    <row r="427">
      <c r="A427" s="42" t="s">
        <v>7743</v>
      </c>
      <c r="B427" s="42" t="s">
        <v>7736</v>
      </c>
      <c r="C427" s="42" t="s">
        <v>7739</v>
      </c>
      <c r="D427" s="42" t="s">
        <v>75</v>
      </c>
      <c r="E427" s="42" t="s">
        <v>10011</v>
      </c>
      <c r="F427" s="42" t="s">
        <v>7746</v>
      </c>
      <c r="G427" s="43"/>
      <c r="H427" s="42" t="s">
        <v>75</v>
      </c>
      <c r="I427" s="43"/>
      <c r="J427" s="45"/>
      <c r="K427" s="42" t="s">
        <v>41</v>
      </c>
      <c r="L427" s="45"/>
      <c r="M427" s="45"/>
      <c r="N427" s="43"/>
      <c r="O427" s="43"/>
      <c r="P427" s="43"/>
      <c r="Q427" s="43"/>
      <c r="R427" s="42" t="s">
        <v>4560</v>
      </c>
      <c r="S427" s="42" t="s">
        <v>4561</v>
      </c>
      <c r="T427" s="42" t="s">
        <v>66</v>
      </c>
      <c r="U427" s="42" t="s">
        <v>7741</v>
      </c>
      <c r="V427" s="42" t="s">
        <v>10507</v>
      </c>
      <c r="W427" s="42" t="s">
        <v>3571</v>
      </c>
      <c r="X427" s="42" t="s">
        <v>5018</v>
      </c>
      <c r="Y427" s="41">
        <v>6.0</v>
      </c>
      <c r="Z427" s="48" t="s">
        <v>3559</v>
      </c>
    </row>
    <row r="428">
      <c r="A428" s="35" t="s">
        <v>7761</v>
      </c>
      <c r="B428" s="35" t="s">
        <v>10508</v>
      </c>
      <c r="C428" s="35" t="s">
        <v>7757</v>
      </c>
      <c r="D428" s="35" t="s">
        <v>10086</v>
      </c>
      <c r="E428" s="35" t="s">
        <v>10015</v>
      </c>
      <c r="F428" s="35" t="s">
        <v>10509</v>
      </c>
      <c r="G428" s="34"/>
      <c r="H428" s="35" t="s">
        <v>10086</v>
      </c>
      <c r="I428" s="34"/>
      <c r="J428" s="37"/>
      <c r="K428" s="35" t="s">
        <v>10259</v>
      </c>
      <c r="L428" s="37"/>
      <c r="M428" s="37"/>
      <c r="N428" s="34"/>
      <c r="O428" s="35" t="s">
        <v>10510</v>
      </c>
      <c r="P428" s="35" t="s">
        <v>7770</v>
      </c>
      <c r="Q428" s="34"/>
      <c r="R428" s="35" t="s">
        <v>3563</v>
      </c>
      <c r="S428" s="35" t="s">
        <v>3564</v>
      </c>
      <c r="T428" s="35" t="s">
        <v>3565</v>
      </c>
      <c r="U428" s="35" t="s">
        <v>7759</v>
      </c>
      <c r="V428" s="35" t="s">
        <v>10511</v>
      </c>
      <c r="W428" s="35" t="s">
        <v>5412</v>
      </c>
      <c r="X428" s="35" t="s">
        <v>5075</v>
      </c>
      <c r="Y428" s="32">
        <v>3900.0</v>
      </c>
      <c r="Z428" s="40" t="s">
        <v>3559</v>
      </c>
    </row>
    <row r="429">
      <c r="A429" s="42" t="s">
        <v>7761</v>
      </c>
      <c r="B429" s="42" t="s">
        <v>10508</v>
      </c>
      <c r="C429" s="42" t="s">
        <v>7757</v>
      </c>
      <c r="D429" s="42" t="s">
        <v>147</v>
      </c>
      <c r="E429" s="42" t="s">
        <v>10011</v>
      </c>
      <c r="F429" s="42" t="s">
        <v>7772</v>
      </c>
      <c r="G429" s="42" t="s">
        <v>7773</v>
      </c>
      <c r="H429" s="42" t="s">
        <v>147</v>
      </c>
      <c r="I429" s="43"/>
      <c r="J429" s="41">
        <v>9777019.0</v>
      </c>
      <c r="K429" s="42" t="s">
        <v>41</v>
      </c>
      <c r="L429" s="45" t="str">
        <f>+972 (0)2 541 7333</f>
        <v>#ERROR!</v>
      </c>
      <c r="M429" s="45" t="str">
        <f>+972 (0)2 541 7300</f>
        <v>#ERROR!</v>
      </c>
      <c r="N429" s="42" t="s">
        <v>2117</v>
      </c>
      <c r="O429" s="42" t="s">
        <v>10510</v>
      </c>
      <c r="P429" s="42" t="s">
        <v>7770</v>
      </c>
      <c r="Q429" s="43"/>
      <c r="R429" s="42" t="s">
        <v>3563</v>
      </c>
      <c r="S429" s="42" t="s">
        <v>3564</v>
      </c>
      <c r="T429" s="42" t="s">
        <v>3565</v>
      </c>
      <c r="U429" s="42" t="s">
        <v>7759</v>
      </c>
      <c r="V429" s="42" t="s">
        <v>10511</v>
      </c>
      <c r="W429" s="42" t="s">
        <v>5412</v>
      </c>
      <c r="X429" s="42" t="s">
        <v>5075</v>
      </c>
      <c r="Y429" s="41">
        <v>3900.0</v>
      </c>
      <c r="Z429" s="48" t="s">
        <v>3559</v>
      </c>
    </row>
    <row r="430">
      <c r="A430" s="35" t="s">
        <v>7796</v>
      </c>
      <c r="B430" s="35" t="s">
        <v>7789</v>
      </c>
      <c r="C430" s="35" t="s">
        <v>7791</v>
      </c>
      <c r="D430" s="35" t="s">
        <v>75</v>
      </c>
      <c r="E430" s="35" t="s">
        <v>10011</v>
      </c>
      <c r="F430" s="34"/>
      <c r="G430" s="34"/>
      <c r="H430" s="35" t="s">
        <v>75</v>
      </c>
      <c r="I430" s="34"/>
      <c r="J430" s="37"/>
      <c r="K430" s="35" t="s">
        <v>41</v>
      </c>
      <c r="L430" s="37"/>
      <c r="M430" s="37"/>
      <c r="N430" s="35" t="s">
        <v>2318</v>
      </c>
      <c r="O430" s="35" t="s">
        <v>7800</v>
      </c>
      <c r="P430" s="35" t="s">
        <v>265</v>
      </c>
      <c r="Q430" s="34"/>
      <c r="R430" s="35" t="s">
        <v>30</v>
      </c>
      <c r="S430" s="35" t="s">
        <v>7792</v>
      </c>
      <c r="T430" s="35" t="s">
        <v>7793</v>
      </c>
      <c r="U430" s="35" t="s">
        <v>7279</v>
      </c>
      <c r="V430" s="35" t="s">
        <v>10512</v>
      </c>
      <c r="W430" s="35" t="s">
        <v>3571</v>
      </c>
      <c r="X430" s="35" t="s">
        <v>4923</v>
      </c>
      <c r="Y430" s="32">
        <v>2.0</v>
      </c>
      <c r="Z430" s="40" t="s">
        <v>3559</v>
      </c>
    </row>
    <row r="431">
      <c r="A431" s="42" t="s">
        <v>7808</v>
      </c>
      <c r="B431" s="42" t="s">
        <v>7802</v>
      </c>
      <c r="C431" s="42" t="s">
        <v>7805</v>
      </c>
      <c r="D431" s="42" t="s">
        <v>10513</v>
      </c>
      <c r="E431" s="42" t="s">
        <v>10008</v>
      </c>
      <c r="F431" s="43"/>
      <c r="G431" s="43"/>
      <c r="H431" s="42" t="s">
        <v>10513</v>
      </c>
      <c r="I431" s="43"/>
      <c r="J431" s="45"/>
      <c r="K431" s="42" t="s">
        <v>10514</v>
      </c>
      <c r="L431" s="45"/>
      <c r="M431" s="45"/>
      <c r="N431" s="42" t="s">
        <v>1479</v>
      </c>
      <c r="O431" s="42" t="s">
        <v>7813</v>
      </c>
      <c r="P431" s="42" t="s">
        <v>4093</v>
      </c>
      <c r="Q431" s="43"/>
      <c r="R431" s="42" t="s">
        <v>3563</v>
      </c>
      <c r="S431" s="42" t="s">
        <v>3564</v>
      </c>
      <c r="T431" s="42" t="s">
        <v>3565</v>
      </c>
      <c r="U431" s="42" t="s">
        <v>7260</v>
      </c>
      <c r="V431" s="42" t="s">
        <v>10515</v>
      </c>
      <c r="W431" s="42" t="s">
        <v>3571</v>
      </c>
      <c r="X431" s="42" t="s">
        <v>5018</v>
      </c>
      <c r="Y431" s="41">
        <v>225.0</v>
      </c>
      <c r="Z431" s="48" t="s">
        <v>3559</v>
      </c>
    </row>
    <row r="432">
      <c r="A432" s="35" t="s">
        <v>7808</v>
      </c>
      <c r="B432" s="35" t="s">
        <v>7802</v>
      </c>
      <c r="C432" s="35" t="s">
        <v>7805</v>
      </c>
      <c r="D432" s="35" t="s">
        <v>10516</v>
      </c>
      <c r="E432" s="35" t="s">
        <v>10008</v>
      </c>
      <c r="F432" s="34"/>
      <c r="G432" s="34"/>
      <c r="H432" s="35" t="s">
        <v>10516</v>
      </c>
      <c r="I432" s="35" t="s">
        <v>10517</v>
      </c>
      <c r="J432" s="37"/>
      <c r="K432" s="35" t="s">
        <v>60</v>
      </c>
      <c r="L432" s="37"/>
      <c r="M432" s="37"/>
      <c r="N432" s="35" t="s">
        <v>1479</v>
      </c>
      <c r="O432" s="35" t="s">
        <v>7813</v>
      </c>
      <c r="P432" s="35" t="s">
        <v>4093</v>
      </c>
      <c r="Q432" s="34"/>
      <c r="R432" s="35" t="s">
        <v>3563</v>
      </c>
      <c r="S432" s="35" t="s">
        <v>3564</v>
      </c>
      <c r="T432" s="35" t="s">
        <v>3565</v>
      </c>
      <c r="U432" s="35" t="s">
        <v>7260</v>
      </c>
      <c r="V432" s="35" t="s">
        <v>10515</v>
      </c>
      <c r="W432" s="35" t="s">
        <v>3571</v>
      </c>
      <c r="X432" s="35" t="s">
        <v>5018</v>
      </c>
      <c r="Y432" s="32">
        <v>225.0</v>
      </c>
      <c r="Z432" s="40" t="s">
        <v>3559</v>
      </c>
    </row>
    <row r="433">
      <c r="A433" s="42" t="s">
        <v>7808</v>
      </c>
      <c r="B433" s="42" t="s">
        <v>7802</v>
      </c>
      <c r="C433" s="42" t="s">
        <v>7805</v>
      </c>
      <c r="D433" s="42" t="s">
        <v>10518</v>
      </c>
      <c r="E433" s="42" t="s">
        <v>10008</v>
      </c>
      <c r="F433" s="43"/>
      <c r="G433" s="43"/>
      <c r="H433" s="42" t="s">
        <v>10518</v>
      </c>
      <c r="I433" s="43"/>
      <c r="J433" s="45"/>
      <c r="K433" s="42" t="s">
        <v>10519</v>
      </c>
      <c r="L433" s="45"/>
      <c r="M433" s="45"/>
      <c r="N433" s="42" t="s">
        <v>1479</v>
      </c>
      <c r="O433" s="42" t="s">
        <v>7813</v>
      </c>
      <c r="P433" s="42" t="s">
        <v>4093</v>
      </c>
      <c r="Q433" s="43"/>
      <c r="R433" s="42" t="s">
        <v>3563</v>
      </c>
      <c r="S433" s="42" t="s">
        <v>3564</v>
      </c>
      <c r="T433" s="42" t="s">
        <v>3565</v>
      </c>
      <c r="U433" s="42" t="s">
        <v>7260</v>
      </c>
      <c r="V433" s="42" t="s">
        <v>10515</v>
      </c>
      <c r="W433" s="42" t="s">
        <v>3571</v>
      </c>
      <c r="X433" s="42" t="s">
        <v>5018</v>
      </c>
      <c r="Y433" s="41">
        <v>225.0</v>
      </c>
      <c r="Z433" s="48" t="s">
        <v>3559</v>
      </c>
    </row>
    <row r="434">
      <c r="A434" s="35" t="s">
        <v>7808</v>
      </c>
      <c r="B434" s="35" t="s">
        <v>7802</v>
      </c>
      <c r="C434" s="35" t="s">
        <v>7805</v>
      </c>
      <c r="D434" s="35" t="s">
        <v>111</v>
      </c>
      <c r="E434" s="35" t="s">
        <v>10008</v>
      </c>
      <c r="F434" s="34"/>
      <c r="G434" s="34"/>
      <c r="H434" s="35" t="s">
        <v>111</v>
      </c>
      <c r="I434" s="35" t="s">
        <v>112</v>
      </c>
      <c r="J434" s="37"/>
      <c r="K434" s="35" t="s">
        <v>60</v>
      </c>
      <c r="L434" s="37"/>
      <c r="M434" s="37"/>
      <c r="N434" s="35" t="s">
        <v>1479</v>
      </c>
      <c r="O434" s="35" t="s">
        <v>7813</v>
      </c>
      <c r="P434" s="35" t="s">
        <v>4093</v>
      </c>
      <c r="Q434" s="34"/>
      <c r="R434" s="35" t="s">
        <v>3563</v>
      </c>
      <c r="S434" s="35" t="s">
        <v>3564</v>
      </c>
      <c r="T434" s="35" t="s">
        <v>3565</v>
      </c>
      <c r="U434" s="35" t="s">
        <v>7260</v>
      </c>
      <c r="V434" s="35" t="s">
        <v>10515</v>
      </c>
      <c r="W434" s="35" t="s">
        <v>3571</v>
      </c>
      <c r="X434" s="35" t="s">
        <v>5018</v>
      </c>
      <c r="Y434" s="32">
        <v>225.0</v>
      </c>
      <c r="Z434" s="40" t="s">
        <v>3559</v>
      </c>
    </row>
    <row r="435">
      <c r="A435" s="42" t="s">
        <v>7808</v>
      </c>
      <c r="B435" s="42" t="s">
        <v>7802</v>
      </c>
      <c r="C435" s="42" t="s">
        <v>7805</v>
      </c>
      <c r="D435" s="42" t="s">
        <v>10520</v>
      </c>
      <c r="E435" s="42" t="s">
        <v>10008</v>
      </c>
      <c r="F435" s="43"/>
      <c r="G435" s="43"/>
      <c r="H435" s="42" t="s">
        <v>10520</v>
      </c>
      <c r="I435" s="43"/>
      <c r="J435" s="45"/>
      <c r="K435" s="42" t="s">
        <v>10521</v>
      </c>
      <c r="L435" s="45"/>
      <c r="M435" s="45"/>
      <c r="N435" s="42" t="s">
        <v>1479</v>
      </c>
      <c r="O435" s="42" t="s">
        <v>7813</v>
      </c>
      <c r="P435" s="42" t="s">
        <v>4093</v>
      </c>
      <c r="Q435" s="43"/>
      <c r="R435" s="42" t="s">
        <v>3563</v>
      </c>
      <c r="S435" s="42" t="s">
        <v>3564</v>
      </c>
      <c r="T435" s="42" t="s">
        <v>3565</v>
      </c>
      <c r="U435" s="42" t="s">
        <v>7260</v>
      </c>
      <c r="V435" s="42" t="s">
        <v>10515</v>
      </c>
      <c r="W435" s="42" t="s">
        <v>3571</v>
      </c>
      <c r="X435" s="42" t="s">
        <v>5018</v>
      </c>
      <c r="Y435" s="41">
        <v>225.0</v>
      </c>
      <c r="Z435" s="48" t="s">
        <v>3559</v>
      </c>
    </row>
    <row r="436">
      <c r="A436" s="35" t="s">
        <v>7808</v>
      </c>
      <c r="B436" s="35" t="s">
        <v>7802</v>
      </c>
      <c r="C436" s="35" t="s">
        <v>7805</v>
      </c>
      <c r="D436" s="35" t="s">
        <v>10522</v>
      </c>
      <c r="E436" s="35" t="s">
        <v>10008</v>
      </c>
      <c r="F436" s="34"/>
      <c r="G436" s="34"/>
      <c r="H436" s="35" t="s">
        <v>10522</v>
      </c>
      <c r="I436" s="34"/>
      <c r="J436" s="37"/>
      <c r="K436" s="35" t="s">
        <v>10523</v>
      </c>
      <c r="L436" s="37"/>
      <c r="M436" s="37"/>
      <c r="N436" s="35" t="s">
        <v>1479</v>
      </c>
      <c r="O436" s="35" t="s">
        <v>7813</v>
      </c>
      <c r="P436" s="35" t="s">
        <v>4093</v>
      </c>
      <c r="Q436" s="34"/>
      <c r="R436" s="35" t="s">
        <v>3563</v>
      </c>
      <c r="S436" s="35" t="s">
        <v>3564</v>
      </c>
      <c r="T436" s="35" t="s">
        <v>3565</v>
      </c>
      <c r="U436" s="35" t="s">
        <v>7260</v>
      </c>
      <c r="V436" s="35" t="s">
        <v>10515</v>
      </c>
      <c r="W436" s="35" t="s">
        <v>3571</v>
      </c>
      <c r="X436" s="35" t="s">
        <v>5018</v>
      </c>
      <c r="Y436" s="32">
        <v>225.0</v>
      </c>
      <c r="Z436" s="40" t="s">
        <v>3559</v>
      </c>
    </row>
    <row r="437">
      <c r="A437" s="42" t="s">
        <v>7808</v>
      </c>
      <c r="B437" s="42" t="s">
        <v>7802</v>
      </c>
      <c r="C437" s="42" t="s">
        <v>7805</v>
      </c>
      <c r="D437" s="42" t="s">
        <v>10524</v>
      </c>
      <c r="E437" s="42" t="s">
        <v>10008</v>
      </c>
      <c r="F437" s="43"/>
      <c r="G437" s="43"/>
      <c r="H437" s="42" t="s">
        <v>10524</v>
      </c>
      <c r="I437" s="43"/>
      <c r="J437" s="45"/>
      <c r="K437" s="42" t="s">
        <v>10525</v>
      </c>
      <c r="L437" s="45"/>
      <c r="M437" s="45"/>
      <c r="N437" s="42" t="s">
        <v>1479</v>
      </c>
      <c r="O437" s="42" t="s">
        <v>7813</v>
      </c>
      <c r="P437" s="42" t="s">
        <v>4093</v>
      </c>
      <c r="Q437" s="43"/>
      <c r="R437" s="42" t="s">
        <v>3563</v>
      </c>
      <c r="S437" s="42" t="s">
        <v>3564</v>
      </c>
      <c r="T437" s="42" t="s">
        <v>3565</v>
      </c>
      <c r="U437" s="42" t="s">
        <v>7260</v>
      </c>
      <c r="V437" s="42" t="s">
        <v>10515</v>
      </c>
      <c r="W437" s="42" t="s">
        <v>3571</v>
      </c>
      <c r="X437" s="42" t="s">
        <v>5018</v>
      </c>
      <c r="Y437" s="41">
        <v>225.0</v>
      </c>
      <c r="Z437" s="48" t="s">
        <v>3559</v>
      </c>
    </row>
    <row r="438">
      <c r="A438" s="77" t="s">
        <v>7808</v>
      </c>
      <c r="B438" s="77" t="s">
        <v>7802</v>
      </c>
      <c r="C438" s="77" t="s">
        <v>7805</v>
      </c>
      <c r="D438" s="77" t="s">
        <v>287</v>
      </c>
      <c r="E438" s="77" t="s">
        <v>10008</v>
      </c>
      <c r="F438" s="78"/>
      <c r="G438" s="78"/>
      <c r="H438" s="77" t="s">
        <v>287</v>
      </c>
      <c r="I438" s="77" t="s">
        <v>10032</v>
      </c>
      <c r="J438" s="79"/>
      <c r="K438" s="77" t="s">
        <v>211</v>
      </c>
      <c r="L438" s="79"/>
      <c r="M438" s="79"/>
      <c r="N438" s="77" t="s">
        <v>1479</v>
      </c>
      <c r="O438" s="77" t="s">
        <v>7813</v>
      </c>
      <c r="P438" s="77" t="s">
        <v>4093</v>
      </c>
      <c r="Q438" s="78"/>
      <c r="R438" s="77" t="s">
        <v>3563</v>
      </c>
      <c r="S438" s="77" t="s">
        <v>3564</v>
      </c>
      <c r="T438" s="77" t="s">
        <v>3565</v>
      </c>
      <c r="U438" s="77" t="s">
        <v>7260</v>
      </c>
      <c r="V438" s="77" t="s">
        <v>10515</v>
      </c>
      <c r="W438" s="77" t="s">
        <v>3571</v>
      </c>
      <c r="X438" s="77" t="s">
        <v>5018</v>
      </c>
      <c r="Y438" s="80">
        <v>225.0</v>
      </c>
      <c r="Z438" s="81" t="s">
        <v>3559</v>
      </c>
    </row>
    <row r="439">
      <c r="A439" s="42" t="s">
        <v>7808</v>
      </c>
      <c r="B439" s="42" t="s">
        <v>7802</v>
      </c>
      <c r="C439" s="42" t="s">
        <v>7805</v>
      </c>
      <c r="D439" s="42" t="s">
        <v>10456</v>
      </c>
      <c r="E439" s="42" t="s">
        <v>10008</v>
      </c>
      <c r="F439" s="43"/>
      <c r="G439" s="43"/>
      <c r="H439" s="42" t="s">
        <v>10456</v>
      </c>
      <c r="I439" s="43"/>
      <c r="J439" s="45"/>
      <c r="K439" s="42" t="s">
        <v>10073</v>
      </c>
      <c r="L439" s="45"/>
      <c r="M439" s="45"/>
      <c r="N439" s="42" t="s">
        <v>1479</v>
      </c>
      <c r="O439" s="42" t="s">
        <v>7813</v>
      </c>
      <c r="P439" s="42" t="s">
        <v>4093</v>
      </c>
      <c r="Q439" s="43"/>
      <c r="R439" s="42" t="s">
        <v>3563</v>
      </c>
      <c r="S439" s="42" t="s">
        <v>3564</v>
      </c>
      <c r="T439" s="42" t="s">
        <v>3565</v>
      </c>
      <c r="U439" s="42" t="s">
        <v>7260</v>
      </c>
      <c r="V439" s="42" t="s">
        <v>10515</v>
      </c>
      <c r="W439" s="42" t="s">
        <v>3571</v>
      </c>
      <c r="X439" s="42" t="s">
        <v>5018</v>
      </c>
      <c r="Y439" s="41">
        <v>225.0</v>
      </c>
      <c r="Z439" s="48" t="s">
        <v>3559</v>
      </c>
    </row>
    <row r="440">
      <c r="A440" s="35" t="s">
        <v>7808</v>
      </c>
      <c r="B440" s="35" t="s">
        <v>7802</v>
      </c>
      <c r="C440" s="35" t="s">
        <v>7805</v>
      </c>
      <c r="D440" s="35" t="s">
        <v>10137</v>
      </c>
      <c r="E440" s="35" t="s">
        <v>10008</v>
      </c>
      <c r="F440" s="34"/>
      <c r="G440" s="34"/>
      <c r="H440" s="35" t="s">
        <v>10137</v>
      </c>
      <c r="I440" s="34"/>
      <c r="J440" s="37"/>
      <c r="K440" s="35" t="s">
        <v>10139</v>
      </c>
      <c r="L440" s="37"/>
      <c r="M440" s="37"/>
      <c r="N440" s="35" t="s">
        <v>1479</v>
      </c>
      <c r="O440" s="35" t="s">
        <v>7813</v>
      </c>
      <c r="P440" s="35" t="s">
        <v>4093</v>
      </c>
      <c r="Q440" s="34"/>
      <c r="R440" s="35" t="s">
        <v>3563</v>
      </c>
      <c r="S440" s="35" t="s">
        <v>3564</v>
      </c>
      <c r="T440" s="35" t="s">
        <v>3565</v>
      </c>
      <c r="U440" s="35" t="s">
        <v>7260</v>
      </c>
      <c r="V440" s="35" t="s">
        <v>10515</v>
      </c>
      <c r="W440" s="35" t="s">
        <v>3571</v>
      </c>
      <c r="X440" s="35" t="s">
        <v>5018</v>
      </c>
      <c r="Y440" s="32">
        <v>225.0</v>
      </c>
      <c r="Z440" s="40" t="s">
        <v>3559</v>
      </c>
    </row>
    <row r="441">
      <c r="A441" s="42" t="s">
        <v>7808</v>
      </c>
      <c r="B441" s="42" t="s">
        <v>7802</v>
      </c>
      <c r="C441" s="42" t="s">
        <v>7805</v>
      </c>
      <c r="D441" s="42" t="s">
        <v>10252</v>
      </c>
      <c r="E441" s="42" t="s">
        <v>10008</v>
      </c>
      <c r="F441" s="43"/>
      <c r="G441" s="43"/>
      <c r="H441" s="42" t="s">
        <v>10252</v>
      </c>
      <c r="I441" s="43"/>
      <c r="J441" s="45"/>
      <c r="K441" s="42" t="s">
        <v>10105</v>
      </c>
      <c r="L441" s="45"/>
      <c r="M441" s="45"/>
      <c r="N441" s="42" t="s">
        <v>1479</v>
      </c>
      <c r="O441" s="42" t="s">
        <v>7813</v>
      </c>
      <c r="P441" s="42" t="s">
        <v>4093</v>
      </c>
      <c r="Q441" s="43"/>
      <c r="R441" s="42" t="s">
        <v>3563</v>
      </c>
      <c r="S441" s="42" t="s">
        <v>3564</v>
      </c>
      <c r="T441" s="42" t="s">
        <v>3565</v>
      </c>
      <c r="U441" s="42" t="s">
        <v>7260</v>
      </c>
      <c r="V441" s="42" t="s">
        <v>10515</v>
      </c>
      <c r="W441" s="42" t="s">
        <v>3571</v>
      </c>
      <c r="X441" s="42" t="s">
        <v>5018</v>
      </c>
      <c r="Y441" s="41">
        <v>225.0</v>
      </c>
      <c r="Z441" s="48" t="s">
        <v>3559</v>
      </c>
    </row>
    <row r="442">
      <c r="A442" s="35" t="s">
        <v>7808</v>
      </c>
      <c r="B442" s="35" t="s">
        <v>7802</v>
      </c>
      <c r="C442" s="35" t="s">
        <v>7805</v>
      </c>
      <c r="D442" s="35" t="s">
        <v>1037</v>
      </c>
      <c r="E442" s="35" t="s">
        <v>10011</v>
      </c>
      <c r="F442" s="35" t="s">
        <v>7814</v>
      </c>
      <c r="G442" s="34"/>
      <c r="H442" s="35" t="s">
        <v>1037</v>
      </c>
      <c r="I442" s="34"/>
      <c r="J442" s="32">
        <v>7403635.0</v>
      </c>
      <c r="K442" s="35" t="s">
        <v>41</v>
      </c>
      <c r="L442" s="37" t="str">
        <f>+972 (0)8 621 3146</f>
        <v>#ERROR!</v>
      </c>
      <c r="M442" s="37" t="str">
        <f>+972 (0)8 621 3145</f>
        <v>#ERROR!</v>
      </c>
      <c r="N442" s="35" t="s">
        <v>7815</v>
      </c>
      <c r="O442" s="35" t="s">
        <v>7813</v>
      </c>
      <c r="P442" s="35" t="s">
        <v>4093</v>
      </c>
      <c r="Q442" s="34"/>
      <c r="R442" s="35" t="s">
        <v>3563</v>
      </c>
      <c r="S442" s="35" t="s">
        <v>3564</v>
      </c>
      <c r="T442" s="35" t="s">
        <v>3565</v>
      </c>
      <c r="U442" s="35" t="s">
        <v>7260</v>
      </c>
      <c r="V442" s="35" t="s">
        <v>10515</v>
      </c>
      <c r="W442" s="35" t="s">
        <v>3571</v>
      </c>
      <c r="X442" s="35" t="s">
        <v>5018</v>
      </c>
      <c r="Y442" s="32">
        <v>225.0</v>
      </c>
      <c r="Z442" s="40" t="s">
        <v>3559</v>
      </c>
    </row>
    <row r="443">
      <c r="A443" s="42" t="s">
        <v>7808</v>
      </c>
      <c r="B443" s="42" t="s">
        <v>7802</v>
      </c>
      <c r="C443" s="42" t="s">
        <v>7805</v>
      </c>
      <c r="D443" s="42" t="s">
        <v>10526</v>
      </c>
      <c r="E443" s="42" t="s">
        <v>10008</v>
      </c>
      <c r="F443" s="43"/>
      <c r="G443" s="43"/>
      <c r="H443" s="42" t="s">
        <v>10526</v>
      </c>
      <c r="I443" s="43"/>
      <c r="J443" s="45"/>
      <c r="K443" s="42" t="s">
        <v>10241</v>
      </c>
      <c r="L443" s="45"/>
      <c r="M443" s="45"/>
      <c r="N443" s="42" t="s">
        <v>1479</v>
      </c>
      <c r="O443" s="42" t="s">
        <v>7813</v>
      </c>
      <c r="P443" s="42" t="s">
        <v>4093</v>
      </c>
      <c r="Q443" s="43"/>
      <c r="R443" s="42" t="s">
        <v>3563</v>
      </c>
      <c r="S443" s="42" t="s">
        <v>3564</v>
      </c>
      <c r="T443" s="42" t="s">
        <v>3565</v>
      </c>
      <c r="U443" s="42" t="s">
        <v>7260</v>
      </c>
      <c r="V443" s="42" t="s">
        <v>10515</v>
      </c>
      <c r="W443" s="42" t="s">
        <v>3571</v>
      </c>
      <c r="X443" s="42" t="s">
        <v>5018</v>
      </c>
      <c r="Y443" s="41">
        <v>225.0</v>
      </c>
      <c r="Z443" s="48" t="s">
        <v>3559</v>
      </c>
    </row>
    <row r="444">
      <c r="A444" s="35" t="s">
        <v>7808</v>
      </c>
      <c r="B444" s="35" t="s">
        <v>7802</v>
      </c>
      <c r="C444" s="35" t="s">
        <v>7805</v>
      </c>
      <c r="D444" s="35" t="s">
        <v>506</v>
      </c>
      <c r="E444" s="35" t="s">
        <v>10008</v>
      </c>
      <c r="F444" s="34"/>
      <c r="G444" s="34"/>
      <c r="H444" s="35" t="s">
        <v>506</v>
      </c>
      <c r="I444" s="35" t="s">
        <v>507</v>
      </c>
      <c r="J444" s="37"/>
      <c r="K444" s="35" t="s">
        <v>60</v>
      </c>
      <c r="L444" s="37"/>
      <c r="M444" s="37"/>
      <c r="N444" s="35" t="s">
        <v>1479</v>
      </c>
      <c r="O444" s="35" t="s">
        <v>7813</v>
      </c>
      <c r="P444" s="35" t="s">
        <v>4093</v>
      </c>
      <c r="Q444" s="34"/>
      <c r="R444" s="35" t="s">
        <v>3563</v>
      </c>
      <c r="S444" s="35" t="s">
        <v>3564</v>
      </c>
      <c r="T444" s="35" t="s">
        <v>3565</v>
      </c>
      <c r="U444" s="35" t="s">
        <v>7260</v>
      </c>
      <c r="V444" s="35" t="s">
        <v>10515</v>
      </c>
      <c r="W444" s="35" t="s">
        <v>3571</v>
      </c>
      <c r="X444" s="35" t="s">
        <v>5018</v>
      </c>
      <c r="Y444" s="32">
        <v>225.0</v>
      </c>
      <c r="Z444" s="40" t="s">
        <v>3559</v>
      </c>
    </row>
    <row r="445">
      <c r="A445" s="42" t="s">
        <v>7808</v>
      </c>
      <c r="B445" s="42" t="s">
        <v>7802</v>
      </c>
      <c r="C445" s="42" t="s">
        <v>7805</v>
      </c>
      <c r="D445" s="42" t="s">
        <v>10527</v>
      </c>
      <c r="E445" s="42" t="s">
        <v>10008</v>
      </c>
      <c r="F445" s="43"/>
      <c r="G445" s="43"/>
      <c r="H445" s="42" t="s">
        <v>10527</v>
      </c>
      <c r="I445" s="42" t="s">
        <v>10528</v>
      </c>
      <c r="J445" s="45"/>
      <c r="K445" s="42" t="s">
        <v>60</v>
      </c>
      <c r="L445" s="45"/>
      <c r="M445" s="45"/>
      <c r="N445" s="42" t="s">
        <v>1479</v>
      </c>
      <c r="O445" s="42" t="s">
        <v>7813</v>
      </c>
      <c r="P445" s="42" t="s">
        <v>4093</v>
      </c>
      <c r="Q445" s="43"/>
      <c r="R445" s="42" t="s">
        <v>3563</v>
      </c>
      <c r="S445" s="42" t="s">
        <v>3564</v>
      </c>
      <c r="T445" s="42" t="s">
        <v>3565</v>
      </c>
      <c r="U445" s="42" t="s">
        <v>7260</v>
      </c>
      <c r="V445" s="42" t="s">
        <v>10515</v>
      </c>
      <c r="W445" s="42" t="s">
        <v>3571</v>
      </c>
      <c r="X445" s="42" t="s">
        <v>5018</v>
      </c>
      <c r="Y445" s="41">
        <v>225.0</v>
      </c>
      <c r="Z445" s="48" t="s">
        <v>3559</v>
      </c>
    </row>
    <row r="446">
      <c r="A446" s="35" t="s">
        <v>7808</v>
      </c>
      <c r="B446" s="35" t="s">
        <v>7802</v>
      </c>
      <c r="C446" s="35" t="s">
        <v>7805</v>
      </c>
      <c r="D446" s="35" t="s">
        <v>10529</v>
      </c>
      <c r="E446" s="35" t="s">
        <v>10008</v>
      </c>
      <c r="F446" s="34"/>
      <c r="G446" s="34"/>
      <c r="H446" s="35" t="s">
        <v>10529</v>
      </c>
      <c r="I446" s="34"/>
      <c r="J446" s="37"/>
      <c r="K446" s="35" t="s">
        <v>10111</v>
      </c>
      <c r="L446" s="37"/>
      <c r="M446" s="37"/>
      <c r="N446" s="35" t="s">
        <v>1479</v>
      </c>
      <c r="O446" s="35" t="s">
        <v>7813</v>
      </c>
      <c r="P446" s="35" t="s">
        <v>4093</v>
      </c>
      <c r="Q446" s="34"/>
      <c r="R446" s="35" t="s">
        <v>3563</v>
      </c>
      <c r="S446" s="35" t="s">
        <v>3564</v>
      </c>
      <c r="T446" s="35" t="s">
        <v>3565</v>
      </c>
      <c r="U446" s="35" t="s">
        <v>7260</v>
      </c>
      <c r="V446" s="35" t="s">
        <v>10515</v>
      </c>
      <c r="W446" s="35" t="s">
        <v>3571</v>
      </c>
      <c r="X446" s="35" t="s">
        <v>5018</v>
      </c>
      <c r="Y446" s="32">
        <v>225.0</v>
      </c>
      <c r="Z446" s="40" t="s">
        <v>3559</v>
      </c>
    </row>
    <row r="447">
      <c r="A447" s="42" t="s">
        <v>7808</v>
      </c>
      <c r="B447" s="42" t="s">
        <v>7802</v>
      </c>
      <c r="C447" s="42" t="s">
        <v>7805</v>
      </c>
      <c r="D447" s="42" t="s">
        <v>10530</v>
      </c>
      <c r="E447" s="42" t="s">
        <v>10008</v>
      </c>
      <c r="F447" s="43"/>
      <c r="G447" s="43"/>
      <c r="H447" s="42" t="s">
        <v>10530</v>
      </c>
      <c r="I447" s="43"/>
      <c r="J447" s="45"/>
      <c r="K447" s="42" t="s">
        <v>10105</v>
      </c>
      <c r="L447" s="45"/>
      <c r="M447" s="45"/>
      <c r="N447" s="42" t="s">
        <v>1479</v>
      </c>
      <c r="O447" s="42" t="s">
        <v>7813</v>
      </c>
      <c r="P447" s="42" t="s">
        <v>4093</v>
      </c>
      <c r="Q447" s="43"/>
      <c r="R447" s="42" t="s">
        <v>3563</v>
      </c>
      <c r="S447" s="42" t="s">
        <v>3564</v>
      </c>
      <c r="T447" s="42" t="s">
        <v>3565</v>
      </c>
      <c r="U447" s="42" t="s">
        <v>7260</v>
      </c>
      <c r="V447" s="42" t="s">
        <v>10515</v>
      </c>
      <c r="W447" s="42" t="s">
        <v>3571</v>
      </c>
      <c r="X447" s="42" t="s">
        <v>5018</v>
      </c>
      <c r="Y447" s="41">
        <v>225.0</v>
      </c>
      <c r="Z447" s="48" t="s">
        <v>3559</v>
      </c>
    </row>
    <row r="448">
      <c r="A448" s="35" t="s">
        <v>7808</v>
      </c>
      <c r="B448" s="35" t="s">
        <v>7802</v>
      </c>
      <c r="C448" s="35" t="s">
        <v>7805</v>
      </c>
      <c r="D448" s="35" t="s">
        <v>10063</v>
      </c>
      <c r="E448" s="35" t="s">
        <v>10015</v>
      </c>
      <c r="F448" s="35" t="s">
        <v>10531</v>
      </c>
      <c r="G448" s="34"/>
      <c r="H448" s="35" t="s">
        <v>10063</v>
      </c>
      <c r="I448" s="35" t="s">
        <v>1431</v>
      </c>
      <c r="J448" s="32">
        <v>94108.0</v>
      </c>
      <c r="K448" s="35" t="s">
        <v>60</v>
      </c>
      <c r="L448" s="37"/>
      <c r="M448" s="37"/>
      <c r="N448" s="35" t="s">
        <v>1479</v>
      </c>
      <c r="O448" s="35" t="s">
        <v>7813</v>
      </c>
      <c r="P448" s="35" t="s">
        <v>4093</v>
      </c>
      <c r="Q448" s="34"/>
      <c r="R448" s="35" t="s">
        <v>3563</v>
      </c>
      <c r="S448" s="35" t="s">
        <v>3564</v>
      </c>
      <c r="T448" s="35" t="s">
        <v>3565</v>
      </c>
      <c r="U448" s="35" t="s">
        <v>7260</v>
      </c>
      <c r="V448" s="35" t="s">
        <v>10515</v>
      </c>
      <c r="W448" s="35" t="s">
        <v>3571</v>
      </c>
      <c r="X448" s="35" t="s">
        <v>5018</v>
      </c>
      <c r="Y448" s="32">
        <v>225.0</v>
      </c>
      <c r="Z448" s="40" t="s">
        <v>3559</v>
      </c>
    </row>
    <row r="449">
      <c r="A449" s="42" t="s">
        <v>7808</v>
      </c>
      <c r="B449" s="42" t="s">
        <v>7802</v>
      </c>
      <c r="C449" s="42" t="s">
        <v>7805</v>
      </c>
      <c r="D449" s="42" t="s">
        <v>10532</v>
      </c>
      <c r="E449" s="42" t="s">
        <v>10008</v>
      </c>
      <c r="F449" s="43"/>
      <c r="G449" s="43"/>
      <c r="H449" s="42" t="s">
        <v>10532</v>
      </c>
      <c r="I449" s="43"/>
      <c r="J449" s="45"/>
      <c r="K449" s="42" t="s">
        <v>10533</v>
      </c>
      <c r="L449" s="45"/>
      <c r="M449" s="45"/>
      <c r="N449" s="42" t="s">
        <v>1479</v>
      </c>
      <c r="O449" s="42" t="s">
        <v>7813</v>
      </c>
      <c r="P449" s="42" t="s">
        <v>4093</v>
      </c>
      <c r="Q449" s="43"/>
      <c r="R449" s="42" t="s">
        <v>3563</v>
      </c>
      <c r="S449" s="42" t="s">
        <v>3564</v>
      </c>
      <c r="T449" s="42" t="s">
        <v>3565</v>
      </c>
      <c r="U449" s="42" t="s">
        <v>7260</v>
      </c>
      <c r="V449" s="42" t="s">
        <v>10515</v>
      </c>
      <c r="W449" s="42" t="s">
        <v>3571</v>
      </c>
      <c r="X449" s="42" t="s">
        <v>5018</v>
      </c>
      <c r="Y449" s="41">
        <v>225.0</v>
      </c>
      <c r="Z449" s="48" t="s">
        <v>3559</v>
      </c>
    </row>
    <row r="450">
      <c r="A450" s="35" t="s">
        <v>7808</v>
      </c>
      <c r="B450" s="35" t="s">
        <v>7802</v>
      </c>
      <c r="C450" s="35" t="s">
        <v>7805</v>
      </c>
      <c r="D450" s="35" t="s">
        <v>10110</v>
      </c>
      <c r="E450" s="35" t="s">
        <v>10008</v>
      </c>
      <c r="F450" s="34"/>
      <c r="G450" s="34"/>
      <c r="H450" s="35" t="s">
        <v>10110</v>
      </c>
      <c r="I450" s="34"/>
      <c r="J450" s="37"/>
      <c r="K450" s="35" t="s">
        <v>10111</v>
      </c>
      <c r="L450" s="37"/>
      <c r="M450" s="37"/>
      <c r="N450" s="35" t="s">
        <v>1479</v>
      </c>
      <c r="O450" s="35" t="s">
        <v>7813</v>
      </c>
      <c r="P450" s="35" t="s">
        <v>4093</v>
      </c>
      <c r="Q450" s="34"/>
      <c r="R450" s="35" t="s">
        <v>3563</v>
      </c>
      <c r="S450" s="35" t="s">
        <v>3564</v>
      </c>
      <c r="T450" s="35" t="s">
        <v>3565</v>
      </c>
      <c r="U450" s="35" t="s">
        <v>7260</v>
      </c>
      <c r="V450" s="35" t="s">
        <v>10515</v>
      </c>
      <c r="W450" s="35" t="s">
        <v>3571</v>
      </c>
      <c r="X450" s="35" t="s">
        <v>5018</v>
      </c>
      <c r="Y450" s="32">
        <v>225.0</v>
      </c>
      <c r="Z450" s="40" t="s">
        <v>3559</v>
      </c>
    </row>
    <row r="451">
      <c r="A451" s="42" t="s">
        <v>7808</v>
      </c>
      <c r="B451" s="42" t="s">
        <v>7802</v>
      </c>
      <c r="C451" s="42" t="s">
        <v>7805</v>
      </c>
      <c r="D451" s="42" t="s">
        <v>10112</v>
      </c>
      <c r="E451" s="42" t="s">
        <v>10008</v>
      </c>
      <c r="F451" s="43"/>
      <c r="G451" s="43"/>
      <c r="H451" s="42" t="s">
        <v>10112</v>
      </c>
      <c r="I451" s="42" t="s">
        <v>10108</v>
      </c>
      <c r="J451" s="45"/>
      <c r="K451" s="42" t="s">
        <v>60</v>
      </c>
      <c r="L451" s="45"/>
      <c r="M451" s="45"/>
      <c r="N451" s="42" t="s">
        <v>1479</v>
      </c>
      <c r="O451" s="42" t="s">
        <v>7813</v>
      </c>
      <c r="P451" s="42" t="s">
        <v>4093</v>
      </c>
      <c r="Q451" s="43"/>
      <c r="R451" s="42" t="s">
        <v>3563</v>
      </c>
      <c r="S451" s="42" t="s">
        <v>3564</v>
      </c>
      <c r="T451" s="42" t="s">
        <v>3565</v>
      </c>
      <c r="U451" s="42" t="s">
        <v>7260</v>
      </c>
      <c r="V451" s="42" t="s">
        <v>10515</v>
      </c>
      <c r="W451" s="42" t="s">
        <v>3571</v>
      </c>
      <c r="X451" s="42" t="s">
        <v>5018</v>
      </c>
      <c r="Y451" s="41">
        <v>225.0</v>
      </c>
      <c r="Z451" s="48" t="s">
        <v>3559</v>
      </c>
    </row>
    <row r="452">
      <c r="A452" s="35" t="s">
        <v>7808</v>
      </c>
      <c r="B452" s="35" t="s">
        <v>7802</v>
      </c>
      <c r="C452" s="35" t="s">
        <v>7805</v>
      </c>
      <c r="D452" s="35" t="s">
        <v>10534</v>
      </c>
      <c r="E452" s="35" t="s">
        <v>10008</v>
      </c>
      <c r="F452" s="34"/>
      <c r="G452" s="34"/>
      <c r="H452" s="35" t="s">
        <v>10534</v>
      </c>
      <c r="I452" s="35" t="s">
        <v>10535</v>
      </c>
      <c r="J452" s="37"/>
      <c r="K452" s="35" t="s">
        <v>670</v>
      </c>
      <c r="L452" s="37"/>
      <c r="M452" s="37"/>
      <c r="N452" s="35" t="s">
        <v>1479</v>
      </c>
      <c r="O452" s="35" t="s">
        <v>7813</v>
      </c>
      <c r="P452" s="35" t="s">
        <v>4093</v>
      </c>
      <c r="Q452" s="34"/>
      <c r="R452" s="35" t="s">
        <v>3563</v>
      </c>
      <c r="S452" s="35" t="s">
        <v>3564</v>
      </c>
      <c r="T452" s="35" t="s">
        <v>3565</v>
      </c>
      <c r="U452" s="35" t="s">
        <v>7260</v>
      </c>
      <c r="V452" s="35" t="s">
        <v>10515</v>
      </c>
      <c r="W452" s="35" t="s">
        <v>3571</v>
      </c>
      <c r="X452" s="35" t="s">
        <v>5018</v>
      </c>
      <c r="Y452" s="32">
        <v>225.0</v>
      </c>
      <c r="Z452" s="40" t="s">
        <v>3559</v>
      </c>
    </row>
    <row r="453">
      <c r="A453" s="42" t="s">
        <v>7830</v>
      </c>
      <c r="B453" s="42" t="s">
        <v>7824</v>
      </c>
      <c r="C453" s="42" t="s">
        <v>7828</v>
      </c>
      <c r="D453" s="42" t="s">
        <v>1127</v>
      </c>
      <c r="E453" s="42" t="s">
        <v>10011</v>
      </c>
      <c r="F453" s="42" t="s">
        <v>7838</v>
      </c>
      <c r="G453" s="43"/>
      <c r="H453" s="42" t="s">
        <v>1127</v>
      </c>
      <c r="I453" s="43"/>
      <c r="J453" s="41">
        <v>20156.0</v>
      </c>
      <c r="K453" s="42" t="s">
        <v>41</v>
      </c>
      <c r="L453" s="45" t="str">
        <f>+972 (0)4 955 3232</f>
        <v>#ERROR!</v>
      </c>
      <c r="M453" s="45"/>
      <c r="N453" s="42" t="s">
        <v>7839</v>
      </c>
      <c r="O453" s="42" t="s">
        <v>7834</v>
      </c>
      <c r="P453" s="42" t="s">
        <v>7835</v>
      </c>
      <c r="Q453" s="42" t="s">
        <v>10536</v>
      </c>
      <c r="R453" s="42" t="s">
        <v>3867</v>
      </c>
      <c r="S453" s="42" t="s">
        <v>3868</v>
      </c>
      <c r="T453" s="42" t="s">
        <v>3869</v>
      </c>
      <c r="U453" s="42" t="s">
        <v>4986</v>
      </c>
      <c r="V453" s="42" t="s">
        <v>4024</v>
      </c>
      <c r="W453" s="42" t="s">
        <v>3571</v>
      </c>
      <c r="X453" s="42" t="s">
        <v>4389</v>
      </c>
      <c r="Y453" s="41">
        <v>59.0</v>
      </c>
      <c r="Z453" s="48" t="s">
        <v>3559</v>
      </c>
    </row>
    <row r="454">
      <c r="A454" s="35" t="s">
        <v>7851</v>
      </c>
      <c r="B454" s="35" t="s">
        <v>7846</v>
      </c>
      <c r="C454" s="35" t="s">
        <v>7848</v>
      </c>
      <c r="D454" s="35" t="s">
        <v>75</v>
      </c>
      <c r="E454" s="35" t="s">
        <v>10011</v>
      </c>
      <c r="F454" s="34"/>
      <c r="G454" s="34"/>
      <c r="H454" s="35" t="s">
        <v>75</v>
      </c>
      <c r="I454" s="34"/>
      <c r="J454" s="37"/>
      <c r="K454" s="35" t="s">
        <v>41</v>
      </c>
      <c r="L454" s="37"/>
      <c r="M454" s="37"/>
      <c r="N454" s="34"/>
      <c r="O454" s="35" t="s">
        <v>7856</v>
      </c>
      <c r="P454" s="35" t="s">
        <v>4312</v>
      </c>
      <c r="Q454" s="34"/>
      <c r="R454" s="35" t="s">
        <v>4560</v>
      </c>
      <c r="S454" s="35" t="s">
        <v>4561</v>
      </c>
      <c r="T454" s="35" t="s">
        <v>66</v>
      </c>
      <c r="U454" s="35" t="s">
        <v>7849</v>
      </c>
      <c r="V454" s="35" t="s">
        <v>10469</v>
      </c>
      <c r="W454" s="35" t="s">
        <v>3571</v>
      </c>
      <c r="X454" s="35" t="s">
        <v>5145</v>
      </c>
      <c r="Y454" s="32">
        <v>2.0</v>
      </c>
      <c r="Z454" s="40" t="s">
        <v>3559</v>
      </c>
    </row>
    <row r="455">
      <c r="A455" s="42" t="s">
        <v>7868</v>
      </c>
      <c r="B455" s="42" t="s">
        <v>2699</v>
      </c>
      <c r="C455" s="42" t="s">
        <v>7864</v>
      </c>
      <c r="D455" s="42" t="s">
        <v>7877</v>
      </c>
      <c r="E455" s="42" t="s">
        <v>10011</v>
      </c>
      <c r="F455" s="42" t="s">
        <v>7876</v>
      </c>
      <c r="G455" s="43"/>
      <c r="H455" s="42" t="s">
        <v>7877</v>
      </c>
      <c r="I455" s="43"/>
      <c r="J455" s="41">
        <v>6092000.0</v>
      </c>
      <c r="K455" s="42" t="s">
        <v>41</v>
      </c>
      <c r="L455" s="45" t="str">
        <f>+972 (0)73 391 3999</f>
        <v>#ERROR!</v>
      </c>
      <c r="M455" s="45"/>
      <c r="N455" s="42" t="s">
        <v>2705</v>
      </c>
      <c r="O455" s="42" t="s">
        <v>7873</v>
      </c>
      <c r="P455" s="42" t="s">
        <v>3982</v>
      </c>
      <c r="Q455" s="43"/>
      <c r="R455" s="42" t="s">
        <v>4560</v>
      </c>
      <c r="S455" s="42" t="s">
        <v>4561</v>
      </c>
      <c r="T455" s="42" t="s">
        <v>5511</v>
      </c>
      <c r="U455" s="42" t="s">
        <v>7866</v>
      </c>
      <c r="V455" s="42" t="s">
        <v>10537</v>
      </c>
      <c r="W455" s="42" t="s">
        <v>3571</v>
      </c>
      <c r="X455" s="42" t="s">
        <v>5018</v>
      </c>
      <c r="Y455" s="41">
        <v>32.0</v>
      </c>
      <c r="Z455" s="48" t="s">
        <v>3559</v>
      </c>
    </row>
    <row r="456">
      <c r="A456" s="35" t="s">
        <v>7868</v>
      </c>
      <c r="B456" s="35" t="s">
        <v>2699</v>
      </c>
      <c r="C456" s="35" t="s">
        <v>7864</v>
      </c>
      <c r="D456" s="35" t="s">
        <v>10538</v>
      </c>
      <c r="E456" s="35" t="s">
        <v>10015</v>
      </c>
      <c r="F456" s="35" t="s">
        <v>10539</v>
      </c>
      <c r="G456" s="35" t="s">
        <v>10540</v>
      </c>
      <c r="H456" s="35" t="s">
        <v>10538</v>
      </c>
      <c r="I456" s="35" t="s">
        <v>10541</v>
      </c>
      <c r="J456" s="32" t="s">
        <v>10542</v>
      </c>
      <c r="K456" s="35" t="s">
        <v>928</v>
      </c>
      <c r="L456" s="37"/>
      <c r="M456" s="37"/>
      <c r="N456" s="35" t="s">
        <v>2705</v>
      </c>
      <c r="O456" s="35" t="s">
        <v>7873</v>
      </c>
      <c r="P456" s="35" t="s">
        <v>3982</v>
      </c>
      <c r="Q456" s="34"/>
      <c r="R456" s="35" t="s">
        <v>4560</v>
      </c>
      <c r="S456" s="35" t="s">
        <v>4561</v>
      </c>
      <c r="T456" s="35" t="s">
        <v>5511</v>
      </c>
      <c r="U456" s="35" t="s">
        <v>7866</v>
      </c>
      <c r="V456" s="35" t="s">
        <v>10537</v>
      </c>
      <c r="W456" s="35" t="s">
        <v>3571</v>
      </c>
      <c r="X456" s="35" t="s">
        <v>5018</v>
      </c>
      <c r="Y456" s="32">
        <v>32.0</v>
      </c>
      <c r="Z456" s="40" t="s">
        <v>3559</v>
      </c>
    </row>
    <row r="457">
      <c r="A457" s="42" t="s">
        <v>7887</v>
      </c>
      <c r="B457" s="42" t="s">
        <v>7882</v>
      </c>
      <c r="C457" s="42" t="s">
        <v>7884</v>
      </c>
      <c r="D457" s="42" t="s">
        <v>7892</v>
      </c>
      <c r="E457" s="42" t="s">
        <v>10011</v>
      </c>
      <c r="F457" s="42" t="s">
        <v>7891</v>
      </c>
      <c r="G457" s="43"/>
      <c r="H457" s="42" t="s">
        <v>7892</v>
      </c>
      <c r="I457" s="43"/>
      <c r="J457" s="41">
        <v>4809900.0</v>
      </c>
      <c r="K457" s="42" t="s">
        <v>41</v>
      </c>
      <c r="L457" s="45"/>
      <c r="M457" s="45"/>
      <c r="N457" s="43"/>
      <c r="O457" s="43"/>
      <c r="P457" s="43"/>
      <c r="Q457" s="43"/>
      <c r="R457" s="42" t="s">
        <v>4560</v>
      </c>
      <c r="S457" s="42" t="s">
        <v>4561</v>
      </c>
      <c r="T457" s="42" t="s">
        <v>66</v>
      </c>
      <c r="U457" s="42" t="s">
        <v>7885</v>
      </c>
      <c r="V457" s="42" t="s">
        <v>4562</v>
      </c>
      <c r="W457" s="42" t="s">
        <v>5222</v>
      </c>
      <c r="X457" s="42" t="s">
        <v>5018</v>
      </c>
      <c r="Y457" s="41">
        <v>4.0</v>
      </c>
      <c r="Z457" s="48" t="s">
        <v>3559</v>
      </c>
    </row>
    <row r="458">
      <c r="A458" s="35" t="s">
        <v>7899</v>
      </c>
      <c r="B458" s="35" t="s">
        <v>7896</v>
      </c>
      <c r="C458" s="35" t="s">
        <v>7897</v>
      </c>
      <c r="D458" s="35" t="s">
        <v>552</v>
      </c>
      <c r="E458" s="35" t="s">
        <v>10011</v>
      </c>
      <c r="F458" s="34"/>
      <c r="G458" s="34"/>
      <c r="H458" s="35" t="s">
        <v>6704</v>
      </c>
      <c r="I458" s="34"/>
      <c r="J458" s="32">
        <v>13100.0</v>
      </c>
      <c r="K458" s="35" t="s">
        <v>41</v>
      </c>
      <c r="L458" s="37"/>
      <c r="M458" s="37"/>
      <c r="N458" s="34"/>
      <c r="O458" s="34"/>
      <c r="P458" s="34"/>
      <c r="Q458" s="34"/>
      <c r="R458" s="35" t="s">
        <v>4560</v>
      </c>
      <c r="S458" s="35" t="s">
        <v>4561</v>
      </c>
      <c r="T458" s="35" t="s">
        <v>5057</v>
      </c>
      <c r="U458" s="34"/>
      <c r="V458" s="35" t="s">
        <v>5058</v>
      </c>
      <c r="W458" s="34"/>
      <c r="X458" s="35" t="s">
        <v>4923</v>
      </c>
      <c r="Y458" s="32">
        <v>3.0</v>
      </c>
      <c r="Z458" s="40" t="s">
        <v>3559</v>
      </c>
    </row>
    <row r="459">
      <c r="A459" s="42" t="s">
        <v>7908</v>
      </c>
      <c r="B459" s="42" t="s">
        <v>7903</v>
      </c>
      <c r="C459" s="42" t="s">
        <v>7906</v>
      </c>
      <c r="D459" s="42" t="s">
        <v>98</v>
      </c>
      <c r="E459" s="42" t="s">
        <v>10011</v>
      </c>
      <c r="F459" s="42" t="s">
        <v>7910</v>
      </c>
      <c r="G459" s="42" t="s">
        <v>7911</v>
      </c>
      <c r="H459" s="42" t="s">
        <v>98</v>
      </c>
      <c r="I459" s="43"/>
      <c r="J459" s="41">
        <v>16100.0</v>
      </c>
      <c r="K459" s="42" t="s">
        <v>41</v>
      </c>
      <c r="L459" s="45"/>
      <c r="M459" s="45"/>
      <c r="N459" s="43"/>
      <c r="O459" s="43"/>
      <c r="P459" s="43"/>
      <c r="Q459" s="43"/>
      <c r="R459" s="42" t="s">
        <v>3867</v>
      </c>
      <c r="S459" s="42" t="s">
        <v>3868</v>
      </c>
      <c r="T459" s="42" t="s">
        <v>3869</v>
      </c>
      <c r="U459" s="42" t="s">
        <v>5736</v>
      </c>
      <c r="V459" s="42" t="s">
        <v>10363</v>
      </c>
      <c r="W459" s="42" t="s">
        <v>3571</v>
      </c>
      <c r="X459" s="42" t="s">
        <v>4962</v>
      </c>
      <c r="Y459" s="45"/>
      <c r="Z459" s="48" t="s">
        <v>3559</v>
      </c>
    </row>
    <row r="460">
      <c r="A460" s="35" t="s">
        <v>7921</v>
      </c>
      <c r="B460" s="35" t="s">
        <v>7915</v>
      </c>
      <c r="C460" s="35" t="s">
        <v>7918</v>
      </c>
      <c r="D460" s="35" t="s">
        <v>485</v>
      </c>
      <c r="E460" s="35" t="s">
        <v>10011</v>
      </c>
      <c r="F460" s="35" t="s">
        <v>7928</v>
      </c>
      <c r="G460" s="34"/>
      <c r="H460" s="35" t="s">
        <v>485</v>
      </c>
      <c r="I460" s="34"/>
      <c r="J460" s="37"/>
      <c r="K460" s="35" t="s">
        <v>41</v>
      </c>
      <c r="L460" s="37"/>
      <c r="M460" s="37"/>
      <c r="N460" s="34"/>
      <c r="O460" s="35" t="s">
        <v>7926</v>
      </c>
      <c r="P460" s="35" t="s">
        <v>4614</v>
      </c>
      <c r="Q460" s="34"/>
      <c r="R460" s="35" t="s">
        <v>3867</v>
      </c>
      <c r="S460" s="35" t="s">
        <v>3868</v>
      </c>
      <c r="T460" s="35" t="s">
        <v>5604</v>
      </c>
      <c r="U460" s="35" t="s">
        <v>6333</v>
      </c>
      <c r="V460" s="35" t="s">
        <v>10543</v>
      </c>
      <c r="W460" s="35" t="s">
        <v>3571</v>
      </c>
      <c r="X460" s="35" t="s">
        <v>5145</v>
      </c>
      <c r="Y460" s="32">
        <v>5.0</v>
      </c>
      <c r="Z460" s="40" t="s">
        <v>3559</v>
      </c>
    </row>
    <row r="461">
      <c r="A461" s="42" t="s">
        <v>7940</v>
      </c>
      <c r="B461" s="42" t="s">
        <v>7935</v>
      </c>
      <c r="C461" s="42" t="s">
        <v>7937</v>
      </c>
      <c r="D461" s="42" t="s">
        <v>10544</v>
      </c>
      <c r="E461" s="42" t="s">
        <v>10008</v>
      </c>
      <c r="F461" s="42" t="s">
        <v>10545</v>
      </c>
      <c r="G461" s="42" t="s">
        <v>10546</v>
      </c>
      <c r="H461" s="42" t="s">
        <v>10544</v>
      </c>
      <c r="I461" s="42" t="s">
        <v>3176</v>
      </c>
      <c r="J461" s="41">
        <v>27701.0</v>
      </c>
      <c r="K461" s="42" t="s">
        <v>60</v>
      </c>
      <c r="L461" s="45"/>
      <c r="M461" s="45"/>
      <c r="N461" s="42" t="s">
        <v>7949</v>
      </c>
      <c r="O461" s="42" t="s">
        <v>10547</v>
      </c>
      <c r="P461" s="42" t="s">
        <v>7946</v>
      </c>
      <c r="Q461" s="43"/>
      <c r="R461" s="42" t="s">
        <v>3563</v>
      </c>
      <c r="S461" s="42" t="s">
        <v>3564</v>
      </c>
      <c r="T461" s="42" t="s">
        <v>3565</v>
      </c>
      <c r="U461" s="42" t="s">
        <v>6846</v>
      </c>
      <c r="V461" s="42" t="s">
        <v>10548</v>
      </c>
      <c r="W461" s="42" t="s">
        <v>3571</v>
      </c>
      <c r="X461" s="42" t="s">
        <v>3569</v>
      </c>
      <c r="Y461" s="41">
        <v>6.0</v>
      </c>
      <c r="Z461" s="48" t="s">
        <v>3559</v>
      </c>
    </row>
    <row r="462">
      <c r="A462" s="35" t="s">
        <v>7940</v>
      </c>
      <c r="B462" s="35" t="s">
        <v>7935</v>
      </c>
      <c r="C462" s="35" t="s">
        <v>7937</v>
      </c>
      <c r="D462" s="35" t="s">
        <v>75</v>
      </c>
      <c r="E462" s="35" t="s">
        <v>10011</v>
      </c>
      <c r="F462" s="35" t="s">
        <v>7948</v>
      </c>
      <c r="G462" s="35" t="s">
        <v>3797</v>
      </c>
      <c r="H462" s="35" t="s">
        <v>75</v>
      </c>
      <c r="I462" s="34"/>
      <c r="J462" s="32">
        <v>6761310.0</v>
      </c>
      <c r="K462" s="35" t="s">
        <v>41</v>
      </c>
      <c r="L462" s="37"/>
      <c r="M462" s="37"/>
      <c r="N462" s="35" t="s">
        <v>7949</v>
      </c>
      <c r="O462" s="35" t="s">
        <v>10547</v>
      </c>
      <c r="P462" s="35" t="s">
        <v>7946</v>
      </c>
      <c r="Q462" s="34"/>
      <c r="R462" s="35" t="s">
        <v>3563</v>
      </c>
      <c r="S462" s="35" t="s">
        <v>3564</v>
      </c>
      <c r="T462" s="35" t="s">
        <v>3565</v>
      </c>
      <c r="U462" s="35" t="s">
        <v>6846</v>
      </c>
      <c r="V462" s="35" t="s">
        <v>10548</v>
      </c>
      <c r="W462" s="35" t="s">
        <v>3571</v>
      </c>
      <c r="X462" s="35" t="s">
        <v>3569</v>
      </c>
      <c r="Y462" s="32">
        <v>6.0</v>
      </c>
      <c r="Z462" s="40" t="s">
        <v>3559</v>
      </c>
    </row>
    <row r="463">
      <c r="A463" s="42" t="s">
        <v>7962</v>
      </c>
      <c r="B463" s="42" t="s">
        <v>7957</v>
      </c>
      <c r="C463" s="42" t="s">
        <v>7959</v>
      </c>
      <c r="D463" s="42" t="s">
        <v>10516</v>
      </c>
      <c r="E463" s="42" t="s">
        <v>10008</v>
      </c>
      <c r="F463" s="43"/>
      <c r="G463" s="43"/>
      <c r="H463" s="42" t="s">
        <v>10516</v>
      </c>
      <c r="I463" s="42" t="s">
        <v>10517</v>
      </c>
      <c r="J463" s="45"/>
      <c r="K463" s="42" t="s">
        <v>60</v>
      </c>
      <c r="L463" s="45"/>
      <c r="M463" s="45"/>
      <c r="N463" s="43"/>
      <c r="O463" s="43"/>
      <c r="P463" s="43"/>
      <c r="Q463" s="43"/>
      <c r="R463" s="42" t="s">
        <v>3563</v>
      </c>
      <c r="S463" s="42" t="s">
        <v>3564</v>
      </c>
      <c r="T463" s="42" t="s">
        <v>3565</v>
      </c>
      <c r="U463" s="42" t="s">
        <v>7960</v>
      </c>
      <c r="V463" s="42" t="s">
        <v>5929</v>
      </c>
      <c r="W463" s="42" t="s">
        <v>5222</v>
      </c>
      <c r="X463" s="42" t="s">
        <v>5018</v>
      </c>
      <c r="Y463" s="41">
        <v>9.0</v>
      </c>
      <c r="Z463" s="48" t="s">
        <v>3559</v>
      </c>
    </row>
    <row r="464">
      <c r="A464" s="77" t="s">
        <v>7962</v>
      </c>
      <c r="B464" s="77" t="s">
        <v>7957</v>
      </c>
      <c r="C464" s="77" t="s">
        <v>7959</v>
      </c>
      <c r="D464" s="77" t="s">
        <v>287</v>
      </c>
      <c r="E464" s="77" t="s">
        <v>10008</v>
      </c>
      <c r="F464" s="78"/>
      <c r="G464" s="78"/>
      <c r="H464" s="77" t="s">
        <v>287</v>
      </c>
      <c r="I464" s="77" t="s">
        <v>10032</v>
      </c>
      <c r="J464" s="79"/>
      <c r="K464" s="77" t="s">
        <v>211</v>
      </c>
      <c r="L464" s="79"/>
      <c r="M464" s="79"/>
      <c r="N464" s="78"/>
      <c r="O464" s="78"/>
      <c r="P464" s="78"/>
      <c r="Q464" s="78"/>
      <c r="R464" s="77" t="s">
        <v>3563</v>
      </c>
      <c r="S464" s="77" t="s">
        <v>3564</v>
      </c>
      <c r="T464" s="77" t="s">
        <v>3565</v>
      </c>
      <c r="U464" s="77" t="s">
        <v>7960</v>
      </c>
      <c r="V464" s="77" t="s">
        <v>5929</v>
      </c>
      <c r="W464" s="77" t="s">
        <v>5222</v>
      </c>
      <c r="X464" s="77" t="s">
        <v>5018</v>
      </c>
      <c r="Y464" s="80">
        <v>9.0</v>
      </c>
      <c r="Z464" s="81" t="s">
        <v>3559</v>
      </c>
    </row>
    <row r="465">
      <c r="A465" s="42" t="s">
        <v>7962</v>
      </c>
      <c r="B465" s="42" t="s">
        <v>7957</v>
      </c>
      <c r="C465" s="42" t="s">
        <v>7959</v>
      </c>
      <c r="D465" s="42" t="s">
        <v>10110</v>
      </c>
      <c r="E465" s="42" t="s">
        <v>10008</v>
      </c>
      <c r="F465" s="43"/>
      <c r="G465" s="43"/>
      <c r="H465" s="42" t="s">
        <v>10110</v>
      </c>
      <c r="I465" s="43"/>
      <c r="J465" s="45"/>
      <c r="K465" s="42" t="s">
        <v>10111</v>
      </c>
      <c r="L465" s="45"/>
      <c r="M465" s="45"/>
      <c r="N465" s="43"/>
      <c r="O465" s="43"/>
      <c r="P465" s="43"/>
      <c r="Q465" s="43"/>
      <c r="R465" s="42" t="s">
        <v>3563</v>
      </c>
      <c r="S465" s="42" t="s">
        <v>3564</v>
      </c>
      <c r="T465" s="42" t="s">
        <v>3565</v>
      </c>
      <c r="U465" s="42" t="s">
        <v>7960</v>
      </c>
      <c r="V465" s="42" t="s">
        <v>5929</v>
      </c>
      <c r="W465" s="42" t="s">
        <v>5222</v>
      </c>
      <c r="X465" s="42" t="s">
        <v>5018</v>
      </c>
      <c r="Y465" s="41">
        <v>9.0</v>
      </c>
      <c r="Z465" s="48" t="s">
        <v>3559</v>
      </c>
    </row>
    <row r="466">
      <c r="A466" s="35" t="s">
        <v>7962</v>
      </c>
      <c r="B466" s="35" t="s">
        <v>7957</v>
      </c>
      <c r="C466" s="35" t="s">
        <v>7959</v>
      </c>
      <c r="D466" s="35" t="s">
        <v>75</v>
      </c>
      <c r="E466" s="35" t="s">
        <v>10011</v>
      </c>
      <c r="F466" s="35" t="s">
        <v>7965</v>
      </c>
      <c r="G466" s="34"/>
      <c r="H466" s="35" t="s">
        <v>75</v>
      </c>
      <c r="I466" s="34"/>
      <c r="J466" s="37"/>
      <c r="K466" s="35" t="s">
        <v>41</v>
      </c>
      <c r="L466" s="37"/>
      <c r="M466" s="37"/>
      <c r="N466" s="34"/>
      <c r="O466" s="34"/>
      <c r="P466" s="34"/>
      <c r="Q466" s="34"/>
      <c r="R466" s="35" t="s">
        <v>3563</v>
      </c>
      <c r="S466" s="35" t="s">
        <v>3564</v>
      </c>
      <c r="T466" s="35" t="s">
        <v>3565</v>
      </c>
      <c r="U466" s="35" t="s">
        <v>7960</v>
      </c>
      <c r="V466" s="35" t="s">
        <v>5929</v>
      </c>
      <c r="W466" s="35" t="s">
        <v>5222</v>
      </c>
      <c r="X466" s="35" t="s">
        <v>5018</v>
      </c>
      <c r="Y466" s="32">
        <v>9.0</v>
      </c>
      <c r="Z466" s="40" t="s">
        <v>3559</v>
      </c>
    </row>
    <row r="467">
      <c r="A467" s="42" t="s">
        <v>7962</v>
      </c>
      <c r="B467" s="42" t="s">
        <v>7957</v>
      </c>
      <c r="C467" s="42" t="s">
        <v>7959</v>
      </c>
      <c r="D467" s="42" t="s">
        <v>925</v>
      </c>
      <c r="E467" s="42" t="s">
        <v>10008</v>
      </c>
      <c r="F467" s="43"/>
      <c r="G467" s="43"/>
      <c r="H467" s="42" t="s">
        <v>925</v>
      </c>
      <c r="I467" s="42" t="s">
        <v>10184</v>
      </c>
      <c r="J467" s="45"/>
      <c r="K467" s="42" t="s">
        <v>928</v>
      </c>
      <c r="L467" s="45"/>
      <c r="M467" s="45"/>
      <c r="N467" s="43"/>
      <c r="O467" s="43"/>
      <c r="P467" s="43"/>
      <c r="Q467" s="43"/>
      <c r="R467" s="42" t="s">
        <v>3563</v>
      </c>
      <c r="S467" s="42" t="s">
        <v>3564</v>
      </c>
      <c r="T467" s="42" t="s">
        <v>3565</v>
      </c>
      <c r="U467" s="42" t="s">
        <v>7960</v>
      </c>
      <c r="V467" s="42" t="s">
        <v>5929</v>
      </c>
      <c r="W467" s="42" t="s">
        <v>5222</v>
      </c>
      <c r="X467" s="42" t="s">
        <v>5018</v>
      </c>
      <c r="Y467" s="41">
        <v>9.0</v>
      </c>
      <c r="Z467" s="48" t="s">
        <v>3559</v>
      </c>
    </row>
    <row r="468">
      <c r="A468" s="35" t="s">
        <v>7979</v>
      </c>
      <c r="B468" s="35" t="s">
        <v>7974</v>
      </c>
      <c r="C468" s="35" t="s">
        <v>7975</v>
      </c>
      <c r="D468" s="35" t="s">
        <v>41</v>
      </c>
      <c r="E468" s="35" t="s">
        <v>10011</v>
      </c>
      <c r="F468" s="34"/>
      <c r="G468" s="34"/>
      <c r="H468" s="34"/>
      <c r="I468" s="34"/>
      <c r="J468" s="37"/>
      <c r="K468" s="35" t="s">
        <v>41</v>
      </c>
      <c r="L468" s="37"/>
      <c r="M468" s="37"/>
      <c r="N468" s="34"/>
      <c r="O468" s="34"/>
      <c r="P468" s="34"/>
      <c r="Q468" s="34"/>
      <c r="R468" s="35" t="s">
        <v>3867</v>
      </c>
      <c r="S468" s="35" t="s">
        <v>3868</v>
      </c>
      <c r="T468" s="35" t="s">
        <v>3869</v>
      </c>
      <c r="U468" s="35" t="s">
        <v>7976</v>
      </c>
      <c r="V468" s="35" t="s">
        <v>4024</v>
      </c>
      <c r="W468" s="35" t="s">
        <v>3571</v>
      </c>
      <c r="X468" s="35" t="s">
        <v>7978</v>
      </c>
      <c r="Y468" s="37"/>
      <c r="Z468" s="40" t="s">
        <v>3559</v>
      </c>
    </row>
    <row r="469">
      <c r="A469" s="42" t="s">
        <v>7988</v>
      </c>
      <c r="B469" s="42" t="s">
        <v>7984</v>
      </c>
      <c r="C469" s="42" t="s">
        <v>7986</v>
      </c>
      <c r="D469" s="42" t="s">
        <v>7992</v>
      </c>
      <c r="E469" s="42" t="s">
        <v>10011</v>
      </c>
      <c r="F469" s="43"/>
      <c r="G469" s="43"/>
      <c r="H469" s="42" t="s">
        <v>7992</v>
      </c>
      <c r="I469" s="43"/>
      <c r="J469" s="41">
        <v>13100.0</v>
      </c>
      <c r="K469" s="42" t="s">
        <v>41</v>
      </c>
      <c r="L469" s="45"/>
      <c r="M469" s="45"/>
      <c r="N469" s="43"/>
      <c r="O469" s="43"/>
      <c r="P469" s="43"/>
      <c r="Q469" s="43"/>
      <c r="R469" s="42" t="s">
        <v>4560</v>
      </c>
      <c r="S469" s="42" t="s">
        <v>4561</v>
      </c>
      <c r="T469" s="42" t="s">
        <v>5057</v>
      </c>
      <c r="U469" s="43"/>
      <c r="V469" s="42" t="s">
        <v>5058</v>
      </c>
      <c r="W469" s="43"/>
      <c r="X469" s="42" t="s">
        <v>4923</v>
      </c>
      <c r="Y469" s="41">
        <v>2.0</v>
      </c>
      <c r="Z469" s="48" t="s">
        <v>3559</v>
      </c>
    </row>
    <row r="470">
      <c r="A470" s="35" t="s">
        <v>8003</v>
      </c>
      <c r="B470" s="35" t="s">
        <v>10549</v>
      </c>
      <c r="C470" s="35" t="s">
        <v>7999</v>
      </c>
      <c r="D470" s="35" t="s">
        <v>10378</v>
      </c>
      <c r="E470" s="35" t="s">
        <v>10008</v>
      </c>
      <c r="F470" s="35" t="s">
        <v>10550</v>
      </c>
      <c r="G470" s="35" t="s">
        <v>10551</v>
      </c>
      <c r="H470" s="35" t="s">
        <v>10378</v>
      </c>
      <c r="I470" s="34"/>
      <c r="J470" s="32" t="s">
        <v>10552</v>
      </c>
      <c r="K470" s="35" t="s">
        <v>10378</v>
      </c>
      <c r="L470" s="37"/>
      <c r="M470" s="37"/>
      <c r="N470" s="35" t="s">
        <v>1038</v>
      </c>
      <c r="O470" s="35" t="s">
        <v>8010</v>
      </c>
      <c r="P470" s="35" t="s">
        <v>8011</v>
      </c>
      <c r="Q470" s="34"/>
      <c r="R470" s="35" t="s">
        <v>3563</v>
      </c>
      <c r="S470" s="35" t="s">
        <v>3609</v>
      </c>
      <c r="T470" s="35" t="s">
        <v>3610</v>
      </c>
      <c r="U470" s="35" t="s">
        <v>8001</v>
      </c>
      <c r="V470" s="35" t="s">
        <v>10553</v>
      </c>
      <c r="W470" s="35" t="s">
        <v>3571</v>
      </c>
      <c r="X470" s="35" t="s">
        <v>5018</v>
      </c>
      <c r="Y470" s="32">
        <v>47.0</v>
      </c>
      <c r="Z470" s="40" t="s">
        <v>3559</v>
      </c>
    </row>
    <row r="471">
      <c r="A471" s="42" t="s">
        <v>8003</v>
      </c>
      <c r="B471" s="42" t="s">
        <v>10549</v>
      </c>
      <c r="C471" s="42" t="s">
        <v>7999</v>
      </c>
      <c r="D471" s="42" t="s">
        <v>10554</v>
      </c>
      <c r="E471" s="42" t="s">
        <v>10015</v>
      </c>
      <c r="F471" s="42" t="s">
        <v>10555</v>
      </c>
      <c r="G471" s="42" t="s">
        <v>10556</v>
      </c>
      <c r="H471" s="42" t="s">
        <v>10554</v>
      </c>
      <c r="I471" s="43"/>
      <c r="J471" s="45"/>
      <c r="K471" s="42" t="s">
        <v>10223</v>
      </c>
      <c r="L471" s="45"/>
      <c r="M471" s="45"/>
      <c r="N471" s="42" t="s">
        <v>1038</v>
      </c>
      <c r="O471" s="42" t="s">
        <v>8010</v>
      </c>
      <c r="P471" s="42" t="s">
        <v>8011</v>
      </c>
      <c r="Q471" s="43"/>
      <c r="R471" s="42" t="s">
        <v>3563</v>
      </c>
      <c r="S471" s="42" t="s">
        <v>3609</v>
      </c>
      <c r="T471" s="42" t="s">
        <v>3610</v>
      </c>
      <c r="U471" s="42" t="s">
        <v>8001</v>
      </c>
      <c r="V471" s="42" t="s">
        <v>10553</v>
      </c>
      <c r="W471" s="42" t="s">
        <v>3571</v>
      </c>
      <c r="X471" s="42" t="s">
        <v>5018</v>
      </c>
      <c r="Y471" s="41">
        <v>47.0</v>
      </c>
      <c r="Z471" s="48" t="s">
        <v>3559</v>
      </c>
    </row>
    <row r="472">
      <c r="A472" s="35" t="s">
        <v>8003</v>
      </c>
      <c r="B472" s="35" t="s">
        <v>10549</v>
      </c>
      <c r="C472" s="35" t="s">
        <v>7999</v>
      </c>
      <c r="D472" s="35" t="s">
        <v>1037</v>
      </c>
      <c r="E472" s="35" t="s">
        <v>10011</v>
      </c>
      <c r="F472" s="35" t="s">
        <v>8012</v>
      </c>
      <c r="G472" s="35" t="s">
        <v>8013</v>
      </c>
      <c r="H472" s="35" t="s">
        <v>1037</v>
      </c>
      <c r="I472" s="34"/>
      <c r="J472" s="32">
        <v>7414002.0</v>
      </c>
      <c r="K472" s="35" t="s">
        <v>41</v>
      </c>
      <c r="L472" s="37" t="str">
        <f>+972 (0)8 379 2388</f>
        <v>#ERROR!</v>
      </c>
      <c r="M472" s="37"/>
      <c r="N472" s="35" t="s">
        <v>1038</v>
      </c>
      <c r="O472" s="35" t="s">
        <v>8010</v>
      </c>
      <c r="P472" s="35" t="s">
        <v>8011</v>
      </c>
      <c r="Q472" s="34"/>
      <c r="R472" s="35" t="s">
        <v>3563</v>
      </c>
      <c r="S472" s="35" t="s">
        <v>3609</v>
      </c>
      <c r="T472" s="35" t="s">
        <v>3610</v>
      </c>
      <c r="U472" s="35" t="s">
        <v>8001</v>
      </c>
      <c r="V472" s="35" t="s">
        <v>10553</v>
      </c>
      <c r="W472" s="35" t="s">
        <v>3571</v>
      </c>
      <c r="X472" s="35" t="s">
        <v>5018</v>
      </c>
      <c r="Y472" s="32">
        <v>47.0</v>
      </c>
      <c r="Z472" s="40" t="s">
        <v>3559</v>
      </c>
    </row>
    <row r="473">
      <c r="A473" s="42" t="s">
        <v>8003</v>
      </c>
      <c r="B473" s="42" t="s">
        <v>10549</v>
      </c>
      <c r="C473" s="42" t="s">
        <v>7999</v>
      </c>
      <c r="D473" s="42" t="s">
        <v>10557</v>
      </c>
      <c r="E473" s="42" t="s">
        <v>10008</v>
      </c>
      <c r="F473" s="42" t="s">
        <v>10558</v>
      </c>
      <c r="G473" s="42" t="s">
        <v>10559</v>
      </c>
      <c r="H473" s="42" t="s">
        <v>10557</v>
      </c>
      <c r="I473" s="43"/>
      <c r="J473" s="45"/>
      <c r="K473" s="42" t="s">
        <v>10223</v>
      </c>
      <c r="L473" s="45"/>
      <c r="M473" s="45"/>
      <c r="N473" s="42" t="s">
        <v>1038</v>
      </c>
      <c r="O473" s="42" t="s">
        <v>8010</v>
      </c>
      <c r="P473" s="42" t="s">
        <v>8011</v>
      </c>
      <c r="Q473" s="43"/>
      <c r="R473" s="42" t="s">
        <v>3563</v>
      </c>
      <c r="S473" s="42" t="s">
        <v>3609</v>
      </c>
      <c r="T473" s="42" t="s">
        <v>3610</v>
      </c>
      <c r="U473" s="42" t="s">
        <v>8001</v>
      </c>
      <c r="V473" s="42" t="s">
        <v>10553</v>
      </c>
      <c r="W473" s="42" t="s">
        <v>3571</v>
      </c>
      <c r="X473" s="42" t="s">
        <v>5018</v>
      </c>
      <c r="Y473" s="41">
        <v>47.0</v>
      </c>
      <c r="Z473" s="48" t="s">
        <v>3559</v>
      </c>
    </row>
    <row r="474">
      <c r="A474" s="35" t="s">
        <v>8035</v>
      </c>
      <c r="B474" s="35" t="s">
        <v>8028</v>
      </c>
      <c r="C474" s="35" t="s">
        <v>8029</v>
      </c>
      <c r="D474" s="35" t="s">
        <v>75</v>
      </c>
      <c r="E474" s="35" t="s">
        <v>10011</v>
      </c>
      <c r="F474" s="35" t="s">
        <v>7746</v>
      </c>
      <c r="G474" s="35" t="s">
        <v>8043</v>
      </c>
      <c r="H474" s="35" t="s">
        <v>75</v>
      </c>
      <c r="I474" s="34"/>
      <c r="J474" s="37"/>
      <c r="K474" s="35" t="s">
        <v>41</v>
      </c>
      <c r="L474" s="37"/>
      <c r="M474" s="37"/>
      <c r="N474" s="35" t="s">
        <v>8044</v>
      </c>
      <c r="O474" s="35" t="s">
        <v>8040</v>
      </c>
      <c r="P474" s="35" t="s">
        <v>8041</v>
      </c>
      <c r="Q474" s="34"/>
      <c r="R474" s="35" t="s">
        <v>30</v>
      </c>
      <c r="S474" s="35" t="s">
        <v>8030</v>
      </c>
      <c r="T474" s="35" t="s">
        <v>8031</v>
      </c>
      <c r="U474" s="35" t="s">
        <v>8033</v>
      </c>
      <c r="V474" s="35" t="s">
        <v>10560</v>
      </c>
      <c r="W474" s="35" t="s">
        <v>6041</v>
      </c>
      <c r="X474" s="35" t="s">
        <v>3569</v>
      </c>
      <c r="Y474" s="32">
        <v>8.0</v>
      </c>
      <c r="Z474" s="40" t="s">
        <v>3559</v>
      </c>
    </row>
    <row r="475">
      <c r="A475" s="42" t="s">
        <v>8054</v>
      </c>
      <c r="B475" s="42" t="s">
        <v>8050</v>
      </c>
      <c r="C475" s="42" t="s">
        <v>8052</v>
      </c>
      <c r="D475" s="42" t="s">
        <v>1407</v>
      </c>
      <c r="E475" s="42" t="s">
        <v>10011</v>
      </c>
      <c r="F475" s="42" t="s">
        <v>8055</v>
      </c>
      <c r="G475" s="43"/>
      <c r="H475" s="42" t="s">
        <v>1407</v>
      </c>
      <c r="I475" s="43"/>
      <c r="J475" s="41">
        <v>6037598.0</v>
      </c>
      <c r="K475" s="42" t="s">
        <v>41</v>
      </c>
      <c r="L475" s="45"/>
      <c r="M475" s="45"/>
      <c r="N475" s="43"/>
      <c r="O475" s="43"/>
      <c r="P475" s="43"/>
      <c r="Q475" s="43"/>
      <c r="R475" s="42" t="s">
        <v>3867</v>
      </c>
      <c r="S475" s="42" t="s">
        <v>3868</v>
      </c>
      <c r="T475" s="42" t="s">
        <v>3869</v>
      </c>
      <c r="U475" s="43"/>
      <c r="V475" s="42" t="s">
        <v>10437</v>
      </c>
      <c r="W475" s="42" t="s">
        <v>3571</v>
      </c>
      <c r="X475" s="42" t="s">
        <v>4923</v>
      </c>
      <c r="Y475" s="45"/>
      <c r="Z475" s="48" t="s">
        <v>3559</v>
      </c>
    </row>
    <row r="476">
      <c r="A476" s="35" t="s">
        <v>8059</v>
      </c>
      <c r="B476" s="35" t="s">
        <v>8056</v>
      </c>
      <c r="C476" s="35" t="s">
        <v>8057</v>
      </c>
      <c r="D476" s="35" t="s">
        <v>41</v>
      </c>
      <c r="E476" s="35" t="s">
        <v>10011</v>
      </c>
      <c r="F476" s="34"/>
      <c r="G476" s="34"/>
      <c r="H476" s="34"/>
      <c r="I476" s="34"/>
      <c r="J476" s="37"/>
      <c r="K476" s="35" t="s">
        <v>41</v>
      </c>
      <c r="L476" s="37"/>
      <c r="M476" s="37"/>
      <c r="N476" s="34"/>
      <c r="O476" s="34"/>
      <c r="P476" s="34"/>
      <c r="Q476" s="34"/>
      <c r="R476" s="35" t="s">
        <v>3563</v>
      </c>
      <c r="S476" s="35" t="s">
        <v>6667</v>
      </c>
      <c r="T476" s="35" t="s">
        <v>6668</v>
      </c>
      <c r="U476" s="34"/>
      <c r="V476" s="35" t="s">
        <v>6669</v>
      </c>
      <c r="W476" s="34"/>
      <c r="X476" s="35" t="s">
        <v>4923</v>
      </c>
      <c r="Y476" s="32">
        <v>51.0</v>
      </c>
      <c r="Z476" s="40" t="s">
        <v>3559</v>
      </c>
    </row>
    <row r="477">
      <c r="A477" s="42" t="s">
        <v>8072</v>
      </c>
      <c r="B477" s="42" t="s">
        <v>8065</v>
      </c>
      <c r="C477" s="42" t="s">
        <v>8068</v>
      </c>
      <c r="D477" s="42" t="s">
        <v>506</v>
      </c>
      <c r="E477" s="42" t="s">
        <v>10008</v>
      </c>
      <c r="F477" s="42" t="s">
        <v>10561</v>
      </c>
      <c r="G477" s="43"/>
      <c r="H477" s="42" t="s">
        <v>506</v>
      </c>
      <c r="I477" s="42" t="s">
        <v>507</v>
      </c>
      <c r="J477" s="41">
        <v>10019.0</v>
      </c>
      <c r="K477" s="42" t="s">
        <v>60</v>
      </c>
      <c r="L477" s="45"/>
      <c r="M477" s="45"/>
      <c r="N477" s="43"/>
      <c r="O477" s="43"/>
      <c r="P477" s="43"/>
      <c r="Q477" s="43"/>
      <c r="R477" s="42" t="s">
        <v>4560</v>
      </c>
      <c r="S477" s="42" t="s">
        <v>5163</v>
      </c>
      <c r="T477" s="42" t="s">
        <v>5164</v>
      </c>
      <c r="U477" s="42" t="s">
        <v>8070</v>
      </c>
      <c r="V477" s="42" t="s">
        <v>10562</v>
      </c>
      <c r="W477" s="42" t="s">
        <v>5222</v>
      </c>
      <c r="X477" s="42" t="s">
        <v>5018</v>
      </c>
      <c r="Y477" s="41">
        <v>8.0</v>
      </c>
      <c r="Z477" s="48" t="s">
        <v>3559</v>
      </c>
    </row>
    <row r="478">
      <c r="A478" s="35" t="s">
        <v>8072</v>
      </c>
      <c r="B478" s="35" t="s">
        <v>8065</v>
      </c>
      <c r="C478" s="35" t="s">
        <v>8068</v>
      </c>
      <c r="D478" s="35" t="s">
        <v>75</v>
      </c>
      <c r="E478" s="35" t="s">
        <v>10011</v>
      </c>
      <c r="F478" s="34"/>
      <c r="G478" s="34"/>
      <c r="H478" s="35" t="s">
        <v>75</v>
      </c>
      <c r="I478" s="34"/>
      <c r="J478" s="37"/>
      <c r="K478" s="35" t="s">
        <v>41</v>
      </c>
      <c r="L478" s="37"/>
      <c r="M478" s="37"/>
      <c r="N478" s="34"/>
      <c r="O478" s="34"/>
      <c r="P478" s="34"/>
      <c r="Q478" s="34"/>
      <c r="R478" s="35" t="s">
        <v>4560</v>
      </c>
      <c r="S478" s="35" t="s">
        <v>5163</v>
      </c>
      <c r="T478" s="35" t="s">
        <v>5164</v>
      </c>
      <c r="U478" s="35" t="s">
        <v>8070</v>
      </c>
      <c r="V478" s="35" t="s">
        <v>10562</v>
      </c>
      <c r="W478" s="35" t="s">
        <v>5222</v>
      </c>
      <c r="X478" s="35" t="s">
        <v>5018</v>
      </c>
      <c r="Y478" s="32">
        <v>8.0</v>
      </c>
      <c r="Z478" s="40" t="s">
        <v>3559</v>
      </c>
    </row>
    <row r="479">
      <c r="A479" s="42" t="s">
        <v>8084</v>
      </c>
      <c r="B479" s="42" t="s">
        <v>8079</v>
      </c>
      <c r="C479" s="42" t="s">
        <v>8081</v>
      </c>
      <c r="D479" s="42" t="s">
        <v>4213</v>
      </c>
      <c r="E479" s="42" t="s">
        <v>10011</v>
      </c>
      <c r="F479" s="42" t="s">
        <v>8087</v>
      </c>
      <c r="G479" s="43"/>
      <c r="H479" s="42" t="s">
        <v>4213</v>
      </c>
      <c r="I479" s="43"/>
      <c r="J479" s="41">
        <v>49511.0</v>
      </c>
      <c r="K479" s="42" t="s">
        <v>41</v>
      </c>
      <c r="L479" s="45" t="str">
        <f>+972 (0)54 817 2230</f>
        <v>#ERROR!</v>
      </c>
      <c r="M479" s="45"/>
      <c r="N479" s="42" t="s">
        <v>8088</v>
      </c>
      <c r="O479" s="43"/>
      <c r="P479" s="43"/>
      <c r="Q479" s="43"/>
      <c r="R479" s="42" t="s">
        <v>3563</v>
      </c>
      <c r="S479" s="42" t="s">
        <v>3564</v>
      </c>
      <c r="T479" s="42" t="s">
        <v>3565</v>
      </c>
      <c r="U479" s="42" t="s">
        <v>5722</v>
      </c>
      <c r="V479" s="42" t="s">
        <v>10563</v>
      </c>
      <c r="W479" s="42" t="s">
        <v>3571</v>
      </c>
      <c r="X479" s="42" t="s">
        <v>4923</v>
      </c>
      <c r="Y479" s="41">
        <v>12.0</v>
      </c>
      <c r="Z479" s="48" t="s">
        <v>3559</v>
      </c>
    </row>
    <row r="480">
      <c r="A480" s="35" t="s">
        <v>8097</v>
      </c>
      <c r="B480" s="35" t="s">
        <v>2560</v>
      </c>
      <c r="C480" s="35" t="s">
        <v>8093</v>
      </c>
      <c r="D480" s="35" t="s">
        <v>98</v>
      </c>
      <c r="E480" s="35" t="s">
        <v>10011</v>
      </c>
      <c r="F480" s="35" t="s">
        <v>8103</v>
      </c>
      <c r="G480" s="35" t="s">
        <v>8104</v>
      </c>
      <c r="H480" s="35" t="s">
        <v>98</v>
      </c>
      <c r="I480" s="34"/>
      <c r="J480" s="32">
        <v>1610102.0</v>
      </c>
      <c r="K480" s="35" t="s">
        <v>41</v>
      </c>
      <c r="L480" s="37" t="str">
        <f>+972 (0)4 619 4602</f>
        <v>#ERROR!</v>
      </c>
      <c r="M480" s="37" t="str">
        <f>+972 (0)4 619 4601</f>
        <v>#ERROR!</v>
      </c>
      <c r="N480" s="35" t="s">
        <v>2565</v>
      </c>
      <c r="O480" s="35" t="s">
        <v>10564</v>
      </c>
      <c r="P480" s="35" t="s">
        <v>4397</v>
      </c>
      <c r="Q480" s="34"/>
      <c r="R480" s="35" t="s">
        <v>3563</v>
      </c>
      <c r="S480" s="35" t="s">
        <v>3564</v>
      </c>
      <c r="T480" s="35" t="s">
        <v>3565</v>
      </c>
      <c r="U480" s="35" t="s">
        <v>8095</v>
      </c>
      <c r="V480" s="35" t="s">
        <v>10565</v>
      </c>
      <c r="W480" s="35" t="s">
        <v>3571</v>
      </c>
      <c r="X480" s="35" t="s">
        <v>5145</v>
      </c>
      <c r="Y480" s="32">
        <v>11.0</v>
      </c>
      <c r="Z480" s="40" t="s">
        <v>3559</v>
      </c>
    </row>
    <row r="481">
      <c r="A481" s="42" t="s">
        <v>8097</v>
      </c>
      <c r="B481" s="42" t="s">
        <v>2560</v>
      </c>
      <c r="C481" s="42" t="s">
        <v>8093</v>
      </c>
      <c r="D481" s="42" t="s">
        <v>60</v>
      </c>
      <c r="E481" s="42" t="s">
        <v>10008</v>
      </c>
      <c r="F481" s="43"/>
      <c r="G481" s="43"/>
      <c r="H481" s="43"/>
      <c r="I481" s="43"/>
      <c r="J481" s="45"/>
      <c r="K481" s="42" t="s">
        <v>60</v>
      </c>
      <c r="L481" s="45" t="str">
        <f>+1 (650) 641-3034</f>
        <v>#ERROR!</v>
      </c>
      <c r="M481" s="45"/>
      <c r="N481" s="42" t="s">
        <v>2565</v>
      </c>
      <c r="O481" s="42" t="s">
        <v>10564</v>
      </c>
      <c r="P481" s="42" t="s">
        <v>4397</v>
      </c>
      <c r="Q481" s="43"/>
      <c r="R481" s="42" t="s">
        <v>3563</v>
      </c>
      <c r="S481" s="42" t="s">
        <v>3564</v>
      </c>
      <c r="T481" s="42" t="s">
        <v>3565</v>
      </c>
      <c r="U481" s="42" t="s">
        <v>8095</v>
      </c>
      <c r="V481" s="42" t="s">
        <v>10565</v>
      </c>
      <c r="W481" s="42" t="s">
        <v>3571</v>
      </c>
      <c r="X481" s="42" t="s">
        <v>5145</v>
      </c>
      <c r="Y481" s="41">
        <v>11.0</v>
      </c>
      <c r="Z481" s="48" t="s">
        <v>3559</v>
      </c>
    </row>
    <row r="482">
      <c r="A482" s="35" t="s">
        <v>8117</v>
      </c>
      <c r="B482" s="35" t="s">
        <v>8113</v>
      </c>
      <c r="C482" s="35" t="s">
        <v>8115</v>
      </c>
      <c r="D482" s="35" t="s">
        <v>75</v>
      </c>
      <c r="E482" s="35" t="s">
        <v>10011</v>
      </c>
      <c r="F482" s="35" t="s">
        <v>8119</v>
      </c>
      <c r="G482" s="34"/>
      <c r="H482" s="35" t="s">
        <v>75</v>
      </c>
      <c r="I482" s="34"/>
      <c r="J482" s="32">
        <v>61000.0</v>
      </c>
      <c r="K482" s="35" t="s">
        <v>41</v>
      </c>
      <c r="L482" s="37"/>
      <c r="M482" s="37"/>
      <c r="N482" s="34"/>
      <c r="O482" s="34"/>
      <c r="P482" s="34"/>
      <c r="Q482" s="34"/>
      <c r="R482" s="35" t="s">
        <v>3867</v>
      </c>
      <c r="S482" s="35" t="s">
        <v>4199</v>
      </c>
      <c r="T482" s="35" t="s">
        <v>4414</v>
      </c>
      <c r="U482" s="35" t="s">
        <v>5965</v>
      </c>
      <c r="V482" s="35" t="s">
        <v>4415</v>
      </c>
      <c r="W482" s="35" t="s">
        <v>5222</v>
      </c>
      <c r="X482" s="35" t="s">
        <v>4923</v>
      </c>
      <c r="Y482" s="37"/>
      <c r="Z482" s="40" t="s">
        <v>3559</v>
      </c>
    </row>
    <row r="483">
      <c r="A483" s="42" t="s">
        <v>8129</v>
      </c>
      <c r="B483" s="42" t="s">
        <v>8120</v>
      </c>
      <c r="C483" s="42" t="s">
        <v>8124</v>
      </c>
      <c r="D483" s="42" t="s">
        <v>387</v>
      </c>
      <c r="E483" s="42" t="s">
        <v>10011</v>
      </c>
      <c r="F483" s="42" t="s">
        <v>8133</v>
      </c>
      <c r="G483" s="43"/>
      <c r="H483" s="42" t="s">
        <v>387</v>
      </c>
      <c r="I483" s="43"/>
      <c r="J483" s="41">
        <v>7019900.0</v>
      </c>
      <c r="K483" s="42" t="s">
        <v>41</v>
      </c>
      <c r="L483" s="45" t="str">
        <f>+972 (0)3 673 7010</f>
        <v>#ERROR!</v>
      </c>
      <c r="M483" s="45" t="str">
        <f>+972 (0)3 673 7011</f>
        <v>#ERROR!</v>
      </c>
      <c r="N483" s="42" t="s">
        <v>8134</v>
      </c>
      <c r="O483" s="43"/>
      <c r="P483" s="43"/>
      <c r="Q483" s="43"/>
      <c r="R483" s="42" t="s">
        <v>3563</v>
      </c>
      <c r="S483" s="42" t="s">
        <v>4648</v>
      </c>
      <c r="T483" s="42" t="s">
        <v>8125</v>
      </c>
      <c r="U483" s="42" t="s">
        <v>8127</v>
      </c>
      <c r="V483" s="42" t="s">
        <v>10566</v>
      </c>
      <c r="W483" s="42" t="s">
        <v>5222</v>
      </c>
      <c r="X483" s="42" t="s">
        <v>5018</v>
      </c>
      <c r="Y483" s="41">
        <v>19.0</v>
      </c>
      <c r="Z483" s="48" t="s">
        <v>3559</v>
      </c>
    </row>
    <row r="484">
      <c r="A484" s="35" t="s">
        <v>8129</v>
      </c>
      <c r="B484" s="35" t="s">
        <v>8120</v>
      </c>
      <c r="C484" s="35" t="s">
        <v>8124</v>
      </c>
      <c r="D484" s="35" t="s">
        <v>10567</v>
      </c>
      <c r="E484" s="35" t="s">
        <v>10008</v>
      </c>
      <c r="F484" s="35" t="s">
        <v>10568</v>
      </c>
      <c r="G484" s="34"/>
      <c r="H484" s="35" t="s">
        <v>10567</v>
      </c>
      <c r="I484" s="35" t="s">
        <v>1431</v>
      </c>
      <c r="J484" s="32">
        <v>94539.0</v>
      </c>
      <c r="K484" s="35" t="s">
        <v>60</v>
      </c>
      <c r="L484" s="37" t="str">
        <f>+1 (510) 687-1000</f>
        <v>#ERROR!</v>
      </c>
      <c r="M484" s="37"/>
      <c r="N484" s="35" t="s">
        <v>8134</v>
      </c>
      <c r="O484" s="34"/>
      <c r="P484" s="34"/>
      <c r="Q484" s="34"/>
      <c r="R484" s="35" t="s">
        <v>3563</v>
      </c>
      <c r="S484" s="35" t="s">
        <v>4648</v>
      </c>
      <c r="T484" s="35" t="s">
        <v>8125</v>
      </c>
      <c r="U484" s="35" t="s">
        <v>8127</v>
      </c>
      <c r="V484" s="35" t="s">
        <v>10566</v>
      </c>
      <c r="W484" s="35" t="s">
        <v>5222</v>
      </c>
      <c r="X484" s="35" t="s">
        <v>5018</v>
      </c>
      <c r="Y484" s="32">
        <v>19.0</v>
      </c>
      <c r="Z484" s="40" t="s">
        <v>3559</v>
      </c>
    </row>
    <row r="485">
      <c r="A485" s="42" t="s">
        <v>8149</v>
      </c>
      <c r="B485" s="42" t="s">
        <v>8142</v>
      </c>
      <c r="C485" s="42" t="s">
        <v>8147</v>
      </c>
      <c r="D485" s="42" t="s">
        <v>2922</v>
      </c>
      <c r="E485" s="42" t="s">
        <v>10011</v>
      </c>
      <c r="F485" s="42" t="s">
        <v>8154</v>
      </c>
      <c r="G485" s="42" t="s">
        <v>8155</v>
      </c>
      <c r="H485" s="42" t="s">
        <v>2922</v>
      </c>
      <c r="I485" s="43"/>
      <c r="J485" s="41">
        <v>60972.0</v>
      </c>
      <c r="K485" s="42" t="s">
        <v>41</v>
      </c>
      <c r="L485" s="45"/>
      <c r="M485" s="45"/>
      <c r="N485" s="43"/>
      <c r="O485" s="43"/>
      <c r="P485" s="43"/>
      <c r="Q485" s="43"/>
      <c r="R485" s="42" t="s">
        <v>3563</v>
      </c>
      <c r="S485" s="42" t="s">
        <v>3564</v>
      </c>
      <c r="T485" s="42" t="s">
        <v>3565</v>
      </c>
      <c r="U485" s="43"/>
      <c r="V485" s="42" t="s">
        <v>5929</v>
      </c>
      <c r="W485" s="42" t="s">
        <v>3571</v>
      </c>
      <c r="X485" s="42" t="s">
        <v>4962</v>
      </c>
      <c r="Y485" s="45"/>
      <c r="Z485" s="48" t="s">
        <v>3559</v>
      </c>
    </row>
    <row r="486">
      <c r="A486" s="35" t="s">
        <v>8170</v>
      </c>
      <c r="B486" s="35" t="s">
        <v>10569</v>
      </c>
      <c r="C486" s="35" t="s">
        <v>8167</v>
      </c>
      <c r="D486" s="35" t="s">
        <v>552</v>
      </c>
      <c r="E486" s="35" t="s">
        <v>10011</v>
      </c>
      <c r="F486" s="35" t="s">
        <v>8176</v>
      </c>
      <c r="G486" s="35" t="s">
        <v>8177</v>
      </c>
      <c r="H486" s="35" t="s">
        <v>552</v>
      </c>
      <c r="I486" s="34"/>
      <c r="J486" s="32">
        <v>51114.0</v>
      </c>
      <c r="K486" s="35" t="s">
        <v>41</v>
      </c>
      <c r="L486" s="37" t="str">
        <f>+972 (0)73 267 8935</f>
        <v>#ERROR!</v>
      </c>
      <c r="M486" s="37" t="str">
        <f>+972 (0)73 267 8939</f>
        <v>#ERROR!</v>
      </c>
      <c r="N486" s="34"/>
      <c r="O486" s="35" t="s">
        <v>8174</v>
      </c>
      <c r="P486" s="35" t="s">
        <v>4093</v>
      </c>
      <c r="Q486" s="34"/>
      <c r="R486" s="35" t="s">
        <v>3867</v>
      </c>
      <c r="S486" s="35" t="s">
        <v>4199</v>
      </c>
      <c r="T486" s="35" t="s">
        <v>4200</v>
      </c>
      <c r="U486" s="35" t="s">
        <v>7441</v>
      </c>
      <c r="V486" s="35" t="s">
        <v>10570</v>
      </c>
      <c r="W486" s="35" t="s">
        <v>3571</v>
      </c>
      <c r="X486" s="35" t="s">
        <v>4923</v>
      </c>
      <c r="Y486" s="32">
        <v>463.0</v>
      </c>
      <c r="Z486" s="40" t="s">
        <v>3559</v>
      </c>
    </row>
    <row r="487">
      <c r="A487" s="42" t="s">
        <v>8187</v>
      </c>
      <c r="B487" s="42" t="s">
        <v>8180</v>
      </c>
      <c r="C487" s="42" t="s">
        <v>8184</v>
      </c>
      <c r="D487" s="42" t="s">
        <v>8192</v>
      </c>
      <c r="E487" s="42" t="s">
        <v>10011</v>
      </c>
      <c r="F487" s="42" t="s">
        <v>8191</v>
      </c>
      <c r="G487" s="43"/>
      <c r="H487" s="42" t="s">
        <v>8192</v>
      </c>
      <c r="I487" s="43"/>
      <c r="J487" s="41">
        <v>5540084.0</v>
      </c>
      <c r="K487" s="42" t="s">
        <v>41</v>
      </c>
      <c r="L487" s="45"/>
      <c r="M487" s="45"/>
      <c r="N487" s="42" t="s">
        <v>8193</v>
      </c>
      <c r="O487" s="43"/>
      <c r="P487" s="43"/>
      <c r="Q487" s="43"/>
      <c r="R487" s="42" t="s">
        <v>3563</v>
      </c>
      <c r="S487" s="42" t="s">
        <v>3609</v>
      </c>
      <c r="T487" s="42" t="s">
        <v>3610</v>
      </c>
      <c r="U487" s="42" t="s">
        <v>6762</v>
      </c>
      <c r="V487" s="42" t="s">
        <v>8185</v>
      </c>
      <c r="W487" s="42" t="s">
        <v>5222</v>
      </c>
      <c r="X487" s="42" t="s">
        <v>5018</v>
      </c>
      <c r="Y487" s="41">
        <v>45.0</v>
      </c>
      <c r="Z487" s="48" t="s">
        <v>3559</v>
      </c>
    </row>
    <row r="488">
      <c r="A488" s="35" t="s">
        <v>8205</v>
      </c>
      <c r="B488" s="35" t="s">
        <v>8201</v>
      </c>
      <c r="C488" s="35" t="s">
        <v>8202</v>
      </c>
      <c r="D488" s="35" t="s">
        <v>552</v>
      </c>
      <c r="E488" s="35" t="s">
        <v>10011</v>
      </c>
      <c r="F488" s="34"/>
      <c r="G488" s="34"/>
      <c r="H488" s="35" t="s">
        <v>552</v>
      </c>
      <c r="I488" s="34"/>
      <c r="J488" s="32">
        <v>4647018.0</v>
      </c>
      <c r="K488" s="35" t="s">
        <v>41</v>
      </c>
      <c r="L488" s="37"/>
      <c r="M488" s="37"/>
      <c r="N488" s="35" t="s">
        <v>8212</v>
      </c>
      <c r="O488" s="35" t="s">
        <v>8210</v>
      </c>
      <c r="P488" s="35" t="s">
        <v>4093</v>
      </c>
      <c r="Q488" s="34"/>
      <c r="R488" s="35" t="s">
        <v>3563</v>
      </c>
      <c r="S488" s="35" t="s">
        <v>3564</v>
      </c>
      <c r="T488" s="35" t="s">
        <v>3565</v>
      </c>
      <c r="U488" s="35" t="s">
        <v>5722</v>
      </c>
      <c r="V488" s="35" t="s">
        <v>10571</v>
      </c>
      <c r="W488" s="35" t="s">
        <v>3571</v>
      </c>
      <c r="X488" s="35" t="s">
        <v>4923</v>
      </c>
      <c r="Y488" s="32">
        <v>4.0</v>
      </c>
      <c r="Z488" s="40" t="s">
        <v>3559</v>
      </c>
    </row>
    <row r="489">
      <c r="A489" s="42" t="s">
        <v>8221</v>
      </c>
      <c r="B489" s="42" t="s">
        <v>8214</v>
      </c>
      <c r="C489" s="42" t="s">
        <v>8218</v>
      </c>
      <c r="D489" s="42" t="s">
        <v>10025</v>
      </c>
      <c r="E489" s="42" t="s">
        <v>10015</v>
      </c>
      <c r="F489" s="42" t="s">
        <v>10572</v>
      </c>
      <c r="G489" s="43"/>
      <c r="H489" s="42" t="s">
        <v>10025</v>
      </c>
      <c r="I489" s="43"/>
      <c r="J489" s="41">
        <v>60325.0</v>
      </c>
      <c r="K489" s="42" t="s">
        <v>465</v>
      </c>
      <c r="L489" s="45"/>
      <c r="M489" s="45"/>
      <c r="N489" s="43"/>
      <c r="O489" s="42" t="s">
        <v>8225</v>
      </c>
      <c r="P489" s="42" t="s">
        <v>7673</v>
      </c>
      <c r="Q489" s="43"/>
      <c r="R489" s="42" t="s">
        <v>3867</v>
      </c>
      <c r="S489" s="42" t="s">
        <v>3897</v>
      </c>
      <c r="T489" s="42" t="s">
        <v>4689</v>
      </c>
      <c r="U489" s="42" t="s">
        <v>8219</v>
      </c>
      <c r="V489" s="42" t="s">
        <v>10489</v>
      </c>
      <c r="W489" s="42" t="s">
        <v>5412</v>
      </c>
      <c r="X489" s="42" t="s">
        <v>5018</v>
      </c>
      <c r="Y489" s="41">
        <v>135.0</v>
      </c>
      <c r="Z489" s="48" t="s">
        <v>3559</v>
      </c>
    </row>
    <row r="490">
      <c r="A490" s="35" t="s">
        <v>8221</v>
      </c>
      <c r="B490" s="35" t="s">
        <v>8214</v>
      </c>
      <c r="C490" s="35" t="s">
        <v>8218</v>
      </c>
      <c r="D490" s="35" t="s">
        <v>552</v>
      </c>
      <c r="E490" s="35" t="s">
        <v>10011</v>
      </c>
      <c r="F490" s="35" t="s">
        <v>8226</v>
      </c>
      <c r="G490" s="35" t="s">
        <v>8227</v>
      </c>
      <c r="H490" s="35" t="s">
        <v>552</v>
      </c>
      <c r="I490" s="34"/>
      <c r="J490" s="37"/>
      <c r="K490" s="35" t="s">
        <v>41</v>
      </c>
      <c r="L490" s="37"/>
      <c r="M490" s="37"/>
      <c r="N490" s="34"/>
      <c r="O490" s="35" t="s">
        <v>8225</v>
      </c>
      <c r="P490" s="35" t="s">
        <v>7673</v>
      </c>
      <c r="Q490" s="34"/>
      <c r="R490" s="35" t="s">
        <v>3867</v>
      </c>
      <c r="S490" s="35" t="s">
        <v>3897</v>
      </c>
      <c r="T490" s="35" t="s">
        <v>4689</v>
      </c>
      <c r="U490" s="35" t="s">
        <v>8219</v>
      </c>
      <c r="V490" s="35" t="s">
        <v>10489</v>
      </c>
      <c r="W490" s="35" t="s">
        <v>5412</v>
      </c>
      <c r="X490" s="35" t="s">
        <v>5018</v>
      </c>
      <c r="Y490" s="32">
        <v>135.0</v>
      </c>
      <c r="Z490" s="40" t="s">
        <v>3559</v>
      </c>
    </row>
    <row r="491">
      <c r="A491" s="42" t="s">
        <v>8221</v>
      </c>
      <c r="B491" s="42" t="s">
        <v>8214</v>
      </c>
      <c r="C491" s="42" t="s">
        <v>8218</v>
      </c>
      <c r="D491" s="42" t="s">
        <v>10573</v>
      </c>
      <c r="E491" s="42" t="s">
        <v>10015</v>
      </c>
      <c r="F491" s="42" t="s">
        <v>10574</v>
      </c>
      <c r="G491" s="42" t="s">
        <v>10418</v>
      </c>
      <c r="H491" s="42" t="s">
        <v>10573</v>
      </c>
      <c r="I491" s="42" t="s">
        <v>1431</v>
      </c>
      <c r="J491" s="41">
        <v>94063.0</v>
      </c>
      <c r="K491" s="42" t="s">
        <v>60</v>
      </c>
      <c r="L491" s="45"/>
      <c r="M491" s="45"/>
      <c r="N491" s="43"/>
      <c r="O491" s="42" t="s">
        <v>8225</v>
      </c>
      <c r="P491" s="42" t="s">
        <v>7673</v>
      </c>
      <c r="Q491" s="43"/>
      <c r="R491" s="42" t="s">
        <v>3867</v>
      </c>
      <c r="S491" s="42" t="s">
        <v>3897</v>
      </c>
      <c r="T491" s="42" t="s">
        <v>4689</v>
      </c>
      <c r="U491" s="42" t="s">
        <v>8219</v>
      </c>
      <c r="V491" s="42" t="s">
        <v>10489</v>
      </c>
      <c r="W491" s="42" t="s">
        <v>5412</v>
      </c>
      <c r="X491" s="42" t="s">
        <v>5018</v>
      </c>
      <c r="Y491" s="41">
        <v>135.0</v>
      </c>
      <c r="Z491" s="48" t="s">
        <v>3559</v>
      </c>
    </row>
    <row r="492">
      <c r="A492" s="35" t="s">
        <v>8221</v>
      </c>
      <c r="B492" s="35" t="s">
        <v>8214</v>
      </c>
      <c r="C492" s="35" t="s">
        <v>8218</v>
      </c>
      <c r="D492" s="35" t="s">
        <v>10063</v>
      </c>
      <c r="E492" s="35" t="s">
        <v>10008</v>
      </c>
      <c r="F492" s="35" t="s">
        <v>10575</v>
      </c>
      <c r="G492" s="35" t="s">
        <v>10576</v>
      </c>
      <c r="H492" s="35" t="s">
        <v>10063</v>
      </c>
      <c r="I492" s="35" t="s">
        <v>1431</v>
      </c>
      <c r="J492" s="32">
        <v>94115.0</v>
      </c>
      <c r="K492" s="35" t="s">
        <v>60</v>
      </c>
      <c r="L492" s="37"/>
      <c r="M492" s="37"/>
      <c r="N492" s="34"/>
      <c r="O492" s="35" t="s">
        <v>8225</v>
      </c>
      <c r="P492" s="35" t="s">
        <v>7673</v>
      </c>
      <c r="Q492" s="34"/>
      <c r="R492" s="35" t="s">
        <v>3867</v>
      </c>
      <c r="S492" s="35" t="s">
        <v>3897</v>
      </c>
      <c r="T492" s="35" t="s">
        <v>4689</v>
      </c>
      <c r="U492" s="35" t="s">
        <v>8219</v>
      </c>
      <c r="V492" s="35" t="s">
        <v>10489</v>
      </c>
      <c r="W492" s="35" t="s">
        <v>5412</v>
      </c>
      <c r="X492" s="35" t="s">
        <v>5018</v>
      </c>
      <c r="Y492" s="32">
        <v>135.0</v>
      </c>
      <c r="Z492" s="40" t="s">
        <v>3559</v>
      </c>
    </row>
    <row r="493">
      <c r="A493" s="42" t="s">
        <v>8221</v>
      </c>
      <c r="B493" s="42" t="s">
        <v>8214</v>
      </c>
      <c r="C493" s="42" t="s">
        <v>8218</v>
      </c>
      <c r="D493" s="42" t="s">
        <v>75</v>
      </c>
      <c r="E493" s="42" t="s">
        <v>10008</v>
      </c>
      <c r="F493" s="43"/>
      <c r="G493" s="43"/>
      <c r="H493" s="42" t="s">
        <v>75</v>
      </c>
      <c r="I493" s="43"/>
      <c r="J493" s="45"/>
      <c r="K493" s="42" t="s">
        <v>41</v>
      </c>
      <c r="L493" s="45"/>
      <c r="M493" s="45"/>
      <c r="N493" s="43"/>
      <c r="O493" s="42" t="s">
        <v>8225</v>
      </c>
      <c r="P493" s="42" t="s">
        <v>7673</v>
      </c>
      <c r="Q493" s="43"/>
      <c r="R493" s="42" t="s">
        <v>3867</v>
      </c>
      <c r="S493" s="42" t="s">
        <v>3897</v>
      </c>
      <c r="T493" s="42" t="s">
        <v>4689</v>
      </c>
      <c r="U493" s="42" t="s">
        <v>8219</v>
      </c>
      <c r="V493" s="42" t="s">
        <v>10489</v>
      </c>
      <c r="W493" s="42" t="s">
        <v>5412</v>
      </c>
      <c r="X493" s="42" t="s">
        <v>5018</v>
      </c>
      <c r="Y493" s="41">
        <v>135.0</v>
      </c>
      <c r="Z493" s="48" t="s">
        <v>3559</v>
      </c>
    </row>
    <row r="494">
      <c r="A494" s="35" t="s">
        <v>8241</v>
      </c>
      <c r="B494" s="35" t="s">
        <v>8237</v>
      </c>
      <c r="C494" s="35" t="s">
        <v>8238</v>
      </c>
      <c r="D494" s="35" t="s">
        <v>75</v>
      </c>
      <c r="E494" s="35" t="s">
        <v>10011</v>
      </c>
      <c r="F494" s="35" t="s">
        <v>8243</v>
      </c>
      <c r="G494" s="34"/>
      <c r="H494" s="35" t="s">
        <v>75</v>
      </c>
      <c r="I494" s="34"/>
      <c r="J494" s="37"/>
      <c r="K494" s="35" t="s">
        <v>41</v>
      </c>
      <c r="L494" s="37"/>
      <c r="M494" s="37"/>
      <c r="N494" s="34"/>
      <c r="O494" s="34"/>
      <c r="P494" s="34"/>
      <c r="Q494" s="34"/>
      <c r="R494" s="35" t="s">
        <v>3867</v>
      </c>
      <c r="S494" s="35" t="s">
        <v>3868</v>
      </c>
      <c r="T494" s="35" t="s">
        <v>3869</v>
      </c>
      <c r="U494" s="34"/>
      <c r="V494" s="35" t="s">
        <v>10577</v>
      </c>
      <c r="W494" s="35" t="s">
        <v>3571</v>
      </c>
      <c r="X494" s="35" t="s">
        <v>4962</v>
      </c>
      <c r="Y494" s="37"/>
      <c r="Z494" s="40" t="s">
        <v>3559</v>
      </c>
    </row>
    <row r="495">
      <c r="A495" s="42" t="s">
        <v>8252</v>
      </c>
      <c r="B495" s="42" t="s">
        <v>8246</v>
      </c>
      <c r="C495" s="42" t="s">
        <v>8248</v>
      </c>
      <c r="D495" s="42" t="s">
        <v>41</v>
      </c>
      <c r="E495" s="42" t="s">
        <v>10011</v>
      </c>
      <c r="F495" s="43"/>
      <c r="G495" s="43"/>
      <c r="H495" s="43"/>
      <c r="I495" s="43"/>
      <c r="J495" s="45"/>
      <c r="K495" s="42" t="s">
        <v>41</v>
      </c>
      <c r="L495" s="45"/>
      <c r="M495" s="45"/>
      <c r="N495" s="43"/>
      <c r="O495" s="43"/>
      <c r="P495" s="43"/>
      <c r="Q495" s="43"/>
      <c r="R495" s="42" t="s">
        <v>4560</v>
      </c>
      <c r="S495" s="42" t="s">
        <v>4561</v>
      </c>
      <c r="T495" s="42" t="s">
        <v>66</v>
      </c>
      <c r="U495" s="42" t="s">
        <v>8250</v>
      </c>
      <c r="V495" s="42" t="s">
        <v>10578</v>
      </c>
      <c r="W495" s="42" t="s">
        <v>5222</v>
      </c>
      <c r="X495" s="42" t="s">
        <v>4962</v>
      </c>
      <c r="Y495" s="45"/>
      <c r="Z495" s="48" t="s">
        <v>3559</v>
      </c>
    </row>
    <row r="496">
      <c r="A496" s="35" t="s">
        <v>8258</v>
      </c>
      <c r="B496" s="35" t="s">
        <v>8256</v>
      </c>
      <c r="C496" s="35" t="s">
        <v>8257</v>
      </c>
      <c r="D496" s="35" t="s">
        <v>41</v>
      </c>
      <c r="E496" s="35" t="s">
        <v>10011</v>
      </c>
      <c r="F496" s="34"/>
      <c r="G496" s="34"/>
      <c r="H496" s="34"/>
      <c r="I496" s="34"/>
      <c r="J496" s="37"/>
      <c r="K496" s="35" t="s">
        <v>41</v>
      </c>
      <c r="L496" s="37"/>
      <c r="M496" s="37"/>
      <c r="N496" s="35" t="s">
        <v>2641</v>
      </c>
      <c r="O496" s="34"/>
      <c r="P496" s="34"/>
      <c r="Q496" s="34"/>
      <c r="R496" s="35" t="s">
        <v>4560</v>
      </c>
      <c r="S496" s="35" t="s">
        <v>4561</v>
      </c>
      <c r="T496" s="35" t="s">
        <v>66</v>
      </c>
      <c r="U496" s="34"/>
      <c r="V496" s="35" t="s">
        <v>4562</v>
      </c>
      <c r="W496" s="34"/>
      <c r="X496" s="35" t="s">
        <v>4923</v>
      </c>
      <c r="Y496" s="32">
        <v>2.0</v>
      </c>
      <c r="Z496" s="40" t="s">
        <v>3559</v>
      </c>
    </row>
    <row r="497">
      <c r="A497" s="42" t="s">
        <v>8268</v>
      </c>
      <c r="B497" s="42" t="s">
        <v>8262</v>
      </c>
      <c r="C497" s="42" t="s">
        <v>8265</v>
      </c>
      <c r="D497" s="42" t="s">
        <v>75</v>
      </c>
      <c r="E497" s="42" t="s">
        <v>10011</v>
      </c>
      <c r="F497" s="42" t="s">
        <v>8271</v>
      </c>
      <c r="G497" s="42" t="s">
        <v>8272</v>
      </c>
      <c r="H497" s="42" t="s">
        <v>75</v>
      </c>
      <c r="I497" s="43"/>
      <c r="J497" s="41">
        <v>6701203.0</v>
      </c>
      <c r="K497" s="42" t="s">
        <v>41</v>
      </c>
      <c r="L497" s="45"/>
      <c r="M497" s="45"/>
      <c r="N497" s="42" t="s">
        <v>2844</v>
      </c>
      <c r="O497" s="43"/>
      <c r="P497" s="43"/>
      <c r="Q497" s="43"/>
      <c r="R497" s="42" t="s">
        <v>3867</v>
      </c>
      <c r="S497" s="42" t="s">
        <v>3868</v>
      </c>
      <c r="T497" s="42" t="s">
        <v>3869</v>
      </c>
      <c r="U497" s="42" t="s">
        <v>8266</v>
      </c>
      <c r="V497" s="42" t="s">
        <v>10211</v>
      </c>
      <c r="W497" s="42" t="s">
        <v>5222</v>
      </c>
      <c r="X497" s="42" t="s">
        <v>5018</v>
      </c>
      <c r="Y497" s="41">
        <v>5.0</v>
      </c>
      <c r="Z497" s="48" t="s">
        <v>3559</v>
      </c>
    </row>
    <row r="498">
      <c r="A498" s="35" t="s">
        <v>8284</v>
      </c>
      <c r="B498" s="35" t="s">
        <v>8278</v>
      </c>
      <c r="C498" s="35" t="s">
        <v>8280</v>
      </c>
      <c r="D498" s="35" t="s">
        <v>10579</v>
      </c>
      <c r="E498" s="35" t="s">
        <v>10008</v>
      </c>
      <c r="F498" s="35" t="s">
        <v>10580</v>
      </c>
      <c r="G498" s="34"/>
      <c r="H498" s="35" t="s">
        <v>10579</v>
      </c>
      <c r="I498" s="34"/>
      <c r="J498" s="37"/>
      <c r="K498" s="35" t="s">
        <v>10259</v>
      </c>
      <c r="L498" s="37" t="str">
        <f>+31 (0)61 160 6257</f>
        <v>#ERROR!</v>
      </c>
      <c r="M498" s="37"/>
      <c r="N498" s="35" t="s">
        <v>10581</v>
      </c>
      <c r="O498" s="35" t="s">
        <v>8289</v>
      </c>
      <c r="P498" s="35" t="s">
        <v>8290</v>
      </c>
      <c r="Q498" s="34"/>
      <c r="R498" s="35" t="s">
        <v>4560</v>
      </c>
      <c r="S498" s="35" t="s">
        <v>6034</v>
      </c>
      <c r="T498" s="35" t="s">
        <v>6035</v>
      </c>
      <c r="U498" s="35" t="s">
        <v>8282</v>
      </c>
      <c r="V498" s="35" t="s">
        <v>10582</v>
      </c>
      <c r="W498" s="35" t="s">
        <v>3571</v>
      </c>
      <c r="X498" s="35" t="s">
        <v>3569</v>
      </c>
      <c r="Y498" s="32">
        <v>9.0</v>
      </c>
      <c r="Z498" s="40" t="s">
        <v>3559</v>
      </c>
    </row>
    <row r="499">
      <c r="A499" s="42" t="s">
        <v>8284</v>
      </c>
      <c r="B499" s="42" t="s">
        <v>8278</v>
      </c>
      <c r="C499" s="42" t="s">
        <v>8280</v>
      </c>
      <c r="D499" s="42" t="s">
        <v>10583</v>
      </c>
      <c r="E499" s="42" t="s">
        <v>10008</v>
      </c>
      <c r="F499" s="42" t="s">
        <v>10584</v>
      </c>
      <c r="G499" s="42" t="s">
        <v>10585</v>
      </c>
      <c r="H499" s="42" t="s">
        <v>10583</v>
      </c>
      <c r="I499" s="42" t="s">
        <v>10586</v>
      </c>
      <c r="J499" s="41">
        <v>3146.0</v>
      </c>
      <c r="K499" s="42" t="s">
        <v>670</v>
      </c>
      <c r="L499" s="45" t="str">
        <f>+61 (0)4 4893 9231</f>
        <v>#ERROR!</v>
      </c>
      <c r="M499" s="45"/>
      <c r="N499" s="42" t="s">
        <v>8293</v>
      </c>
      <c r="O499" s="42" t="s">
        <v>8289</v>
      </c>
      <c r="P499" s="42" t="s">
        <v>8290</v>
      </c>
      <c r="Q499" s="43"/>
      <c r="R499" s="42" t="s">
        <v>4560</v>
      </c>
      <c r="S499" s="42" t="s">
        <v>6034</v>
      </c>
      <c r="T499" s="42" t="s">
        <v>6035</v>
      </c>
      <c r="U499" s="42" t="s">
        <v>8282</v>
      </c>
      <c r="V499" s="42" t="s">
        <v>10582</v>
      </c>
      <c r="W499" s="42" t="s">
        <v>3571</v>
      </c>
      <c r="X499" s="42" t="s">
        <v>3569</v>
      </c>
      <c r="Y499" s="41">
        <v>9.0</v>
      </c>
      <c r="Z499" s="48" t="s">
        <v>3559</v>
      </c>
    </row>
    <row r="500">
      <c r="A500" s="35" t="s">
        <v>8284</v>
      </c>
      <c r="B500" s="35" t="s">
        <v>8278</v>
      </c>
      <c r="C500" s="35" t="s">
        <v>8280</v>
      </c>
      <c r="D500" s="35" t="s">
        <v>7096</v>
      </c>
      <c r="E500" s="35" t="s">
        <v>10008</v>
      </c>
      <c r="F500" s="35" t="s">
        <v>10587</v>
      </c>
      <c r="G500" s="34"/>
      <c r="H500" s="35" t="s">
        <v>7096</v>
      </c>
      <c r="I500" s="34"/>
      <c r="J500" s="37"/>
      <c r="K500" s="35" t="s">
        <v>41</v>
      </c>
      <c r="L500" s="37"/>
      <c r="M500" s="37"/>
      <c r="N500" s="34"/>
      <c r="O500" s="35" t="s">
        <v>8289</v>
      </c>
      <c r="P500" s="35" t="s">
        <v>8290</v>
      </c>
      <c r="Q500" s="34"/>
      <c r="R500" s="35" t="s">
        <v>4560</v>
      </c>
      <c r="S500" s="35" t="s">
        <v>6034</v>
      </c>
      <c r="T500" s="35" t="s">
        <v>6035</v>
      </c>
      <c r="U500" s="35" t="s">
        <v>8282</v>
      </c>
      <c r="V500" s="35" t="s">
        <v>10582</v>
      </c>
      <c r="W500" s="35" t="s">
        <v>3571</v>
      </c>
      <c r="X500" s="35" t="s">
        <v>3569</v>
      </c>
      <c r="Y500" s="32">
        <v>9.0</v>
      </c>
      <c r="Z500" s="40" t="s">
        <v>3559</v>
      </c>
    </row>
    <row r="501">
      <c r="A501" s="42" t="s">
        <v>8284</v>
      </c>
      <c r="B501" s="42" t="s">
        <v>8278</v>
      </c>
      <c r="C501" s="42" t="s">
        <v>8280</v>
      </c>
      <c r="D501" s="42" t="s">
        <v>828</v>
      </c>
      <c r="E501" s="42" t="s">
        <v>10008</v>
      </c>
      <c r="F501" s="42" t="s">
        <v>10588</v>
      </c>
      <c r="G501" s="43"/>
      <c r="H501" s="42" t="s">
        <v>828</v>
      </c>
      <c r="I501" s="43"/>
      <c r="J501" s="45"/>
      <c r="K501" s="42" t="s">
        <v>41</v>
      </c>
      <c r="L501" s="45" t="str">
        <f>+972 (0)3 771 5192</f>
        <v>#ERROR!</v>
      </c>
      <c r="M501" s="45"/>
      <c r="N501" s="42" t="s">
        <v>8293</v>
      </c>
      <c r="O501" s="42" t="s">
        <v>8289</v>
      </c>
      <c r="P501" s="42" t="s">
        <v>8290</v>
      </c>
      <c r="Q501" s="43"/>
      <c r="R501" s="42" t="s">
        <v>4560</v>
      </c>
      <c r="S501" s="42" t="s">
        <v>6034</v>
      </c>
      <c r="T501" s="42" t="s">
        <v>6035</v>
      </c>
      <c r="U501" s="42" t="s">
        <v>8282</v>
      </c>
      <c r="V501" s="42" t="s">
        <v>10582</v>
      </c>
      <c r="W501" s="42" t="s">
        <v>3571</v>
      </c>
      <c r="X501" s="42" t="s">
        <v>3569</v>
      </c>
      <c r="Y501" s="41">
        <v>9.0</v>
      </c>
      <c r="Z501" s="48" t="s">
        <v>3559</v>
      </c>
    </row>
    <row r="502">
      <c r="A502" s="35" t="s">
        <v>8284</v>
      </c>
      <c r="B502" s="35" t="s">
        <v>8278</v>
      </c>
      <c r="C502" s="35" t="s">
        <v>8280</v>
      </c>
      <c r="D502" s="35" t="s">
        <v>75</v>
      </c>
      <c r="E502" s="35" t="s">
        <v>10011</v>
      </c>
      <c r="F502" s="35" t="s">
        <v>8292</v>
      </c>
      <c r="G502" s="34"/>
      <c r="H502" s="35" t="s">
        <v>75</v>
      </c>
      <c r="I502" s="34"/>
      <c r="J502" s="32">
        <v>3614617.0</v>
      </c>
      <c r="K502" s="35" t="s">
        <v>41</v>
      </c>
      <c r="L502" s="37" t="str">
        <f>+972 (0)3 657 3899</f>
        <v>#ERROR!</v>
      </c>
      <c r="M502" s="37"/>
      <c r="N502" s="35" t="s">
        <v>8293</v>
      </c>
      <c r="O502" s="35" t="s">
        <v>8289</v>
      </c>
      <c r="P502" s="35" t="s">
        <v>8290</v>
      </c>
      <c r="Q502" s="34"/>
      <c r="R502" s="35" t="s">
        <v>4560</v>
      </c>
      <c r="S502" s="35" t="s">
        <v>6034</v>
      </c>
      <c r="T502" s="35" t="s">
        <v>6035</v>
      </c>
      <c r="U502" s="35" t="s">
        <v>8282</v>
      </c>
      <c r="V502" s="35" t="s">
        <v>10582</v>
      </c>
      <c r="W502" s="35" t="s">
        <v>3571</v>
      </c>
      <c r="X502" s="35" t="s">
        <v>3569</v>
      </c>
      <c r="Y502" s="32">
        <v>9.0</v>
      </c>
      <c r="Z502" s="40" t="s">
        <v>3559</v>
      </c>
    </row>
    <row r="503">
      <c r="A503" s="42" t="s">
        <v>8303</v>
      </c>
      <c r="B503" s="42" t="s">
        <v>8299</v>
      </c>
      <c r="C503" s="42" t="s">
        <v>8301</v>
      </c>
      <c r="D503" s="42" t="s">
        <v>8308</v>
      </c>
      <c r="E503" s="42" t="s">
        <v>10011</v>
      </c>
      <c r="F503" s="42" t="s">
        <v>8307</v>
      </c>
      <c r="G503" s="43"/>
      <c r="H503" s="42" t="s">
        <v>8308</v>
      </c>
      <c r="I503" s="43"/>
      <c r="J503" s="45"/>
      <c r="K503" s="42" t="s">
        <v>41</v>
      </c>
      <c r="L503" s="45"/>
      <c r="M503" s="45"/>
      <c r="N503" s="42" t="s">
        <v>8309</v>
      </c>
      <c r="O503" s="43"/>
      <c r="P503" s="43"/>
      <c r="Q503" s="43"/>
      <c r="R503" s="42" t="s">
        <v>3867</v>
      </c>
      <c r="S503" s="42" t="s">
        <v>3868</v>
      </c>
      <c r="T503" s="42" t="s">
        <v>3869</v>
      </c>
      <c r="U503" s="43"/>
      <c r="V503" s="42" t="s">
        <v>10344</v>
      </c>
      <c r="W503" s="43"/>
      <c r="X503" s="42" t="s">
        <v>4923</v>
      </c>
      <c r="Y503" s="41">
        <v>11.0</v>
      </c>
      <c r="Z503" s="48" t="s">
        <v>3559</v>
      </c>
    </row>
    <row r="504">
      <c r="A504" s="35" t="s">
        <v>8315</v>
      </c>
      <c r="B504" s="35" t="s">
        <v>8312</v>
      </c>
      <c r="C504" s="35" t="s">
        <v>8313</v>
      </c>
      <c r="D504" s="35" t="s">
        <v>552</v>
      </c>
      <c r="E504" s="35" t="s">
        <v>10011</v>
      </c>
      <c r="F504" s="35" t="s">
        <v>8319</v>
      </c>
      <c r="G504" s="34"/>
      <c r="H504" s="35" t="s">
        <v>8320</v>
      </c>
      <c r="I504" s="34"/>
      <c r="J504" s="32">
        <v>6964138.0</v>
      </c>
      <c r="K504" s="35" t="s">
        <v>41</v>
      </c>
      <c r="L504" s="37"/>
      <c r="M504" s="37"/>
      <c r="N504" s="34"/>
      <c r="O504" s="34"/>
      <c r="P504" s="34"/>
      <c r="Q504" s="34"/>
      <c r="R504" s="35" t="s">
        <v>3867</v>
      </c>
      <c r="S504" s="35" t="s">
        <v>3897</v>
      </c>
      <c r="T504" s="35" t="s">
        <v>3898</v>
      </c>
      <c r="U504" s="34"/>
      <c r="V504" s="35" t="s">
        <v>10374</v>
      </c>
      <c r="W504" s="34"/>
      <c r="X504" s="35" t="s">
        <v>4923</v>
      </c>
      <c r="Y504" s="32">
        <v>3.0</v>
      </c>
      <c r="Z504" s="40" t="s">
        <v>3559</v>
      </c>
    </row>
    <row r="505">
      <c r="A505" s="42" t="s">
        <v>8329</v>
      </c>
      <c r="B505" s="42" t="s">
        <v>8321</v>
      </c>
      <c r="C505" s="42" t="s">
        <v>8325</v>
      </c>
      <c r="D505" s="42" t="s">
        <v>298</v>
      </c>
      <c r="E505" s="42" t="s">
        <v>10011</v>
      </c>
      <c r="F505" s="42" t="s">
        <v>8337</v>
      </c>
      <c r="G505" s="42" t="s">
        <v>5386</v>
      </c>
      <c r="H505" s="42" t="s">
        <v>298</v>
      </c>
      <c r="I505" s="43"/>
      <c r="J505" s="41">
        <v>4250363.0</v>
      </c>
      <c r="K505" s="42" t="s">
        <v>41</v>
      </c>
      <c r="L505" s="45" t="str">
        <f>+972 (0)9 977 7888</f>
        <v>#ERROR!</v>
      </c>
      <c r="M505" s="45"/>
      <c r="N505" s="42" t="s">
        <v>8338</v>
      </c>
      <c r="O505" s="42" t="s">
        <v>8335</v>
      </c>
      <c r="P505" s="42" t="s">
        <v>8290</v>
      </c>
      <c r="Q505" s="43"/>
      <c r="R505" s="42" t="s">
        <v>3867</v>
      </c>
      <c r="S505" s="42" t="s">
        <v>4199</v>
      </c>
      <c r="T505" s="42" t="s">
        <v>4414</v>
      </c>
      <c r="U505" s="42" t="s">
        <v>8327</v>
      </c>
      <c r="V505" s="42" t="s">
        <v>10589</v>
      </c>
      <c r="W505" s="42" t="s">
        <v>8330</v>
      </c>
      <c r="X505" s="42" t="s">
        <v>6039</v>
      </c>
      <c r="Y505" s="41">
        <v>9.0</v>
      </c>
      <c r="Z505" s="48" t="s">
        <v>3559</v>
      </c>
    </row>
    <row r="506">
      <c r="A506" s="35" t="s">
        <v>8329</v>
      </c>
      <c r="B506" s="35" t="s">
        <v>8321</v>
      </c>
      <c r="C506" s="35" t="s">
        <v>8325</v>
      </c>
      <c r="D506" s="35" t="s">
        <v>10045</v>
      </c>
      <c r="E506" s="35" t="s">
        <v>10008</v>
      </c>
      <c r="F506" s="35" t="s">
        <v>10590</v>
      </c>
      <c r="G506" s="35" t="s">
        <v>10591</v>
      </c>
      <c r="H506" s="35" t="s">
        <v>10045</v>
      </c>
      <c r="I506" s="34"/>
      <c r="J506" s="32" t="s">
        <v>10592</v>
      </c>
      <c r="K506" s="35" t="s">
        <v>10028</v>
      </c>
      <c r="L506" s="37" t="str">
        <f>+81 (0)36 893 2890</f>
        <v>#ERROR!</v>
      </c>
      <c r="M506" s="37"/>
      <c r="N506" s="35" t="s">
        <v>10593</v>
      </c>
      <c r="O506" s="35" t="s">
        <v>8335</v>
      </c>
      <c r="P506" s="35" t="s">
        <v>8290</v>
      </c>
      <c r="Q506" s="34"/>
      <c r="R506" s="35" t="s">
        <v>3867</v>
      </c>
      <c r="S506" s="35" t="s">
        <v>4199</v>
      </c>
      <c r="T506" s="35" t="s">
        <v>4414</v>
      </c>
      <c r="U506" s="35" t="s">
        <v>8327</v>
      </c>
      <c r="V506" s="35" t="s">
        <v>10589</v>
      </c>
      <c r="W506" s="35" t="s">
        <v>8330</v>
      </c>
      <c r="X506" s="35" t="s">
        <v>6039</v>
      </c>
      <c r="Y506" s="32">
        <v>9.0</v>
      </c>
      <c r="Z506" s="40" t="s">
        <v>3559</v>
      </c>
    </row>
    <row r="507">
      <c r="A507" s="42" t="s">
        <v>8348</v>
      </c>
      <c r="B507" s="42" t="s">
        <v>2971</v>
      </c>
      <c r="C507" s="42" t="s">
        <v>8345</v>
      </c>
      <c r="D507" s="42" t="s">
        <v>7877</v>
      </c>
      <c r="E507" s="42" t="s">
        <v>10008</v>
      </c>
      <c r="F507" s="43"/>
      <c r="G507" s="43"/>
      <c r="H507" s="42" t="s">
        <v>7877</v>
      </c>
      <c r="I507" s="43"/>
      <c r="J507" s="45"/>
      <c r="K507" s="42" t="s">
        <v>41</v>
      </c>
      <c r="L507" s="45"/>
      <c r="M507" s="45"/>
      <c r="N507" s="43"/>
      <c r="O507" s="42" t="s">
        <v>8354</v>
      </c>
      <c r="P507" s="42" t="s">
        <v>4093</v>
      </c>
      <c r="Q507" s="43"/>
      <c r="R507" s="42" t="s">
        <v>3867</v>
      </c>
      <c r="S507" s="42" t="s">
        <v>4199</v>
      </c>
      <c r="T507" s="42" t="s">
        <v>4200</v>
      </c>
      <c r="U507" s="42" t="s">
        <v>8346</v>
      </c>
      <c r="V507" s="42" t="s">
        <v>4201</v>
      </c>
      <c r="W507" s="42" t="s">
        <v>5412</v>
      </c>
      <c r="X507" s="42" t="s">
        <v>5018</v>
      </c>
      <c r="Y507" s="41">
        <v>65.0</v>
      </c>
      <c r="Z507" s="48" t="s">
        <v>3559</v>
      </c>
    </row>
    <row r="508">
      <c r="A508" s="35" t="s">
        <v>8348</v>
      </c>
      <c r="B508" s="35" t="s">
        <v>2971</v>
      </c>
      <c r="C508" s="35" t="s">
        <v>8345</v>
      </c>
      <c r="D508" s="35" t="s">
        <v>246</v>
      </c>
      <c r="E508" s="35" t="s">
        <v>10011</v>
      </c>
      <c r="F508" s="35" t="s">
        <v>8355</v>
      </c>
      <c r="G508" s="34"/>
      <c r="H508" s="35" t="s">
        <v>246</v>
      </c>
      <c r="I508" s="34"/>
      <c r="J508" s="32">
        <v>71291.0</v>
      </c>
      <c r="K508" s="35" t="s">
        <v>41</v>
      </c>
      <c r="L508" s="37"/>
      <c r="M508" s="37"/>
      <c r="N508" s="34"/>
      <c r="O508" s="35" t="s">
        <v>8354</v>
      </c>
      <c r="P508" s="35" t="s">
        <v>4093</v>
      </c>
      <c r="Q508" s="34"/>
      <c r="R508" s="35" t="s">
        <v>3867</v>
      </c>
      <c r="S508" s="35" t="s">
        <v>4199</v>
      </c>
      <c r="T508" s="35" t="s">
        <v>4200</v>
      </c>
      <c r="U508" s="35" t="s">
        <v>8346</v>
      </c>
      <c r="V508" s="35" t="s">
        <v>4201</v>
      </c>
      <c r="W508" s="35" t="s">
        <v>5412</v>
      </c>
      <c r="X508" s="35" t="s">
        <v>5018</v>
      </c>
      <c r="Y508" s="32">
        <v>65.0</v>
      </c>
      <c r="Z508" s="40" t="s">
        <v>3559</v>
      </c>
    </row>
    <row r="509">
      <c r="A509" s="42" t="s">
        <v>8370</v>
      </c>
      <c r="B509" s="42" t="s">
        <v>8367</v>
      </c>
      <c r="C509" s="42" t="s">
        <v>8368</v>
      </c>
      <c r="D509" s="42" t="s">
        <v>75</v>
      </c>
      <c r="E509" s="42" t="s">
        <v>10011</v>
      </c>
      <c r="F509" s="43"/>
      <c r="G509" s="43"/>
      <c r="H509" s="42" t="s">
        <v>75</v>
      </c>
      <c r="I509" s="43"/>
      <c r="J509" s="45"/>
      <c r="K509" s="42" t="s">
        <v>41</v>
      </c>
      <c r="L509" s="45"/>
      <c r="M509" s="45"/>
      <c r="N509" s="43"/>
      <c r="O509" s="42" t="s">
        <v>8375</v>
      </c>
      <c r="P509" s="42" t="s">
        <v>8376</v>
      </c>
      <c r="Q509" s="43"/>
      <c r="R509" s="42" t="s">
        <v>4560</v>
      </c>
      <c r="S509" s="42" t="s">
        <v>4561</v>
      </c>
      <c r="T509" s="42" t="s">
        <v>66</v>
      </c>
      <c r="U509" s="43"/>
      <c r="V509" s="42" t="s">
        <v>4562</v>
      </c>
      <c r="W509" s="42" t="s">
        <v>3571</v>
      </c>
      <c r="X509" s="42" t="s">
        <v>4962</v>
      </c>
      <c r="Y509" s="41">
        <v>6.0</v>
      </c>
      <c r="Z509" s="48" t="s">
        <v>3559</v>
      </c>
    </row>
    <row r="510">
      <c r="A510" s="35" t="s">
        <v>8391</v>
      </c>
      <c r="B510" s="35" t="s">
        <v>8384</v>
      </c>
      <c r="C510" s="35" t="s">
        <v>8388</v>
      </c>
      <c r="D510" s="35" t="s">
        <v>10159</v>
      </c>
      <c r="E510" s="35" t="s">
        <v>10008</v>
      </c>
      <c r="F510" s="35" t="s">
        <v>10160</v>
      </c>
      <c r="G510" s="35" t="s">
        <v>10594</v>
      </c>
      <c r="H510" s="35" t="s">
        <v>10159</v>
      </c>
      <c r="I510" s="35" t="s">
        <v>816</v>
      </c>
      <c r="J510" s="32">
        <v>48304.0</v>
      </c>
      <c r="K510" s="35" t="s">
        <v>60</v>
      </c>
      <c r="L510" s="37" t="str">
        <f>+1 (248) 385-8781</f>
        <v>#ERROR!</v>
      </c>
      <c r="M510" s="37"/>
      <c r="N510" s="35" t="s">
        <v>8400</v>
      </c>
      <c r="O510" s="35" t="s">
        <v>8397</v>
      </c>
      <c r="P510" s="35" t="s">
        <v>4093</v>
      </c>
      <c r="Q510" s="34"/>
      <c r="R510" s="35" t="s">
        <v>3563</v>
      </c>
      <c r="S510" s="35" t="s">
        <v>3564</v>
      </c>
      <c r="T510" s="35" t="s">
        <v>3642</v>
      </c>
      <c r="U510" s="35" t="s">
        <v>8389</v>
      </c>
      <c r="V510" s="35" t="s">
        <v>10162</v>
      </c>
      <c r="W510" s="35" t="s">
        <v>3571</v>
      </c>
      <c r="X510" s="35" t="s">
        <v>5018</v>
      </c>
      <c r="Y510" s="32">
        <v>200.0</v>
      </c>
      <c r="Z510" s="40" t="s">
        <v>3559</v>
      </c>
    </row>
    <row r="511">
      <c r="A511" s="42" t="s">
        <v>8391</v>
      </c>
      <c r="B511" s="42" t="s">
        <v>8384</v>
      </c>
      <c r="C511" s="42" t="s">
        <v>8388</v>
      </c>
      <c r="D511" s="42" t="s">
        <v>10595</v>
      </c>
      <c r="E511" s="42" t="s">
        <v>10008</v>
      </c>
      <c r="F511" s="43"/>
      <c r="G511" s="43"/>
      <c r="H511" s="43"/>
      <c r="I511" s="43"/>
      <c r="J511" s="45"/>
      <c r="K511" s="42" t="s">
        <v>10595</v>
      </c>
      <c r="L511" s="45"/>
      <c r="M511" s="45"/>
      <c r="N511" s="42" t="s">
        <v>8400</v>
      </c>
      <c r="O511" s="42" t="s">
        <v>8397</v>
      </c>
      <c r="P511" s="42" t="s">
        <v>4093</v>
      </c>
      <c r="Q511" s="43"/>
      <c r="R511" s="42" t="s">
        <v>3563</v>
      </c>
      <c r="S511" s="42" t="s">
        <v>3564</v>
      </c>
      <c r="T511" s="42" t="s">
        <v>3642</v>
      </c>
      <c r="U511" s="42" t="s">
        <v>8389</v>
      </c>
      <c r="V511" s="42" t="s">
        <v>10162</v>
      </c>
      <c r="W511" s="42" t="s">
        <v>3571</v>
      </c>
      <c r="X511" s="42" t="s">
        <v>5018</v>
      </c>
      <c r="Y511" s="41">
        <v>200.0</v>
      </c>
      <c r="Z511" s="48" t="s">
        <v>3559</v>
      </c>
    </row>
    <row r="512">
      <c r="A512" s="35" t="s">
        <v>8391</v>
      </c>
      <c r="B512" s="35" t="s">
        <v>8384</v>
      </c>
      <c r="C512" s="35" t="s">
        <v>8388</v>
      </c>
      <c r="D512" s="35" t="s">
        <v>10596</v>
      </c>
      <c r="E512" s="35" t="s">
        <v>10008</v>
      </c>
      <c r="F512" s="35" t="s">
        <v>10597</v>
      </c>
      <c r="G512" s="35" t="s">
        <v>10036</v>
      </c>
      <c r="H512" s="35" t="s">
        <v>10596</v>
      </c>
      <c r="I512" s="35" t="s">
        <v>816</v>
      </c>
      <c r="J512" s="32">
        <v>48331.0</v>
      </c>
      <c r="K512" s="35" t="s">
        <v>60</v>
      </c>
      <c r="L512" s="37"/>
      <c r="M512" s="37"/>
      <c r="N512" s="35" t="s">
        <v>8400</v>
      </c>
      <c r="O512" s="35" t="s">
        <v>8397</v>
      </c>
      <c r="P512" s="35" t="s">
        <v>4093</v>
      </c>
      <c r="Q512" s="34"/>
      <c r="R512" s="35" t="s">
        <v>3563</v>
      </c>
      <c r="S512" s="35" t="s">
        <v>3564</v>
      </c>
      <c r="T512" s="35" t="s">
        <v>3642</v>
      </c>
      <c r="U512" s="35" t="s">
        <v>8389</v>
      </c>
      <c r="V512" s="35" t="s">
        <v>10162</v>
      </c>
      <c r="W512" s="35" t="s">
        <v>3571</v>
      </c>
      <c r="X512" s="35" t="s">
        <v>5018</v>
      </c>
      <c r="Y512" s="32">
        <v>200.0</v>
      </c>
      <c r="Z512" s="40" t="s">
        <v>3559</v>
      </c>
    </row>
    <row r="513">
      <c r="A513" s="42" t="s">
        <v>8391</v>
      </c>
      <c r="B513" s="42" t="s">
        <v>8384</v>
      </c>
      <c r="C513" s="42" t="s">
        <v>8388</v>
      </c>
      <c r="D513" s="42" t="s">
        <v>3209</v>
      </c>
      <c r="E513" s="42" t="s">
        <v>10008</v>
      </c>
      <c r="F513" s="43"/>
      <c r="G513" s="43"/>
      <c r="H513" s="43"/>
      <c r="I513" s="43"/>
      <c r="J513" s="45"/>
      <c r="K513" s="42" t="s">
        <v>3209</v>
      </c>
      <c r="L513" s="45"/>
      <c r="M513" s="45"/>
      <c r="N513" s="42" t="s">
        <v>8400</v>
      </c>
      <c r="O513" s="42" t="s">
        <v>8397</v>
      </c>
      <c r="P513" s="42" t="s">
        <v>4093</v>
      </c>
      <c r="Q513" s="43"/>
      <c r="R513" s="42" t="s">
        <v>3563</v>
      </c>
      <c r="S513" s="42" t="s">
        <v>3564</v>
      </c>
      <c r="T513" s="42" t="s">
        <v>3642</v>
      </c>
      <c r="U513" s="42" t="s">
        <v>8389</v>
      </c>
      <c r="V513" s="42" t="s">
        <v>10162</v>
      </c>
      <c r="W513" s="42" t="s">
        <v>3571</v>
      </c>
      <c r="X513" s="42" t="s">
        <v>5018</v>
      </c>
      <c r="Y513" s="41">
        <v>200.0</v>
      </c>
      <c r="Z513" s="48" t="s">
        <v>3559</v>
      </c>
    </row>
    <row r="514">
      <c r="A514" s="35" t="s">
        <v>8391</v>
      </c>
      <c r="B514" s="35" t="s">
        <v>8384</v>
      </c>
      <c r="C514" s="35" t="s">
        <v>8388</v>
      </c>
      <c r="D514" s="35" t="s">
        <v>485</v>
      </c>
      <c r="E514" s="35" t="s">
        <v>10008</v>
      </c>
      <c r="F514" s="35" t="s">
        <v>10598</v>
      </c>
      <c r="G514" s="34"/>
      <c r="H514" s="35" t="s">
        <v>485</v>
      </c>
      <c r="I514" s="34"/>
      <c r="J514" s="32">
        <v>33034.0</v>
      </c>
      <c r="K514" s="35" t="s">
        <v>41</v>
      </c>
      <c r="L514" s="37" t="str">
        <f>+972 (0)77 899 5100</f>
        <v>#ERROR!</v>
      </c>
      <c r="M514" s="37"/>
      <c r="N514" s="35" t="s">
        <v>8400</v>
      </c>
      <c r="O514" s="35" t="s">
        <v>8397</v>
      </c>
      <c r="P514" s="35" t="s">
        <v>4093</v>
      </c>
      <c r="Q514" s="34"/>
      <c r="R514" s="35" t="s">
        <v>3563</v>
      </c>
      <c r="S514" s="35" t="s">
        <v>3564</v>
      </c>
      <c r="T514" s="35" t="s">
        <v>3642</v>
      </c>
      <c r="U514" s="35" t="s">
        <v>8389</v>
      </c>
      <c r="V514" s="35" t="s">
        <v>10162</v>
      </c>
      <c r="W514" s="35" t="s">
        <v>3571</v>
      </c>
      <c r="X514" s="35" t="s">
        <v>5018</v>
      </c>
      <c r="Y514" s="32">
        <v>200.0</v>
      </c>
      <c r="Z514" s="40" t="s">
        <v>3559</v>
      </c>
    </row>
    <row r="515">
      <c r="A515" s="42" t="s">
        <v>8391</v>
      </c>
      <c r="B515" s="42" t="s">
        <v>8384</v>
      </c>
      <c r="C515" s="42" t="s">
        <v>8388</v>
      </c>
      <c r="D515" s="42" t="s">
        <v>10212</v>
      </c>
      <c r="E515" s="42" t="s">
        <v>10008</v>
      </c>
      <c r="F515" s="42" t="s">
        <v>10599</v>
      </c>
      <c r="G515" s="42" t="s">
        <v>10213</v>
      </c>
      <c r="H515" s="42" t="s">
        <v>10212</v>
      </c>
      <c r="I515" s="43"/>
      <c r="J515" s="41">
        <v>73230.0</v>
      </c>
      <c r="K515" s="42" t="s">
        <v>465</v>
      </c>
      <c r="L515" s="45" t="str">
        <f>+49 (0)70 2186 6899 9</f>
        <v>#ERROR!</v>
      </c>
      <c r="M515" s="45"/>
      <c r="N515" s="42" t="s">
        <v>8400</v>
      </c>
      <c r="O515" s="42" t="s">
        <v>8397</v>
      </c>
      <c r="P515" s="42" t="s">
        <v>4093</v>
      </c>
      <c r="Q515" s="43"/>
      <c r="R515" s="42" t="s">
        <v>3563</v>
      </c>
      <c r="S515" s="42" t="s">
        <v>3564</v>
      </c>
      <c r="T515" s="42" t="s">
        <v>3642</v>
      </c>
      <c r="U515" s="42" t="s">
        <v>8389</v>
      </c>
      <c r="V515" s="42" t="s">
        <v>10162</v>
      </c>
      <c r="W515" s="42" t="s">
        <v>3571</v>
      </c>
      <c r="X515" s="42" t="s">
        <v>5018</v>
      </c>
      <c r="Y515" s="41">
        <v>200.0</v>
      </c>
      <c r="Z515" s="48" t="s">
        <v>3559</v>
      </c>
    </row>
    <row r="516">
      <c r="A516" s="35" t="s">
        <v>8391</v>
      </c>
      <c r="B516" s="35" t="s">
        <v>8384</v>
      </c>
      <c r="C516" s="35" t="s">
        <v>8388</v>
      </c>
      <c r="D516" s="35" t="s">
        <v>10181</v>
      </c>
      <c r="E516" s="35" t="s">
        <v>10008</v>
      </c>
      <c r="F516" s="34"/>
      <c r="G516" s="34"/>
      <c r="H516" s="34"/>
      <c r="I516" s="34"/>
      <c r="J516" s="37"/>
      <c r="K516" s="35" t="s">
        <v>10181</v>
      </c>
      <c r="L516" s="37"/>
      <c r="M516" s="37"/>
      <c r="N516" s="35" t="s">
        <v>8400</v>
      </c>
      <c r="O516" s="35" t="s">
        <v>8397</v>
      </c>
      <c r="P516" s="35" t="s">
        <v>4093</v>
      </c>
      <c r="Q516" s="34"/>
      <c r="R516" s="35" t="s">
        <v>3563</v>
      </c>
      <c r="S516" s="35" t="s">
        <v>3564</v>
      </c>
      <c r="T516" s="35" t="s">
        <v>3642</v>
      </c>
      <c r="U516" s="35" t="s">
        <v>8389</v>
      </c>
      <c r="V516" s="35" t="s">
        <v>10162</v>
      </c>
      <c r="W516" s="35" t="s">
        <v>3571</v>
      </c>
      <c r="X516" s="35" t="s">
        <v>5018</v>
      </c>
      <c r="Y516" s="32">
        <v>200.0</v>
      </c>
      <c r="Z516" s="40" t="s">
        <v>3559</v>
      </c>
    </row>
    <row r="517">
      <c r="A517" s="42" t="s">
        <v>8391</v>
      </c>
      <c r="B517" s="42" t="s">
        <v>8384</v>
      </c>
      <c r="C517" s="42" t="s">
        <v>8388</v>
      </c>
      <c r="D517" s="42" t="s">
        <v>616</v>
      </c>
      <c r="E517" s="42" t="s">
        <v>10011</v>
      </c>
      <c r="F517" s="42" t="s">
        <v>8399</v>
      </c>
      <c r="G517" s="43"/>
      <c r="H517" s="42" t="s">
        <v>616</v>
      </c>
      <c r="I517" s="43"/>
      <c r="J517" s="41">
        <v>5252171.0</v>
      </c>
      <c r="K517" s="42" t="s">
        <v>41</v>
      </c>
      <c r="L517" s="45" t="str">
        <f>+972 (0)77 899 5100</f>
        <v>#ERROR!</v>
      </c>
      <c r="M517" s="45"/>
      <c r="N517" s="42" t="s">
        <v>8400</v>
      </c>
      <c r="O517" s="42" t="s">
        <v>8397</v>
      </c>
      <c r="P517" s="42" t="s">
        <v>4093</v>
      </c>
      <c r="Q517" s="43"/>
      <c r="R517" s="42" t="s">
        <v>3563</v>
      </c>
      <c r="S517" s="42" t="s">
        <v>3564</v>
      </c>
      <c r="T517" s="42" t="s">
        <v>3642</v>
      </c>
      <c r="U517" s="42" t="s">
        <v>8389</v>
      </c>
      <c r="V517" s="42" t="s">
        <v>10162</v>
      </c>
      <c r="W517" s="42" t="s">
        <v>3571</v>
      </c>
      <c r="X517" s="42" t="s">
        <v>5018</v>
      </c>
      <c r="Y517" s="41">
        <v>200.0</v>
      </c>
      <c r="Z517" s="48" t="s">
        <v>3559</v>
      </c>
    </row>
    <row r="518">
      <c r="A518" s="35" t="s">
        <v>8391</v>
      </c>
      <c r="B518" s="35" t="s">
        <v>8384</v>
      </c>
      <c r="C518" s="35" t="s">
        <v>8388</v>
      </c>
      <c r="D518" s="35" t="s">
        <v>10573</v>
      </c>
      <c r="E518" s="35" t="s">
        <v>10008</v>
      </c>
      <c r="F518" s="35" t="s">
        <v>10600</v>
      </c>
      <c r="G518" s="35" t="s">
        <v>10036</v>
      </c>
      <c r="H518" s="35" t="s">
        <v>10573</v>
      </c>
      <c r="I518" s="35" t="s">
        <v>1431</v>
      </c>
      <c r="J518" s="32">
        <v>94063.0</v>
      </c>
      <c r="K518" s="35" t="s">
        <v>60</v>
      </c>
      <c r="L518" s="37" t="str">
        <f>+1 (650) 283-4402</f>
        <v>#ERROR!</v>
      </c>
      <c r="M518" s="37"/>
      <c r="N518" s="35" t="s">
        <v>8400</v>
      </c>
      <c r="O518" s="35" t="s">
        <v>8397</v>
      </c>
      <c r="P518" s="35" t="s">
        <v>4093</v>
      </c>
      <c r="Q518" s="34"/>
      <c r="R518" s="35" t="s">
        <v>3563</v>
      </c>
      <c r="S518" s="35" t="s">
        <v>3564</v>
      </c>
      <c r="T518" s="35" t="s">
        <v>3642</v>
      </c>
      <c r="U518" s="35" t="s">
        <v>8389</v>
      </c>
      <c r="V518" s="35" t="s">
        <v>10162</v>
      </c>
      <c r="W518" s="35" t="s">
        <v>3571</v>
      </c>
      <c r="X518" s="35" t="s">
        <v>5018</v>
      </c>
      <c r="Y518" s="32">
        <v>200.0</v>
      </c>
      <c r="Z518" s="40" t="s">
        <v>3559</v>
      </c>
    </row>
    <row r="519">
      <c r="A519" s="42" t="s">
        <v>8391</v>
      </c>
      <c r="B519" s="42" t="s">
        <v>8384</v>
      </c>
      <c r="C519" s="42" t="s">
        <v>8388</v>
      </c>
      <c r="D519" s="42" t="s">
        <v>10601</v>
      </c>
      <c r="E519" s="42" t="s">
        <v>10008</v>
      </c>
      <c r="F519" s="42" t="s">
        <v>10602</v>
      </c>
      <c r="G519" s="42" t="s">
        <v>10603</v>
      </c>
      <c r="H519" s="42" t="s">
        <v>10601</v>
      </c>
      <c r="I519" s="43"/>
      <c r="J519" s="41">
        <v>13524.0</v>
      </c>
      <c r="K519" s="42" t="s">
        <v>10146</v>
      </c>
      <c r="L519" s="45"/>
      <c r="M519" s="45"/>
      <c r="N519" s="42" t="s">
        <v>8400</v>
      </c>
      <c r="O519" s="42" t="s">
        <v>8397</v>
      </c>
      <c r="P519" s="42" t="s">
        <v>4093</v>
      </c>
      <c r="Q519" s="43"/>
      <c r="R519" s="42" t="s">
        <v>3563</v>
      </c>
      <c r="S519" s="42" t="s">
        <v>3564</v>
      </c>
      <c r="T519" s="42" t="s">
        <v>3642</v>
      </c>
      <c r="U519" s="42" t="s">
        <v>8389</v>
      </c>
      <c r="V519" s="42" t="s">
        <v>10162</v>
      </c>
      <c r="W519" s="42" t="s">
        <v>3571</v>
      </c>
      <c r="X519" s="42" t="s">
        <v>5018</v>
      </c>
      <c r="Y519" s="41">
        <v>200.0</v>
      </c>
      <c r="Z519" s="48" t="s">
        <v>3559</v>
      </c>
    </row>
    <row r="520">
      <c r="A520" s="35" t="s">
        <v>8391</v>
      </c>
      <c r="B520" s="35" t="s">
        <v>8384</v>
      </c>
      <c r="C520" s="35" t="s">
        <v>8388</v>
      </c>
      <c r="D520" s="35" t="s">
        <v>10604</v>
      </c>
      <c r="E520" s="35" t="s">
        <v>10008</v>
      </c>
      <c r="F520" s="35" t="s">
        <v>10605</v>
      </c>
      <c r="G520" s="35" t="s">
        <v>10606</v>
      </c>
      <c r="H520" s="35" t="s">
        <v>10604</v>
      </c>
      <c r="I520" s="34"/>
      <c r="J520" s="32">
        <v>70565.0</v>
      </c>
      <c r="K520" s="35" t="s">
        <v>465</v>
      </c>
      <c r="L520" s="37" t="str">
        <f>+49 (0)17 3481 1565</f>
        <v>#ERROR!</v>
      </c>
      <c r="M520" s="37"/>
      <c r="N520" s="35" t="s">
        <v>8400</v>
      </c>
      <c r="O520" s="35" t="s">
        <v>8397</v>
      </c>
      <c r="P520" s="35" t="s">
        <v>4093</v>
      </c>
      <c r="Q520" s="34"/>
      <c r="R520" s="35" t="s">
        <v>3563</v>
      </c>
      <c r="S520" s="35" t="s">
        <v>3564</v>
      </c>
      <c r="T520" s="35" t="s">
        <v>3642</v>
      </c>
      <c r="U520" s="35" t="s">
        <v>8389</v>
      </c>
      <c r="V520" s="35" t="s">
        <v>10162</v>
      </c>
      <c r="W520" s="35" t="s">
        <v>3571</v>
      </c>
      <c r="X520" s="35" t="s">
        <v>5018</v>
      </c>
      <c r="Y520" s="32">
        <v>200.0</v>
      </c>
      <c r="Z520" s="40" t="s">
        <v>3559</v>
      </c>
    </row>
    <row r="521">
      <c r="A521" s="42" t="s">
        <v>8391</v>
      </c>
      <c r="B521" s="42" t="s">
        <v>8384</v>
      </c>
      <c r="C521" s="42" t="s">
        <v>8388</v>
      </c>
      <c r="D521" s="42" t="s">
        <v>10045</v>
      </c>
      <c r="E521" s="42" t="s">
        <v>10008</v>
      </c>
      <c r="F521" s="42" t="s">
        <v>10607</v>
      </c>
      <c r="G521" s="42" t="s">
        <v>10608</v>
      </c>
      <c r="H521" s="42" t="s">
        <v>10045</v>
      </c>
      <c r="I521" s="43"/>
      <c r="J521" s="41" t="s">
        <v>10609</v>
      </c>
      <c r="K521" s="42" t="s">
        <v>10028</v>
      </c>
      <c r="L521" s="45" t="str">
        <f>+81 (0)33 588 0133</f>
        <v>#ERROR!</v>
      </c>
      <c r="M521" s="45"/>
      <c r="N521" s="42" t="s">
        <v>8400</v>
      </c>
      <c r="O521" s="42" t="s">
        <v>8397</v>
      </c>
      <c r="P521" s="42" t="s">
        <v>4093</v>
      </c>
      <c r="Q521" s="43"/>
      <c r="R521" s="42" t="s">
        <v>3563</v>
      </c>
      <c r="S521" s="42" t="s">
        <v>3564</v>
      </c>
      <c r="T521" s="42" t="s">
        <v>3642</v>
      </c>
      <c r="U521" s="42" t="s">
        <v>8389</v>
      </c>
      <c r="V521" s="42" t="s">
        <v>10162</v>
      </c>
      <c r="W521" s="42" t="s">
        <v>3571</v>
      </c>
      <c r="X521" s="42" t="s">
        <v>5018</v>
      </c>
      <c r="Y521" s="41">
        <v>200.0</v>
      </c>
      <c r="Z521" s="48" t="s">
        <v>3559</v>
      </c>
    </row>
    <row r="522">
      <c r="A522" s="35" t="s">
        <v>8410</v>
      </c>
      <c r="B522" s="35" t="s">
        <v>8407</v>
      </c>
      <c r="C522" s="35" t="s">
        <v>8409</v>
      </c>
      <c r="D522" s="35" t="s">
        <v>8417</v>
      </c>
      <c r="E522" s="35" t="s">
        <v>10011</v>
      </c>
      <c r="F522" s="34"/>
      <c r="G522" s="34"/>
      <c r="H522" s="35" t="s">
        <v>8417</v>
      </c>
      <c r="I522" s="34"/>
      <c r="J522" s="32">
        <v>1066.0</v>
      </c>
      <c r="K522" s="35" t="s">
        <v>41</v>
      </c>
      <c r="L522" s="37"/>
      <c r="M522" s="37"/>
      <c r="N522" s="34"/>
      <c r="O522" s="35" t="s">
        <v>8415</v>
      </c>
      <c r="P522" s="35" t="s">
        <v>3579</v>
      </c>
      <c r="Q522" s="34"/>
      <c r="R522" s="35" t="s">
        <v>4560</v>
      </c>
      <c r="S522" s="35" t="s">
        <v>4561</v>
      </c>
      <c r="T522" s="35" t="s">
        <v>66</v>
      </c>
      <c r="U522" s="34"/>
      <c r="V522" s="35" t="s">
        <v>4562</v>
      </c>
      <c r="W522" s="34"/>
      <c r="X522" s="35" t="s">
        <v>4923</v>
      </c>
      <c r="Y522" s="32">
        <v>4.0</v>
      </c>
      <c r="Z522" s="40" t="s">
        <v>3559</v>
      </c>
    </row>
    <row r="523">
      <c r="A523" s="42" t="s">
        <v>8429</v>
      </c>
      <c r="B523" s="42" t="s">
        <v>8421</v>
      </c>
      <c r="C523" s="42" t="s">
        <v>8426</v>
      </c>
      <c r="D523" s="42" t="s">
        <v>10143</v>
      </c>
      <c r="E523" s="42" t="s">
        <v>10011</v>
      </c>
      <c r="F523" s="42" t="s">
        <v>8433</v>
      </c>
      <c r="G523" s="43"/>
      <c r="H523" s="42" t="s">
        <v>1928</v>
      </c>
      <c r="I523" s="43"/>
      <c r="J523" s="41">
        <v>48091.0</v>
      </c>
      <c r="K523" s="42" t="s">
        <v>41</v>
      </c>
      <c r="L523" s="45"/>
      <c r="M523" s="45"/>
      <c r="N523" s="43"/>
      <c r="O523" s="43"/>
      <c r="P523" s="43"/>
      <c r="Q523" s="43"/>
      <c r="R523" s="42" t="s">
        <v>3563</v>
      </c>
      <c r="S523" s="42" t="s">
        <v>3564</v>
      </c>
      <c r="T523" s="42" t="s">
        <v>3565</v>
      </c>
      <c r="U523" s="42" t="s">
        <v>8427</v>
      </c>
      <c r="V523" s="42" t="s">
        <v>10203</v>
      </c>
      <c r="W523" s="42" t="s">
        <v>5750</v>
      </c>
      <c r="X523" s="42" t="s">
        <v>4962</v>
      </c>
      <c r="Y523" s="41">
        <v>724.0</v>
      </c>
      <c r="Z523" s="48" t="s">
        <v>3559</v>
      </c>
    </row>
    <row r="524">
      <c r="A524" s="35" t="s">
        <v>8449</v>
      </c>
      <c r="B524" s="35" t="s">
        <v>8444</v>
      </c>
      <c r="C524" s="35" t="s">
        <v>8445</v>
      </c>
      <c r="D524" s="35" t="s">
        <v>75</v>
      </c>
      <c r="E524" s="35" t="s">
        <v>10011</v>
      </c>
      <c r="F524" s="35" t="s">
        <v>8452</v>
      </c>
      <c r="G524" s="34"/>
      <c r="H524" s="35" t="s">
        <v>75</v>
      </c>
      <c r="I524" s="34"/>
      <c r="J524" s="37"/>
      <c r="K524" s="35" t="s">
        <v>41</v>
      </c>
      <c r="L524" s="37"/>
      <c r="M524" s="37"/>
      <c r="N524" s="34"/>
      <c r="O524" s="34"/>
      <c r="P524" s="34"/>
      <c r="Q524" s="34"/>
      <c r="R524" s="35" t="s">
        <v>4560</v>
      </c>
      <c r="S524" s="35" t="s">
        <v>4561</v>
      </c>
      <c r="T524" s="35" t="s">
        <v>5511</v>
      </c>
      <c r="U524" s="35" t="s">
        <v>8447</v>
      </c>
      <c r="V524" s="35" t="s">
        <v>10610</v>
      </c>
      <c r="W524" s="35" t="s">
        <v>5222</v>
      </c>
      <c r="X524" s="35" t="s">
        <v>5481</v>
      </c>
      <c r="Y524" s="37"/>
      <c r="Z524" s="40" t="s">
        <v>3559</v>
      </c>
    </row>
    <row r="525">
      <c r="A525" s="42" t="s">
        <v>8462</v>
      </c>
      <c r="B525" s="42" t="s">
        <v>8456</v>
      </c>
      <c r="C525" s="42" t="s">
        <v>8458</v>
      </c>
      <c r="D525" s="42" t="s">
        <v>75</v>
      </c>
      <c r="E525" s="42" t="s">
        <v>10011</v>
      </c>
      <c r="F525" s="42" t="s">
        <v>8465</v>
      </c>
      <c r="G525" s="43"/>
      <c r="H525" s="42" t="s">
        <v>75</v>
      </c>
      <c r="I525" s="43"/>
      <c r="J525" s="45"/>
      <c r="K525" s="42" t="s">
        <v>41</v>
      </c>
      <c r="L525" s="45"/>
      <c r="M525" s="45"/>
      <c r="N525" s="43"/>
      <c r="O525" s="43"/>
      <c r="P525" s="43"/>
      <c r="Q525" s="43"/>
      <c r="R525" s="42" t="s">
        <v>30</v>
      </c>
      <c r="S525" s="42" t="s">
        <v>8030</v>
      </c>
      <c r="T525" s="42" t="s">
        <v>8031</v>
      </c>
      <c r="U525" s="42" t="s">
        <v>8460</v>
      </c>
      <c r="V525" s="42" t="s">
        <v>10611</v>
      </c>
      <c r="W525" s="42" t="s">
        <v>5222</v>
      </c>
      <c r="X525" s="42" t="s">
        <v>5481</v>
      </c>
      <c r="Y525" s="41">
        <v>5.0</v>
      </c>
      <c r="Z525" s="48" t="s">
        <v>3559</v>
      </c>
    </row>
    <row r="526">
      <c r="A526" s="35" t="s">
        <v>8476</v>
      </c>
      <c r="B526" s="35" t="s">
        <v>8471</v>
      </c>
      <c r="C526" s="35" t="s">
        <v>8473</v>
      </c>
      <c r="D526" s="35" t="s">
        <v>75</v>
      </c>
      <c r="E526" s="35" t="s">
        <v>10011</v>
      </c>
      <c r="F526" s="35" t="s">
        <v>8483</v>
      </c>
      <c r="G526" s="34"/>
      <c r="H526" s="35" t="s">
        <v>75</v>
      </c>
      <c r="I526" s="34"/>
      <c r="J526" s="32">
        <v>6578202.0</v>
      </c>
      <c r="K526" s="35" t="s">
        <v>41</v>
      </c>
      <c r="L526" s="37" t="str">
        <f>+972 (0)50 949 4955</f>
        <v>#ERROR!</v>
      </c>
      <c r="M526" s="37"/>
      <c r="N526" s="35" t="s">
        <v>8484</v>
      </c>
      <c r="O526" s="35" t="s">
        <v>8481</v>
      </c>
      <c r="P526" s="35" t="s">
        <v>3579</v>
      </c>
      <c r="Q526" s="34"/>
      <c r="R526" s="35" t="s">
        <v>4560</v>
      </c>
      <c r="S526" s="35" t="s">
        <v>4561</v>
      </c>
      <c r="T526" s="35" t="s">
        <v>66</v>
      </c>
      <c r="U526" s="35" t="s">
        <v>5219</v>
      </c>
      <c r="V526" s="35" t="s">
        <v>10612</v>
      </c>
      <c r="W526" s="35" t="s">
        <v>3571</v>
      </c>
      <c r="X526" s="35" t="s">
        <v>3569</v>
      </c>
      <c r="Y526" s="32">
        <v>24.0</v>
      </c>
      <c r="Z526" s="40" t="s">
        <v>3559</v>
      </c>
    </row>
    <row r="527">
      <c r="A527" s="42" t="s">
        <v>8497</v>
      </c>
      <c r="B527" s="42" t="s">
        <v>8491</v>
      </c>
      <c r="C527" s="42" t="s">
        <v>8493</v>
      </c>
      <c r="D527" s="42" t="s">
        <v>298</v>
      </c>
      <c r="E527" s="42" t="s">
        <v>10011</v>
      </c>
      <c r="F527" s="42" t="s">
        <v>8503</v>
      </c>
      <c r="G527" s="43"/>
      <c r="H527" s="42" t="s">
        <v>298</v>
      </c>
      <c r="I527" s="43"/>
      <c r="J527" s="41">
        <v>5801427.0</v>
      </c>
      <c r="K527" s="42" t="s">
        <v>41</v>
      </c>
      <c r="L527" s="45"/>
      <c r="M527" s="45"/>
      <c r="N527" s="42" t="s">
        <v>659</v>
      </c>
      <c r="O527" s="42" t="s">
        <v>8502</v>
      </c>
      <c r="P527" s="42" t="s">
        <v>3579</v>
      </c>
      <c r="Q527" s="43"/>
      <c r="R527" s="42" t="s">
        <v>3563</v>
      </c>
      <c r="S527" s="42" t="s">
        <v>3609</v>
      </c>
      <c r="T527" s="42" t="s">
        <v>3610</v>
      </c>
      <c r="U527" s="42" t="s">
        <v>8495</v>
      </c>
      <c r="V527" s="42" t="s">
        <v>10613</v>
      </c>
      <c r="W527" s="42" t="s">
        <v>3571</v>
      </c>
      <c r="X527" s="42" t="s">
        <v>4962</v>
      </c>
      <c r="Y527" s="41">
        <v>15.0</v>
      </c>
      <c r="Z527" s="48" t="s">
        <v>3559</v>
      </c>
    </row>
    <row r="528">
      <c r="A528" s="35" t="s">
        <v>8515</v>
      </c>
      <c r="B528" s="35" t="s">
        <v>2959</v>
      </c>
      <c r="C528" s="35" t="s">
        <v>8512</v>
      </c>
      <c r="D528" s="35" t="s">
        <v>828</v>
      </c>
      <c r="E528" s="35" t="s">
        <v>10011</v>
      </c>
      <c r="F528" s="35" t="s">
        <v>8524</v>
      </c>
      <c r="G528" s="34"/>
      <c r="H528" s="35" t="s">
        <v>828</v>
      </c>
      <c r="I528" s="34"/>
      <c r="J528" s="32">
        <v>4366517.0</v>
      </c>
      <c r="K528" s="35" t="s">
        <v>41</v>
      </c>
      <c r="L528" s="37" t="str">
        <f>+972 (0)9 957 7706</f>
        <v>#ERROR!</v>
      </c>
      <c r="M528" s="37"/>
      <c r="N528" s="35" t="s">
        <v>2967</v>
      </c>
      <c r="O528" s="35" t="s">
        <v>8522</v>
      </c>
      <c r="P528" s="35" t="s">
        <v>7151</v>
      </c>
      <c r="Q528" s="34"/>
      <c r="R528" s="35" t="s">
        <v>3563</v>
      </c>
      <c r="S528" s="35" t="s">
        <v>3609</v>
      </c>
      <c r="T528" s="35" t="s">
        <v>3610</v>
      </c>
      <c r="U528" s="35" t="s">
        <v>5451</v>
      </c>
      <c r="V528" s="35" t="s">
        <v>10614</v>
      </c>
      <c r="W528" s="35" t="s">
        <v>5412</v>
      </c>
      <c r="X528" s="35" t="s">
        <v>5018</v>
      </c>
      <c r="Y528" s="32">
        <v>47.0</v>
      </c>
      <c r="Z528" s="40" t="s">
        <v>3559</v>
      </c>
    </row>
    <row r="529">
      <c r="A529" s="42" t="s">
        <v>8541</v>
      </c>
      <c r="B529" s="42" t="s">
        <v>8534</v>
      </c>
      <c r="C529" s="42" t="s">
        <v>8536</v>
      </c>
      <c r="D529" s="42" t="s">
        <v>75</v>
      </c>
      <c r="E529" s="42" t="s">
        <v>10011</v>
      </c>
      <c r="F529" s="42" t="s">
        <v>5079</v>
      </c>
      <c r="G529" s="43"/>
      <c r="H529" s="42" t="s">
        <v>75</v>
      </c>
      <c r="I529" s="43"/>
      <c r="J529" s="45"/>
      <c r="K529" s="42" t="s">
        <v>41</v>
      </c>
      <c r="L529" s="45" t="str">
        <f>+972 (0)51 562 5135</f>
        <v>#ERROR!</v>
      </c>
      <c r="M529" s="45"/>
      <c r="N529" s="42" t="s">
        <v>8548</v>
      </c>
      <c r="O529" s="42" t="s">
        <v>8546</v>
      </c>
      <c r="P529" s="42" t="s">
        <v>4397</v>
      </c>
      <c r="Q529" s="43"/>
      <c r="R529" s="42" t="s">
        <v>3867</v>
      </c>
      <c r="S529" s="42" t="s">
        <v>4199</v>
      </c>
      <c r="T529" s="42" t="s">
        <v>8537</v>
      </c>
      <c r="U529" s="42" t="s">
        <v>8539</v>
      </c>
      <c r="V529" s="42" t="s">
        <v>10615</v>
      </c>
      <c r="W529" s="42" t="s">
        <v>3571</v>
      </c>
      <c r="X529" s="42" t="s">
        <v>4923</v>
      </c>
      <c r="Y529" s="41">
        <v>6.0</v>
      </c>
      <c r="Z529" s="48" t="s">
        <v>3559</v>
      </c>
    </row>
    <row r="530">
      <c r="A530" s="35" t="s">
        <v>8554</v>
      </c>
      <c r="B530" s="35" t="s">
        <v>10616</v>
      </c>
      <c r="C530" s="35" t="s">
        <v>8552</v>
      </c>
      <c r="D530" s="35" t="s">
        <v>1397</v>
      </c>
      <c r="E530" s="35" t="s">
        <v>10011</v>
      </c>
      <c r="F530" s="35" t="s">
        <v>8563</v>
      </c>
      <c r="G530" s="34"/>
      <c r="H530" s="35" t="s">
        <v>1397</v>
      </c>
      <c r="I530" s="34"/>
      <c r="J530" s="32">
        <v>8488999.0</v>
      </c>
      <c r="K530" s="35" t="s">
        <v>41</v>
      </c>
      <c r="L530" s="37" t="str">
        <f>+972 (0)8 952 1000</f>
        <v>#ERROR!</v>
      </c>
      <c r="M530" s="37" t="str">
        <f>+972 (0)8 952 1019</f>
        <v>#ERROR!</v>
      </c>
      <c r="N530" s="35" t="s">
        <v>8564</v>
      </c>
      <c r="O530" s="35" t="s">
        <v>8560</v>
      </c>
      <c r="P530" s="35" t="s">
        <v>4093</v>
      </c>
      <c r="Q530" s="34"/>
      <c r="R530" s="35" t="s">
        <v>3867</v>
      </c>
      <c r="S530" s="35" t="s">
        <v>4199</v>
      </c>
      <c r="T530" s="35" t="s">
        <v>4984</v>
      </c>
      <c r="U530" s="35" t="s">
        <v>7441</v>
      </c>
      <c r="V530" s="35" t="s">
        <v>10287</v>
      </c>
      <c r="W530" s="35" t="s">
        <v>5750</v>
      </c>
      <c r="X530" s="35" t="s">
        <v>5075</v>
      </c>
      <c r="Y530" s="32">
        <v>825.0</v>
      </c>
      <c r="Z530" s="40" t="s">
        <v>3559</v>
      </c>
    </row>
    <row r="531">
      <c r="A531" s="42" t="s">
        <v>8575</v>
      </c>
      <c r="B531" s="42" t="s">
        <v>8570</v>
      </c>
      <c r="C531" s="42" t="s">
        <v>8571</v>
      </c>
      <c r="D531" s="42" t="s">
        <v>8582</v>
      </c>
      <c r="E531" s="42" t="s">
        <v>10011</v>
      </c>
      <c r="F531" s="42" t="s">
        <v>8581</v>
      </c>
      <c r="G531" s="43"/>
      <c r="H531" s="42" t="s">
        <v>8582</v>
      </c>
      <c r="I531" s="43"/>
      <c r="J531" s="45"/>
      <c r="K531" s="42" t="s">
        <v>41</v>
      </c>
      <c r="L531" s="45"/>
      <c r="M531" s="45"/>
      <c r="N531" s="42" t="s">
        <v>8583</v>
      </c>
      <c r="O531" s="42" t="s">
        <v>8579</v>
      </c>
      <c r="P531" s="42" t="s">
        <v>3579</v>
      </c>
      <c r="Q531" s="43"/>
      <c r="R531" s="42" t="s">
        <v>4560</v>
      </c>
      <c r="S531" s="42" t="s">
        <v>6034</v>
      </c>
      <c r="T531" s="42" t="s">
        <v>6035</v>
      </c>
      <c r="U531" s="42" t="s">
        <v>8573</v>
      </c>
      <c r="V531" s="42" t="s">
        <v>10617</v>
      </c>
      <c r="W531" s="42" t="s">
        <v>3571</v>
      </c>
      <c r="X531" s="42" t="s">
        <v>3569</v>
      </c>
      <c r="Y531" s="41">
        <v>2.0</v>
      </c>
      <c r="Z531" s="48" t="s">
        <v>3559</v>
      </c>
    </row>
    <row r="532">
      <c r="A532" s="35" t="s">
        <v>8595</v>
      </c>
      <c r="B532" s="35" t="s">
        <v>1157</v>
      </c>
      <c r="C532" s="35" t="s">
        <v>8592</v>
      </c>
      <c r="D532" s="35" t="s">
        <v>880</v>
      </c>
      <c r="E532" s="35" t="s">
        <v>10008</v>
      </c>
      <c r="F532" s="34"/>
      <c r="G532" s="34"/>
      <c r="H532" s="35" t="s">
        <v>880</v>
      </c>
      <c r="I532" s="35" t="s">
        <v>881</v>
      </c>
      <c r="J532" s="37"/>
      <c r="K532" s="35" t="s">
        <v>60</v>
      </c>
      <c r="L532" s="37"/>
      <c r="M532" s="37"/>
      <c r="N532" s="35" t="s">
        <v>1163</v>
      </c>
      <c r="O532" s="35" t="s">
        <v>8602</v>
      </c>
      <c r="P532" s="35" t="s">
        <v>8603</v>
      </c>
      <c r="Q532" s="34"/>
      <c r="R532" s="35" t="s">
        <v>3867</v>
      </c>
      <c r="S532" s="35" t="s">
        <v>3868</v>
      </c>
      <c r="T532" s="35" t="s">
        <v>3869</v>
      </c>
      <c r="U532" s="35" t="s">
        <v>8593</v>
      </c>
      <c r="V532" s="35" t="s">
        <v>4024</v>
      </c>
      <c r="W532" s="35" t="s">
        <v>5412</v>
      </c>
      <c r="X532" s="35" t="s">
        <v>5018</v>
      </c>
      <c r="Y532" s="32">
        <v>211.0</v>
      </c>
      <c r="Z532" s="40" t="s">
        <v>3559</v>
      </c>
    </row>
    <row r="533">
      <c r="A533" s="42" t="s">
        <v>8595</v>
      </c>
      <c r="B533" s="42" t="s">
        <v>1157</v>
      </c>
      <c r="C533" s="42" t="s">
        <v>8592</v>
      </c>
      <c r="D533" s="42" t="s">
        <v>75</v>
      </c>
      <c r="E533" s="42" t="s">
        <v>10011</v>
      </c>
      <c r="F533" s="42" t="s">
        <v>8604</v>
      </c>
      <c r="G533" s="43"/>
      <c r="H533" s="42" t="s">
        <v>75</v>
      </c>
      <c r="I533" s="43"/>
      <c r="J533" s="41">
        <v>4690500.0</v>
      </c>
      <c r="K533" s="42" t="s">
        <v>41</v>
      </c>
      <c r="L533" s="45"/>
      <c r="M533" s="45"/>
      <c r="N533" s="42" t="s">
        <v>1163</v>
      </c>
      <c r="O533" s="42" t="s">
        <v>8602</v>
      </c>
      <c r="P533" s="42" t="s">
        <v>8603</v>
      </c>
      <c r="Q533" s="43"/>
      <c r="R533" s="42" t="s">
        <v>3867</v>
      </c>
      <c r="S533" s="42" t="s">
        <v>3868</v>
      </c>
      <c r="T533" s="42" t="s">
        <v>3869</v>
      </c>
      <c r="U533" s="42" t="s">
        <v>8593</v>
      </c>
      <c r="V533" s="42" t="s">
        <v>4024</v>
      </c>
      <c r="W533" s="42" t="s">
        <v>5412</v>
      </c>
      <c r="X533" s="42" t="s">
        <v>5018</v>
      </c>
      <c r="Y533" s="41">
        <v>211.0</v>
      </c>
      <c r="Z533" s="48" t="s">
        <v>3559</v>
      </c>
    </row>
    <row r="534">
      <c r="A534" s="35" t="s">
        <v>8624</v>
      </c>
      <c r="B534" s="35" t="s">
        <v>8616</v>
      </c>
      <c r="C534" s="35" t="s">
        <v>8620</v>
      </c>
      <c r="D534" s="35" t="s">
        <v>10618</v>
      </c>
      <c r="E534" s="35" t="s">
        <v>10008</v>
      </c>
      <c r="F534" s="34"/>
      <c r="G534" s="34"/>
      <c r="H534" s="35" t="s">
        <v>10618</v>
      </c>
      <c r="I534" s="34"/>
      <c r="J534" s="37"/>
      <c r="K534" s="35" t="s">
        <v>10619</v>
      </c>
      <c r="L534" s="37"/>
      <c r="M534" s="37"/>
      <c r="N534" s="35" t="s">
        <v>8634</v>
      </c>
      <c r="O534" s="35" t="s">
        <v>8631</v>
      </c>
      <c r="P534" s="35" t="s">
        <v>8632</v>
      </c>
      <c r="Q534" s="34"/>
      <c r="R534" s="35" t="s">
        <v>3867</v>
      </c>
      <c r="S534" s="35" t="s">
        <v>7065</v>
      </c>
      <c r="T534" s="35" t="s">
        <v>7065</v>
      </c>
      <c r="U534" s="35" t="s">
        <v>8622</v>
      </c>
      <c r="V534" s="35" t="s">
        <v>10620</v>
      </c>
      <c r="W534" s="35" t="s">
        <v>3571</v>
      </c>
      <c r="X534" s="35" t="s">
        <v>5145</v>
      </c>
      <c r="Y534" s="32">
        <v>25.0</v>
      </c>
      <c r="Z534" s="40" t="s">
        <v>3559</v>
      </c>
    </row>
    <row r="535">
      <c r="A535" s="42" t="s">
        <v>8624</v>
      </c>
      <c r="B535" s="42" t="s">
        <v>8616</v>
      </c>
      <c r="C535" s="42" t="s">
        <v>8620</v>
      </c>
      <c r="D535" s="42" t="s">
        <v>10621</v>
      </c>
      <c r="E535" s="42" t="s">
        <v>10008</v>
      </c>
      <c r="F535" s="43"/>
      <c r="G535" s="43"/>
      <c r="H535" s="43"/>
      <c r="I535" s="42" t="s">
        <v>10076</v>
      </c>
      <c r="J535" s="45"/>
      <c r="K535" s="42" t="s">
        <v>60</v>
      </c>
      <c r="L535" s="45"/>
      <c r="M535" s="45"/>
      <c r="N535" s="42" t="s">
        <v>8634</v>
      </c>
      <c r="O535" s="42" t="s">
        <v>8631</v>
      </c>
      <c r="P535" s="42" t="s">
        <v>8632</v>
      </c>
      <c r="Q535" s="43"/>
      <c r="R535" s="42" t="s">
        <v>3867</v>
      </c>
      <c r="S535" s="42" t="s">
        <v>7065</v>
      </c>
      <c r="T535" s="42" t="s">
        <v>7065</v>
      </c>
      <c r="U535" s="42" t="s">
        <v>8622</v>
      </c>
      <c r="V535" s="42" t="s">
        <v>10620</v>
      </c>
      <c r="W535" s="42" t="s">
        <v>3571</v>
      </c>
      <c r="X535" s="42" t="s">
        <v>5145</v>
      </c>
      <c r="Y535" s="41">
        <v>25.0</v>
      </c>
      <c r="Z535" s="48" t="s">
        <v>3559</v>
      </c>
    </row>
    <row r="536">
      <c r="A536" s="35" t="s">
        <v>8624</v>
      </c>
      <c r="B536" s="35" t="s">
        <v>8616</v>
      </c>
      <c r="C536" s="35" t="s">
        <v>8620</v>
      </c>
      <c r="D536" s="35" t="s">
        <v>10622</v>
      </c>
      <c r="E536" s="35" t="s">
        <v>10008</v>
      </c>
      <c r="F536" s="34"/>
      <c r="G536" s="34"/>
      <c r="H536" s="35" t="s">
        <v>10622</v>
      </c>
      <c r="I536" s="34"/>
      <c r="J536" s="37"/>
      <c r="K536" s="35" t="s">
        <v>258</v>
      </c>
      <c r="L536" s="37"/>
      <c r="M536" s="37"/>
      <c r="N536" s="35" t="s">
        <v>8634</v>
      </c>
      <c r="O536" s="35" t="s">
        <v>8631</v>
      </c>
      <c r="P536" s="35" t="s">
        <v>8632</v>
      </c>
      <c r="Q536" s="34"/>
      <c r="R536" s="35" t="s">
        <v>3867</v>
      </c>
      <c r="S536" s="35" t="s">
        <v>7065</v>
      </c>
      <c r="T536" s="35" t="s">
        <v>7065</v>
      </c>
      <c r="U536" s="35" t="s">
        <v>8622</v>
      </c>
      <c r="V536" s="35" t="s">
        <v>10620</v>
      </c>
      <c r="W536" s="35" t="s">
        <v>3571</v>
      </c>
      <c r="X536" s="35" t="s">
        <v>5145</v>
      </c>
      <c r="Y536" s="32">
        <v>25.0</v>
      </c>
      <c r="Z536" s="40" t="s">
        <v>3559</v>
      </c>
    </row>
    <row r="537">
      <c r="A537" s="42" t="s">
        <v>8624</v>
      </c>
      <c r="B537" s="42" t="s">
        <v>8616</v>
      </c>
      <c r="C537" s="42" t="s">
        <v>8620</v>
      </c>
      <c r="D537" s="42" t="s">
        <v>10583</v>
      </c>
      <c r="E537" s="42" t="s">
        <v>10008</v>
      </c>
      <c r="F537" s="43"/>
      <c r="G537" s="43"/>
      <c r="H537" s="42" t="s">
        <v>10583</v>
      </c>
      <c r="I537" s="42" t="s">
        <v>10586</v>
      </c>
      <c r="J537" s="45"/>
      <c r="K537" s="42" t="s">
        <v>670</v>
      </c>
      <c r="L537" s="45"/>
      <c r="M537" s="45"/>
      <c r="N537" s="42" t="s">
        <v>8634</v>
      </c>
      <c r="O537" s="42" t="s">
        <v>8631</v>
      </c>
      <c r="P537" s="42" t="s">
        <v>8632</v>
      </c>
      <c r="Q537" s="43"/>
      <c r="R537" s="42" t="s">
        <v>3867</v>
      </c>
      <c r="S537" s="42" t="s">
        <v>7065</v>
      </c>
      <c r="T537" s="42" t="s">
        <v>7065</v>
      </c>
      <c r="U537" s="42" t="s">
        <v>8622</v>
      </c>
      <c r="V537" s="42" t="s">
        <v>10620</v>
      </c>
      <c r="W537" s="42" t="s">
        <v>3571</v>
      </c>
      <c r="X537" s="42" t="s">
        <v>5145</v>
      </c>
      <c r="Y537" s="41">
        <v>25.0</v>
      </c>
      <c r="Z537" s="48" t="s">
        <v>3559</v>
      </c>
    </row>
    <row r="538">
      <c r="A538" s="35" t="s">
        <v>8624</v>
      </c>
      <c r="B538" s="35" t="s">
        <v>8616</v>
      </c>
      <c r="C538" s="35" t="s">
        <v>8620</v>
      </c>
      <c r="D538" s="35" t="s">
        <v>75</v>
      </c>
      <c r="E538" s="35" t="s">
        <v>10011</v>
      </c>
      <c r="F538" s="34"/>
      <c r="G538" s="34"/>
      <c r="H538" s="35" t="s">
        <v>75</v>
      </c>
      <c r="I538" s="34"/>
      <c r="J538" s="37"/>
      <c r="K538" s="35" t="s">
        <v>41</v>
      </c>
      <c r="L538" s="37"/>
      <c r="M538" s="37"/>
      <c r="N538" s="35" t="s">
        <v>8634</v>
      </c>
      <c r="O538" s="35" t="s">
        <v>8631</v>
      </c>
      <c r="P538" s="35" t="s">
        <v>8632</v>
      </c>
      <c r="Q538" s="34"/>
      <c r="R538" s="35" t="s">
        <v>3867</v>
      </c>
      <c r="S538" s="35" t="s">
        <v>7065</v>
      </c>
      <c r="T538" s="35" t="s">
        <v>7065</v>
      </c>
      <c r="U538" s="35" t="s">
        <v>8622</v>
      </c>
      <c r="V538" s="35" t="s">
        <v>10620</v>
      </c>
      <c r="W538" s="35" t="s">
        <v>3571</v>
      </c>
      <c r="X538" s="35" t="s">
        <v>5145</v>
      </c>
      <c r="Y538" s="32">
        <v>25.0</v>
      </c>
      <c r="Z538" s="40" t="s">
        <v>3559</v>
      </c>
    </row>
    <row r="539">
      <c r="A539" s="42" t="s">
        <v>8644</v>
      </c>
      <c r="B539" s="42" t="s">
        <v>8639</v>
      </c>
      <c r="C539" s="42" t="s">
        <v>8641</v>
      </c>
      <c r="D539" s="42" t="s">
        <v>7892</v>
      </c>
      <c r="E539" s="42" t="s">
        <v>10011</v>
      </c>
      <c r="F539" s="42" t="s">
        <v>8649</v>
      </c>
      <c r="G539" s="43"/>
      <c r="H539" s="42" t="s">
        <v>7892</v>
      </c>
      <c r="I539" s="43"/>
      <c r="J539" s="45"/>
      <c r="K539" s="42" t="s">
        <v>41</v>
      </c>
      <c r="L539" s="45" t="str">
        <f>+972 (0)54 473 0027</f>
        <v>#ERROR!</v>
      </c>
      <c r="M539" s="45"/>
      <c r="N539" s="42" t="s">
        <v>3074</v>
      </c>
      <c r="O539" s="42" t="s">
        <v>2629</v>
      </c>
      <c r="P539" s="42" t="s">
        <v>4397</v>
      </c>
      <c r="Q539" s="43"/>
      <c r="R539" s="42" t="s">
        <v>4560</v>
      </c>
      <c r="S539" s="42" t="s">
        <v>4561</v>
      </c>
      <c r="T539" s="42" t="s">
        <v>66</v>
      </c>
      <c r="U539" s="42" t="s">
        <v>6390</v>
      </c>
      <c r="V539" s="42" t="s">
        <v>10623</v>
      </c>
      <c r="W539" s="42" t="s">
        <v>3571</v>
      </c>
      <c r="X539" s="42" t="s">
        <v>5145</v>
      </c>
      <c r="Y539" s="45"/>
      <c r="Z539" s="48" t="s">
        <v>3559</v>
      </c>
    </row>
    <row r="540">
      <c r="A540" s="35" t="s">
        <v>8644</v>
      </c>
      <c r="B540" s="35" t="s">
        <v>8639</v>
      </c>
      <c r="C540" s="35" t="s">
        <v>8641</v>
      </c>
      <c r="D540" s="35" t="s">
        <v>10624</v>
      </c>
      <c r="E540" s="35" t="s">
        <v>10015</v>
      </c>
      <c r="F540" s="35" t="s">
        <v>10625</v>
      </c>
      <c r="G540" s="35" t="s">
        <v>10626</v>
      </c>
      <c r="H540" s="35" t="s">
        <v>10624</v>
      </c>
      <c r="I540" s="34"/>
      <c r="J540" s="32">
        <v>315800.0</v>
      </c>
      <c r="K540" s="35" t="s">
        <v>10223</v>
      </c>
      <c r="L540" s="37"/>
      <c r="M540" s="37"/>
      <c r="N540" s="35" t="s">
        <v>3074</v>
      </c>
      <c r="O540" s="35" t="s">
        <v>2629</v>
      </c>
      <c r="P540" s="35" t="s">
        <v>4397</v>
      </c>
      <c r="Q540" s="34"/>
      <c r="R540" s="35" t="s">
        <v>4560</v>
      </c>
      <c r="S540" s="35" t="s">
        <v>4561</v>
      </c>
      <c r="T540" s="35" t="s">
        <v>66</v>
      </c>
      <c r="U540" s="35" t="s">
        <v>6390</v>
      </c>
      <c r="V540" s="35" t="s">
        <v>10623</v>
      </c>
      <c r="W540" s="35" t="s">
        <v>3571</v>
      </c>
      <c r="X540" s="35" t="s">
        <v>5145</v>
      </c>
      <c r="Y540" s="37"/>
      <c r="Z540" s="40" t="s">
        <v>3559</v>
      </c>
    </row>
    <row r="541">
      <c r="A541" s="42" t="s">
        <v>8658</v>
      </c>
      <c r="B541" s="42" t="s">
        <v>8655</v>
      </c>
      <c r="C541" s="42" t="s">
        <v>8656</v>
      </c>
      <c r="D541" s="42" t="s">
        <v>41</v>
      </c>
      <c r="E541" s="42" t="s">
        <v>10011</v>
      </c>
      <c r="F541" s="42" t="s">
        <v>8660</v>
      </c>
      <c r="G541" s="43"/>
      <c r="H541" s="43"/>
      <c r="I541" s="43"/>
      <c r="J541" s="45"/>
      <c r="K541" s="42" t="s">
        <v>41</v>
      </c>
      <c r="L541" s="45"/>
      <c r="M541" s="45"/>
      <c r="N541" s="43"/>
      <c r="O541" s="43"/>
      <c r="P541" s="43"/>
      <c r="Q541" s="43"/>
      <c r="R541" s="42" t="s">
        <v>4560</v>
      </c>
      <c r="S541" s="42" t="s">
        <v>4561</v>
      </c>
      <c r="T541" s="42" t="s">
        <v>66</v>
      </c>
      <c r="U541" s="42" t="s">
        <v>6601</v>
      </c>
      <c r="V541" s="42" t="s">
        <v>4562</v>
      </c>
      <c r="W541" s="42" t="s">
        <v>5222</v>
      </c>
      <c r="X541" s="42" t="s">
        <v>4923</v>
      </c>
      <c r="Y541" s="45"/>
      <c r="Z541" s="48" t="s">
        <v>3559</v>
      </c>
    </row>
    <row r="542">
      <c r="A542" s="35" t="s">
        <v>8665</v>
      </c>
      <c r="B542" s="35" t="s">
        <v>8661</v>
      </c>
      <c r="C542" s="35" t="s">
        <v>8663</v>
      </c>
      <c r="D542" s="35" t="s">
        <v>7481</v>
      </c>
      <c r="E542" s="35" t="s">
        <v>10011</v>
      </c>
      <c r="F542" s="35" t="s">
        <v>8667</v>
      </c>
      <c r="G542" s="35" t="s">
        <v>8668</v>
      </c>
      <c r="H542" s="35" t="s">
        <v>7481</v>
      </c>
      <c r="I542" s="34"/>
      <c r="J542" s="32">
        <v>4366360.0</v>
      </c>
      <c r="K542" s="35" t="s">
        <v>41</v>
      </c>
      <c r="L542" s="37"/>
      <c r="M542" s="37"/>
      <c r="N542" s="34"/>
      <c r="O542" s="34"/>
      <c r="P542" s="34"/>
      <c r="Q542" s="34"/>
      <c r="R542" s="35" t="s">
        <v>3563</v>
      </c>
      <c r="S542" s="35" t="s">
        <v>3609</v>
      </c>
      <c r="T542" s="35" t="s">
        <v>3610</v>
      </c>
      <c r="U542" s="35" t="s">
        <v>6037</v>
      </c>
      <c r="V542" s="35" t="s">
        <v>10261</v>
      </c>
      <c r="W542" s="35" t="s">
        <v>5222</v>
      </c>
      <c r="X542" s="35" t="s">
        <v>5018</v>
      </c>
      <c r="Y542" s="32">
        <v>8.0</v>
      </c>
      <c r="Z542" s="40" t="s">
        <v>3559</v>
      </c>
    </row>
    <row r="543">
      <c r="A543" s="42" t="s">
        <v>8676</v>
      </c>
      <c r="B543" s="55" t="s">
        <v>8673</v>
      </c>
      <c r="C543" s="42" t="s">
        <v>8674</v>
      </c>
      <c r="D543" s="42" t="s">
        <v>298</v>
      </c>
      <c r="E543" s="42" t="s">
        <v>10011</v>
      </c>
      <c r="F543" s="43"/>
      <c r="G543" s="43"/>
      <c r="H543" s="42" t="s">
        <v>298</v>
      </c>
      <c r="I543" s="43"/>
      <c r="J543" s="45"/>
      <c r="K543" s="42" t="s">
        <v>41</v>
      </c>
      <c r="L543" s="45"/>
      <c r="M543" s="45"/>
      <c r="N543" s="43"/>
      <c r="O543" s="42" t="s">
        <v>8679</v>
      </c>
      <c r="P543" s="42" t="s">
        <v>8680</v>
      </c>
      <c r="Q543" s="43"/>
      <c r="R543" s="42" t="s">
        <v>4560</v>
      </c>
      <c r="S543" s="42" t="s">
        <v>4561</v>
      </c>
      <c r="T543" s="42" t="s">
        <v>66</v>
      </c>
      <c r="U543" s="43"/>
      <c r="V543" s="42" t="s">
        <v>10312</v>
      </c>
      <c r="W543" s="42" t="s">
        <v>3571</v>
      </c>
      <c r="X543" s="42" t="s">
        <v>4923</v>
      </c>
      <c r="Y543" s="45"/>
      <c r="Z543" s="48" t="s">
        <v>3559</v>
      </c>
    </row>
    <row r="544">
      <c r="A544" s="35" t="s">
        <v>8691</v>
      </c>
      <c r="B544" s="35" t="s">
        <v>8684</v>
      </c>
      <c r="C544" s="35" t="s">
        <v>8686</v>
      </c>
      <c r="D544" s="35" t="s">
        <v>75</v>
      </c>
      <c r="E544" s="35" t="s">
        <v>10011</v>
      </c>
      <c r="F544" s="35" t="s">
        <v>8699</v>
      </c>
      <c r="G544" s="34"/>
      <c r="H544" s="35" t="s">
        <v>75</v>
      </c>
      <c r="I544" s="34"/>
      <c r="J544" s="32">
        <v>6158101.0</v>
      </c>
      <c r="K544" s="35" t="s">
        <v>41</v>
      </c>
      <c r="L544" s="37" t="str">
        <f>+972 (0)3 573 1801</f>
        <v>#ERROR!</v>
      </c>
      <c r="M544" s="37"/>
      <c r="N544" s="35" t="s">
        <v>8700</v>
      </c>
      <c r="O544" s="35" t="s">
        <v>8697</v>
      </c>
      <c r="P544" s="35" t="s">
        <v>4093</v>
      </c>
      <c r="Q544" s="34"/>
      <c r="R544" s="35" t="s">
        <v>30</v>
      </c>
      <c r="S544" s="35" t="s">
        <v>8687</v>
      </c>
      <c r="T544" s="35" t="s">
        <v>8688</v>
      </c>
      <c r="U544" s="34"/>
      <c r="V544" s="35" t="s">
        <v>10627</v>
      </c>
      <c r="W544" s="35" t="s">
        <v>3571</v>
      </c>
      <c r="X544" s="35" t="s">
        <v>4962</v>
      </c>
      <c r="Y544" s="32">
        <v>57.0</v>
      </c>
      <c r="Z544" s="40" t="s">
        <v>3559</v>
      </c>
    </row>
    <row r="545">
      <c r="A545" s="42" t="s">
        <v>8708</v>
      </c>
      <c r="B545" s="42" t="s">
        <v>8704</v>
      </c>
      <c r="C545" s="42" t="s">
        <v>8705</v>
      </c>
      <c r="D545" s="42" t="s">
        <v>147</v>
      </c>
      <c r="E545" s="42" t="s">
        <v>10011</v>
      </c>
      <c r="F545" s="42" t="s">
        <v>8711</v>
      </c>
      <c r="G545" s="43"/>
      <c r="H545" s="42" t="s">
        <v>147</v>
      </c>
      <c r="I545" s="43"/>
      <c r="J545" s="45"/>
      <c r="K545" s="42" t="s">
        <v>41</v>
      </c>
      <c r="L545" s="45"/>
      <c r="M545" s="45"/>
      <c r="N545" s="43"/>
      <c r="O545" s="43"/>
      <c r="P545" s="43"/>
      <c r="Q545" s="43"/>
      <c r="R545" s="42" t="s">
        <v>4560</v>
      </c>
      <c r="S545" s="42" t="s">
        <v>4561</v>
      </c>
      <c r="T545" s="42" t="s">
        <v>66</v>
      </c>
      <c r="U545" s="42" t="s">
        <v>3612</v>
      </c>
      <c r="V545" s="42" t="s">
        <v>10628</v>
      </c>
      <c r="W545" s="42" t="s">
        <v>5222</v>
      </c>
      <c r="X545" s="42" t="s">
        <v>5481</v>
      </c>
      <c r="Y545" s="45"/>
      <c r="Z545" s="48" t="s">
        <v>3559</v>
      </c>
    </row>
    <row r="546">
      <c r="A546" s="35" t="s">
        <v>8722</v>
      </c>
      <c r="B546" s="33" t="s">
        <v>8716</v>
      </c>
      <c r="C546" s="35" t="s">
        <v>8718</v>
      </c>
      <c r="D546" s="35" t="s">
        <v>41</v>
      </c>
      <c r="E546" s="35" t="s">
        <v>10011</v>
      </c>
      <c r="F546" s="35" t="s">
        <v>8728</v>
      </c>
      <c r="G546" s="34"/>
      <c r="H546" s="34"/>
      <c r="I546" s="34"/>
      <c r="J546" s="32">
        <v>2015600.0</v>
      </c>
      <c r="K546" s="35" t="s">
        <v>41</v>
      </c>
      <c r="L546" s="37"/>
      <c r="M546" s="37"/>
      <c r="N546" s="35" t="s">
        <v>8729</v>
      </c>
      <c r="O546" s="35" t="s">
        <v>10629</v>
      </c>
      <c r="P546" s="35" t="s">
        <v>4397</v>
      </c>
      <c r="Q546" s="34"/>
      <c r="R546" s="35" t="s">
        <v>3563</v>
      </c>
      <c r="S546" s="35" t="s">
        <v>3564</v>
      </c>
      <c r="T546" s="35" t="s">
        <v>3565</v>
      </c>
      <c r="U546" s="35" t="s">
        <v>8720</v>
      </c>
      <c r="V546" s="35" t="s">
        <v>10630</v>
      </c>
      <c r="W546" s="35" t="s">
        <v>3571</v>
      </c>
      <c r="X546" s="35" t="s">
        <v>4923</v>
      </c>
      <c r="Y546" s="37"/>
      <c r="Z546" s="40" t="s">
        <v>3559</v>
      </c>
    </row>
    <row r="547">
      <c r="A547" s="42" t="s">
        <v>8739</v>
      </c>
      <c r="B547" s="42" t="s">
        <v>8733</v>
      </c>
      <c r="C547" s="42" t="s">
        <v>8735</v>
      </c>
      <c r="D547" s="42" t="s">
        <v>10631</v>
      </c>
      <c r="E547" s="42" t="s">
        <v>10008</v>
      </c>
      <c r="F547" s="42" t="s">
        <v>10632</v>
      </c>
      <c r="G547" s="42" t="s">
        <v>10633</v>
      </c>
      <c r="H547" s="42" t="s">
        <v>10631</v>
      </c>
      <c r="I547" s="43"/>
      <c r="J547" s="41">
        <v>110015.0</v>
      </c>
      <c r="K547" s="42" t="s">
        <v>10241</v>
      </c>
      <c r="L547" s="45" t="str">
        <f>+91 (0)92 1210 3585</f>
        <v>#ERROR!</v>
      </c>
      <c r="M547" s="45"/>
      <c r="N547" s="42" t="s">
        <v>8747</v>
      </c>
      <c r="O547" s="42" t="s">
        <v>8743</v>
      </c>
      <c r="P547" s="42" t="s">
        <v>6137</v>
      </c>
      <c r="Q547" s="43"/>
      <c r="R547" s="42" t="s">
        <v>3867</v>
      </c>
      <c r="S547" s="42" t="s">
        <v>3897</v>
      </c>
      <c r="T547" s="42" t="s">
        <v>4689</v>
      </c>
      <c r="U547" s="42" t="s">
        <v>8737</v>
      </c>
      <c r="V547" s="42" t="s">
        <v>10634</v>
      </c>
      <c r="W547" s="42" t="s">
        <v>3571</v>
      </c>
      <c r="X547" s="42" t="s">
        <v>5145</v>
      </c>
      <c r="Y547" s="45"/>
      <c r="Z547" s="48" t="s">
        <v>3559</v>
      </c>
    </row>
    <row r="548">
      <c r="A548" s="35" t="s">
        <v>8739</v>
      </c>
      <c r="B548" s="35" t="s">
        <v>8733</v>
      </c>
      <c r="C548" s="35" t="s">
        <v>8735</v>
      </c>
      <c r="D548" s="35" t="s">
        <v>10635</v>
      </c>
      <c r="E548" s="35" t="s">
        <v>10015</v>
      </c>
      <c r="F548" s="35" t="s">
        <v>10636</v>
      </c>
      <c r="G548" s="35" t="s">
        <v>10637</v>
      </c>
      <c r="H548" s="35" t="s">
        <v>10635</v>
      </c>
      <c r="I548" s="34"/>
      <c r="J548" s="32">
        <v>201014.0</v>
      </c>
      <c r="K548" s="35" t="s">
        <v>10241</v>
      </c>
      <c r="L548" s="37" t="str">
        <f>+91 (0)12 0415 6775</f>
        <v>#ERROR!</v>
      </c>
      <c r="M548" s="37"/>
      <c r="N548" s="35" t="s">
        <v>8747</v>
      </c>
      <c r="O548" s="35" t="s">
        <v>8743</v>
      </c>
      <c r="P548" s="35" t="s">
        <v>6137</v>
      </c>
      <c r="Q548" s="34"/>
      <c r="R548" s="35" t="s">
        <v>3867</v>
      </c>
      <c r="S548" s="35" t="s">
        <v>3897</v>
      </c>
      <c r="T548" s="35" t="s">
        <v>4689</v>
      </c>
      <c r="U548" s="35" t="s">
        <v>8737</v>
      </c>
      <c r="V548" s="35" t="s">
        <v>10634</v>
      </c>
      <c r="W548" s="35" t="s">
        <v>3571</v>
      </c>
      <c r="X548" s="35" t="s">
        <v>5145</v>
      </c>
      <c r="Y548" s="37"/>
      <c r="Z548" s="40" t="s">
        <v>3559</v>
      </c>
    </row>
    <row r="549">
      <c r="A549" s="42" t="s">
        <v>8739</v>
      </c>
      <c r="B549" s="42" t="s">
        <v>8733</v>
      </c>
      <c r="C549" s="42" t="s">
        <v>8735</v>
      </c>
      <c r="D549" s="42" t="s">
        <v>10638</v>
      </c>
      <c r="E549" s="42" t="s">
        <v>10008</v>
      </c>
      <c r="F549" s="42" t="s">
        <v>10639</v>
      </c>
      <c r="G549" s="42" t="s">
        <v>10640</v>
      </c>
      <c r="H549" s="42" t="s">
        <v>10638</v>
      </c>
      <c r="I549" s="43"/>
      <c r="J549" s="45"/>
      <c r="K549" s="42" t="s">
        <v>10241</v>
      </c>
      <c r="L549" s="45" t="str">
        <f>+91 (0)92 1210 3585</f>
        <v>#ERROR!</v>
      </c>
      <c r="M549" s="45"/>
      <c r="N549" s="42" t="s">
        <v>8747</v>
      </c>
      <c r="O549" s="42" t="s">
        <v>8743</v>
      </c>
      <c r="P549" s="42" t="s">
        <v>6137</v>
      </c>
      <c r="Q549" s="43"/>
      <c r="R549" s="42" t="s">
        <v>3867</v>
      </c>
      <c r="S549" s="42" t="s">
        <v>3897</v>
      </c>
      <c r="T549" s="42" t="s">
        <v>4689</v>
      </c>
      <c r="U549" s="42" t="s">
        <v>8737</v>
      </c>
      <c r="V549" s="42" t="s">
        <v>10634</v>
      </c>
      <c r="W549" s="42" t="s">
        <v>3571</v>
      </c>
      <c r="X549" s="42" t="s">
        <v>5145</v>
      </c>
      <c r="Y549" s="45"/>
      <c r="Z549" s="48" t="s">
        <v>3559</v>
      </c>
    </row>
    <row r="550">
      <c r="A550" s="35" t="s">
        <v>8739</v>
      </c>
      <c r="B550" s="35" t="s">
        <v>8733</v>
      </c>
      <c r="C550" s="35" t="s">
        <v>8735</v>
      </c>
      <c r="D550" s="35" t="s">
        <v>10641</v>
      </c>
      <c r="E550" s="35" t="s">
        <v>10008</v>
      </c>
      <c r="F550" s="34"/>
      <c r="G550" s="34"/>
      <c r="H550" s="34"/>
      <c r="I550" s="34"/>
      <c r="J550" s="37"/>
      <c r="K550" s="35" t="s">
        <v>10241</v>
      </c>
      <c r="L550" s="37"/>
      <c r="M550" s="37"/>
      <c r="N550" s="35" t="s">
        <v>8747</v>
      </c>
      <c r="O550" s="35" t="s">
        <v>8743</v>
      </c>
      <c r="P550" s="35" t="s">
        <v>6137</v>
      </c>
      <c r="Q550" s="34"/>
      <c r="R550" s="35" t="s">
        <v>3867</v>
      </c>
      <c r="S550" s="35" t="s">
        <v>3897</v>
      </c>
      <c r="T550" s="35" t="s">
        <v>4689</v>
      </c>
      <c r="U550" s="35" t="s">
        <v>8737</v>
      </c>
      <c r="V550" s="35" t="s">
        <v>10634</v>
      </c>
      <c r="W550" s="35" t="s">
        <v>3571</v>
      </c>
      <c r="X550" s="35" t="s">
        <v>5145</v>
      </c>
      <c r="Y550" s="37"/>
      <c r="Z550" s="40" t="s">
        <v>3559</v>
      </c>
    </row>
    <row r="551">
      <c r="A551" s="42" t="s">
        <v>8739</v>
      </c>
      <c r="B551" s="42" t="s">
        <v>8733</v>
      </c>
      <c r="C551" s="42" t="s">
        <v>8735</v>
      </c>
      <c r="D551" s="42" t="s">
        <v>75</v>
      </c>
      <c r="E551" s="42" t="s">
        <v>10011</v>
      </c>
      <c r="F551" s="42" t="s">
        <v>8745</v>
      </c>
      <c r="G551" s="42" t="s">
        <v>8746</v>
      </c>
      <c r="H551" s="42" t="s">
        <v>75</v>
      </c>
      <c r="I551" s="43"/>
      <c r="J551" s="41">
        <v>6713701.0</v>
      </c>
      <c r="K551" s="42" t="s">
        <v>41</v>
      </c>
      <c r="L551" s="45"/>
      <c r="M551" s="45"/>
      <c r="N551" s="42" t="s">
        <v>8747</v>
      </c>
      <c r="O551" s="42" t="s">
        <v>8743</v>
      </c>
      <c r="P551" s="42" t="s">
        <v>6137</v>
      </c>
      <c r="Q551" s="43"/>
      <c r="R551" s="42" t="s">
        <v>3867</v>
      </c>
      <c r="S551" s="42" t="s">
        <v>3897</v>
      </c>
      <c r="T551" s="42" t="s">
        <v>4689</v>
      </c>
      <c r="U551" s="42" t="s">
        <v>8737</v>
      </c>
      <c r="V551" s="42" t="s">
        <v>10634</v>
      </c>
      <c r="W551" s="42" t="s">
        <v>3571</v>
      </c>
      <c r="X551" s="42" t="s">
        <v>5145</v>
      </c>
      <c r="Y551" s="45"/>
      <c r="Z551" s="48" t="s">
        <v>3559</v>
      </c>
    </row>
    <row r="552">
      <c r="A552" s="35" t="s">
        <v>8755</v>
      </c>
      <c r="B552" s="35" t="s">
        <v>8751</v>
      </c>
      <c r="C552" s="35" t="s">
        <v>8753</v>
      </c>
      <c r="D552" s="35" t="s">
        <v>75</v>
      </c>
      <c r="E552" s="35" t="s">
        <v>10011</v>
      </c>
      <c r="F552" s="35" t="s">
        <v>8760</v>
      </c>
      <c r="G552" s="34"/>
      <c r="H552" s="35" t="s">
        <v>75</v>
      </c>
      <c r="I552" s="34"/>
      <c r="J552" s="37"/>
      <c r="K552" s="35" t="s">
        <v>41</v>
      </c>
      <c r="L552" s="37" t="str">
        <f>+972 (0)4 999 0622</f>
        <v>#ERROR!</v>
      </c>
      <c r="M552" s="37"/>
      <c r="N552" s="34"/>
      <c r="O552" s="35" t="s">
        <v>10642</v>
      </c>
      <c r="P552" s="35" t="s">
        <v>4093</v>
      </c>
      <c r="Q552" s="34"/>
      <c r="R552" s="35" t="s">
        <v>4560</v>
      </c>
      <c r="S552" s="35" t="s">
        <v>4561</v>
      </c>
      <c r="T552" s="35" t="s">
        <v>66</v>
      </c>
      <c r="U552" s="34"/>
      <c r="V552" s="35" t="s">
        <v>10469</v>
      </c>
      <c r="W552" s="35" t="s">
        <v>3571</v>
      </c>
      <c r="X552" s="35" t="s">
        <v>4923</v>
      </c>
      <c r="Y552" s="32">
        <v>11.0</v>
      </c>
      <c r="Z552" s="40" t="s">
        <v>3559</v>
      </c>
    </row>
    <row r="553">
      <c r="A553" s="42" t="s">
        <v>8765</v>
      </c>
      <c r="B553" s="42" t="s">
        <v>8762</v>
      </c>
      <c r="C553" s="42" t="s">
        <v>8763</v>
      </c>
      <c r="D553" s="42" t="s">
        <v>2433</v>
      </c>
      <c r="E553" s="42" t="s">
        <v>10011</v>
      </c>
      <c r="F553" s="43"/>
      <c r="G553" s="43"/>
      <c r="H553" s="42" t="s">
        <v>2433</v>
      </c>
      <c r="I553" s="43"/>
      <c r="J553" s="45"/>
      <c r="K553" s="42" t="s">
        <v>41</v>
      </c>
      <c r="L553" s="45"/>
      <c r="M553" s="45"/>
      <c r="N553" s="43"/>
      <c r="O553" s="43"/>
      <c r="P553" s="43"/>
      <c r="Q553" s="43"/>
      <c r="R553" s="42" t="s">
        <v>4560</v>
      </c>
      <c r="S553" s="42" t="s">
        <v>4561</v>
      </c>
      <c r="T553" s="42" t="s">
        <v>66</v>
      </c>
      <c r="U553" s="42" t="s">
        <v>6078</v>
      </c>
      <c r="V553" s="42" t="s">
        <v>4562</v>
      </c>
      <c r="W553" s="42" t="s">
        <v>5222</v>
      </c>
      <c r="X553" s="42" t="s">
        <v>5481</v>
      </c>
      <c r="Y553" s="45"/>
      <c r="Z553" s="48" t="s">
        <v>3559</v>
      </c>
    </row>
    <row r="554">
      <c r="A554" s="35" t="s">
        <v>8771</v>
      </c>
      <c r="B554" s="35" t="s">
        <v>8767</v>
      </c>
      <c r="C554" s="35" t="s">
        <v>8769</v>
      </c>
      <c r="D554" s="35" t="s">
        <v>75</v>
      </c>
      <c r="E554" s="35" t="s">
        <v>10011</v>
      </c>
      <c r="F554" s="35" t="s">
        <v>8778</v>
      </c>
      <c r="G554" s="34"/>
      <c r="H554" s="35" t="s">
        <v>75</v>
      </c>
      <c r="I554" s="34"/>
      <c r="J554" s="32">
        <v>6165002.0</v>
      </c>
      <c r="K554" s="35" t="s">
        <v>41</v>
      </c>
      <c r="L554" s="37" t="str">
        <f>+972 (0)54 452 7338</f>
        <v>#ERROR!</v>
      </c>
      <c r="M554" s="37"/>
      <c r="N554" s="35" t="s">
        <v>519</v>
      </c>
      <c r="O554" s="35" t="s">
        <v>8776</v>
      </c>
      <c r="P554" s="35" t="s">
        <v>3982</v>
      </c>
      <c r="Q554" s="34"/>
      <c r="R554" s="35" t="s">
        <v>3867</v>
      </c>
      <c r="S554" s="35" t="s">
        <v>3868</v>
      </c>
      <c r="T554" s="35" t="s">
        <v>3869</v>
      </c>
      <c r="U554" s="35" t="s">
        <v>6037</v>
      </c>
      <c r="V554" s="35" t="s">
        <v>10081</v>
      </c>
      <c r="W554" s="35" t="s">
        <v>3571</v>
      </c>
      <c r="X554" s="35" t="s">
        <v>5018</v>
      </c>
      <c r="Y554" s="32">
        <v>13.0</v>
      </c>
      <c r="Z554" s="40" t="s">
        <v>3559</v>
      </c>
    </row>
    <row r="555">
      <c r="A555" s="42" t="s">
        <v>8790</v>
      </c>
      <c r="B555" s="42" t="s">
        <v>8783</v>
      </c>
      <c r="C555" s="42" t="s">
        <v>8786</v>
      </c>
      <c r="D555" s="42" t="s">
        <v>10018</v>
      </c>
      <c r="E555" s="42" t="s">
        <v>10008</v>
      </c>
      <c r="F555" s="43"/>
      <c r="G555" s="43"/>
      <c r="H555" s="42" t="s">
        <v>10018</v>
      </c>
      <c r="I555" s="43"/>
      <c r="J555" s="45"/>
      <c r="K555" s="42" t="s">
        <v>465</v>
      </c>
      <c r="L555" s="45"/>
      <c r="M555" s="45"/>
      <c r="N555" s="43"/>
      <c r="O555" s="43"/>
      <c r="P555" s="43"/>
      <c r="Q555" s="43"/>
      <c r="R555" s="42" t="s">
        <v>3563</v>
      </c>
      <c r="S555" s="42" t="s">
        <v>3564</v>
      </c>
      <c r="T555" s="42" t="s">
        <v>3642</v>
      </c>
      <c r="U555" s="42" t="s">
        <v>8788</v>
      </c>
      <c r="V555" s="42" t="s">
        <v>10643</v>
      </c>
      <c r="W555" s="42" t="s">
        <v>3571</v>
      </c>
      <c r="X555" s="42" t="s">
        <v>5018</v>
      </c>
      <c r="Y555" s="41">
        <v>56.0</v>
      </c>
      <c r="Z555" s="48" t="s">
        <v>3559</v>
      </c>
    </row>
    <row r="556">
      <c r="A556" s="35" t="s">
        <v>8790</v>
      </c>
      <c r="B556" s="35" t="s">
        <v>8783</v>
      </c>
      <c r="C556" s="35" t="s">
        <v>8786</v>
      </c>
      <c r="D556" s="35" t="s">
        <v>10156</v>
      </c>
      <c r="E556" s="35" t="s">
        <v>10008</v>
      </c>
      <c r="F556" s="34"/>
      <c r="G556" s="34"/>
      <c r="H556" s="35" t="s">
        <v>10156</v>
      </c>
      <c r="I556" s="35" t="s">
        <v>1431</v>
      </c>
      <c r="J556" s="37"/>
      <c r="K556" s="35" t="s">
        <v>60</v>
      </c>
      <c r="L556" s="37"/>
      <c r="M556" s="37"/>
      <c r="N556" s="34"/>
      <c r="O556" s="34"/>
      <c r="P556" s="34"/>
      <c r="Q556" s="34"/>
      <c r="R556" s="35" t="s">
        <v>3563</v>
      </c>
      <c r="S556" s="35" t="s">
        <v>3564</v>
      </c>
      <c r="T556" s="35" t="s">
        <v>3642</v>
      </c>
      <c r="U556" s="35" t="s">
        <v>8788</v>
      </c>
      <c r="V556" s="35" t="s">
        <v>10643</v>
      </c>
      <c r="W556" s="35" t="s">
        <v>3571</v>
      </c>
      <c r="X556" s="35" t="s">
        <v>5018</v>
      </c>
      <c r="Y556" s="32">
        <v>56.0</v>
      </c>
      <c r="Z556" s="40" t="s">
        <v>3559</v>
      </c>
    </row>
    <row r="557">
      <c r="A557" s="42" t="s">
        <v>8790</v>
      </c>
      <c r="B557" s="42" t="s">
        <v>8783</v>
      </c>
      <c r="C557" s="42" t="s">
        <v>8786</v>
      </c>
      <c r="D557" s="42" t="s">
        <v>75</v>
      </c>
      <c r="E557" s="42" t="s">
        <v>10011</v>
      </c>
      <c r="F557" s="42" t="s">
        <v>8793</v>
      </c>
      <c r="G557" s="43"/>
      <c r="H557" s="42" t="s">
        <v>75</v>
      </c>
      <c r="I557" s="43"/>
      <c r="J557" s="41">
        <v>6971901.0</v>
      </c>
      <c r="K557" s="42" t="s">
        <v>41</v>
      </c>
      <c r="L557" s="45"/>
      <c r="M557" s="45"/>
      <c r="N557" s="43"/>
      <c r="O557" s="43"/>
      <c r="P557" s="43"/>
      <c r="Q557" s="43"/>
      <c r="R557" s="42" t="s">
        <v>3563</v>
      </c>
      <c r="S557" s="42" t="s">
        <v>3564</v>
      </c>
      <c r="T557" s="42" t="s">
        <v>3642</v>
      </c>
      <c r="U557" s="42" t="s">
        <v>8788</v>
      </c>
      <c r="V557" s="42" t="s">
        <v>10643</v>
      </c>
      <c r="W557" s="42" t="s">
        <v>3571</v>
      </c>
      <c r="X557" s="42" t="s">
        <v>5018</v>
      </c>
      <c r="Y557" s="41">
        <v>56.0</v>
      </c>
      <c r="Z557" s="48" t="s">
        <v>3559</v>
      </c>
    </row>
    <row r="558">
      <c r="A558" s="35" t="s">
        <v>8805</v>
      </c>
      <c r="B558" s="35" t="s">
        <v>8800</v>
      </c>
      <c r="C558" s="35" t="s">
        <v>8803</v>
      </c>
      <c r="D558" s="35" t="s">
        <v>4213</v>
      </c>
      <c r="E558" s="35" t="s">
        <v>10011</v>
      </c>
      <c r="F558" s="35" t="s">
        <v>8810</v>
      </c>
      <c r="G558" s="34"/>
      <c r="H558" s="35" t="s">
        <v>4213</v>
      </c>
      <c r="I558" s="34"/>
      <c r="J558" s="37"/>
      <c r="K558" s="35" t="s">
        <v>41</v>
      </c>
      <c r="L558" s="37" t="str">
        <f>+972 (0)3 565 5555</f>
        <v>#ERROR!</v>
      </c>
      <c r="M558" s="37"/>
      <c r="N558" s="35" t="s">
        <v>8811</v>
      </c>
      <c r="O558" s="35" t="s">
        <v>8809</v>
      </c>
      <c r="P558" s="35" t="s">
        <v>4093</v>
      </c>
      <c r="Q558" s="34"/>
      <c r="R558" s="35" t="s">
        <v>4560</v>
      </c>
      <c r="S558" s="35" t="s">
        <v>4561</v>
      </c>
      <c r="T558" s="35" t="s">
        <v>66</v>
      </c>
      <c r="U558" s="34"/>
      <c r="V558" s="35" t="s">
        <v>4562</v>
      </c>
      <c r="W558" s="35" t="s">
        <v>3571</v>
      </c>
      <c r="X558" s="35" t="s">
        <v>4923</v>
      </c>
      <c r="Y558" s="32">
        <v>72.0</v>
      </c>
      <c r="Z558" s="40" t="s">
        <v>3559</v>
      </c>
    </row>
    <row r="559">
      <c r="A559" s="42" t="s">
        <v>8818</v>
      </c>
      <c r="B559" s="42" t="s">
        <v>2002</v>
      </c>
      <c r="C559" s="42" t="s">
        <v>8816</v>
      </c>
      <c r="D559" s="42" t="s">
        <v>4213</v>
      </c>
      <c r="E559" s="42" t="s">
        <v>10011</v>
      </c>
      <c r="F559" s="42" t="s">
        <v>8827</v>
      </c>
      <c r="G559" s="43"/>
      <c r="H559" s="42" t="s">
        <v>4213</v>
      </c>
      <c r="I559" s="43"/>
      <c r="J559" s="41">
        <v>4970602.0</v>
      </c>
      <c r="K559" s="42" t="s">
        <v>41</v>
      </c>
      <c r="L559" s="45"/>
      <c r="M559" s="45"/>
      <c r="N559" s="43"/>
      <c r="O559" s="42" t="s">
        <v>8825</v>
      </c>
      <c r="P559" s="42" t="s">
        <v>7151</v>
      </c>
      <c r="Q559" s="43"/>
      <c r="R559" s="42" t="s">
        <v>3563</v>
      </c>
      <c r="S559" s="42" t="s">
        <v>3564</v>
      </c>
      <c r="T559" s="42" t="s">
        <v>3565</v>
      </c>
      <c r="U559" s="43"/>
      <c r="V559" s="42" t="s">
        <v>10203</v>
      </c>
      <c r="W559" s="42" t="s">
        <v>5412</v>
      </c>
      <c r="X559" s="42" t="s">
        <v>5018</v>
      </c>
      <c r="Y559" s="41">
        <v>50.0</v>
      </c>
      <c r="Z559" s="48" t="s">
        <v>3559</v>
      </c>
    </row>
    <row r="560">
      <c r="A560" s="35" t="s">
        <v>8847</v>
      </c>
      <c r="B560" s="35" t="s">
        <v>8842</v>
      </c>
      <c r="C560" s="35" t="s">
        <v>8843</v>
      </c>
      <c r="D560" s="35" t="s">
        <v>552</v>
      </c>
      <c r="E560" s="35" t="s">
        <v>10011</v>
      </c>
      <c r="F560" s="34"/>
      <c r="G560" s="34"/>
      <c r="H560" s="35" t="s">
        <v>552</v>
      </c>
      <c r="I560" s="34"/>
      <c r="J560" s="37"/>
      <c r="K560" s="35" t="s">
        <v>41</v>
      </c>
      <c r="L560" s="37"/>
      <c r="M560" s="37"/>
      <c r="N560" s="34"/>
      <c r="O560" s="35" t="s">
        <v>8851</v>
      </c>
      <c r="P560" s="35" t="s">
        <v>3579</v>
      </c>
      <c r="Q560" s="34"/>
      <c r="R560" s="35" t="s">
        <v>3563</v>
      </c>
      <c r="S560" s="35" t="s">
        <v>3609</v>
      </c>
      <c r="T560" s="35" t="s">
        <v>4050</v>
      </c>
      <c r="U560" s="35" t="s">
        <v>8845</v>
      </c>
      <c r="V560" s="35" t="s">
        <v>10644</v>
      </c>
      <c r="W560" s="35" t="s">
        <v>3571</v>
      </c>
      <c r="X560" s="35" t="s">
        <v>4923</v>
      </c>
      <c r="Y560" s="32">
        <v>3.0</v>
      </c>
      <c r="Z560" s="40" t="s">
        <v>3559</v>
      </c>
    </row>
    <row r="561">
      <c r="A561" s="42" t="s">
        <v>8860</v>
      </c>
      <c r="B561" s="42" t="s">
        <v>5742</v>
      </c>
      <c r="C561" s="42" t="s">
        <v>8856</v>
      </c>
      <c r="D561" s="42" t="s">
        <v>323</v>
      </c>
      <c r="E561" s="42" t="s">
        <v>10011</v>
      </c>
      <c r="F561" s="42" t="s">
        <v>8866</v>
      </c>
      <c r="G561" s="43"/>
      <c r="H561" s="42" t="s">
        <v>323</v>
      </c>
      <c r="I561" s="43"/>
      <c r="J561" s="41">
        <v>5811701.0</v>
      </c>
      <c r="K561" s="42" t="s">
        <v>41</v>
      </c>
      <c r="L561" s="45" t="str">
        <f>+972 (0)74 722 3888</f>
        <v>#ERROR!</v>
      </c>
      <c r="M561" s="45" t="str">
        <f>+972 (0)3 558 1377</f>
        <v>#ERROR!</v>
      </c>
      <c r="N561" s="43"/>
      <c r="O561" s="42" t="s">
        <v>8864</v>
      </c>
      <c r="P561" s="42" t="s">
        <v>4093</v>
      </c>
      <c r="Q561" s="43"/>
      <c r="R561" s="42" t="s">
        <v>3867</v>
      </c>
      <c r="S561" s="42" t="s">
        <v>3897</v>
      </c>
      <c r="T561" s="42" t="s">
        <v>8857</v>
      </c>
      <c r="U561" s="42" t="s">
        <v>5736</v>
      </c>
      <c r="V561" s="42" t="s">
        <v>10645</v>
      </c>
      <c r="W561" s="42" t="s">
        <v>3571</v>
      </c>
      <c r="X561" s="42" t="s">
        <v>5075</v>
      </c>
      <c r="Y561" s="45"/>
      <c r="Z561" s="48" t="s">
        <v>3559</v>
      </c>
    </row>
    <row r="562">
      <c r="A562" s="35" t="s">
        <v>8878</v>
      </c>
      <c r="B562" s="35" t="s">
        <v>10646</v>
      </c>
      <c r="C562" s="35" t="s">
        <v>8876</v>
      </c>
      <c r="D562" s="35" t="s">
        <v>323</v>
      </c>
      <c r="E562" s="35" t="s">
        <v>10011</v>
      </c>
      <c r="F562" s="35" t="s">
        <v>8884</v>
      </c>
      <c r="G562" s="34"/>
      <c r="H562" s="35" t="s">
        <v>323</v>
      </c>
      <c r="I562" s="34"/>
      <c r="J562" s="32">
        <v>5881804.0</v>
      </c>
      <c r="K562" s="35" t="s">
        <v>41</v>
      </c>
      <c r="L562" s="37" t="str">
        <f>+972 (0)3 558 1377</f>
        <v>#ERROR!</v>
      </c>
      <c r="M562" s="37"/>
      <c r="N562" s="34"/>
      <c r="O562" s="35" t="s">
        <v>8882</v>
      </c>
      <c r="P562" s="35" t="s">
        <v>4093</v>
      </c>
      <c r="Q562" s="34"/>
      <c r="R562" s="35" t="s">
        <v>4560</v>
      </c>
      <c r="S562" s="35" t="s">
        <v>4561</v>
      </c>
      <c r="T562" s="35" t="s">
        <v>66</v>
      </c>
      <c r="U562" s="34"/>
      <c r="V562" s="35" t="s">
        <v>4562</v>
      </c>
      <c r="W562" s="35" t="s">
        <v>5750</v>
      </c>
      <c r="X562" s="35" t="s">
        <v>4923</v>
      </c>
      <c r="Y562" s="32">
        <v>325.0</v>
      </c>
      <c r="Z562" s="40" t="s">
        <v>3559</v>
      </c>
    </row>
    <row r="563">
      <c r="A563" s="42" t="s">
        <v>8893</v>
      </c>
      <c r="B563" s="42" t="s">
        <v>2389</v>
      </c>
      <c r="C563" s="42" t="s">
        <v>8889</v>
      </c>
      <c r="D563" s="42" t="s">
        <v>147</v>
      </c>
      <c r="E563" s="42" t="s">
        <v>10011</v>
      </c>
      <c r="F563" s="42" t="s">
        <v>8899</v>
      </c>
      <c r="G563" s="43"/>
      <c r="H563" s="42" t="s">
        <v>147</v>
      </c>
      <c r="I563" s="43"/>
      <c r="J563" s="41">
        <v>93385.0</v>
      </c>
      <c r="K563" s="42" t="s">
        <v>41</v>
      </c>
      <c r="L563" s="45" t="str">
        <f>+972 (0)2 673 5043</f>
        <v>#ERROR!</v>
      </c>
      <c r="M563" s="45"/>
      <c r="N563" s="43"/>
      <c r="O563" s="42" t="s">
        <v>8898</v>
      </c>
      <c r="P563" s="42" t="s">
        <v>3579</v>
      </c>
      <c r="Q563" s="43"/>
      <c r="R563" s="42" t="s">
        <v>4560</v>
      </c>
      <c r="S563" s="42" t="s">
        <v>4561</v>
      </c>
      <c r="T563" s="42" t="s">
        <v>66</v>
      </c>
      <c r="U563" s="42" t="s">
        <v>8891</v>
      </c>
      <c r="V563" s="42" t="s">
        <v>10647</v>
      </c>
      <c r="W563" s="42" t="s">
        <v>3571</v>
      </c>
      <c r="X563" s="42" t="s">
        <v>5145</v>
      </c>
      <c r="Y563" s="41">
        <v>5.0</v>
      </c>
      <c r="Z563" s="48" t="s">
        <v>3559</v>
      </c>
    </row>
    <row r="564">
      <c r="A564" s="35" t="s">
        <v>8893</v>
      </c>
      <c r="B564" s="35" t="s">
        <v>2389</v>
      </c>
      <c r="C564" s="35" t="s">
        <v>8889</v>
      </c>
      <c r="D564" s="35" t="s">
        <v>10648</v>
      </c>
      <c r="E564" s="35" t="s">
        <v>10008</v>
      </c>
      <c r="F564" s="35" t="s">
        <v>10649</v>
      </c>
      <c r="G564" s="35" t="s">
        <v>10650</v>
      </c>
      <c r="H564" s="35" t="s">
        <v>10648</v>
      </c>
      <c r="I564" s="35" t="s">
        <v>1431</v>
      </c>
      <c r="J564" s="32" t="s">
        <v>10651</v>
      </c>
      <c r="K564" s="35" t="s">
        <v>60</v>
      </c>
      <c r="L564" s="37"/>
      <c r="M564" s="37"/>
      <c r="N564" s="34"/>
      <c r="O564" s="35" t="s">
        <v>8898</v>
      </c>
      <c r="P564" s="35" t="s">
        <v>3579</v>
      </c>
      <c r="Q564" s="34"/>
      <c r="R564" s="35" t="s">
        <v>4560</v>
      </c>
      <c r="S564" s="35" t="s">
        <v>4561</v>
      </c>
      <c r="T564" s="35" t="s">
        <v>66</v>
      </c>
      <c r="U564" s="35" t="s">
        <v>8891</v>
      </c>
      <c r="V564" s="35" t="s">
        <v>10647</v>
      </c>
      <c r="W564" s="35" t="s">
        <v>3571</v>
      </c>
      <c r="X564" s="35" t="s">
        <v>5145</v>
      </c>
      <c r="Y564" s="32">
        <v>5.0</v>
      </c>
      <c r="Z564" s="40" t="s">
        <v>3559</v>
      </c>
    </row>
    <row r="565">
      <c r="A565" s="42" t="s">
        <v>8910</v>
      </c>
      <c r="B565" s="42" t="s">
        <v>8903</v>
      </c>
      <c r="C565" s="42" t="s">
        <v>8905</v>
      </c>
      <c r="D565" s="42" t="s">
        <v>323</v>
      </c>
      <c r="E565" s="42" t="s">
        <v>10011</v>
      </c>
      <c r="F565" s="42" t="s">
        <v>8914</v>
      </c>
      <c r="G565" s="43"/>
      <c r="H565" s="42" t="s">
        <v>323</v>
      </c>
      <c r="I565" s="43"/>
      <c r="J565" s="45"/>
      <c r="K565" s="42" t="s">
        <v>41</v>
      </c>
      <c r="L565" s="45"/>
      <c r="M565" s="45"/>
      <c r="N565" s="43"/>
      <c r="O565" s="42" t="s">
        <v>8913</v>
      </c>
      <c r="P565" s="42" t="s">
        <v>910</v>
      </c>
      <c r="Q565" s="43"/>
      <c r="R565" s="42" t="s">
        <v>4560</v>
      </c>
      <c r="S565" s="42" t="s">
        <v>8906</v>
      </c>
      <c r="T565" s="42" t="s">
        <v>8907</v>
      </c>
      <c r="U565" s="43"/>
      <c r="V565" s="42" t="s">
        <v>10652</v>
      </c>
      <c r="W565" s="42" t="s">
        <v>3571</v>
      </c>
      <c r="X565" s="42" t="s">
        <v>4923</v>
      </c>
      <c r="Y565" s="41">
        <v>115.0</v>
      </c>
      <c r="Z565" s="48" t="s">
        <v>3559</v>
      </c>
    </row>
    <row r="566">
      <c r="A566" s="35" t="s">
        <v>8923</v>
      </c>
      <c r="B566" s="35" t="s">
        <v>8915</v>
      </c>
      <c r="C566" s="35" t="s">
        <v>8919</v>
      </c>
      <c r="D566" s="35" t="s">
        <v>616</v>
      </c>
      <c r="E566" s="35" t="s">
        <v>10011</v>
      </c>
      <c r="F566" s="35" t="s">
        <v>8926</v>
      </c>
      <c r="G566" s="35" t="s">
        <v>8927</v>
      </c>
      <c r="H566" s="35" t="s">
        <v>616</v>
      </c>
      <c r="I566" s="34"/>
      <c r="J566" s="32">
        <v>5252247.0</v>
      </c>
      <c r="K566" s="35" t="s">
        <v>41</v>
      </c>
      <c r="L566" s="37"/>
      <c r="M566" s="37"/>
      <c r="N566" s="34"/>
      <c r="O566" s="34"/>
      <c r="P566" s="34"/>
      <c r="Q566" s="34"/>
      <c r="R566" s="35" t="s">
        <v>3563</v>
      </c>
      <c r="S566" s="35" t="s">
        <v>6667</v>
      </c>
      <c r="T566" s="35" t="s">
        <v>6668</v>
      </c>
      <c r="U566" s="35" t="s">
        <v>8921</v>
      </c>
      <c r="V566" s="35" t="s">
        <v>10653</v>
      </c>
      <c r="W566" s="35" t="s">
        <v>3571</v>
      </c>
      <c r="X566" s="35" t="s">
        <v>4962</v>
      </c>
      <c r="Y566" s="32">
        <v>19.0</v>
      </c>
      <c r="Z566" s="40" t="s">
        <v>3559</v>
      </c>
    </row>
    <row r="567">
      <c r="A567" s="42" t="s">
        <v>8937</v>
      </c>
      <c r="B567" s="42" t="s">
        <v>8932</v>
      </c>
      <c r="C567" s="42" t="s">
        <v>8934</v>
      </c>
      <c r="D567" s="42" t="s">
        <v>7892</v>
      </c>
      <c r="E567" s="42" t="s">
        <v>10011</v>
      </c>
      <c r="F567" s="43"/>
      <c r="G567" s="43"/>
      <c r="H567" s="42" t="s">
        <v>7892</v>
      </c>
      <c r="I567" s="43"/>
      <c r="J567" s="45"/>
      <c r="K567" s="42" t="s">
        <v>41</v>
      </c>
      <c r="L567" s="45" t="str">
        <f>+972 (0)52 554 5568</f>
        <v>#ERROR!</v>
      </c>
      <c r="M567" s="45"/>
      <c r="N567" s="43"/>
      <c r="O567" s="42" t="s">
        <v>8941</v>
      </c>
      <c r="P567" s="42" t="s">
        <v>8942</v>
      </c>
      <c r="Q567" s="43"/>
      <c r="R567" s="42" t="s">
        <v>3563</v>
      </c>
      <c r="S567" s="42" t="s">
        <v>3564</v>
      </c>
      <c r="T567" s="42" t="s">
        <v>3565</v>
      </c>
      <c r="U567" s="42" t="s">
        <v>5722</v>
      </c>
      <c r="V567" s="42" t="s">
        <v>10654</v>
      </c>
      <c r="W567" s="42" t="s">
        <v>3571</v>
      </c>
      <c r="X567" s="42" t="s">
        <v>4923</v>
      </c>
      <c r="Y567" s="41">
        <v>11.0</v>
      </c>
      <c r="Z567" s="48" t="s">
        <v>3559</v>
      </c>
    </row>
    <row r="568">
      <c r="A568" s="35" t="s">
        <v>8949</v>
      </c>
      <c r="B568" s="35" t="s">
        <v>8945</v>
      </c>
      <c r="C568" s="35" t="s">
        <v>8946</v>
      </c>
      <c r="D568" s="35" t="s">
        <v>6141</v>
      </c>
      <c r="E568" s="35" t="s">
        <v>10011</v>
      </c>
      <c r="F568" s="34"/>
      <c r="G568" s="34"/>
      <c r="H568" s="35" t="s">
        <v>6141</v>
      </c>
      <c r="I568" s="34"/>
      <c r="J568" s="37"/>
      <c r="K568" s="35" t="s">
        <v>41</v>
      </c>
      <c r="L568" s="37"/>
      <c r="M568" s="37"/>
      <c r="N568" s="34"/>
      <c r="O568" s="35" t="s">
        <v>8951</v>
      </c>
      <c r="P568" s="35" t="s">
        <v>8952</v>
      </c>
      <c r="Q568" s="34"/>
      <c r="R568" s="35" t="s">
        <v>4560</v>
      </c>
      <c r="S568" s="35" t="s">
        <v>6452</v>
      </c>
      <c r="T568" s="35" t="s">
        <v>6453</v>
      </c>
      <c r="U568" s="34"/>
      <c r="V568" s="35" t="s">
        <v>8947</v>
      </c>
      <c r="W568" s="35" t="s">
        <v>3571</v>
      </c>
      <c r="X568" s="35" t="s">
        <v>4389</v>
      </c>
      <c r="Y568" s="32">
        <v>5000.0</v>
      </c>
      <c r="Z568" s="40" t="s">
        <v>3559</v>
      </c>
    </row>
    <row r="569">
      <c r="A569" s="42" t="s">
        <v>8961</v>
      </c>
      <c r="B569" s="42" t="s">
        <v>8956</v>
      </c>
      <c r="C569" s="42" t="s">
        <v>8958</v>
      </c>
      <c r="D569" s="42" t="s">
        <v>10117</v>
      </c>
      <c r="E569" s="42" t="s">
        <v>10011</v>
      </c>
      <c r="F569" s="42" t="s">
        <v>8969</v>
      </c>
      <c r="G569" s="43"/>
      <c r="H569" s="42" t="s">
        <v>8970</v>
      </c>
      <c r="I569" s="43"/>
      <c r="J569" s="41">
        <v>44643.0</v>
      </c>
      <c r="K569" s="42" t="s">
        <v>41</v>
      </c>
      <c r="L569" s="45" t="str">
        <f>+972 (0)9 763 3300</f>
        <v>#ERROR!</v>
      </c>
      <c r="M569" s="45" t="str">
        <f>+972 (0)9 766 3394</f>
        <v>#ERROR!</v>
      </c>
      <c r="N569" s="42" t="s">
        <v>8971</v>
      </c>
      <c r="O569" s="42" t="s">
        <v>8966</v>
      </c>
      <c r="P569" s="42" t="s">
        <v>5973</v>
      </c>
      <c r="Q569" s="43"/>
      <c r="R569" s="42" t="s">
        <v>3867</v>
      </c>
      <c r="S569" s="42" t="s">
        <v>4199</v>
      </c>
      <c r="T569" s="42" t="s">
        <v>4414</v>
      </c>
      <c r="U569" s="43"/>
      <c r="V569" s="42" t="s">
        <v>10655</v>
      </c>
      <c r="W569" s="42" t="s">
        <v>3571</v>
      </c>
      <c r="X569" s="42" t="s">
        <v>5075</v>
      </c>
      <c r="Y569" s="41">
        <v>21.0</v>
      </c>
      <c r="Z569" s="48" t="s">
        <v>3559</v>
      </c>
    </row>
    <row r="570">
      <c r="A570" s="35" t="s">
        <v>8982</v>
      </c>
      <c r="B570" s="35" t="s">
        <v>8978</v>
      </c>
      <c r="C570" s="35" t="s">
        <v>8980</v>
      </c>
      <c r="D570" s="35" t="s">
        <v>147</v>
      </c>
      <c r="E570" s="35" t="s">
        <v>10011</v>
      </c>
      <c r="F570" s="35" t="s">
        <v>8984</v>
      </c>
      <c r="G570" s="34"/>
      <c r="H570" s="35" t="s">
        <v>147</v>
      </c>
      <c r="I570" s="34"/>
      <c r="J570" s="32">
        <v>9342142.0</v>
      </c>
      <c r="K570" s="35" t="s">
        <v>41</v>
      </c>
      <c r="L570" s="37"/>
      <c r="M570" s="37"/>
      <c r="N570" s="34"/>
      <c r="O570" s="34"/>
      <c r="P570" s="34"/>
      <c r="Q570" s="34"/>
      <c r="R570" s="35" t="s">
        <v>3867</v>
      </c>
      <c r="S570" s="35" t="s">
        <v>3868</v>
      </c>
      <c r="T570" s="35" t="s">
        <v>3869</v>
      </c>
      <c r="U570" s="34"/>
      <c r="V570" s="35" t="s">
        <v>10363</v>
      </c>
      <c r="W570" s="35" t="s">
        <v>3571</v>
      </c>
      <c r="X570" s="35" t="s">
        <v>4962</v>
      </c>
      <c r="Y570" s="37"/>
      <c r="Z570" s="40" t="s">
        <v>3559</v>
      </c>
    </row>
    <row r="571">
      <c r="A571" s="42" t="s">
        <v>8995</v>
      </c>
      <c r="B571" s="42" t="s">
        <v>8987</v>
      </c>
      <c r="C571" s="42" t="s">
        <v>8990</v>
      </c>
      <c r="D571" s="42" t="s">
        <v>10117</v>
      </c>
      <c r="E571" s="42" t="s">
        <v>10008</v>
      </c>
      <c r="F571" s="42" t="s">
        <v>10656</v>
      </c>
      <c r="G571" s="43"/>
      <c r="H571" s="42" t="s">
        <v>4720</v>
      </c>
      <c r="I571" s="43"/>
      <c r="J571" s="45"/>
      <c r="K571" s="42" t="s">
        <v>41</v>
      </c>
      <c r="L571" s="45" t="str">
        <f>+972 (0)52 428 9660</f>
        <v>#ERROR!</v>
      </c>
      <c r="M571" s="45"/>
      <c r="N571" s="42" t="s">
        <v>9004</v>
      </c>
      <c r="O571" s="42" t="s">
        <v>9000</v>
      </c>
      <c r="P571" s="42" t="s">
        <v>4397</v>
      </c>
      <c r="Q571" s="43"/>
      <c r="R571" s="42" t="s">
        <v>3563</v>
      </c>
      <c r="S571" s="42" t="s">
        <v>3609</v>
      </c>
      <c r="T571" s="42" t="s">
        <v>3610</v>
      </c>
      <c r="U571" s="42" t="s">
        <v>8992</v>
      </c>
      <c r="V571" s="42" t="s">
        <v>10657</v>
      </c>
      <c r="W571" s="42" t="s">
        <v>3571</v>
      </c>
      <c r="X571" s="42" t="s">
        <v>8994</v>
      </c>
      <c r="Y571" s="41">
        <v>4.0</v>
      </c>
      <c r="Z571" s="48" t="s">
        <v>3559</v>
      </c>
    </row>
    <row r="572">
      <c r="A572" s="35" t="s">
        <v>8995</v>
      </c>
      <c r="B572" s="35" t="s">
        <v>8987</v>
      </c>
      <c r="C572" s="35" t="s">
        <v>8990</v>
      </c>
      <c r="D572" s="35" t="s">
        <v>9003</v>
      </c>
      <c r="E572" s="35" t="s">
        <v>10011</v>
      </c>
      <c r="F572" s="34"/>
      <c r="G572" s="34"/>
      <c r="H572" s="35" t="s">
        <v>9003</v>
      </c>
      <c r="I572" s="34"/>
      <c r="J572" s="37"/>
      <c r="K572" s="35" t="s">
        <v>41</v>
      </c>
      <c r="L572" s="37" t="str">
        <f>+972 (0)52 428 9660</f>
        <v>#ERROR!</v>
      </c>
      <c r="M572" s="37"/>
      <c r="N572" s="35" t="s">
        <v>9004</v>
      </c>
      <c r="O572" s="35" t="s">
        <v>9000</v>
      </c>
      <c r="P572" s="35" t="s">
        <v>4397</v>
      </c>
      <c r="Q572" s="34"/>
      <c r="R572" s="35" t="s">
        <v>3563</v>
      </c>
      <c r="S572" s="35" t="s">
        <v>3609</v>
      </c>
      <c r="T572" s="35" t="s">
        <v>3610</v>
      </c>
      <c r="U572" s="35" t="s">
        <v>8992</v>
      </c>
      <c r="V572" s="35" t="s">
        <v>10657</v>
      </c>
      <c r="W572" s="35" t="s">
        <v>3571</v>
      </c>
      <c r="X572" s="35" t="s">
        <v>8994</v>
      </c>
      <c r="Y572" s="32">
        <v>4.0</v>
      </c>
      <c r="Z572" s="40" t="s">
        <v>3559</v>
      </c>
    </row>
    <row r="573">
      <c r="A573" s="42" t="s">
        <v>9011</v>
      </c>
      <c r="B573" s="42" t="s">
        <v>3013</v>
      </c>
      <c r="C573" s="42" t="s">
        <v>9010</v>
      </c>
      <c r="D573" s="42" t="s">
        <v>722</v>
      </c>
      <c r="E573" s="42" t="s">
        <v>10011</v>
      </c>
      <c r="F573" s="42" t="s">
        <v>9015</v>
      </c>
      <c r="G573" s="43"/>
      <c r="H573" s="42" t="s">
        <v>722</v>
      </c>
      <c r="I573" s="43"/>
      <c r="J573" s="45"/>
      <c r="K573" s="42" t="s">
        <v>41</v>
      </c>
      <c r="L573" s="45" t="str">
        <f>+972 (0)50 388 8885</f>
        <v>#ERROR!</v>
      </c>
      <c r="M573" s="45"/>
      <c r="N573" s="42" t="s">
        <v>3016</v>
      </c>
      <c r="O573" s="43"/>
      <c r="P573" s="43"/>
      <c r="Q573" s="43"/>
      <c r="R573" s="42" t="s">
        <v>4560</v>
      </c>
      <c r="S573" s="42" t="s">
        <v>4561</v>
      </c>
      <c r="T573" s="42" t="s">
        <v>66</v>
      </c>
      <c r="U573" s="43"/>
      <c r="V573" s="42" t="s">
        <v>4562</v>
      </c>
      <c r="W573" s="43"/>
      <c r="X573" s="42" t="s">
        <v>4923</v>
      </c>
      <c r="Y573" s="41">
        <v>4.0</v>
      </c>
      <c r="Z573" s="48" t="s">
        <v>3559</v>
      </c>
    </row>
    <row r="574">
      <c r="A574" s="35" t="s">
        <v>9022</v>
      </c>
      <c r="B574" s="35" t="s">
        <v>9018</v>
      </c>
      <c r="C574" s="35" t="s">
        <v>9020</v>
      </c>
      <c r="D574" s="35" t="s">
        <v>75</v>
      </c>
      <c r="E574" s="35" t="s">
        <v>10011</v>
      </c>
      <c r="F574" s="34"/>
      <c r="G574" s="34"/>
      <c r="H574" s="35" t="s">
        <v>75</v>
      </c>
      <c r="I574" s="34"/>
      <c r="J574" s="37"/>
      <c r="K574" s="35" t="s">
        <v>41</v>
      </c>
      <c r="L574" s="37"/>
      <c r="M574" s="37"/>
      <c r="N574" s="34"/>
      <c r="O574" s="34"/>
      <c r="P574" s="34"/>
      <c r="Q574" s="34"/>
      <c r="R574" s="35" t="s">
        <v>4560</v>
      </c>
      <c r="S574" s="35" t="s">
        <v>4561</v>
      </c>
      <c r="T574" s="35" t="s">
        <v>66</v>
      </c>
      <c r="U574" s="35" t="s">
        <v>7960</v>
      </c>
      <c r="V574" s="35" t="s">
        <v>4562</v>
      </c>
      <c r="W574" s="35" t="s">
        <v>5222</v>
      </c>
      <c r="X574" s="35" t="s">
        <v>4923</v>
      </c>
      <c r="Y574" s="37"/>
      <c r="Z574" s="40" t="s">
        <v>3559</v>
      </c>
    </row>
    <row r="575">
      <c r="A575" s="42" t="s">
        <v>9029</v>
      </c>
      <c r="B575" s="42" t="s">
        <v>9024</v>
      </c>
      <c r="C575" s="42" t="s">
        <v>9026</v>
      </c>
      <c r="D575" s="42" t="s">
        <v>183</v>
      </c>
      <c r="E575" s="42" t="s">
        <v>10011</v>
      </c>
      <c r="F575" s="43"/>
      <c r="G575" s="43"/>
      <c r="H575" s="42" t="s">
        <v>183</v>
      </c>
      <c r="I575" s="43"/>
      <c r="J575" s="45"/>
      <c r="K575" s="42" t="s">
        <v>41</v>
      </c>
      <c r="L575" s="45"/>
      <c r="M575" s="45"/>
      <c r="N575" s="43"/>
      <c r="O575" s="43"/>
      <c r="P575" s="43"/>
      <c r="Q575" s="43"/>
      <c r="R575" s="42" t="s">
        <v>3563</v>
      </c>
      <c r="S575" s="42" t="s">
        <v>3609</v>
      </c>
      <c r="T575" s="42" t="s">
        <v>4050</v>
      </c>
      <c r="U575" s="42" t="s">
        <v>8495</v>
      </c>
      <c r="V575" s="42" t="s">
        <v>10658</v>
      </c>
      <c r="W575" s="42" t="s">
        <v>5222</v>
      </c>
      <c r="X575" s="42" t="s">
        <v>5481</v>
      </c>
      <c r="Y575" s="45"/>
      <c r="Z575" s="48" t="s">
        <v>3559</v>
      </c>
    </row>
    <row r="576">
      <c r="A576" s="35" t="s">
        <v>9041</v>
      </c>
      <c r="B576" s="35" t="s">
        <v>9034</v>
      </c>
      <c r="C576" s="35" t="s">
        <v>9037</v>
      </c>
      <c r="D576" s="35" t="s">
        <v>9050</v>
      </c>
      <c r="E576" s="35" t="s">
        <v>10011</v>
      </c>
      <c r="F576" s="35" t="s">
        <v>9049</v>
      </c>
      <c r="G576" s="34"/>
      <c r="H576" s="35" t="s">
        <v>9050</v>
      </c>
      <c r="I576" s="34"/>
      <c r="J576" s="37"/>
      <c r="K576" s="35" t="s">
        <v>41</v>
      </c>
      <c r="L576" s="37" t="str">
        <f>+972 (0)79 910 6699</f>
        <v>#ERROR!</v>
      </c>
      <c r="M576" s="37"/>
      <c r="N576" s="34"/>
      <c r="O576" s="35" t="s">
        <v>10659</v>
      </c>
      <c r="P576" s="35" t="s">
        <v>4397</v>
      </c>
      <c r="Q576" s="34"/>
      <c r="R576" s="35" t="s">
        <v>4560</v>
      </c>
      <c r="S576" s="35" t="s">
        <v>6034</v>
      </c>
      <c r="T576" s="35" t="s">
        <v>6035</v>
      </c>
      <c r="U576" s="35" t="s">
        <v>9039</v>
      </c>
      <c r="V576" s="35" t="s">
        <v>10660</v>
      </c>
      <c r="W576" s="35" t="s">
        <v>3571</v>
      </c>
      <c r="X576" s="35" t="s">
        <v>4923</v>
      </c>
      <c r="Y576" s="32">
        <v>8.0</v>
      </c>
      <c r="Z576" s="40" t="s">
        <v>3559</v>
      </c>
    </row>
    <row r="577">
      <c r="A577" s="42" t="s">
        <v>9061</v>
      </c>
      <c r="B577" s="42" t="s">
        <v>9055</v>
      </c>
      <c r="C577" s="42" t="s">
        <v>9058</v>
      </c>
      <c r="D577" s="42" t="s">
        <v>75</v>
      </c>
      <c r="E577" s="42" t="s">
        <v>10011</v>
      </c>
      <c r="F577" s="42" t="s">
        <v>9063</v>
      </c>
      <c r="G577" s="43"/>
      <c r="H577" s="42" t="s">
        <v>75</v>
      </c>
      <c r="I577" s="43"/>
      <c r="J577" s="45"/>
      <c r="K577" s="42" t="s">
        <v>41</v>
      </c>
      <c r="L577" s="45"/>
      <c r="M577" s="45"/>
      <c r="N577" s="43"/>
      <c r="O577" s="43"/>
      <c r="P577" s="43"/>
      <c r="Q577" s="43"/>
      <c r="R577" s="42" t="s">
        <v>3867</v>
      </c>
      <c r="S577" s="42" t="s">
        <v>3897</v>
      </c>
      <c r="T577" s="42" t="s">
        <v>3898</v>
      </c>
      <c r="U577" s="42" t="s">
        <v>9059</v>
      </c>
      <c r="V577" s="42" t="s">
        <v>10413</v>
      </c>
      <c r="W577" s="42" t="s">
        <v>3571</v>
      </c>
      <c r="X577" s="42" t="s">
        <v>5018</v>
      </c>
      <c r="Y577" s="45"/>
      <c r="Z577" s="48" t="s">
        <v>3559</v>
      </c>
    </row>
    <row r="578">
      <c r="A578" s="35" t="s">
        <v>9074</v>
      </c>
      <c r="B578" s="35" t="s">
        <v>9069</v>
      </c>
      <c r="C578" s="35" t="s">
        <v>9072</v>
      </c>
      <c r="D578" s="35" t="s">
        <v>246</v>
      </c>
      <c r="E578" s="35" t="s">
        <v>10011</v>
      </c>
      <c r="F578" s="35" t="s">
        <v>9076</v>
      </c>
      <c r="G578" s="35" t="s">
        <v>6318</v>
      </c>
      <c r="H578" s="35" t="s">
        <v>246</v>
      </c>
      <c r="I578" s="34"/>
      <c r="J578" s="32">
        <v>70100.0</v>
      </c>
      <c r="K578" s="35" t="s">
        <v>41</v>
      </c>
      <c r="L578" s="37" t="str">
        <f>+972 (0)3 977 1131</f>
        <v>#ERROR!</v>
      </c>
      <c r="M578" s="37" t="str">
        <f>+972 (0)3 972 1371</f>
        <v>#ERROR!</v>
      </c>
      <c r="N578" s="35" t="s">
        <v>9077</v>
      </c>
      <c r="O578" s="34"/>
      <c r="P578" s="34"/>
      <c r="Q578" s="34"/>
      <c r="R578" s="35" t="s">
        <v>3867</v>
      </c>
      <c r="S578" s="35" t="s">
        <v>3868</v>
      </c>
      <c r="T578" s="35" t="s">
        <v>5057</v>
      </c>
      <c r="U578" s="35" t="s">
        <v>5736</v>
      </c>
      <c r="V578" s="35" t="s">
        <v>10661</v>
      </c>
      <c r="W578" s="35" t="s">
        <v>3571</v>
      </c>
      <c r="X578" s="35" t="s">
        <v>5944</v>
      </c>
      <c r="Y578" s="37"/>
      <c r="Z578" s="40" t="s">
        <v>3559</v>
      </c>
    </row>
    <row r="579">
      <c r="A579" s="42" t="s">
        <v>9090</v>
      </c>
      <c r="B579" s="42" t="s">
        <v>9084</v>
      </c>
      <c r="C579" s="42" t="s">
        <v>9087</v>
      </c>
      <c r="D579" s="42" t="s">
        <v>298</v>
      </c>
      <c r="E579" s="42" t="s">
        <v>10011</v>
      </c>
      <c r="F579" s="42" t="s">
        <v>9097</v>
      </c>
      <c r="G579" s="43"/>
      <c r="H579" s="42" t="s">
        <v>298</v>
      </c>
      <c r="I579" s="43"/>
      <c r="J579" s="45"/>
      <c r="K579" s="42" t="s">
        <v>41</v>
      </c>
      <c r="L579" s="45"/>
      <c r="M579" s="45"/>
      <c r="N579" s="43"/>
      <c r="O579" s="42" t="s">
        <v>9095</v>
      </c>
      <c r="P579" s="42" t="s">
        <v>4093</v>
      </c>
      <c r="Q579" s="43"/>
      <c r="R579" s="42" t="s">
        <v>4560</v>
      </c>
      <c r="S579" s="42" t="s">
        <v>4561</v>
      </c>
      <c r="T579" s="42" t="s">
        <v>66</v>
      </c>
      <c r="U579" s="43"/>
      <c r="V579" s="42" t="s">
        <v>10662</v>
      </c>
      <c r="W579" s="42" t="s">
        <v>3571</v>
      </c>
      <c r="X579" s="42" t="s">
        <v>4389</v>
      </c>
      <c r="Y579" s="41">
        <v>23.0</v>
      </c>
      <c r="Z579" s="48" t="s">
        <v>3559</v>
      </c>
    </row>
    <row r="580">
      <c r="A580" s="35" t="s">
        <v>9113</v>
      </c>
      <c r="B580" s="35" t="s">
        <v>10663</v>
      </c>
      <c r="C580" s="35" t="s">
        <v>9111</v>
      </c>
      <c r="D580" s="35" t="s">
        <v>9123</v>
      </c>
      <c r="E580" s="35" t="s">
        <v>10011</v>
      </c>
      <c r="F580" s="35" t="s">
        <v>9121</v>
      </c>
      <c r="G580" s="35" t="s">
        <v>9122</v>
      </c>
      <c r="H580" s="35" t="s">
        <v>9123</v>
      </c>
      <c r="I580" s="34"/>
      <c r="J580" s="32">
        <v>1812001.0</v>
      </c>
      <c r="K580" s="35" t="s">
        <v>41</v>
      </c>
      <c r="L580" s="37" t="str">
        <f>+972 (0)73 226 7300</f>
        <v>#ERROR!</v>
      </c>
      <c r="M580" s="37" t="str">
        <f>+972 (0)4 642 6222</f>
        <v>#ERROR!</v>
      </c>
      <c r="N580" s="35" t="s">
        <v>9124</v>
      </c>
      <c r="O580" s="35" t="s">
        <v>9118</v>
      </c>
      <c r="P580" s="35" t="s">
        <v>9119</v>
      </c>
      <c r="Q580" s="34"/>
      <c r="R580" s="35" t="s">
        <v>3867</v>
      </c>
      <c r="S580" s="35" t="s">
        <v>3868</v>
      </c>
      <c r="T580" s="35" t="s">
        <v>3869</v>
      </c>
      <c r="U580" s="35" t="s">
        <v>4986</v>
      </c>
      <c r="V580" s="35" t="s">
        <v>4024</v>
      </c>
      <c r="W580" s="35" t="s">
        <v>5750</v>
      </c>
      <c r="X580" s="35" t="s">
        <v>5075</v>
      </c>
      <c r="Y580" s="32">
        <v>153.0</v>
      </c>
      <c r="Z580" s="40" t="s">
        <v>3559</v>
      </c>
    </row>
    <row r="581">
      <c r="A581" s="42" t="s">
        <v>9136</v>
      </c>
      <c r="B581" s="42" t="s">
        <v>9131</v>
      </c>
      <c r="C581" s="42" t="s">
        <v>9133</v>
      </c>
      <c r="D581" s="42" t="s">
        <v>485</v>
      </c>
      <c r="E581" s="42" t="s">
        <v>10011</v>
      </c>
      <c r="F581" s="42" t="s">
        <v>9138</v>
      </c>
      <c r="G581" s="43"/>
      <c r="H581" s="42" t="s">
        <v>485</v>
      </c>
      <c r="I581" s="43"/>
      <c r="J581" s="45"/>
      <c r="K581" s="42" t="s">
        <v>41</v>
      </c>
      <c r="L581" s="45"/>
      <c r="M581" s="45"/>
      <c r="N581" s="42" t="s">
        <v>9139</v>
      </c>
      <c r="O581" s="43"/>
      <c r="P581" s="43"/>
      <c r="Q581" s="43"/>
      <c r="R581" s="42" t="s">
        <v>3563</v>
      </c>
      <c r="S581" s="42" t="s">
        <v>3564</v>
      </c>
      <c r="T581" s="42" t="s">
        <v>3565</v>
      </c>
      <c r="U581" s="42" t="s">
        <v>9134</v>
      </c>
      <c r="V581" s="42" t="s">
        <v>5929</v>
      </c>
      <c r="W581" s="42" t="s">
        <v>5222</v>
      </c>
      <c r="X581" s="42" t="s">
        <v>5481</v>
      </c>
      <c r="Y581" s="45"/>
      <c r="Z581" s="48" t="s">
        <v>3559</v>
      </c>
    </row>
    <row r="582">
      <c r="A582" s="35" t="s">
        <v>9148</v>
      </c>
      <c r="B582" s="35" t="s">
        <v>9144</v>
      </c>
      <c r="C582" s="35" t="s">
        <v>9145</v>
      </c>
      <c r="D582" s="35" t="s">
        <v>75</v>
      </c>
      <c r="E582" s="35" t="s">
        <v>10011</v>
      </c>
      <c r="F582" s="35" t="s">
        <v>9154</v>
      </c>
      <c r="G582" s="34"/>
      <c r="H582" s="35" t="s">
        <v>75</v>
      </c>
      <c r="I582" s="34"/>
      <c r="J582" s="32">
        <v>6423904.0</v>
      </c>
      <c r="K582" s="35" t="s">
        <v>41</v>
      </c>
      <c r="L582" s="37"/>
      <c r="M582" s="37"/>
      <c r="N582" s="34"/>
      <c r="O582" s="35" t="s">
        <v>9152</v>
      </c>
      <c r="P582" s="35" t="s">
        <v>4930</v>
      </c>
      <c r="Q582" s="34"/>
      <c r="R582" s="35" t="s">
        <v>3563</v>
      </c>
      <c r="S582" s="35" t="s">
        <v>3564</v>
      </c>
      <c r="T582" s="35" t="s">
        <v>3565</v>
      </c>
      <c r="U582" s="35" t="s">
        <v>9146</v>
      </c>
      <c r="V582" s="35" t="s">
        <v>10300</v>
      </c>
      <c r="W582" s="35" t="s">
        <v>3571</v>
      </c>
      <c r="X582" s="35" t="s">
        <v>4923</v>
      </c>
      <c r="Y582" s="37"/>
      <c r="Z582" s="40" t="s">
        <v>3559</v>
      </c>
    </row>
    <row r="583">
      <c r="A583" s="42" t="s">
        <v>9161</v>
      </c>
      <c r="B583" s="42" t="s">
        <v>9156</v>
      </c>
      <c r="C583" s="42" t="s">
        <v>9158</v>
      </c>
      <c r="D583" s="42" t="s">
        <v>452</v>
      </c>
      <c r="E583" s="42" t="s">
        <v>10008</v>
      </c>
      <c r="F583" s="42" t="s">
        <v>10664</v>
      </c>
      <c r="G583" s="43"/>
      <c r="H583" s="42" t="s">
        <v>452</v>
      </c>
      <c r="I583" s="43"/>
      <c r="J583" s="45"/>
      <c r="K583" s="42" t="s">
        <v>41</v>
      </c>
      <c r="L583" s="45"/>
      <c r="M583" s="45"/>
      <c r="N583" s="42" t="s">
        <v>9165</v>
      </c>
      <c r="O583" s="43"/>
      <c r="P583" s="43"/>
      <c r="Q583" s="43"/>
      <c r="R583" s="42" t="s">
        <v>4560</v>
      </c>
      <c r="S583" s="42" t="s">
        <v>4561</v>
      </c>
      <c r="T583" s="42" t="s">
        <v>66</v>
      </c>
      <c r="U583" s="42" t="s">
        <v>9159</v>
      </c>
      <c r="V583" s="42" t="s">
        <v>10469</v>
      </c>
      <c r="W583" s="42" t="s">
        <v>5222</v>
      </c>
      <c r="X583" s="42" t="s">
        <v>5018</v>
      </c>
      <c r="Y583" s="41">
        <v>3.0</v>
      </c>
      <c r="Z583" s="48" t="s">
        <v>3559</v>
      </c>
    </row>
    <row r="584">
      <c r="A584" s="35" t="s">
        <v>9161</v>
      </c>
      <c r="B584" s="35" t="s">
        <v>9156</v>
      </c>
      <c r="C584" s="35" t="s">
        <v>9158</v>
      </c>
      <c r="D584" s="35" t="s">
        <v>75</v>
      </c>
      <c r="E584" s="35" t="s">
        <v>10011</v>
      </c>
      <c r="F584" s="35" t="s">
        <v>9164</v>
      </c>
      <c r="G584" s="34"/>
      <c r="H584" s="35" t="s">
        <v>75</v>
      </c>
      <c r="I584" s="34"/>
      <c r="J584" s="32">
        <v>71724.0</v>
      </c>
      <c r="K584" s="35" t="s">
        <v>41</v>
      </c>
      <c r="L584" s="37"/>
      <c r="M584" s="37"/>
      <c r="N584" s="35" t="s">
        <v>9165</v>
      </c>
      <c r="O584" s="34"/>
      <c r="P584" s="34"/>
      <c r="Q584" s="34"/>
      <c r="R584" s="35" t="s">
        <v>4560</v>
      </c>
      <c r="S584" s="35" t="s">
        <v>4561</v>
      </c>
      <c r="T584" s="35" t="s">
        <v>66</v>
      </c>
      <c r="U584" s="35" t="s">
        <v>9159</v>
      </c>
      <c r="V584" s="35" t="s">
        <v>10469</v>
      </c>
      <c r="W584" s="35" t="s">
        <v>5222</v>
      </c>
      <c r="X584" s="35" t="s">
        <v>5018</v>
      </c>
      <c r="Y584" s="32">
        <v>3.0</v>
      </c>
      <c r="Z584" s="40" t="s">
        <v>3559</v>
      </c>
    </row>
    <row r="585">
      <c r="A585" s="42" t="s">
        <v>9177</v>
      </c>
      <c r="B585" s="42" t="s">
        <v>9172</v>
      </c>
      <c r="C585" s="42" t="s">
        <v>9174</v>
      </c>
      <c r="D585" s="42" t="s">
        <v>75</v>
      </c>
      <c r="E585" s="42" t="s">
        <v>10011</v>
      </c>
      <c r="F585" s="42" t="s">
        <v>9182</v>
      </c>
      <c r="G585" s="43"/>
      <c r="H585" s="42" t="s">
        <v>75</v>
      </c>
      <c r="I585" s="43"/>
      <c r="J585" s="45"/>
      <c r="K585" s="42" t="s">
        <v>41</v>
      </c>
      <c r="L585" s="45"/>
      <c r="M585" s="45"/>
      <c r="N585" s="43"/>
      <c r="O585" s="42" t="s">
        <v>9180</v>
      </c>
      <c r="P585" s="42" t="s">
        <v>265</v>
      </c>
      <c r="Q585" s="43"/>
      <c r="R585" s="42" t="s">
        <v>3563</v>
      </c>
      <c r="S585" s="42" t="s">
        <v>3564</v>
      </c>
      <c r="T585" s="42" t="s">
        <v>7458</v>
      </c>
      <c r="U585" s="42" t="s">
        <v>6037</v>
      </c>
      <c r="V585" s="42" t="s">
        <v>10665</v>
      </c>
      <c r="W585" s="42" t="s">
        <v>3571</v>
      </c>
      <c r="X585" s="42" t="s">
        <v>4923</v>
      </c>
      <c r="Y585" s="45"/>
      <c r="Z585" s="48" t="s">
        <v>3559</v>
      </c>
    </row>
    <row r="586">
      <c r="A586" s="35" t="s">
        <v>9188</v>
      </c>
      <c r="B586" s="35" t="s">
        <v>2086</v>
      </c>
      <c r="C586" s="35" t="s">
        <v>9185</v>
      </c>
      <c r="D586" s="35" t="s">
        <v>2091</v>
      </c>
      <c r="E586" s="35" t="s">
        <v>10011</v>
      </c>
      <c r="F586" s="35" t="s">
        <v>9198</v>
      </c>
      <c r="G586" s="34"/>
      <c r="H586" s="35" t="s">
        <v>2091</v>
      </c>
      <c r="I586" s="34"/>
      <c r="J586" s="32">
        <v>88000.0</v>
      </c>
      <c r="K586" s="35" t="s">
        <v>41</v>
      </c>
      <c r="L586" s="37" t="str">
        <f>+972 (0)77 970 9090</f>
        <v>#ERROR!</v>
      </c>
      <c r="M586" s="37"/>
      <c r="N586" s="35" t="s">
        <v>2092</v>
      </c>
      <c r="O586" s="35" t="s">
        <v>9194</v>
      </c>
      <c r="P586" s="35" t="s">
        <v>9195</v>
      </c>
      <c r="Q586" s="34"/>
      <c r="R586" s="35" t="s">
        <v>3867</v>
      </c>
      <c r="S586" s="35" t="s">
        <v>3897</v>
      </c>
      <c r="T586" s="35" t="s">
        <v>3898</v>
      </c>
      <c r="U586" s="35" t="s">
        <v>9186</v>
      </c>
      <c r="V586" s="35" t="s">
        <v>10413</v>
      </c>
      <c r="W586" s="35" t="s">
        <v>3571</v>
      </c>
      <c r="X586" s="35" t="s">
        <v>5018</v>
      </c>
      <c r="Y586" s="32">
        <v>38.0</v>
      </c>
      <c r="Z586" s="40" t="s">
        <v>3559</v>
      </c>
    </row>
    <row r="587">
      <c r="A587" s="42" t="s">
        <v>9188</v>
      </c>
      <c r="B587" s="42" t="s">
        <v>2086</v>
      </c>
      <c r="C587" s="42" t="s">
        <v>9185</v>
      </c>
      <c r="D587" s="42" t="s">
        <v>10666</v>
      </c>
      <c r="E587" s="42" t="s">
        <v>10008</v>
      </c>
      <c r="F587" s="42" t="s">
        <v>10667</v>
      </c>
      <c r="G587" s="43"/>
      <c r="H587" s="42" t="s">
        <v>10666</v>
      </c>
      <c r="I587" s="43"/>
      <c r="J587" s="41">
        <v>620111.0</v>
      </c>
      <c r="K587" s="42" t="s">
        <v>10668</v>
      </c>
      <c r="L587" s="45" t="str">
        <f>+40 (0)31 229 6819</f>
        <v>#ERROR!</v>
      </c>
      <c r="M587" s="45"/>
      <c r="N587" s="42" t="s">
        <v>10669</v>
      </c>
      <c r="O587" s="42" t="s">
        <v>9194</v>
      </c>
      <c r="P587" s="42" t="s">
        <v>9195</v>
      </c>
      <c r="Q587" s="43"/>
      <c r="R587" s="42" t="s">
        <v>3867</v>
      </c>
      <c r="S587" s="42" t="s">
        <v>3897</v>
      </c>
      <c r="T587" s="42" t="s">
        <v>3898</v>
      </c>
      <c r="U587" s="42" t="s">
        <v>9186</v>
      </c>
      <c r="V587" s="42" t="s">
        <v>10413</v>
      </c>
      <c r="W587" s="42" t="s">
        <v>3571</v>
      </c>
      <c r="X587" s="42" t="s">
        <v>5018</v>
      </c>
      <c r="Y587" s="41">
        <v>38.0</v>
      </c>
      <c r="Z587" s="48" t="s">
        <v>3559</v>
      </c>
    </row>
    <row r="588">
      <c r="A588" s="35" t="s">
        <v>9188</v>
      </c>
      <c r="B588" s="35" t="s">
        <v>2086</v>
      </c>
      <c r="C588" s="35" t="s">
        <v>9185</v>
      </c>
      <c r="D588" s="35" t="s">
        <v>10670</v>
      </c>
      <c r="E588" s="35" t="s">
        <v>10008</v>
      </c>
      <c r="F588" s="35" t="s">
        <v>10671</v>
      </c>
      <c r="G588" s="34"/>
      <c r="H588" s="35" t="s">
        <v>10670</v>
      </c>
      <c r="I588" s="34"/>
      <c r="J588" s="32">
        <v>92200.0</v>
      </c>
      <c r="K588" s="35" t="s">
        <v>3209</v>
      </c>
      <c r="L588" s="37" t="str">
        <f>+33 (0)1 86 96 99 99</f>
        <v>#ERROR!</v>
      </c>
      <c r="M588" s="37"/>
      <c r="N588" s="35" t="s">
        <v>2092</v>
      </c>
      <c r="O588" s="35" t="s">
        <v>9194</v>
      </c>
      <c r="P588" s="35" t="s">
        <v>9195</v>
      </c>
      <c r="Q588" s="34"/>
      <c r="R588" s="35" t="s">
        <v>3867</v>
      </c>
      <c r="S588" s="35" t="s">
        <v>3897</v>
      </c>
      <c r="T588" s="35" t="s">
        <v>3898</v>
      </c>
      <c r="U588" s="35" t="s">
        <v>9186</v>
      </c>
      <c r="V588" s="35" t="s">
        <v>10413</v>
      </c>
      <c r="W588" s="35" t="s">
        <v>3571</v>
      </c>
      <c r="X588" s="35" t="s">
        <v>5018</v>
      </c>
      <c r="Y588" s="32">
        <v>38.0</v>
      </c>
      <c r="Z588" s="40" t="s">
        <v>3559</v>
      </c>
    </row>
    <row r="589">
      <c r="A589" s="42" t="s">
        <v>9188</v>
      </c>
      <c r="B589" s="42" t="s">
        <v>2086</v>
      </c>
      <c r="C589" s="42" t="s">
        <v>9185</v>
      </c>
      <c r="D589" s="42" t="s">
        <v>10672</v>
      </c>
      <c r="E589" s="42" t="s">
        <v>10008</v>
      </c>
      <c r="F589" s="42" t="s">
        <v>10673</v>
      </c>
      <c r="G589" s="42" t="s">
        <v>10674</v>
      </c>
      <c r="H589" s="42" t="s">
        <v>10672</v>
      </c>
      <c r="I589" s="43"/>
      <c r="J589" s="41">
        <v>110058.0</v>
      </c>
      <c r="K589" s="42" t="s">
        <v>10668</v>
      </c>
      <c r="L589" s="45" t="str">
        <f>+40 (0)72 367 7543</f>
        <v>#ERROR!</v>
      </c>
      <c r="M589" s="45"/>
      <c r="N589" s="42" t="s">
        <v>2092</v>
      </c>
      <c r="O589" s="42" t="s">
        <v>9194</v>
      </c>
      <c r="P589" s="42" t="s">
        <v>9195</v>
      </c>
      <c r="Q589" s="43"/>
      <c r="R589" s="42" t="s">
        <v>3867</v>
      </c>
      <c r="S589" s="42" t="s">
        <v>3897</v>
      </c>
      <c r="T589" s="42" t="s">
        <v>3898</v>
      </c>
      <c r="U589" s="42" t="s">
        <v>9186</v>
      </c>
      <c r="V589" s="42" t="s">
        <v>10413</v>
      </c>
      <c r="W589" s="42" t="s">
        <v>3571</v>
      </c>
      <c r="X589" s="42" t="s">
        <v>5018</v>
      </c>
      <c r="Y589" s="41">
        <v>38.0</v>
      </c>
      <c r="Z589" s="48" t="s">
        <v>3559</v>
      </c>
    </row>
    <row r="590">
      <c r="A590" s="35" t="s">
        <v>9188</v>
      </c>
      <c r="B590" s="35" t="s">
        <v>2086</v>
      </c>
      <c r="C590" s="35" t="s">
        <v>9185</v>
      </c>
      <c r="D590" s="35" t="s">
        <v>10073</v>
      </c>
      <c r="E590" s="35" t="s">
        <v>10008</v>
      </c>
      <c r="F590" s="34"/>
      <c r="G590" s="34"/>
      <c r="H590" s="34"/>
      <c r="I590" s="34"/>
      <c r="J590" s="37"/>
      <c r="K590" s="35" t="s">
        <v>10073</v>
      </c>
      <c r="L590" s="37"/>
      <c r="M590" s="37"/>
      <c r="N590" s="35" t="s">
        <v>2092</v>
      </c>
      <c r="O590" s="35" t="s">
        <v>9194</v>
      </c>
      <c r="P590" s="35" t="s">
        <v>9195</v>
      </c>
      <c r="Q590" s="34"/>
      <c r="R590" s="35" t="s">
        <v>3867</v>
      </c>
      <c r="S590" s="35" t="s">
        <v>3897</v>
      </c>
      <c r="T590" s="35" t="s">
        <v>3898</v>
      </c>
      <c r="U590" s="35" t="s">
        <v>9186</v>
      </c>
      <c r="V590" s="35" t="s">
        <v>10413</v>
      </c>
      <c r="W590" s="35" t="s">
        <v>3571</v>
      </c>
      <c r="X590" s="35" t="s">
        <v>5018</v>
      </c>
      <c r="Y590" s="32">
        <v>38.0</v>
      </c>
      <c r="Z590" s="40" t="s">
        <v>3559</v>
      </c>
    </row>
    <row r="591">
      <c r="A591" s="42" t="s">
        <v>9209</v>
      </c>
      <c r="B591" s="42" t="s">
        <v>3271</v>
      </c>
      <c r="C591" s="42" t="s">
        <v>9205</v>
      </c>
      <c r="D591" s="42" t="s">
        <v>8043</v>
      </c>
      <c r="E591" s="42" t="s">
        <v>10011</v>
      </c>
      <c r="F591" s="42" t="s">
        <v>9214</v>
      </c>
      <c r="G591" s="43"/>
      <c r="H591" s="42" t="s">
        <v>75</v>
      </c>
      <c r="I591" s="43"/>
      <c r="J591" s="41">
        <v>6971923.0</v>
      </c>
      <c r="K591" s="42" t="s">
        <v>41</v>
      </c>
      <c r="L591" s="45"/>
      <c r="M591" s="45"/>
      <c r="N591" s="42" t="s">
        <v>3277</v>
      </c>
      <c r="O591" s="42" t="s">
        <v>10675</v>
      </c>
      <c r="P591" s="42" t="s">
        <v>4930</v>
      </c>
      <c r="Q591" s="43"/>
      <c r="R591" s="42" t="s">
        <v>3867</v>
      </c>
      <c r="S591" s="42" t="s">
        <v>3897</v>
      </c>
      <c r="T591" s="42" t="s">
        <v>5092</v>
      </c>
      <c r="U591" s="42" t="s">
        <v>9207</v>
      </c>
      <c r="V591" s="42" t="s">
        <v>10676</v>
      </c>
      <c r="W591" s="42" t="s">
        <v>3571</v>
      </c>
      <c r="X591" s="42" t="s">
        <v>5145</v>
      </c>
      <c r="Y591" s="41">
        <v>7.0</v>
      </c>
      <c r="Z591" s="48" t="s">
        <v>3559</v>
      </c>
    </row>
    <row r="592">
      <c r="A592" s="35" t="s">
        <v>9222</v>
      </c>
      <c r="B592" s="35" t="s">
        <v>9216</v>
      </c>
      <c r="C592" s="35" t="s">
        <v>9219</v>
      </c>
      <c r="D592" s="35" t="s">
        <v>4975</v>
      </c>
      <c r="E592" s="35" t="s">
        <v>10011</v>
      </c>
      <c r="F592" s="35" t="s">
        <v>9225</v>
      </c>
      <c r="G592" s="34"/>
      <c r="H592" s="35" t="s">
        <v>4975</v>
      </c>
      <c r="I592" s="34"/>
      <c r="J592" s="37"/>
      <c r="K592" s="35" t="s">
        <v>41</v>
      </c>
      <c r="L592" s="37" t="str">
        <f>+972 (0)3 953 4455</f>
        <v>#ERROR!</v>
      </c>
      <c r="M592" s="37" t="str">
        <f>+972 (0)3 953 4456</f>
        <v>#ERROR!</v>
      </c>
      <c r="N592" s="35" t="s">
        <v>9226</v>
      </c>
      <c r="O592" s="34"/>
      <c r="P592" s="34"/>
      <c r="Q592" s="34"/>
      <c r="R592" s="35" t="s">
        <v>4560</v>
      </c>
      <c r="S592" s="35" t="s">
        <v>4561</v>
      </c>
      <c r="T592" s="35" t="s">
        <v>66</v>
      </c>
      <c r="U592" s="35" t="s">
        <v>5736</v>
      </c>
      <c r="V592" s="35" t="s">
        <v>10677</v>
      </c>
      <c r="W592" s="35" t="s">
        <v>3571</v>
      </c>
      <c r="X592" s="35" t="s">
        <v>4962</v>
      </c>
      <c r="Y592" s="37"/>
      <c r="Z592" s="40" t="s">
        <v>3559</v>
      </c>
    </row>
    <row r="593">
      <c r="A593" s="42" t="s">
        <v>9239</v>
      </c>
      <c r="B593" s="42" t="s">
        <v>9235</v>
      </c>
      <c r="C593" s="42" t="s">
        <v>9236</v>
      </c>
      <c r="D593" s="42" t="s">
        <v>7481</v>
      </c>
      <c r="E593" s="42" t="s">
        <v>10011</v>
      </c>
      <c r="F593" s="43"/>
      <c r="G593" s="43"/>
      <c r="H593" s="42" t="s">
        <v>7481</v>
      </c>
      <c r="I593" s="43"/>
      <c r="J593" s="45"/>
      <c r="K593" s="42" t="s">
        <v>41</v>
      </c>
      <c r="L593" s="45"/>
      <c r="M593" s="45"/>
      <c r="N593" s="43"/>
      <c r="O593" s="43"/>
      <c r="P593" s="43"/>
      <c r="Q593" s="43"/>
      <c r="R593" s="42" t="s">
        <v>3563</v>
      </c>
      <c r="S593" s="42" t="s">
        <v>3564</v>
      </c>
      <c r="T593" s="42" t="s">
        <v>3565</v>
      </c>
      <c r="U593" s="42" t="s">
        <v>9237</v>
      </c>
      <c r="V593" s="42" t="s">
        <v>5929</v>
      </c>
      <c r="W593" s="42" t="s">
        <v>5222</v>
      </c>
      <c r="X593" s="42" t="s">
        <v>5481</v>
      </c>
      <c r="Y593" s="45"/>
      <c r="Z593" s="48" t="s">
        <v>3559</v>
      </c>
    </row>
    <row r="594">
      <c r="A594" s="35" t="s">
        <v>9246</v>
      </c>
      <c r="B594" s="35" t="s">
        <v>9242</v>
      </c>
      <c r="C594" s="35" t="s">
        <v>9243</v>
      </c>
      <c r="D594" s="35" t="s">
        <v>41</v>
      </c>
      <c r="E594" s="35" t="s">
        <v>10011</v>
      </c>
      <c r="F594" s="34"/>
      <c r="G594" s="34"/>
      <c r="H594" s="34"/>
      <c r="I594" s="34"/>
      <c r="J594" s="37"/>
      <c r="K594" s="35" t="s">
        <v>41</v>
      </c>
      <c r="L594" s="37"/>
      <c r="M594" s="37"/>
      <c r="N594" s="34"/>
      <c r="O594" s="35" t="s">
        <v>9250</v>
      </c>
      <c r="P594" s="35" t="s">
        <v>3982</v>
      </c>
      <c r="Q594" s="34"/>
      <c r="R594" s="35" t="s">
        <v>3867</v>
      </c>
      <c r="S594" s="35" t="s">
        <v>4199</v>
      </c>
      <c r="T594" s="35" t="s">
        <v>4329</v>
      </c>
      <c r="U594" s="34"/>
      <c r="V594" s="35" t="s">
        <v>10678</v>
      </c>
      <c r="W594" s="35" t="s">
        <v>3571</v>
      </c>
      <c r="X594" s="35" t="s">
        <v>4389</v>
      </c>
      <c r="Y594" s="37"/>
      <c r="Z594" s="40" t="s">
        <v>3559</v>
      </c>
    </row>
    <row r="595">
      <c r="A595" s="42" t="s">
        <v>9261</v>
      </c>
      <c r="B595" s="42" t="s">
        <v>9256</v>
      </c>
      <c r="C595" s="42" t="s">
        <v>9258</v>
      </c>
      <c r="D595" s="42" t="s">
        <v>75</v>
      </c>
      <c r="E595" s="42" t="s">
        <v>10011</v>
      </c>
      <c r="F595" s="42" t="s">
        <v>9264</v>
      </c>
      <c r="G595" s="43"/>
      <c r="H595" s="42" t="s">
        <v>75</v>
      </c>
      <c r="I595" s="43"/>
      <c r="J595" s="41">
        <v>6744326.0</v>
      </c>
      <c r="K595" s="42" t="s">
        <v>41</v>
      </c>
      <c r="L595" s="45"/>
      <c r="M595" s="45"/>
      <c r="N595" s="43"/>
      <c r="O595" s="43"/>
      <c r="P595" s="43"/>
      <c r="Q595" s="43"/>
      <c r="R595" s="42" t="s">
        <v>3867</v>
      </c>
      <c r="S595" s="42" t="s">
        <v>4199</v>
      </c>
      <c r="T595" s="42" t="s">
        <v>4200</v>
      </c>
      <c r="U595" s="42" t="s">
        <v>9259</v>
      </c>
      <c r="V595" s="42" t="s">
        <v>10570</v>
      </c>
      <c r="W595" s="42" t="s">
        <v>3571</v>
      </c>
      <c r="X595" s="42" t="s">
        <v>4962</v>
      </c>
      <c r="Y595" s="41">
        <v>50.0</v>
      </c>
      <c r="Z595" s="48" t="s">
        <v>3559</v>
      </c>
    </row>
    <row r="596">
      <c r="A596" s="35" t="s">
        <v>9276</v>
      </c>
      <c r="B596" s="35" t="s">
        <v>10679</v>
      </c>
      <c r="C596" s="35" t="s">
        <v>9272</v>
      </c>
      <c r="D596" s="35" t="s">
        <v>6222</v>
      </c>
      <c r="E596" s="35" t="s">
        <v>10011</v>
      </c>
      <c r="F596" s="35" t="s">
        <v>9287</v>
      </c>
      <c r="G596" s="35" t="s">
        <v>9288</v>
      </c>
      <c r="H596" s="35" t="s">
        <v>6222</v>
      </c>
      <c r="I596" s="34"/>
      <c r="J596" s="32">
        <v>4501309.0</v>
      </c>
      <c r="K596" s="35" t="s">
        <v>41</v>
      </c>
      <c r="L596" s="37" t="str">
        <f>+972 (0)9 762 6900</f>
        <v>#ERROR!</v>
      </c>
      <c r="M596" s="37"/>
      <c r="N596" s="35" t="s">
        <v>1250</v>
      </c>
      <c r="O596" s="35" t="s">
        <v>9284</v>
      </c>
      <c r="P596" s="35" t="s">
        <v>9285</v>
      </c>
      <c r="Q596" s="35" t="s">
        <v>10680</v>
      </c>
      <c r="R596" s="35" t="s">
        <v>3563</v>
      </c>
      <c r="S596" s="35" t="s">
        <v>351</v>
      </c>
      <c r="T596" s="35" t="s">
        <v>4111</v>
      </c>
      <c r="U596" s="35" t="s">
        <v>9274</v>
      </c>
      <c r="V596" s="35" t="s">
        <v>10681</v>
      </c>
      <c r="W596" s="35" t="s">
        <v>5412</v>
      </c>
      <c r="X596" s="35" t="s">
        <v>5075</v>
      </c>
      <c r="Y596" s="32">
        <v>256.0</v>
      </c>
      <c r="Z596" s="40" t="s">
        <v>3559</v>
      </c>
    </row>
    <row r="597">
      <c r="A597" s="42" t="s">
        <v>9276</v>
      </c>
      <c r="B597" s="42" t="s">
        <v>10679</v>
      </c>
      <c r="C597" s="42" t="s">
        <v>9272</v>
      </c>
      <c r="D597" s="42" t="s">
        <v>10682</v>
      </c>
      <c r="E597" s="42" t="s">
        <v>10008</v>
      </c>
      <c r="F597" s="42" t="s">
        <v>10683</v>
      </c>
      <c r="G597" s="43"/>
      <c r="H597" s="42" t="s">
        <v>10682</v>
      </c>
      <c r="I597" s="42" t="s">
        <v>1431</v>
      </c>
      <c r="J597" s="41">
        <v>91105.0</v>
      </c>
      <c r="K597" s="42" t="s">
        <v>60</v>
      </c>
      <c r="L597" s="45" t="str">
        <f>+1 (818) 259-2575</f>
        <v>#ERROR!</v>
      </c>
      <c r="M597" s="45" t="str">
        <f>+1 (815) 642-0181</f>
        <v>#ERROR!</v>
      </c>
      <c r="N597" s="42" t="s">
        <v>1250</v>
      </c>
      <c r="O597" s="42" t="s">
        <v>9284</v>
      </c>
      <c r="P597" s="42" t="s">
        <v>9285</v>
      </c>
      <c r="Q597" s="42" t="s">
        <v>10680</v>
      </c>
      <c r="R597" s="42" t="s">
        <v>3563</v>
      </c>
      <c r="S597" s="42" t="s">
        <v>351</v>
      </c>
      <c r="T597" s="42" t="s">
        <v>4111</v>
      </c>
      <c r="U597" s="42" t="s">
        <v>9274</v>
      </c>
      <c r="V597" s="42" t="s">
        <v>10681</v>
      </c>
      <c r="W597" s="42" t="s">
        <v>5412</v>
      </c>
      <c r="X597" s="42" t="s">
        <v>5075</v>
      </c>
      <c r="Y597" s="41">
        <v>256.0</v>
      </c>
      <c r="Z597" s="48" t="s">
        <v>3559</v>
      </c>
    </row>
    <row r="598">
      <c r="A598" s="35" t="s">
        <v>9276</v>
      </c>
      <c r="B598" s="35" t="s">
        <v>10679</v>
      </c>
      <c r="C598" s="35" t="s">
        <v>9272</v>
      </c>
      <c r="D598" s="35" t="s">
        <v>10684</v>
      </c>
      <c r="E598" s="35" t="s">
        <v>10008</v>
      </c>
      <c r="F598" s="35" t="s">
        <v>10685</v>
      </c>
      <c r="G598" s="35" t="s">
        <v>10686</v>
      </c>
      <c r="H598" s="35" t="s">
        <v>10684</v>
      </c>
      <c r="I598" s="34"/>
      <c r="J598" s="32" t="s">
        <v>10687</v>
      </c>
      <c r="K598" s="35" t="s">
        <v>10146</v>
      </c>
      <c r="L598" s="37" t="str">
        <f>+82 (0)31 716 7532</f>
        <v>#ERROR!</v>
      </c>
      <c r="M598" s="37"/>
      <c r="N598" s="35" t="s">
        <v>1250</v>
      </c>
      <c r="O598" s="35" t="s">
        <v>9284</v>
      </c>
      <c r="P598" s="35" t="s">
        <v>9285</v>
      </c>
      <c r="Q598" s="35" t="s">
        <v>10680</v>
      </c>
      <c r="R598" s="35" t="s">
        <v>3563</v>
      </c>
      <c r="S598" s="35" t="s">
        <v>351</v>
      </c>
      <c r="T598" s="35" t="s">
        <v>4111</v>
      </c>
      <c r="U598" s="35" t="s">
        <v>9274</v>
      </c>
      <c r="V598" s="35" t="s">
        <v>10681</v>
      </c>
      <c r="W598" s="35" t="s">
        <v>5412</v>
      </c>
      <c r="X598" s="35" t="s">
        <v>5075</v>
      </c>
      <c r="Y598" s="32">
        <v>256.0</v>
      </c>
      <c r="Z598" s="40" t="s">
        <v>3559</v>
      </c>
    </row>
    <row r="599">
      <c r="A599" s="42" t="s">
        <v>9276</v>
      </c>
      <c r="B599" s="42" t="s">
        <v>10679</v>
      </c>
      <c r="C599" s="42" t="s">
        <v>9272</v>
      </c>
      <c r="D599" s="42" t="s">
        <v>10145</v>
      </c>
      <c r="E599" s="42" t="s">
        <v>10008</v>
      </c>
      <c r="F599" s="42" t="s">
        <v>10688</v>
      </c>
      <c r="G599" s="42" t="s">
        <v>10689</v>
      </c>
      <c r="H599" s="42" t="s">
        <v>10145</v>
      </c>
      <c r="I599" s="43"/>
      <c r="J599" s="45"/>
      <c r="K599" s="42" t="s">
        <v>10146</v>
      </c>
      <c r="L599" s="45" t="str">
        <f>+82 (0)2 076 2838</f>
        <v>#ERROR!</v>
      </c>
      <c r="M599" s="45"/>
      <c r="N599" s="42" t="s">
        <v>1250</v>
      </c>
      <c r="O599" s="42" t="s">
        <v>9284</v>
      </c>
      <c r="P599" s="42" t="s">
        <v>9285</v>
      </c>
      <c r="Q599" s="42" t="s">
        <v>10680</v>
      </c>
      <c r="R599" s="42" t="s">
        <v>3563</v>
      </c>
      <c r="S599" s="42" t="s">
        <v>351</v>
      </c>
      <c r="T599" s="42" t="s">
        <v>4111</v>
      </c>
      <c r="U599" s="42" t="s">
        <v>9274</v>
      </c>
      <c r="V599" s="42" t="s">
        <v>10681</v>
      </c>
      <c r="W599" s="42" t="s">
        <v>5412</v>
      </c>
      <c r="X599" s="42" t="s">
        <v>5075</v>
      </c>
      <c r="Y599" s="41">
        <v>256.0</v>
      </c>
      <c r="Z599" s="48" t="s">
        <v>3559</v>
      </c>
    </row>
    <row r="600">
      <c r="A600" s="35" t="s">
        <v>9276</v>
      </c>
      <c r="B600" s="35" t="s">
        <v>10679</v>
      </c>
      <c r="C600" s="35" t="s">
        <v>9272</v>
      </c>
      <c r="D600" s="35" t="s">
        <v>10236</v>
      </c>
      <c r="E600" s="35" t="s">
        <v>10008</v>
      </c>
      <c r="F600" s="35" t="s">
        <v>10690</v>
      </c>
      <c r="G600" s="35" t="s">
        <v>10691</v>
      </c>
      <c r="H600" s="35" t="s">
        <v>10236</v>
      </c>
      <c r="I600" s="34"/>
      <c r="J600" s="37"/>
      <c r="K600" s="35" t="s">
        <v>10223</v>
      </c>
      <c r="L600" s="37" t="str">
        <f>+86 (0)755 8654 8320</f>
        <v>#ERROR!</v>
      </c>
      <c r="M600" s="37"/>
      <c r="N600" s="35" t="s">
        <v>1250</v>
      </c>
      <c r="O600" s="35" t="s">
        <v>9284</v>
      </c>
      <c r="P600" s="35" t="s">
        <v>9285</v>
      </c>
      <c r="Q600" s="35" t="s">
        <v>10680</v>
      </c>
      <c r="R600" s="35" t="s">
        <v>3563</v>
      </c>
      <c r="S600" s="35" t="s">
        <v>351</v>
      </c>
      <c r="T600" s="35" t="s">
        <v>4111</v>
      </c>
      <c r="U600" s="35" t="s">
        <v>9274</v>
      </c>
      <c r="V600" s="35" t="s">
        <v>10681</v>
      </c>
      <c r="W600" s="35" t="s">
        <v>5412</v>
      </c>
      <c r="X600" s="35" t="s">
        <v>5075</v>
      </c>
      <c r="Y600" s="32">
        <v>256.0</v>
      </c>
      <c r="Z600" s="40" t="s">
        <v>3559</v>
      </c>
    </row>
    <row r="601">
      <c r="A601" s="42" t="s">
        <v>9276</v>
      </c>
      <c r="B601" s="42" t="s">
        <v>10679</v>
      </c>
      <c r="C601" s="42" t="s">
        <v>9272</v>
      </c>
      <c r="D601" s="42" t="s">
        <v>10400</v>
      </c>
      <c r="E601" s="42" t="s">
        <v>10008</v>
      </c>
      <c r="F601" s="42" t="s">
        <v>10692</v>
      </c>
      <c r="G601" s="42" t="s">
        <v>10693</v>
      </c>
      <c r="H601" s="42" t="s">
        <v>10400</v>
      </c>
      <c r="I601" s="43"/>
      <c r="J601" s="41" t="s">
        <v>10694</v>
      </c>
      <c r="K601" s="42" t="s">
        <v>10403</v>
      </c>
      <c r="L601" s="45" t="str">
        <f>+886 (0)27 7377000</f>
        <v>#ERROR!</v>
      </c>
      <c r="M601" s="45" t="str">
        <f>+886 (0)22 7992677</f>
        <v>#ERROR!</v>
      </c>
      <c r="N601" s="42" t="s">
        <v>1250</v>
      </c>
      <c r="O601" s="42" t="s">
        <v>9284</v>
      </c>
      <c r="P601" s="42" t="s">
        <v>9285</v>
      </c>
      <c r="Q601" s="42" t="s">
        <v>10680</v>
      </c>
      <c r="R601" s="42" t="s">
        <v>3563</v>
      </c>
      <c r="S601" s="42" t="s">
        <v>351</v>
      </c>
      <c r="T601" s="42" t="s">
        <v>4111</v>
      </c>
      <c r="U601" s="42" t="s">
        <v>9274</v>
      </c>
      <c r="V601" s="42" t="s">
        <v>10681</v>
      </c>
      <c r="W601" s="42" t="s">
        <v>5412</v>
      </c>
      <c r="X601" s="42" t="s">
        <v>5075</v>
      </c>
      <c r="Y601" s="41">
        <v>256.0</v>
      </c>
      <c r="Z601" s="48" t="s">
        <v>3559</v>
      </c>
    </row>
    <row r="602">
      <c r="A602" s="35" t="s">
        <v>9276</v>
      </c>
      <c r="B602" s="35" t="s">
        <v>10679</v>
      </c>
      <c r="C602" s="35" t="s">
        <v>9272</v>
      </c>
      <c r="D602" s="35" t="s">
        <v>10340</v>
      </c>
      <c r="E602" s="35" t="s">
        <v>10008</v>
      </c>
      <c r="F602" s="35" t="s">
        <v>10695</v>
      </c>
      <c r="G602" s="35" t="s">
        <v>10696</v>
      </c>
      <c r="H602" s="35" t="s">
        <v>10340</v>
      </c>
      <c r="I602" s="34"/>
      <c r="J602" s="32" t="s">
        <v>10697</v>
      </c>
      <c r="K602" s="35" t="s">
        <v>10028</v>
      </c>
      <c r="L602" s="37" t="str">
        <f>+81 (0)45 277 3791</f>
        <v>#ERROR!</v>
      </c>
      <c r="M602" s="37" t="str">
        <f>+81 (0)45 277 3801</f>
        <v>#ERROR!</v>
      </c>
      <c r="N602" s="35" t="s">
        <v>1250</v>
      </c>
      <c r="O602" s="35" t="s">
        <v>9284</v>
      </c>
      <c r="P602" s="35" t="s">
        <v>9285</v>
      </c>
      <c r="Q602" s="35" t="s">
        <v>10680</v>
      </c>
      <c r="R602" s="35" t="s">
        <v>3563</v>
      </c>
      <c r="S602" s="35" t="s">
        <v>351</v>
      </c>
      <c r="T602" s="35" t="s">
        <v>4111</v>
      </c>
      <c r="U602" s="35" t="s">
        <v>9274</v>
      </c>
      <c r="V602" s="35" t="s">
        <v>10681</v>
      </c>
      <c r="W602" s="35" t="s">
        <v>5412</v>
      </c>
      <c r="X602" s="35" t="s">
        <v>5075</v>
      </c>
      <c r="Y602" s="32">
        <v>256.0</v>
      </c>
      <c r="Z602" s="40" t="s">
        <v>3559</v>
      </c>
    </row>
    <row r="603">
      <c r="A603" s="42" t="s">
        <v>9306</v>
      </c>
      <c r="B603" s="42" t="s">
        <v>9300</v>
      </c>
      <c r="C603" s="42" t="s">
        <v>9304</v>
      </c>
      <c r="D603" s="42" t="s">
        <v>1407</v>
      </c>
      <c r="E603" s="42" t="s">
        <v>10011</v>
      </c>
      <c r="F603" s="42" t="s">
        <v>9309</v>
      </c>
      <c r="G603" s="43"/>
      <c r="H603" s="42" t="s">
        <v>1407</v>
      </c>
      <c r="I603" s="43"/>
      <c r="J603" s="41">
        <v>6037604.0</v>
      </c>
      <c r="K603" s="42" t="s">
        <v>41</v>
      </c>
      <c r="L603" s="45"/>
      <c r="M603" s="45"/>
      <c r="N603" s="43"/>
      <c r="O603" s="43"/>
      <c r="P603" s="43"/>
      <c r="Q603" s="43"/>
      <c r="R603" s="42" t="s">
        <v>3563</v>
      </c>
      <c r="S603" s="42" t="s">
        <v>3564</v>
      </c>
      <c r="T603" s="42" t="s">
        <v>3565</v>
      </c>
      <c r="U603" s="42" t="s">
        <v>3811</v>
      </c>
      <c r="V603" s="42" t="s">
        <v>10203</v>
      </c>
      <c r="W603" s="42" t="s">
        <v>3571</v>
      </c>
      <c r="X603" s="42" t="s">
        <v>5018</v>
      </c>
      <c r="Y603" s="41">
        <v>45.0</v>
      </c>
      <c r="Z603" s="48" t="s">
        <v>3559</v>
      </c>
    </row>
    <row r="604">
      <c r="A604" s="35" t="s">
        <v>9306</v>
      </c>
      <c r="B604" s="35" t="s">
        <v>9300</v>
      </c>
      <c r="C604" s="35" t="s">
        <v>9304</v>
      </c>
      <c r="D604" s="35" t="s">
        <v>75</v>
      </c>
      <c r="E604" s="35" t="s">
        <v>10008</v>
      </c>
      <c r="F604" s="34"/>
      <c r="G604" s="34"/>
      <c r="H604" s="35" t="s">
        <v>75</v>
      </c>
      <c r="I604" s="34"/>
      <c r="J604" s="37"/>
      <c r="K604" s="35" t="s">
        <v>41</v>
      </c>
      <c r="L604" s="37" t="str">
        <f>+972 (0)3 919 9212</f>
        <v>#ERROR!</v>
      </c>
      <c r="M604" s="37" t="str">
        <f>+972 (0)3 919 9210</f>
        <v>#ERROR!</v>
      </c>
      <c r="N604" s="35" t="s">
        <v>10698</v>
      </c>
      <c r="O604" s="34"/>
      <c r="P604" s="34"/>
      <c r="Q604" s="34"/>
      <c r="R604" s="35" t="s">
        <v>3563</v>
      </c>
      <c r="S604" s="35" t="s">
        <v>3564</v>
      </c>
      <c r="T604" s="35" t="s">
        <v>3565</v>
      </c>
      <c r="U604" s="35" t="s">
        <v>3811</v>
      </c>
      <c r="V604" s="35" t="s">
        <v>10203</v>
      </c>
      <c r="W604" s="35" t="s">
        <v>3571</v>
      </c>
      <c r="X604" s="35" t="s">
        <v>5018</v>
      </c>
      <c r="Y604" s="32">
        <v>45.0</v>
      </c>
      <c r="Z604" s="40" t="s">
        <v>3559</v>
      </c>
    </row>
    <row r="605">
      <c r="A605" s="42" t="s">
        <v>9324</v>
      </c>
      <c r="B605" s="42" t="s">
        <v>9319</v>
      </c>
      <c r="C605" s="42" t="s">
        <v>9321</v>
      </c>
      <c r="D605" s="42" t="s">
        <v>75</v>
      </c>
      <c r="E605" s="42" t="s">
        <v>10011</v>
      </c>
      <c r="F605" s="43"/>
      <c r="G605" s="43"/>
      <c r="H605" s="42" t="s">
        <v>75</v>
      </c>
      <c r="I605" s="43"/>
      <c r="J605" s="45"/>
      <c r="K605" s="42" t="s">
        <v>41</v>
      </c>
      <c r="L605" s="45" t="str">
        <f>+972 (0)53 230 8588</f>
        <v>#ERROR!</v>
      </c>
      <c r="M605" s="45"/>
      <c r="N605" s="42" t="s">
        <v>9330</v>
      </c>
      <c r="O605" s="42" t="s">
        <v>9328</v>
      </c>
      <c r="P605" s="42" t="s">
        <v>265</v>
      </c>
      <c r="Q605" s="43"/>
      <c r="R605" s="42" t="s">
        <v>3563</v>
      </c>
      <c r="S605" s="42" t="s">
        <v>3564</v>
      </c>
      <c r="T605" s="42" t="s">
        <v>3565</v>
      </c>
      <c r="U605" s="42" t="s">
        <v>9322</v>
      </c>
      <c r="V605" s="42" t="s">
        <v>10300</v>
      </c>
      <c r="W605" s="42" t="s">
        <v>3571</v>
      </c>
      <c r="X605" s="42" t="s">
        <v>3569</v>
      </c>
      <c r="Y605" s="45"/>
      <c r="Z605" s="48" t="s">
        <v>3559</v>
      </c>
    </row>
    <row r="606">
      <c r="A606" s="35" t="s">
        <v>9341</v>
      </c>
      <c r="B606" s="35" t="s">
        <v>9335</v>
      </c>
      <c r="C606" s="35" t="s">
        <v>9337</v>
      </c>
      <c r="D606" s="35" t="s">
        <v>75</v>
      </c>
      <c r="E606" s="35" t="s">
        <v>10011</v>
      </c>
      <c r="F606" s="35" t="s">
        <v>9347</v>
      </c>
      <c r="G606" s="34"/>
      <c r="H606" s="35" t="s">
        <v>75</v>
      </c>
      <c r="I606" s="34"/>
      <c r="J606" s="37"/>
      <c r="K606" s="35" t="s">
        <v>41</v>
      </c>
      <c r="L606" s="37"/>
      <c r="M606" s="37"/>
      <c r="N606" s="35" t="s">
        <v>9348</v>
      </c>
      <c r="O606" s="35" t="s">
        <v>9345</v>
      </c>
      <c r="P606" s="35" t="s">
        <v>9346</v>
      </c>
      <c r="Q606" s="34"/>
      <c r="R606" s="35" t="s">
        <v>3563</v>
      </c>
      <c r="S606" s="35" t="s">
        <v>3564</v>
      </c>
      <c r="T606" s="35" t="s">
        <v>3565</v>
      </c>
      <c r="U606" s="35" t="s">
        <v>9339</v>
      </c>
      <c r="V606" s="35" t="s">
        <v>10699</v>
      </c>
      <c r="W606" s="35" t="s">
        <v>3571</v>
      </c>
      <c r="X606" s="35" t="s">
        <v>4923</v>
      </c>
      <c r="Y606" s="37"/>
      <c r="Z606" s="40" t="s">
        <v>3559</v>
      </c>
    </row>
    <row r="607">
      <c r="A607" s="42" t="s">
        <v>9354</v>
      </c>
      <c r="B607" s="42" t="s">
        <v>9350</v>
      </c>
      <c r="C607" s="42" t="s">
        <v>9351</v>
      </c>
      <c r="D607" s="42" t="s">
        <v>75</v>
      </c>
      <c r="E607" s="42" t="s">
        <v>10011</v>
      </c>
      <c r="F607" s="43"/>
      <c r="G607" s="43"/>
      <c r="H607" s="42" t="s">
        <v>75</v>
      </c>
      <c r="I607" s="43"/>
      <c r="J607" s="45"/>
      <c r="K607" s="42" t="s">
        <v>41</v>
      </c>
      <c r="L607" s="45"/>
      <c r="M607" s="45"/>
      <c r="N607" s="42" t="s">
        <v>9361</v>
      </c>
      <c r="O607" s="42" t="s">
        <v>9359</v>
      </c>
      <c r="P607" s="42" t="s">
        <v>3579</v>
      </c>
      <c r="Q607" s="43"/>
      <c r="R607" s="42" t="s">
        <v>4560</v>
      </c>
      <c r="S607" s="42" t="s">
        <v>4561</v>
      </c>
      <c r="T607" s="42" t="s">
        <v>66</v>
      </c>
      <c r="U607" s="42" t="s">
        <v>8573</v>
      </c>
      <c r="V607" s="42" t="s">
        <v>10700</v>
      </c>
      <c r="W607" s="42" t="s">
        <v>6041</v>
      </c>
      <c r="X607" s="42" t="s">
        <v>4923</v>
      </c>
      <c r="Y607" s="41">
        <v>3.0</v>
      </c>
      <c r="Z607" s="48" t="s">
        <v>3559</v>
      </c>
    </row>
    <row r="608">
      <c r="A608" s="35" t="s">
        <v>9369</v>
      </c>
      <c r="B608" s="35" t="s">
        <v>9363</v>
      </c>
      <c r="C608" s="35" t="s">
        <v>9365</v>
      </c>
      <c r="D608" s="35" t="s">
        <v>147</v>
      </c>
      <c r="E608" s="35" t="s">
        <v>10011</v>
      </c>
      <c r="F608" s="35" t="s">
        <v>9375</v>
      </c>
      <c r="G608" s="34"/>
      <c r="H608" s="35" t="s">
        <v>147</v>
      </c>
      <c r="I608" s="34"/>
      <c r="J608" s="37"/>
      <c r="K608" s="35" t="s">
        <v>41</v>
      </c>
      <c r="L608" s="37" t="str">
        <f>+972 (0)53 565 9168</f>
        <v>#ERROR!</v>
      </c>
      <c r="M608" s="37"/>
      <c r="N608" s="35" t="s">
        <v>2833</v>
      </c>
      <c r="O608" s="35" t="s">
        <v>2829</v>
      </c>
      <c r="P608" s="35" t="s">
        <v>4930</v>
      </c>
      <c r="Q608" s="34"/>
      <c r="R608" s="35" t="s">
        <v>3867</v>
      </c>
      <c r="S608" s="35" t="s">
        <v>3897</v>
      </c>
      <c r="T608" s="35" t="s">
        <v>4689</v>
      </c>
      <c r="U608" s="35" t="s">
        <v>9367</v>
      </c>
      <c r="V608" s="35" t="s">
        <v>10701</v>
      </c>
      <c r="W608" s="35" t="s">
        <v>3571</v>
      </c>
      <c r="X608" s="35" t="s">
        <v>3569</v>
      </c>
      <c r="Y608" s="32">
        <v>2.0</v>
      </c>
      <c r="Z608" s="40" t="s">
        <v>3559</v>
      </c>
    </row>
    <row r="609">
      <c r="A609" s="42" t="s">
        <v>9369</v>
      </c>
      <c r="B609" s="42" t="s">
        <v>9363</v>
      </c>
      <c r="C609" s="42" t="s">
        <v>9365</v>
      </c>
      <c r="D609" s="42" t="s">
        <v>10702</v>
      </c>
      <c r="E609" s="42" t="s">
        <v>10008</v>
      </c>
      <c r="F609" s="42" t="s">
        <v>10703</v>
      </c>
      <c r="G609" s="43"/>
      <c r="H609" s="42" t="s">
        <v>10702</v>
      </c>
      <c r="I609" s="43"/>
      <c r="J609" s="41">
        <v>7532606.0</v>
      </c>
      <c r="K609" s="42" t="s">
        <v>41</v>
      </c>
      <c r="L609" s="45"/>
      <c r="M609" s="45"/>
      <c r="N609" s="42" t="s">
        <v>2833</v>
      </c>
      <c r="O609" s="42" t="s">
        <v>2829</v>
      </c>
      <c r="P609" s="42" t="s">
        <v>4930</v>
      </c>
      <c r="Q609" s="43"/>
      <c r="R609" s="42" t="s">
        <v>3867</v>
      </c>
      <c r="S609" s="42" t="s">
        <v>3897</v>
      </c>
      <c r="T609" s="42" t="s">
        <v>4689</v>
      </c>
      <c r="U609" s="42" t="s">
        <v>9367</v>
      </c>
      <c r="V609" s="42" t="s">
        <v>10701</v>
      </c>
      <c r="W609" s="42" t="s">
        <v>3571</v>
      </c>
      <c r="X609" s="42" t="s">
        <v>3569</v>
      </c>
      <c r="Y609" s="41">
        <v>2.0</v>
      </c>
      <c r="Z609" s="48" t="s">
        <v>3559</v>
      </c>
    </row>
    <row r="610">
      <c r="A610" s="35" t="s">
        <v>9386</v>
      </c>
      <c r="B610" s="35" t="s">
        <v>9379</v>
      </c>
      <c r="C610" s="35" t="s">
        <v>9384</v>
      </c>
      <c r="D610" s="35" t="s">
        <v>10704</v>
      </c>
      <c r="E610" s="35" t="s">
        <v>10011</v>
      </c>
      <c r="F610" s="35" t="s">
        <v>9392</v>
      </c>
      <c r="G610" s="35" t="s">
        <v>9393</v>
      </c>
      <c r="H610" s="35" t="s">
        <v>530</v>
      </c>
      <c r="I610" s="34"/>
      <c r="J610" s="32">
        <v>24959.0</v>
      </c>
      <c r="K610" s="35" t="s">
        <v>41</v>
      </c>
      <c r="L610" s="37" t="str">
        <f>+972 (0)8 862 8800</f>
        <v>#ERROR!</v>
      </c>
      <c r="M610" s="37" t="str">
        <f>+972 (0)8 859 6662</f>
        <v>#ERROR!</v>
      </c>
      <c r="N610" s="34"/>
      <c r="O610" s="35" t="s">
        <v>9390</v>
      </c>
      <c r="P610" s="35" t="s">
        <v>4971</v>
      </c>
      <c r="Q610" s="34"/>
      <c r="R610" s="35" t="s">
        <v>4560</v>
      </c>
      <c r="S610" s="35" t="s">
        <v>4561</v>
      </c>
      <c r="T610" s="35" t="s">
        <v>66</v>
      </c>
      <c r="U610" s="35" t="s">
        <v>4986</v>
      </c>
      <c r="V610" s="35" t="s">
        <v>10496</v>
      </c>
      <c r="W610" s="35" t="s">
        <v>3571</v>
      </c>
      <c r="X610" s="35" t="s">
        <v>5075</v>
      </c>
      <c r="Y610" s="37"/>
      <c r="Z610" s="40" t="s">
        <v>3559</v>
      </c>
    </row>
    <row r="611">
      <c r="A611" s="42" t="s">
        <v>9402</v>
      </c>
      <c r="B611" s="42" t="s">
        <v>9398</v>
      </c>
      <c r="C611" s="42" t="s">
        <v>9400</v>
      </c>
      <c r="D611" s="42" t="s">
        <v>8043</v>
      </c>
      <c r="E611" s="42" t="s">
        <v>10011</v>
      </c>
      <c r="F611" s="42" t="s">
        <v>9405</v>
      </c>
      <c r="G611" s="43"/>
      <c r="H611" s="42" t="s">
        <v>75</v>
      </c>
      <c r="I611" s="43"/>
      <c r="J611" s="41">
        <v>63111.0</v>
      </c>
      <c r="K611" s="42" t="s">
        <v>41</v>
      </c>
      <c r="L611" s="45"/>
      <c r="M611" s="45"/>
      <c r="N611" s="43"/>
      <c r="O611" s="43"/>
      <c r="P611" s="43"/>
      <c r="Q611" s="43"/>
      <c r="R611" s="42" t="s">
        <v>4560</v>
      </c>
      <c r="S611" s="42" t="s">
        <v>4561</v>
      </c>
      <c r="T611" s="42" t="s">
        <v>66</v>
      </c>
      <c r="U611" s="43"/>
      <c r="V611" s="42" t="s">
        <v>4562</v>
      </c>
      <c r="W611" s="43"/>
      <c r="X611" s="42" t="s">
        <v>4923</v>
      </c>
      <c r="Y611" s="41">
        <v>4.0</v>
      </c>
      <c r="Z611" s="48" t="s">
        <v>3559</v>
      </c>
    </row>
    <row r="612">
      <c r="A612" s="35" t="s">
        <v>9414</v>
      </c>
      <c r="B612" s="35" t="s">
        <v>9408</v>
      </c>
      <c r="C612" s="35" t="s">
        <v>9410</v>
      </c>
      <c r="D612" s="35" t="s">
        <v>75</v>
      </c>
      <c r="E612" s="35" t="s">
        <v>10011</v>
      </c>
      <c r="F612" s="34"/>
      <c r="G612" s="34"/>
      <c r="H612" s="35" t="s">
        <v>75</v>
      </c>
      <c r="I612" s="34"/>
      <c r="J612" s="37"/>
      <c r="K612" s="35" t="s">
        <v>41</v>
      </c>
      <c r="L612" s="37"/>
      <c r="M612" s="37"/>
      <c r="N612" s="34"/>
      <c r="O612" s="34"/>
      <c r="P612" s="34"/>
      <c r="Q612" s="34"/>
      <c r="R612" s="35" t="s">
        <v>3563</v>
      </c>
      <c r="S612" s="35" t="s">
        <v>3564</v>
      </c>
      <c r="T612" s="35" t="s">
        <v>7458</v>
      </c>
      <c r="U612" s="35" t="s">
        <v>9412</v>
      </c>
      <c r="V612" s="35" t="s">
        <v>10705</v>
      </c>
      <c r="W612" s="35" t="s">
        <v>5222</v>
      </c>
      <c r="X612" s="35" t="s">
        <v>5481</v>
      </c>
      <c r="Y612" s="37"/>
      <c r="Z612" s="40" t="s">
        <v>3559</v>
      </c>
    </row>
    <row r="613">
      <c r="A613" s="42" t="s">
        <v>9421</v>
      </c>
      <c r="B613" s="42" t="s">
        <v>9418</v>
      </c>
      <c r="C613" s="42" t="s">
        <v>9419</v>
      </c>
      <c r="D613" s="42" t="s">
        <v>75</v>
      </c>
      <c r="E613" s="42" t="s">
        <v>10011</v>
      </c>
      <c r="F613" s="42" t="s">
        <v>9423</v>
      </c>
      <c r="G613" s="43"/>
      <c r="H613" s="42" t="s">
        <v>75</v>
      </c>
      <c r="I613" s="43"/>
      <c r="J613" s="45"/>
      <c r="K613" s="42" t="s">
        <v>41</v>
      </c>
      <c r="L613" s="45"/>
      <c r="M613" s="45"/>
      <c r="N613" s="43"/>
      <c r="O613" s="43"/>
      <c r="P613" s="43"/>
      <c r="Q613" s="43"/>
      <c r="R613" s="42" t="s">
        <v>4560</v>
      </c>
      <c r="S613" s="42" t="s">
        <v>4561</v>
      </c>
      <c r="T613" s="42" t="s">
        <v>66</v>
      </c>
      <c r="U613" s="43"/>
      <c r="V613" s="42" t="s">
        <v>10469</v>
      </c>
      <c r="W613" s="42" t="s">
        <v>5222</v>
      </c>
      <c r="X613" s="42" t="s">
        <v>4923</v>
      </c>
      <c r="Y613" s="45"/>
      <c r="Z613" s="48" t="s">
        <v>3559</v>
      </c>
    </row>
    <row r="614">
      <c r="A614" s="35" t="s">
        <v>9430</v>
      </c>
      <c r="B614" s="35" t="s">
        <v>9426</v>
      </c>
      <c r="C614" s="35" t="s">
        <v>9428</v>
      </c>
      <c r="D614" s="35" t="s">
        <v>6222</v>
      </c>
      <c r="E614" s="35" t="s">
        <v>10011</v>
      </c>
      <c r="F614" s="35" t="s">
        <v>9432</v>
      </c>
      <c r="G614" s="34"/>
      <c r="H614" s="35" t="s">
        <v>6222</v>
      </c>
      <c r="I614" s="34"/>
      <c r="J614" s="32">
        <v>45236.0</v>
      </c>
      <c r="K614" s="35" t="s">
        <v>41</v>
      </c>
      <c r="L614" s="37" t="str">
        <f>+972 (0)3 975 4455</f>
        <v>#ERROR!</v>
      </c>
      <c r="M614" s="37"/>
      <c r="N614" s="34"/>
      <c r="O614" s="34"/>
      <c r="P614" s="34"/>
      <c r="Q614" s="34"/>
      <c r="R614" s="35" t="s">
        <v>3867</v>
      </c>
      <c r="S614" s="35" t="s">
        <v>3897</v>
      </c>
      <c r="T614" s="35" t="s">
        <v>5092</v>
      </c>
      <c r="U614" s="34"/>
      <c r="V614" s="35" t="s">
        <v>10474</v>
      </c>
      <c r="W614" s="35" t="s">
        <v>5222</v>
      </c>
      <c r="X614" s="35" t="s">
        <v>5018</v>
      </c>
      <c r="Y614" s="37"/>
      <c r="Z614" s="40" t="s">
        <v>3559</v>
      </c>
    </row>
    <row r="615">
      <c r="A615" s="42" t="s">
        <v>9430</v>
      </c>
      <c r="B615" s="42" t="s">
        <v>9426</v>
      </c>
      <c r="C615" s="42" t="s">
        <v>9428</v>
      </c>
      <c r="D615" s="42" t="s">
        <v>41</v>
      </c>
      <c r="E615" s="42" t="s">
        <v>10008</v>
      </c>
      <c r="F615" s="42" t="s">
        <v>10706</v>
      </c>
      <c r="G615" s="42" t="s">
        <v>4497</v>
      </c>
      <c r="H615" s="43"/>
      <c r="I615" s="43"/>
      <c r="J615" s="45"/>
      <c r="K615" s="42" t="s">
        <v>41</v>
      </c>
      <c r="L615" s="45" t="str">
        <f>+972 (0)3 975 4455</f>
        <v>#ERROR!</v>
      </c>
      <c r="M615" s="45"/>
      <c r="N615" s="43"/>
      <c r="O615" s="43"/>
      <c r="P615" s="43"/>
      <c r="Q615" s="43"/>
      <c r="R615" s="42" t="s">
        <v>3867</v>
      </c>
      <c r="S615" s="42" t="s">
        <v>3897</v>
      </c>
      <c r="T615" s="42" t="s">
        <v>5092</v>
      </c>
      <c r="U615" s="43"/>
      <c r="V615" s="42" t="s">
        <v>10474</v>
      </c>
      <c r="W615" s="42" t="s">
        <v>5222</v>
      </c>
      <c r="X615" s="42" t="s">
        <v>5018</v>
      </c>
      <c r="Y615" s="45"/>
      <c r="Z615" s="48" t="s">
        <v>3559</v>
      </c>
    </row>
    <row r="616">
      <c r="A616" s="35" t="s">
        <v>9444</v>
      </c>
      <c r="B616" s="35" t="s">
        <v>9438</v>
      </c>
      <c r="C616" s="35" t="s">
        <v>9440</v>
      </c>
      <c r="D616" s="35" t="s">
        <v>9454</v>
      </c>
      <c r="E616" s="35" t="s">
        <v>10011</v>
      </c>
      <c r="F616" s="35" t="s">
        <v>9453</v>
      </c>
      <c r="G616" s="34"/>
      <c r="H616" s="35" t="s">
        <v>9454</v>
      </c>
      <c r="I616" s="34"/>
      <c r="J616" s="32">
        <v>40696.0</v>
      </c>
      <c r="K616" s="35" t="s">
        <v>41</v>
      </c>
      <c r="L616" s="37" t="str">
        <f>+972 (0)54 776 9449</f>
        <v>#ERROR!</v>
      </c>
      <c r="M616" s="37"/>
      <c r="N616" s="35" t="s">
        <v>9455</v>
      </c>
      <c r="O616" s="35" t="s">
        <v>9450</v>
      </c>
      <c r="P616" s="35" t="s">
        <v>3579</v>
      </c>
      <c r="Q616" s="34"/>
      <c r="R616" s="35" t="s">
        <v>3563</v>
      </c>
      <c r="S616" s="35" t="s">
        <v>3564</v>
      </c>
      <c r="T616" s="35" t="s">
        <v>7458</v>
      </c>
      <c r="U616" s="35" t="s">
        <v>9442</v>
      </c>
      <c r="V616" s="35" t="s">
        <v>10707</v>
      </c>
      <c r="W616" s="35" t="s">
        <v>3571</v>
      </c>
      <c r="X616" s="35" t="s">
        <v>4962</v>
      </c>
      <c r="Y616" s="32">
        <v>30.0</v>
      </c>
      <c r="Z616" s="40" t="s">
        <v>3559</v>
      </c>
    </row>
    <row r="617">
      <c r="A617" s="42" t="s">
        <v>9465</v>
      </c>
      <c r="B617" s="42" t="s">
        <v>2438</v>
      </c>
      <c r="C617" s="42" t="s">
        <v>9461</v>
      </c>
      <c r="D617" s="42" t="s">
        <v>2444</v>
      </c>
      <c r="E617" s="42" t="s">
        <v>10011</v>
      </c>
      <c r="F617" s="42" t="s">
        <v>9472</v>
      </c>
      <c r="G617" s="43"/>
      <c r="H617" s="42" t="s">
        <v>2444</v>
      </c>
      <c r="I617" s="43"/>
      <c r="J617" s="41">
        <v>5126112.0</v>
      </c>
      <c r="K617" s="42" t="s">
        <v>41</v>
      </c>
      <c r="L617" s="45" t="str">
        <f>+972 (0)54 818 5100</f>
        <v>#ERROR!</v>
      </c>
      <c r="M617" s="45"/>
      <c r="N617" s="42" t="s">
        <v>2441</v>
      </c>
      <c r="O617" s="42" t="s">
        <v>9470</v>
      </c>
      <c r="P617" s="42" t="s">
        <v>6137</v>
      </c>
      <c r="Q617" s="43"/>
      <c r="R617" s="42" t="s">
        <v>4560</v>
      </c>
      <c r="S617" s="42" t="s">
        <v>4561</v>
      </c>
      <c r="T617" s="42" t="s">
        <v>66</v>
      </c>
      <c r="U617" s="42" t="s">
        <v>9463</v>
      </c>
      <c r="V617" s="42" t="s">
        <v>10708</v>
      </c>
      <c r="W617" s="42" t="s">
        <v>6041</v>
      </c>
      <c r="X617" s="42" t="s">
        <v>3569</v>
      </c>
      <c r="Y617" s="41">
        <v>5.0</v>
      </c>
      <c r="Z617" s="48" t="s">
        <v>3559</v>
      </c>
    </row>
    <row r="618">
      <c r="A618" s="35" t="s">
        <v>9483</v>
      </c>
      <c r="B618" s="35" t="s">
        <v>9480</v>
      </c>
      <c r="C618" s="35" t="s">
        <v>9481</v>
      </c>
      <c r="D618" s="35" t="s">
        <v>75</v>
      </c>
      <c r="E618" s="35" t="s">
        <v>10011</v>
      </c>
      <c r="F618" s="34"/>
      <c r="G618" s="34"/>
      <c r="H618" s="35" t="s">
        <v>75</v>
      </c>
      <c r="I618" s="34"/>
      <c r="J618" s="37"/>
      <c r="K618" s="35" t="s">
        <v>41</v>
      </c>
      <c r="L618" s="37"/>
      <c r="M618" s="37"/>
      <c r="N618" s="34"/>
      <c r="O618" s="34"/>
      <c r="P618" s="34"/>
      <c r="Q618" s="34"/>
      <c r="R618" s="35" t="s">
        <v>4560</v>
      </c>
      <c r="S618" s="35" t="s">
        <v>4561</v>
      </c>
      <c r="T618" s="35" t="s">
        <v>66</v>
      </c>
      <c r="U618" s="34"/>
      <c r="V618" s="35" t="s">
        <v>10360</v>
      </c>
      <c r="W618" s="35" t="s">
        <v>3571</v>
      </c>
      <c r="X618" s="35" t="s">
        <v>4962</v>
      </c>
      <c r="Y618" s="37"/>
      <c r="Z618" s="40" t="s">
        <v>3559</v>
      </c>
    </row>
    <row r="619">
      <c r="A619" s="42" t="s">
        <v>9495</v>
      </c>
      <c r="B619" s="42" t="s">
        <v>9490</v>
      </c>
      <c r="C619" s="42" t="s">
        <v>9492</v>
      </c>
      <c r="D619" s="42" t="s">
        <v>111</v>
      </c>
      <c r="E619" s="42" t="s">
        <v>10008</v>
      </c>
      <c r="F619" s="42" t="s">
        <v>10709</v>
      </c>
      <c r="G619" s="43"/>
      <c r="H619" s="42" t="s">
        <v>111</v>
      </c>
      <c r="I619" s="42" t="s">
        <v>112</v>
      </c>
      <c r="J619" s="41">
        <v>60601.0</v>
      </c>
      <c r="K619" s="42" t="s">
        <v>60</v>
      </c>
      <c r="L619" s="45"/>
      <c r="M619" s="45"/>
      <c r="N619" s="43"/>
      <c r="O619" s="43"/>
      <c r="P619" s="43"/>
      <c r="Q619" s="43"/>
      <c r="R619" s="42" t="s">
        <v>3563</v>
      </c>
      <c r="S619" s="42" t="s">
        <v>3564</v>
      </c>
      <c r="T619" s="42" t="s">
        <v>7458</v>
      </c>
      <c r="U619" s="42" t="s">
        <v>5513</v>
      </c>
      <c r="V619" s="42" t="s">
        <v>10710</v>
      </c>
      <c r="W619" s="42" t="s">
        <v>5222</v>
      </c>
      <c r="X619" s="42" t="s">
        <v>5018</v>
      </c>
      <c r="Y619" s="45"/>
      <c r="Z619" s="48" t="s">
        <v>3559</v>
      </c>
    </row>
    <row r="620">
      <c r="A620" s="35" t="s">
        <v>9495</v>
      </c>
      <c r="B620" s="35" t="s">
        <v>9490</v>
      </c>
      <c r="C620" s="35" t="s">
        <v>9492</v>
      </c>
      <c r="D620" s="35" t="s">
        <v>616</v>
      </c>
      <c r="E620" s="35" t="s">
        <v>10011</v>
      </c>
      <c r="F620" s="35" t="s">
        <v>9497</v>
      </c>
      <c r="G620" s="34"/>
      <c r="H620" s="35" t="s">
        <v>616</v>
      </c>
      <c r="I620" s="34"/>
      <c r="J620" s="32">
        <v>69719.0</v>
      </c>
      <c r="K620" s="35" t="s">
        <v>41</v>
      </c>
      <c r="L620" s="37"/>
      <c r="M620" s="37"/>
      <c r="N620" s="34"/>
      <c r="O620" s="34"/>
      <c r="P620" s="34"/>
      <c r="Q620" s="34"/>
      <c r="R620" s="35" t="s">
        <v>3563</v>
      </c>
      <c r="S620" s="35" t="s">
        <v>3564</v>
      </c>
      <c r="T620" s="35" t="s">
        <v>7458</v>
      </c>
      <c r="U620" s="35" t="s">
        <v>5513</v>
      </c>
      <c r="V620" s="35" t="s">
        <v>10710</v>
      </c>
      <c r="W620" s="35" t="s">
        <v>5222</v>
      </c>
      <c r="X620" s="35" t="s">
        <v>5018</v>
      </c>
      <c r="Y620" s="37"/>
      <c r="Z620" s="40" t="s">
        <v>3559</v>
      </c>
    </row>
    <row r="621">
      <c r="A621" s="42" t="s">
        <v>9495</v>
      </c>
      <c r="B621" s="42" t="s">
        <v>9490</v>
      </c>
      <c r="C621" s="42" t="s">
        <v>9492</v>
      </c>
      <c r="D621" s="42" t="s">
        <v>75</v>
      </c>
      <c r="E621" s="42" t="s">
        <v>10008</v>
      </c>
      <c r="F621" s="42" t="s">
        <v>10477</v>
      </c>
      <c r="G621" s="43"/>
      <c r="H621" s="42" t="s">
        <v>75</v>
      </c>
      <c r="I621" s="43"/>
      <c r="J621" s="41">
        <v>69719.0</v>
      </c>
      <c r="K621" s="42" t="s">
        <v>41</v>
      </c>
      <c r="L621" s="45"/>
      <c r="M621" s="45"/>
      <c r="N621" s="42" t="s">
        <v>10711</v>
      </c>
      <c r="O621" s="43"/>
      <c r="P621" s="43"/>
      <c r="Q621" s="43"/>
      <c r="R621" s="42" t="s">
        <v>3563</v>
      </c>
      <c r="S621" s="42" t="s">
        <v>3564</v>
      </c>
      <c r="T621" s="42" t="s">
        <v>7458</v>
      </c>
      <c r="U621" s="42" t="s">
        <v>5513</v>
      </c>
      <c r="V621" s="42" t="s">
        <v>10710</v>
      </c>
      <c r="W621" s="42" t="s">
        <v>5222</v>
      </c>
      <c r="X621" s="42" t="s">
        <v>5018</v>
      </c>
      <c r="Y621" s="45"/>
      <c r="Z621" s="48" t="s">
        <v>3559</v>
      </c>
    </row>
    <row r="622">
      <c r="A622" s="35" t="s">
        <v>9506</v>
      </c>
      <c r="B622" s="35" t="s">
        <v>9503</v>
      </c>
      <c r="C622" s="35" t="s">
        <v>9504</v>
      </c>
      <c r="D622" s="35" t="s">
        <v>246</v>
      </c>
      <c r="E622" s="35" t="s">
        <v>10011</v>
      </c>
      <c r="F622" s="34"/>
      <c r="G622" s="34"/>
      <c r="H622" s="35" t="s">
        <v>246</v>
      </c>
      <c r="I622" s="34"/>
      <c r="J622" s="37"/>
      <c r="K622" s="35" t="s">
        <v>41</v>
      </c>
      <c r="L622" s="37"/>
      <c r="M622" s="37"/>
      <c r="N622" s="34"/>
      <c r="O622" s="35" t="s">
        <v>9508</v>
      </c>
      <c r="P622" s="35" t="s">
        <v>910</v>
      </c>
      <c r="Q622" s="34"/>
      <c r="R622" s="35" t="s">
        <v>4560</v>
      </c>
      <c r="S622" s="35" t="s">
        <v>4561</v>
      </c>
      <c r="T622" s="35" t="s">
        <v>66</v>
      </c>
      <c r="U622" s="35" t="s">
        <v>7545</v>
      </c>
      <c r="V622" s="35" t="s">
        <v>4562</v>
      </c>
      <c r="W622" s="35" t="s">
        <v>6041</v>
      </c>
      <c r="X622" s="35" t="s">
        <v>5145</v>
      </c>
      <c r="Y622" s="37"/>
      <c r="Z622" s="40" t="s">
        <v>3559</v>
      </c>
    </row>
    <row r="623">
      <c r="A623" s="42" t="s">
        <v>9517</v>
      </c>
      <c r="B623" s="42" t="s">
        <v>9514</v>
      </c>
      <c r="C623" s="42" t="s">
        <v>9515</v>
      </c>
      <c r="D623" s="42" t="s">
        <v>8043</v>
      </c>
      <c r="E623" s="42" t="s">
        <v>10011</v>
      </c>
      <c r="F623" s="43"/>
      <c r="G623" s="43"/>
      <c r="H623" s="42" t="s">
        <v>75</v>
      </c>
      <c r="I623" s="43"/>
      <c r="J623" s="45"/>
      <c r="K623" s="42" t="s">
        <v>41</v>
      </c>
      <c r="L623" s="45"/>
      <c r="M623" s="45"/>
      <c r="N623" s="43"/>
      <c r="O623" s="43"/>
      <c r="P623" s="43"/>
      <c r="Q623" s="43"/>
      <c r="R623" s="42" t="s">
        <v>4560</v>
      </c>
      <c r="S623" s="42" t="s">
        <v>4561</v>
      </c>
      <c r="T623" s="42" t="s">
        <v>5057</v>
      </c>
      <c r="U623" s="43"/>
      <c r="V623" s="42" t="s">
        <v>5058</v>
      </c>
      <c r="W623" s="43"/>
      <c r="X623" s="42" t="s">
        <v>4923</v>
      </c>
      <c r="Y623" s="41">
        <v>7.0</v>
      </c>
      <c r="Z623" s="48" t="s">
        <v>3559</v>
      </c>
    </row>
    <row r="624">
      <c r="A624" s="35" t="s">
        <v>9526</v>
      </c>
      <c r="B624" s="35" t="s">
        <v>9521</v>
      </c>
      <c r="C624" s="35" t="s">
        <v>9523</v>
      </c>
      <c r="D624" s="35" t="s">
        <v>9531</v>
      </c>
      <c r="E624" s="35" t="s">
        <v>10011</v>
      </c>
      <c r="F624" s="35" t="s">
        <v>9530</v>
      </c>
      <c r="G624" s="34"/>
      <c r="H624" s="35" t="s">
        <v>9531</v>
      </c>
      <c r="I624" s="34"/>
      <c r="J624" s="37"/>
      <c r="K624" s="35" t="s">
        <v>41</v>
      </c>
      <c r="L624" s="37"/>
      <c r="M624" s="37"/>
      <c r="N624" s="35" t="s">
        <v>9533</v>
      </c>
      <c r="O624" s="34"/>
      <c r="P624" s="34"/>
      <c r="Q624" s="34"/>
      <c r="R624" s="35" t="s">
        <v>4560</v>
      </c>
      <c r="S624" s="35" t="s">
        <v>4561</v>
      </c>
      <c r="T624" s="35" t="s">
        <v>66</v>
      </c>
      <c r="U624" s="35" t="s">
        <v>5736</v>
      </c>
      <c r="V624" s="35" t="s">
        <v>10712</v>
      </c>
      <c r="W624" s="35" t="s">
        <v>5222</v>
      </c>
      <c r="X624" s="35" t="s">
        <v>5481</v>
      </c>
      <c r="Y624" s="37"/>
      <c r="Z624" s="40" t="s">
        <v>3559</v>
      </c>
    </row>
    <row r="625">
      <c r="A625" s="42" t="s">
        <v>9541</v>
      </c>
      <c r="B625" s="42" t="s">
        <v>9538</v>
      </c>
      <c r="C625" s="42" t="s">
        <v>9539</v>
      </c>
      <c r="D625" s="42" t="s">
        <v>75</v>
      </c>
      <c r="E625" s="42" t="s">
        <v>10011</v>
      </c>
      <c r="F625" s="43"/>
      <c r="G625" s="43"/>
      <c r="H625" s="42" t="s">
        <v>75</v>
      </c>
      <c r="I625" s="43"/>
      <c r="J625" s="45"/>
      <c r="K625" s="42" t="s">
        <v>41</v>
      </c>
      <c r="L625" s="45"/>
      <c r="M625" s="45"/>
      <c r="N625" s="43"/>
      <c r="O625" s="42" t="s">
        <v>9544</v>
      </c>
      <c r="P625" s="42" t="s">
        <v>265</v>
      </c>
      <c r="Q625" s="43"/>
      <c r="R625" s="42" t="s">
        <v>4560</v>
      </c>
      <c r="S625" s="42" t="s">
        <v>4561</v>
      </c>
      <c r="T625" s="42" t="s">
        <v>66</v>
      </c>
      <c r="U625" s="42" t="s">
        <v>8447</v>
      </c>
      <c r="V625" s="42" t="s">
        <v>10469</v>
      </c>
      <c r="W625" s="42" t="s">
        <v>5222</v>
      </c>
      <c r="X625" s="42" t="s">
        <v>5481</v>
      </c>
      <c r="Y625" s="45"/>
      <c r="Z625" s="48" t="s">
        <v>3559</v>
      </c>
    </row>
    <row r="626">
      <c r="A626" s="35" t="s">
        <v>9556</v>
      </c>
      <c r="B626" s="35" t="s">
        <v>9550</v>
      </c>
      <c r="C626" s="35" t="s">
        <v>9552</v>
      </c>
      <c r="D626" s="35" t="s">
        <v>183</v>
      </c>
      <c r="E626" s="35" t="s">
        <v>10011</v>
      </c>
      <c r="F626" s="35" t="s">
        <v>9559</v>
      </c>
      <c r="G626" s="34"/>
      <c r="H626" s="35" t="s">
        <v>183</v>
      </c>
      <c r="I626" s="34"/>
      <c r="J626" s="37"/>
      <c r="K626" s="35" t="s">
        <v>41</v>
      </c>
      <c r="L626" s="37" t="str">
        <f>+972 (0)8 946 4288</f>
        <v>#ERROR!</v>
      </c>
      <c r="M626" s="37"/>
      <c r="N626" s="34"/>
      <c r="O626" s="34"/>
      <c r="P626" s="34"/>
      <c r="Q626" s="34"/>
      <c r="R626" s="35" t="s">
        <v>3563</v>
      </c>
      <c r="S626" s="35" t="s">
        <v>3564</v>
      </c>
      <c r="T626" s="35" t="s">
        <v>3565</v>
      </c>
      <c r="U626" s="35" t="s">
        <v>9554</v>
      </c>
      <c r="V626" s="35" t="s">
        <v>10713</v>
      </c>
      <c r="W626" s="35" t="s">
        <v>3571</v>
      </c>
      <c r="X626" s="35" t="s">
        <v>4923</v>
      </c>
      <c r="Y626" s="37"/>
      <c r="Z626" s="40" t="s">
        <v>3559</v>
      </c>
    </row>
    <row r="627">
      <c r="A627" s="42" t="s">
        <v>9572</v>
      </c>
      <c r="B627" s="42" t="s">
        <v>1704</v>
      </c>
      <c r="C627" s="42" t="s">
        <v>9568</v>
      </c>
      <c r="D627" s="42" t="s">
        <v>246</v>
      </c>
      <c r="E627" s="42" t="s">
        <v>10011</v>
      </c>
      <c r="F627" s="42" t="s">
        <v>9580</v>
      </c>
      <c r="G627" s="43"/>
      <c r="H627" s="42" t="s">
        <v>246</v>
      </c>
      <c r="I627" s="43"/>
      <c r="J627" s="41">
        <v>7152008.0</v>
      </c>
      <c r="K627" s="42" t="s">
        <v>41</v>
      </c>
      <c r="L627" s="45" t="str">
        <f>+972 (0)8 680 5566</f>
        <v>#ERROR!</v>
      </c>
      <c r="M627" s="45"/>
      <c r="N627" s="42" t="s">
        <v>9582</v>
      </c>
      <c r="O627" s="42" t="s">
        <v>9577</v>
      </c>
      <c r="P627" s="42" t="s">
        <v>9578</v>
      </c>
      <c r="Q627" s="43"/>
      <c r="R627" s="42" t="s">
        <v>3867</v>
      </c>
      <c r="S627" s="42" t="s">
        <v>4199</v>
      </c>
      <c r="T627" s="42" t="s">
        <v>4200</v>
      </c>
      <c r="U627" s="42" t="s">
        <v>9570</v>
      </c>
      <c r="V627" s="42" t="s">
        <v>10714</v>
      </c>
      <c r="W627" s="42" t="s">
        <v>5412</v>
      </c>
      <c r="X627" s="42" t="s">
        <v>5018</v>
      </c>
      <c r="Y627" s="41">
        <v>38.0</v>
      </c>
      <c r="Z627" s="48" t="s">
        <v>3559</v>
      </c>
    </row>
    <row r="628">
      <c r="A628" s="35" t="s">
        <v>9572</v>
      </c>
      <c r="B628" s="35" t="s">
        <v>1704</v>
      </c>
      <c r="C628" s="35" t="s">
        <v>9568</v>
      </c>
      <c r="D628" s="35" t="s">
        <v>10715</v>
      </c>
      <c r="E628" s="35" t="s">
        <v>10008</v>
      </c>
      <c r="F628" s="35" t="s">
        <v>10716</v>
      </c>
      <c r="G628" s="34"/>
      <c r="H628" s="35" t="s">
        <v>10715</v>
      </c>
      <c r="I628" s="34"/>
      <c r="J628" s="32">
        <v>72072.0</v>
      </c>
      <c r="K628" s="35" t="s">
        <v>465</v>
      </c>
      <c r="L628" s="37"/>
      <c r="M628" s="37"/>
      <c r="N628" s="34"/>
      <c r="O628" s="35" t="s">
        <v>9577</v>
      </c>
      <c r="P628" s="35" t="s">
        <v>9578</v>
      </c>
      <c r="Q628" s="34"/>
      <c r="R628" s="35" t="s">
        <v>3867</v>
      </c>
      <c r="S628" s="35" t="s">
        <v>4199</v>
      </c>
      <c r="T628" s="35" t="s">
        <v>4200</v>
      </c>
      <c r="U628" s="35" t="s">
        <v>9570</v>
      </c>
      <c r="V628" s="35" t="s">
        <v>10714</v>
      </c>
      <c r="W628" s="35" t="s">
        <v>5412</v>
      </c>
      <c r="X628" s="35" t="s">
        <v>5018</v>
      </c>
      <c r="Y628" s="32">
        <v>38.0</v>
      </c>
      <c r="Z628" s="40" t="s">
        <v>3559</v>
      </c>
    </row>
  </sheetData>
  <mergeCells count="1">
    <mergeCell ref="B2:D2"/>
  </mergeCells>
  <hyperlinks>
    <hyperlink r:id="rId1" ref="B4"/>
    <hyperlink r:id="rId2" ref="B5"/>
    <hyperlink r:id="rId3" ref="B6"/>
    <hyperlink r:id="rId4" ref="B334"/>
    <hyperlink r:id="rId5" ref="B335"/>
    <hyperlink r:id="rId6" ref="B339"/>
    <hyperlink r:id="rId7" ref="B398"/>
    <hyperlink r:id="rId8" ref="B543"/>
    <hyperlink r:id="rId9" ref="B546"/>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4.13"/>
    <col customWidth="1" min="3" max="3" width="19.13"/>
    <col customWidth="1" min="4" max="4" width="24.75"/>
    <col customWidth="1" min="5" max="5" width="18.13"/>
    <col customWidth="1" min="6" max="6" width="22.38"/>
    <col customWidth="1" min="7" max="7" width="37.63"/>
    <col customWidth="1" min="8" max="8" width="24.63"/>
  </cols>
  <sheetData>
    <row r="3" ht="22.5" customHeight="1">
      <c r="A3" s="82" t="s">
        <v>10717</v>
      </c>
      <c r="B3" s="82" t="s">
        <v>9992</v>
      </c>
      <c r="C3" s="82" t="s">
        <v>6</v>
      </c>
      <c r="D3" s="82" t="s">
        <v>10718</v>
      </c>
      <c r="E3" s="82" t="s">
        <v>10719</v>
      </c>
      <c r="F3" s="82" t="s">
        <v>10720</v>
      </c>
      <c r="G3" s="82" t="s">
        <v>10721</v>
      </c>
      <c r="H3" s="82" t="s">
        <v>11</v>
      </c>
    </row>
    <row r="4" ht="22.5" customHeight="1">
      <c r="A4" s="83">
        <v>46037.0</v>
      </c>
      <c r="B4" s="84" t="s">
        <v>6363</v>
      </c>
      <c r="C4" s="85">
        <v>5.20038126E8</v>
      </c>
      <c r="D4" s="86" t="s">
        <v>5257</v>
      </c>
      <c r="E4" s="85">
        <v>16.1</v>
      </c>
      <c r="F4" s="86" t="s">
        <v>32</v>
      </c>
      <c r="G4" s="87" t="s">
        <v>10722</v>
      </c>
      <c r="H4" s="87" t="s">
        <v>601</v>
      </c>
    </row>
    <row r="5" ht="22.5" customHeight="1">
      <c r="A5" s="83">
        <v>46021.0</v>
      </c>
      <c r="B5" s="84" t="s">
        <v>10723</v>
      </c>
      <c r="C5" s="85">
        <v>5.15771194E8</v>
      </c>
      <c r="D5" s="86" t="s">
        <v>10724</v>
      </c>
      <c r="E5" s="85">
        <v>3.5</v>
      </c>
      <c r="F5" s="86" t="s">
        <v>32</v>
      </c>
      <c r="G5" s="87" t="s">
        <v>10725</v>
      </c>
      <c r="H5" s="87" t="s">
        <v>3409</v>
      </c>
    </row>
    <row r="6" ht="22.5" customHeight="1">
      <c r="A6" s="83">
        <v>46001.0</v>
      </c>
      <c r="B6" s="84" t="s">
        <v>10726</v>
      </c>
      <c r="C6" s="85">
        <v>5.14467513E8</v>
      </c>
      <c r="D6" s="86" t="s">
        <v>10727</v>
      </c>
      <c r="E6" s="85">
        <v>26.0</v>
      </c>
      <c r="F6" s="86" t="s">
        <v>32</v>
      </c>
      <c r="G6" s="87" t="s">
        <v>10728</v>
      </c>
      <c r="H6" s="87" t="s">
        <v>2184</v>
      </c>
    </row>
    <row r="7" ht="22.5" customHeight="1">
      <c r="A7" s="83">
        <v>45995.0</v>
      </c>
      <c r="B7" s="84" t="s">
        <v>10729</v>
      </c>
      <c r="C7" s="85">
        <v>5.20042821E8</v>
      </c>
      <c r="D7" s="86" t="s">
        <v>5257</v>
      </c>
      <c r="E7" s="85">
        <v>2000.0</v>
      </c>
      <c r="F7" s="86" t="s">
        <v>32</v>
      </c>
      <c r="G7" s="87" t="s">
        <v>10730</v>
      </c>
      <c r="H7" s="87" t="s">
        <v>3129</v>
      </c>
    </row>
    <row r="8" ht="22.5" customHeight="1">
      <c r="A8" s="83">
        <v>45995.0</v>
      </c>
      <c r="B8" s="84" t="s">
        <v>10731</v>
      </c>
      <c r="C8" s="85">
        <v>5.16243284E8</v>
      </c>
      <c r="D8" s="86" t="s">
        <v>5257</v>
      </c>
      <c r="E8" s="85">
        <v>1.3</v>
      </c>
      <c r="F8" s="86" t="s">
        <v>32</v>
      </c>
      <c r="G8" s="87" t="s">
        <v>10732</v>
      </c>
      <c r="H8" s="87" t="s">
        <v>407</v>
      </c>
    </row>
    <row r="9" ht="22.5" customHeight="1">
      <c r="A9" s="83">
        <v>45986.0</v>
      </c>
      <c r="B9" s="84" t="s">
        <v>10733</v>
      </c>
      <c r="C9" s="85">
        <v>5.15509651E8</v>
      </c>
      <c r="D9" s="86" t="s">
        <v>10734</v>
      </c>
      <c r="E9" s="85">
        <v>80.0</v>
      </c>
      <c r="F9" s="86" t="s">
        <v>32</v>
      </c>
      <c r="G9" s="87" t="s">
        <v>10735</v>
      </c>
      <c r="H9" s="87" t="s">
        <v>10736</v>
      </c>
    </row>
    <row r="10" ht="22.5" customHeight="1">
      <c r="A10" s="83">
        <v>45918.0</v>
      </c>
      <c r="B10" s="84" t="s">
        <v>10737</v>
      </c>
      <c r="C10" s="85">
        <v>5.15114429E8</v>
      </c>
      <c r="D10" s="86" t="s">
        <v>5257</v>
      </c>
      <c r="E10" s="85">
        <v>10.2</v>
      </c>
      <c r="F10" s="86" t="s">
        <v>32</v>
      </c>
      <c r="G10" s="87" t="s">
        <v>10738</v>
      </c>
      <c r="H10" s="87" t="s">
        <v>2920</v>
      </c>
    </row>
    <row r="11" ht="22.5" customHeight="1">
      <c r="A11" s="83">
        <v>45889.0</v>
      </c>
      <c r="B11" s="84" t="s">
        <v>10739</v>
      </c>
      <c r="C11" s="85">
        <v>5.16273554E8</v>
      </c>
      <c r="D11" s="86" t="s">
        <v>10734</v>
      </c>
      <c r="E11" s="88"/>
      <c r="F11" s="86" t="s">
        <v>32</v>
      </c>
      <c r="G11" s="87" t="s">
        <v>10740</v>
      </c>
      <c r="H11" s="87" t="s">
        <v>10741</v>
      </c>
    </row>
    <row r="12" ht="22.5" customHeight="1">
      <c r="A12" s="83">
        <v>45887.0</v>
      </c>
      <c r="B12" s="89" t="s">
        <v>10742</v>
      </c>
      <c r="C12" s="85">
        <v>5.14593573E8</v>
      </c>
      <c r="D12" s="86" t="s">
        <v>10734</v>
      </c>
      <c r="E12" s="85">
        <v>188.0</v>
      </c>
      <c r="F12" s="86" t="s">
        <v>32</v>
      </c>
      <c r="G12" s="87" t="s">
        <v>10743</v>
      </c>
      <c r="H12" s="87" t="s">
        <v>3357</v>
      </c>
    </row>
    <row r="13" ht="22.5" customHeight="1">
      <c r="A13" s="83">
        <v>45887.0</v>
      </c>
      <c r="B13" s="84" t="s">
        <v>10744</v>
      </c>
      <c r="C13" s="85">
        <v>5.15108058E8</v>
      </c>
      <c r="D13" s="86" t="s">
        <v>10745</v>
      </c>
      <c r="E13" s="85">
        <v>2.6</v>
      </c>
      <c r="F13" s="86" t="s">
        <v>32</v>
      </c>
      <c r="G13" s="87" t="s">
        <v>10746</v>
      </c>
      <c r="H13" s="87" t="s">
        <v>720</v>
      </c>
    </row>
    <row r="14" ht="22.5" customHeight="1">
      <c r="A14" s="83">
        <v>45887.0</v>
      </c>
      <c r="B14" s="84" t="s">
        <v>10744</v>
      </c>
      <c r="C14" s="85">
        <v>5.15108058E8</v>
      </c>
      <c r="D14" s="86" t="s">
        <v>10724</v>
      </c>
      <c r="E14" s="85">
        <v>4.1</v>
      </c>
      <c r="F14" s="86" t="s">
        <v>32</v>
      </c>
      <c r="G14" s="87" t="s">
        <v>10746</v>
      </c>
      <c r="H14" s="87" t="s">
        <v>720</v>
      </c>
    </row>
    <row r="15" ht="22.5" customHeight="1">
      <c r="A15" s="83">
        <v>45868.0</v>
      </c>
      <c r="B15" s="84" t="s">
        <v>10747</v>
      </c>
      <c r="C15" s="85">
        <v>5.16018785E8</v>
      </c>
      <c r="D15" s="86" t="s">
        <v>10748</v>
      </c>
      <c r="E15" s="85">
        <v>23.0</v>
      </c>
      <c r="F15" s="86" t="s">
        <v>47</v>
      </c>
      <c r="G15" s="87" t="s">
        <v>10749</v>
      </c>
      <c r="H15" s="87" t="s">
        <v>2900</v>
      </c>
    </row>
    <row r="16" ht="22.5" customHeight="1">
      <c r="A16" s="83">
        <v>45867.0</v>
      </c>
      <c r="B16" s="84" t="s">
        <v>5860</v>
      </c>
      <c r="C16" s="85">
        <v>5.1347601E8</v>
      </c>
      <c r="D16" s="86" t="s">
        <v>10734</v>
      </c>
      <c r="E16" s="88"/>
      <c r="F16" s="86" t="s">
        <v>32</v>
      </c>
      <c r="G16" s="87" t="s">
        <v>10750</v>
      </c>
      <c r="H16" s="87" t="s">
        <v>10751</v>
      </c>
    </row>
    <row r="17" ht="22.5" customHeight="1">
      <c r="A17" s="83">
        <v>45867.0</v>
      </c>
      <c r="B17" s="84" t="s">
        <v>9566</v>
      </c>
      <c r="C17" s="85">
        <v>5.14881564E8</v>
      </c>
      <c r="D17" s="86" t="s">
        <v>5257</v>
      </c>
      <c r="E17" s="85">
        <v>180.0</v>
      </c>
      <c r="F17" s="86" t="s">
        <v>32</v>
      </c>
      <c r="G17" s="87" t="s">
        <v>10752</v>
      </c>
      <c r="H17" s="87" t="s">
        <v>1708</v>
      </c>
    </row>
    <row r="18" ht="22.5" customHeight="1">
      <c r="A18" s="83">
        <v>45824.0</v>
      </c>
      <c r="B18" s="84" t="s">
        <v>6363</v>
      </c>
      <c r="C18" s="85">
        <v>5.20038126E8</v>
      </c>
      <c r="D18" s="86" t="s">
        <v>5257</v>
      </c>
      <c r="E18" s="85">
        <v>9.0</v>
      </c>
      <c r="F18" s="86" t="s">
        <v>32</v>
      </c>
      <c r="G18" s="87" t="s">
        <v>10722</v>
      </c>
      <c r="H18" s="87" t="s">
        <v>601</v>
      </c>
    </row>
    <row r="19" ht="22.5" customHeight="1">
      <c r="A19" s="83">
        <v>45813.0</v>
      </c>
      <c r="B19" s="84" t="s">
        <v>5374</v>
      </c>
      <c r="C19" s="85">
        <v>5.14185297E8</v>
      </c>
      <c r="D19" s="86" t="s">
        <v>10734</v>
      </c>
      <c r="E19" s="85">
        <v>85.0</v>
      </c>
      <c r="F19" s="86" t="s">
        <v>32</v>
      </c>
      <c r="G19" s="87" t="s">
        <v>10753</v>
      </c>
      <c r="H19" s="87" t="s">
        <v>10754</v>
      </c>
    </row>
    <row r="20" ht="22.5" customHeight="1">
      <c r="A20" s="83">
        <v>45809.0</v>
      </c>
      <c r="B20" s="84" t="s">
        <v>10755</v>
      </c>
      <c r="C20" s="85">
        <v>5.16385531E8</v>
      </c>
      <c r="D20" s="86" t="s">
        <v>1518</v>
      </c>
      <c r="E20" s="88"/>
      <c r="F20" s="86" t="s">
        <v>47</v>
      </c>
      <c r="G20" s="87" t="s">
        <v>10756</v>
      </c>
      <c r="H20" s="87" t="s">
        <v>680</v>
      </c>
    </row>
    <row r="21" ht="22.5" customHeight="1">
      <c r="A21" s="83">
        <v>45788.0</v>
      </c>
      <c r="B21" s="84" t="s">
        <v>10757</v>
      </c>
      <c r="C21" s="85">
        <v>5.10930787E8</v>
      </c>
      <c r="D21" s="86" t="s">
        <v>10734</v>
      </c>
      <c r="E21" s="88"/>
      <c r="F21" s="86" t="s">
        <v>32</v>
      </c>
      <c r="G21" s="87" t="s">
        <v>10758</v>
      </c>
      <c r="H21" s="87" t="s">
        <v>10759</v>
      </c>
    </row>
    <row r="22" ht="22.5" customHeight="1">
      <c r="A22" s="83">
        <v>45778.0</v>
      </c>
      <c r="B22" s="84" t="s">
        <v>10760</v>
      </c>
      <c r="C22" s="85">
        <v>5.17119632E8</v>
      </c>
      <c r="D22" s="86" t="s">
        <v>1518</v>
      </c>
      <c r="E22" s="85">
        <v>1.2</v>
      </c>
      <c r="F22" s="86" t="s">
        <v>32</v>
      </c>
      <c r="G22" s="87" t="s">
        <v>10761</v>
      </c>
      <c r="H22" s="87" t="s">
        <v>1994</v>
      </c>
    </row>
    <row r="23" ht="22.5" customHeight="1">
      <c r="A23" s="83">
        <v>45749.0</v>
      </c>
      <c r="B23" s="84" t="s">
        <v>10762</v>
      </c>
      <c r="C23" s="85">
        <v>5.15975217E8</v>
      </c>
      <c r="D23" s="86" t="s">
        <v>10748</v>
      </c>
      <c r="E23" s="85">
        <v>11.0</v>
      </c>
      <c r="F23" s="86" t="s">
        <v>32</v>
      </c>
      <c r="G23" s="87" t="s">
        <v>10763</v>
      </c>
      <c r="H23" s="87" t="s">
        <v>332</v>
      </c>
    </row>
    <row r="24" ht="22.5" customHeight="1">
      <c r="A24" s="83">
        <v>45747.0</v>
      </c>
      <c r="B24" s="84" t="s">
        <v>10764</v>
      </c>
      <c r="C24" s="85">
        <v>5.15461481E8</v>
      </c>
      <c r="D24" s="86" t="s">
        <v>10745</v>
      </c>
      <c r="E24" s="85">
        <v>1.0</v>
      </c>
      <c r="F24" s="86" t="s">
        <v>32</v>
      </c>
      <c r="G24" s="87" t="s">
        <v>10765</v>
      </c>
      <c r="H24" s="87" t="s">
        <v>1294</v>
      </c>
    </row>
    <row r="25" ht="22.5" customHeight="1">
      <c r="A25" s="83">
        <v>45743.0</v>
      </c>
      <c r="B25" s="84" t="s">
        <v>10766</v>
      </c>
      <c r="C25" s="85">
        <v>5.15776755E8</v>
      </c>
      <c r="D25" s="86" t="s">
        <v>10734</v>
      </c>
      <c r="E25" s="85">
        <v>3.5</v>
      </c>
      <c r="F25" s="86" t="s">
        <v>32</v>
      </c>
      <c r="G25" s="87" t="s">
        <v>10767</v>
      </c>
      <c r="H25" s="87" t="s">
        <v>10768</v>
      </c>
    </row>
    <row r="26" ht="22.5" customHeight="1">
      <c r="A26" s="83">
        <v>45727.0</v>
      </c>
      <c r="B26" s="84" t="s">
        <v>10769</v>
      </c>
      <c r="C26" s="85">
        <v>5.15847903E8</v>
      </c>
      <c r="D26" s="86" t="s">
        <v>10727</v>
      </c>
      <c r="E26" s="85">
        <v>2.75</v>
      </c>
      <c r="F26" s="86" t="s">
        <v>32</v>
      </c>
      <c r="G26" s="87" t="s">
        <v>10770</v>
      </c>
      <c r="H26" s="87" t="s">
        <v>1749</v>
      </c>
    </row>
    <row r="27" ht="22.5" customHeight="1">
      <c r="A27" s="83">
        <v>45717.0</v>
      </c>
      <c r="B27" s="84" t="s">
        <v>10771</v>
      </c>
      <c r="C27" s="85">
        <v>5.14782135E8</v>
      </c>
      <c r="D27" s="86" t="s">
        <v>10748</v>
      </c>
      <c r="E27" s="88"/>
      <c r="F27" s="86" t="s">
        <v>32</v>
      </c>
      <c r="G27" s="87" t="s">
        <v>10772</v>
      </c>
      <c r="H27" s="87" t="s">
        <v>2174</v>
      </c>
    </row>
    <row r="28" ht="22.5" customHeight="1">
      <c r="A28" s="83">
        <v>45717.0</v>
      </c>
      <c r="B28" s="84" t="s">
        <v>10773</v>
      </c>
      <c r="C28" s="85">
        <v>5.16082096E8</v>
      </c>
      <c r="D28" s="86" t="s">
        <v>10748</v>
      </c>
      <c r="E28" s="88"/>
      <c r="F28" s="86" t="s">
        <v>47</v>
      </c>
      <c r="G28" s="87" t="s">
        <v>10774</v>
      </c>
      <c r="H28" s="87" t="s">
        <v>181</v>
      </c>
    </row>
    <row r="29" ht="22.5" customHeight="1">
      <c r="A29" s="83">
        <v>45686.0</v>
      </c>
      <c r="B29" s="84" t="s">
        <v>10775</v>
      </c>
      <c r="C29" s="85">
        <v>5.14234202E8</v>
      </c>
      <c r="D29" s="86" t="s">
        <v>10776</v>
      </c>
      <c r="E29" s="85">
        <v>41.0</v>
      </c>
      <c r="F29" s="86" t="s">
        <v>47</v>
      </c>
      <c r="G29" s="87" t="s">
        <v>10777</v>
      </c>
      <c r="H29" s="87" t="s">
        <v>1787</v>
      </c>
    </row>
    <row r="30" ht="22.5" customHeight="1">
      <c r="A30" s="83">
        <v>45677.0</v>
      </c>
      <c r="B30" s="84" t="s">
        <v>10737</v>
      </c>
      <c r="C30" s="85">
        <v>5.15114429E8</v>
      </c>
      <c r="D30" s="86" t="s">
        <v>5257</v>
      </c>
      <c r="E30" s="85">
        <v>3.5</v>
      </c>
      <c r="F30" s="86" t="s">
        <v>32</v>
      </c>
      <c r="G30" s="87" t="s">
        <v>10738</v>
      </c>
      <c r="H30" s="87" t="s">
        <v>2920</v>
      </c>
    </row>
    <row r="31" ht="22.5" customHeight="1">
      <c r="A31" s="83">
        <v>45676.0</v>
      </c>
      <c r="B31" s="84" t="s">
        <v>10778</v>
      </c>
      <c r="C31" s="85">
        <v>5.16779261E8</v>
      </c>
      <c r="D31" s="86" t="s">
        <v>1518</v>
      </c>
      <c r="E31" s="85">
        <v>0.7</v>
      </c>
      <c r="F31" s="86" t="s">
        <v>32</v>
      </c>
      <c r="G31" s="87" t="s">
        <v>10779</v>
      </c>
      <c r="H31" s="87" t="s">
        <v>3017</v>
      </c>
    </row>
    <row r="32" ht="22.5" customHeight="1">
      <c r="A32" s="83">
        <v>45672.0</v>
      </c>
      <c r="B32" s="84" t="s">
        <v>10744</v>
      </c>
      <c r="C32" s="85">
        <v>5.15108058E8</v>
      </c>
      <c r="D32" s="86" t="s">
        <v>10734</v>
      </c>
      <c r="E32" s="85">
        <v>0.36</v>
      </c>
      <c r="F32" s="86" t="s">
        <v>32</v>
      </c>
      <c r="G32" s="87" t="s">
        <v>10746</v>
      </c>
      <c r="H32" s="87" t="s">
        <v>720</v>
      </c>
    </row>
    <row r="33" ht="22.5" customHeight="1">
      <c r="A33" s="83">
        <v>45665.0</v>
      </c>
      <c r="B33" s="84" t="s">
        <v>10731</v>
      </c>
      <c r="C33" s="85">
        <v>5.16243284E8</v>
      </c>
      <c r="D33" s="86" t="s">
        <v>5257</v>
      </c>
      <c r="E33" s="85">
        <v>1.23</v>
      </c>
      <c r="F33" s="86" t="s">
        <v>32</v>
      </c>
      <c r="G33" s="87" t="s">
        <v>10732</v>
      </c>
      <c r="H33" s="87" t="s">
        <v>407</v>
      </c>
    </row>
    <row r="34" ht="22.5" customHeight="1">
      <c r="A34" s="83">
        <v>45658.0</v>
      </c>
      <c r="B34" s="84" t="s">
        <v>10780</v>
      </c>
      <c r="C34" s="85">
        <v>5.16090842E8</v>
      </c>
      <c r="D34" s="86" t="s">
        <v>10748</v>
      </c>
      <c r="E34" s="88"/>
      <c r="F34" s="86" t="s">
        <v>47</v>
      </c>
      <c r="G34" s="87" t="s">
        <v>10781</v>
      </c>
      <c r="H34" s="87" t="s">
        <v>1417</v>
      </c>
    </row>
    <row r="35" ht="22.5" customHeight="1">
      <c r="A35" s="83">
        <v>45658.0</v>
      </c>
      <c r="B35" s="84" t="s">
        <v>10782</v>
      </c>
      <c r="C35" s="85">
        <v>5.14092758E8</v>
      </c>
      <c r="D35" s="86" t="s">
        <v>10724</v>
      </c>
      <c r="E35" s="88"/>
      <c r="F35" s="86" t="s">
        <v>47</v>
      </c>
      <c r="G35" s="87" t="s">
        <v>10783</v>
      </c>
      <c r="H35" s="87" t="s">
        <v>3329</v>
      </c>
    </row>
    <row r="36" ht="22.5" customHeight="1">
      <c r="A36" s="83">
        <v>45658.0</v>
      </c>
      <c r="B36" s="84" t="s">
        <v>9460</v>
      </c>
      <c r="C36" s="85">
        <v>5.16995115E8</v>
      </c>
      <c r="D36" s="86" t="s">
        <v>1518</v>
      </c>
      <c r="E36" s="85">
        <v>1.5</v>
      </c>
      <c r="F36" s="86" t="s">
        <v>32</v>
      </c>
      <c r="G36" s="87" t="s">
        <v>10784</v>
      </c>
      <c r="H36" s="87" t="s">
        <v>2442</v>
      </c>
    </row>
    <row r="37" ht="22.5" customHeight="1">
      <c r="A37" s="83">
        <v>45656.0</v>
      </c>
      <c r="B37" s="84" t="s">
        <v>3786</v>
      </c>
      <c r="C37" s="85">
        <v>5.16010386E8</v>
      </c>
      <c r="D37" s="86" t="s">
        <v>10748</v>
      </c>
      <c r="E37" s="88"/>
      <c r="F37" s="86" t="s">
        <v>47</v>
      </c>
      <c r="G37" s="87" t="s">
        <v>10785</v>
      </c>
      <c r="H37" s="87" t="s">
        <v>1688</v>
      </c>
    </row>
    <row r="38" ht="22.5" customHeight="1">
      <c r="A38" s="83">
        <v>45636.0</v>
      </c>
      <c r="B38" s="84" t="s">
        <v>5563</v>
      </c>
      <c r="C38" s="85">
        <v>5.14788702E8</v>
      </c>
      <c r="D38" s="86" t="s">
        <v>10734</v>
      </c>
      <c r="E38" s="85">
        <v>0.99</v>
      </c>
      <c r="F38" s="86" t="s">
        <v>32</v>
      </c>
      <c r="G38" s="87" t="s">
        <v>10786</v>
      </c>
      <c r="H38" s="87" t="s">
        <v>1344</v>
      </c>
    </row>
    <row r="39" ht="22.5" customHeight="1">
      <c r="A39" s="83">
        <v>45628.0</v>
      </c>
      <c r="B39" s="84" t="s">
        <v>10787</v>
      </c>
      <c r="C39" s="85">
        <v>5.15886992E8</v>
      </c>
      <c r="D39" s="86" t="s">
        <v>10748</v>
      </c>
      <c r="E39" s="85">
        <v>11.0</v>
      </c>
      <c r="F39" s="86" t="s">
        <v>32</v>
      </c>
      <c r="G39" s="87" t="s">
        <v>10788</v>
      </c>
      <c r="H39" s="87" t="s">
        <v>2037</v>
      </c>
    </row>
    <row r="40" ht="22.5" customHeight="1">
      <c r="A40" s="83">
        <v>45627.0</v>
      </c>
      <c r="B40" s="84" t="s">
        <v>10789</v>
      </c>
      <c r="C40" s="85">
        <v>5.15326452E8</v>
      </c>
      <c r="D40" s="86" t="s">
        <v>10748</v>
      </c>
      <c r="E40" s="88"/>
      <c r="F40" s="86" t="s">
        <v>47</v>
      </c>
      <c r="G40" s="87" t="s">
        <v>10790</v>
      </c>
      <c r="H40" s="87" t="s">
        <v>1699</v>
      </c>
    </row>
    <row r="41" ht="22.5" customHeight="1">
      <c r="A41" s="83">
        <v>45627.0</v>
      </c>
      <c r="B41" s="84" t="s">
        <v>10791</v>
      </c>
      <c r="C41" s="85">
        <v>5.16487154E8</v>
      </c>
      <c r="D41" s="86" t="s">
        <v>10748</v>
      </c>
      <c r="E41" s="85">
        <v>0.3</v>
      </c>
      <c r="F41" s="86" t="s">
        <v>32</v>
      </c>
      <c r="G41" s="87" t="s">
        <v>10792</v>
      </c>
      <c r="H41" s="87" t="s">
        <v>3218</v>
      </c>
    </row>
    <row r="42" ht="22.5" customHeight="1">
      <c r="A42" s="83">
        <v>45621.0</v>
      </c>
      <c r="B42" s="84" t="s">
        <v>10793</v>
      </c>
      <c r="C42" s="85">
        <v>5.15196046E8</v>
      </c>
      <c r="D42" s="86" t="s">
        <v>10748</v>
      </c>
      <c r="E42" s="85">
        <v>1.4</v>
      </c>
      <c r="F42" s="86" t="s">
        <v>47</v>
      </c>
      <c r="G42" s="87" t="s">
        <v>10794</v>
      </c>
      <c r="H42" s="87" t="s">
        <v>1234</v>
      </c>
    </row>
    <row r="43" ht="22.5" customHeight="1">
      <c r="A43" s="83">
        <v>45594.0</v>
      </c>
      <c r="B43" s="84" t="s">
        <v>907</v>
      </c>
      <c r="C43" s="88"/>
      <c r="D43" s="86" t="s">
        <v>1518</v>
      </c>
      <c r="E43" s="85">
        <v>8.0</v>
      </c>
      <c r="F43" s="86" t="s">
        <v>32</v>
      </c>
      <c r="G43" s="87" t="s">
        <v>10795</v>
      </c>
      <c r="H43" s="87" t="s">
        <v>912</v>
      </c>
    </row>
    <row r="44" ht="22.5" customHeight="1">
      <c r="A44" s="83">
        <v>45593.0</v>
      </c>
      <c r="B44" s="84" t="s">
        <v>10796</v>
      </c>
      <c r="C44" s="85">
        <v>5.15703536E8</v>
      </c>
      <c r="D44" s="86" t="s">
        <v>10748</v>
      </c>
      <c r="E44" s="85">
        <v>10.0</v>
      </c>
      <c r="F44" s="86" t="s">
        <v>32</v>
      </c>
      <c r="G44" s="87" t="s">
        <v>10797</v>
      </c>
      <c r="H44" s="87" t="s">
        <v>1268</v>
      </c>
    </row>
    <row r="45" ht="22.5" customHeight="1">
      <c r="A45" s="83">
        <v>45580.0</v>
      </c>
      <c r="B45" s="84" t="s">
        <v>7416</v>
      </c>
      <c r="C45" s="85">
        <v>5.16180213E8</v>
      </c>
      <c r="D45" s="86" t="s">
        <v>1518</v>
      </c>
      <c r="E45" s="85">
        <v>10.0</v>
      </c>
      <c r="F45" s="86" t="s">
        <v>47</v>
      </c>
      <c r="G45" s="87" t="s">
        <v>10798</v>
      </c>
      <c r="H45" s="87" t="s">
        <v>938</v>
      </c>
    </row>
    <row r="46" ht="22.5" customHeight="1">
      <c r="A46" s="83">
        <v>45566.0</v>
      </c>
      <c r="B46" s="84" t="s">
        <v>10747</v>
      </c>
      <c r="C46" s="85">
        <v>5.16018785E8</v>
      </c>
      <c r="D46" s="86" t="s">
        <v>10748</v>
      </c>
      <c r="E46" s="85">
        <v>2.0</v>
      </c>
      <c r="F46" s="86" t="s">
        <v>47</v>
      </c>
      <c r="G46" s="87" t="s">
        <v>10749</v>
      </c>
      <c r="H46" s="87" t="s">
        <v>2900</v>
      </c>
    </row>
    <row r="47" ht="22.5" customHeight="1">
      <c r="A47" s="83">
        <v>45566.0</v>
      </c>
      <c r="B47" s="84" t="s">
        <v>10799</v>
      </c>
      <c r="C47" s="85">
        <v>5.15877918E8</v>
      </c>
      <c r="D47" s="86" t="s">
        <v>10734</v>
      </c>
      <c r="E47" s="88"/>
      <c r="F47" s="86" t="s">
        <v>32</v>
      </c>
      <c r="G47" s="87" t="s">
        <v>10800</v>
      </c>
      <c r="H47" s="87" t="s">
        <v>10801</v>
      </c>
    </row>
    <row r="48" ht="22.5" customHeight="1">
      <c r="A48" s="83">
        <v>45566.0</v>
      </c>
      <c r="B48" s="84" t="s">
        <v>10773</v>
      </c>
      <c r="C48" s="85">
        <v>5.16082096E8</v>
      </c>
      <c r="D48" s="86" t="s">
        <v>10748</v>
      </c>
      <c r="E48" s="88"/>
      <c r="F48" s="86" t="s">
        <v>32</v>
      </c>
      <c r="G48" s="87" t="s">
        <v>10774</v>
      </c>
      <c r="H48" s="87" t="s">
        <v>181</v>
      </c>
    </row>
    <row r="49" ht="22.5" customHeight="1">
      <c r="A49" s="83">
        <v>45558.0</v>
      </c>
      <c r="B49" s="84" t="s">
        <v>3756</v>
      </c>
      <c r="C49" s="85">
        <v>5.1571789E8</v>
      </c>
      <c r="D49" s="86" t="s">
        <v>10727</v>
      </c>
      <c r="E49" s="88"/>
      <c r="F49" s="86" t="s">
        <v>47</v>
      </c>
      <c r="G49" s="87" t="s">
        <v>10802</v>
      </c>
      <c r="H49" s="87" t="s">
        <v>791</v>
      </c>
    </row>
    <row r="50" ht="22.5" customHeight="1">
      <c r="A50" s="83">
        <v>45551.0</v>
      </c>
      <c r="B50" s="84" t="s">
        <v>8590</v>
      </c>
      <c r="C50" s="85">
        <v>5.14557339E8</v>
      </c>
      <c r="D50" s="86" t="s">
        <v>5257</v>
      </c>
      <c r="E50" s="85">
        <v>45.35</v>
      </c>
      <c r="F50" s="86" t="s">
        <v>32</v>
      </c>
      <c r="G50" s="87" t="s">
        <v>10803</v>
      </c>
      <c r="H50" s="87" t="s">
        <v>1161</v>
      </c>
    </row>
    <row r="51" ht="22.5" customHeight="1">
      <c r="A51" s="83">
        <v>45536.0</v>
      </c>
      <c r="B51" s="84" t="s">
        <v>10804</v>
      </c>
      <c r="C51" s="85">
        <v>5.15918035E8</v>
      </c>
      <c r="D51" s="86" t="s">
        <v>10748</v>
      </c>
      <c r="E51" s="85">
        <v>15.4</v>
      </c>
      <c r="F51" s="86" t="s">
        <v>32</v>
      </c>
      <c r="G51" s="87" t="s">
        <v>10805</v>
      </c>
      <c r="H51" s="87" t="s">
        <v>1850</v>
      </c>
    </row>
    <row r="52" ht="22.5" customHeight="1">
      <c r="A52" s="83">
        <v>45536.0</v>
      </c>
      <c r="B52" s="84" t="s">
        <v>6363</v>
      </c>
      <c r="C52" s="85">
        <v>5.20038126E8</v>
      </c>
      <c r="D52" s="86" t="s">
        <v>5257</v>
      </c>
      <c r="E52" s="85">
        <v>13.5</v>
      </c>
      <c r="F52" s="86" t="s">
        <v>32</v>
      </c>
      <c r="G52" s="87" t="s">
        <v>10722</v>
      </c>
      <c r="H52" s="87" t="s">
        <v>601</v>
      </c>
    </row>
    <row r="53" ht="22.5" customHeight="1">
      <c r="A53" s="83">
        <v>45536.0</v>
      </c>
      <c r="B53" s="84" t="s">
        <v>10806</v>
      </c>
      <c r="C53" s="85">
        <v>5.12489667E8</v>
      </c>
      <c r="D53" s="86" t="s">
        <v>10748</v>
      </c>
      <c r="E53" s="88"/>
      <c r="F53" s="86" t="s">
        <v>47</v>
      </c>
      <c r="G53" s="87" t="s">
        <v>10807</v>
      </c>
      <c r="H53" s="87" t="s">
        <v>3174</v>
      </c>
    </row>
    <row r="54" ht="22.5" customHeight="1">
      <c r="A54" s="83">
        <v>45517.0</v>
      </c>
      <c r="B54" s="84" t="s">
        <v>10808</v>
      </c>
      <c r="C54" s="88"/>
      <c r="D54" s="86" t="s">
        <v>10734</v>
      </c>
      <c r="E54" s="85">
        <v>110.0</v>
      </c>
      <c r="F54" s="86" t="s">
        <v>32</v>
      </c>
      <c r="G54" s="87" t="s">
        <v>10809</v>
      </c>
      <c r="H54" s="87" t="s">
        <v>10810</v>
      </c>
    </row>
    <row r="55" ht="22.5" customHeight="1">
      <c r="A55" s="83">
        <v>45498.0</v>
      </c>
      <c r="B55" s="84" t="s">
        <v>10723</v>
      </c>
      <c r="C55" s="85">
        <v>5.15771194E8</v>
      </c>
      <c r="D55" s="86" t="s">
        <v>10727</v>
      </c>
      <c r="E55" s="85">
        <v>39.0</v>
      </c>
      <c r="F55" s="86" t="s">
        <v>32</v>
      </c>
      <c r="G55" s="87" t="s">
        <v>10725</v>
      </c>
      <c r="H55" s="87" t="s">
        <v>3409</v>
      </c>
    </row>
    <row r="56" ht="22.5" customHeight="1">
      <c r="A56" s="83">
        <v>45495.0</v>
      </c>
      <c r="B56" s="84" t="s">
        <v>10811</v>
      </c>
      <c r="C56" s="85">
        <v>5.15918175E8</v>
      </c>
      <c r="D56" s="86" t="s">
        <v>10727</v>
      </c>
      <c r="E56" s="88"/>
      <c r="F56" s="86" t="s">
        <v>47</v>
      </c>
      <c r="G56" s="87" t="s">
        <v>10812</v>
      </c>
      <c r="H56" s="87" t="s">
        <v>647</v>
      </c>
    </row>
    <row r="57" ht="22.5" customHeight="1">
      <c r="A57" s="83">
        <v>45482.0</v>
      </c>
      <c r="B57" s="84" t="s">
        <v>10813</v>
      </c>
      <c r="C57" s="85">
        <v>5.14616069E8</v>
      </c>
      <c r="D57" s="86" t="s">
        <v>10727</v>
      </c>
      <c r="E57" s="85">
        <v>12.0</v>
      </c>
      <c r="F57" s="86" t="s">
        <v>32</v>
      </c>
      <c r="G57" s="87" t="s">
        <v>10814</v>
      </c>
      <c r="H57" s="87" t="s">
        <v>1728</v>
      </c>
    </row>
    <row r="58" ht="22.5" customHeight="1">
      <c r="A58" s="83">
        <v>45474.0</v>
      </c>
      <c r="B58" s="84" t="s">
        <v>10815</v>
      </c>
      <c r="C58" s="85">
        <v>5.17004602E8</v>
      </c>
      <c r="D58" s="86" t="s">
        <v>1518</v>
      </c>
      <c r="E58" s="88"/>
      <c r="F58" s="86" t="s">
        <v>32</v>
      </c>
      <c r="G58" s="87" t="s">
        <v>10816</v>
      </c>
      <c r="H58" s="87" t="s">
        <v>2682</v>
      </c>
    </row>
    <row r="59" ht="22.5" customHeight="1">
      <c r="A59" s="83">
        <v>45468.0</v>
      </c>
      <c r="B59" s="84" t="s">
        <v>10737</v>
      </c>
      <c r="C59" s="85">
        <v>5.15114429E8</v>
      </c>
      <c r="D59" s="86" t="s">
        <v>5257</v>
      </c>
      <c r="E59" s="85">
        <v>4.5</v>
      </c>
      <c r="F59" s="86" t="s">
        <v>32</v>
      </c>
      <c r="G59" s="87" t="s">
        <v>10738</v>
      </c>
      <c r="H59" s="87" t="s">
        <v>2920</v>
      </c>
    </row>
    <row r="60" ht="22.5" customHeight="1">
      <c r="A60" s="83">
        <v>45456.0</v>
      </c>
      <c r="B60" s="84" t="s">
        <v>7846</v>
      </c>
      <c r="C60" s="88"/>
      <c r="D60" s="86" t="s">
        <v>1518</v>
      </c>
      <c r="E60" s="88"/>
      <c r="F60" s="86" t="s">
        <v>32</v>
      </c>
      <c r="G60" s="87" t="s">
        <v>10817</v>
      </c>
      <c r="H60" s="87" t="s">
        <v>2325</v>
      </c>
    </row>
    <row r="61" ht="22.5" customHeight="1">
      <c r="A61" s="83">
        <v>45449.0</v>
      </c>
      <c r="B61" s="84" t="s">
        <v>10818</v>
      </c>
      <c r="C61" s="85">
        <v>5.14335967E8</v>
      </c>
      <c r="D61" s="86" t="s">
        <v>4532</v>
      </c>
      <c r="E61" s="85">
        <v>75.0</v>
      </c>
      <c r="F61" s="86" t="s">
        <v>32</v>
      </c>
      <c r="G61" s="87" t="s">
        <v>10819</v>
      </c>
      <c r="H61" s="87" t="s">
        <v>2987</v>
      </c>
    </row>
    <row r="62" ht="22.5" customHeight="1">
      <c r="A62" s="83">
        <v>45444.0</v>
      </c>
      <c r="B62" s="84" t="s">
        <v>10820</v>
      </c>
      <c r="C62" s="85">
        <v>5.15558443E8</v>
      </c>
      <c r="D62" s="86" t="s">
        <v>10734</v>
      </c>
      <c r="E62" s="88"/>
      <c r="F62" s="86" t="s">
        <v>32</v>
      </c>
      <c r="G62" s="87" t="s">
        <v>10821</v>
      </c>
      <c r="H62" s="87" t="s">
        <v>10822</v>
      </c>
    </row>
    <row r="63" ht="22.5" customHeight="1">
      <c r="A63" s="83">
        <v>45444.0</v>
      </c>
      <c r="B63" s="84" t="s">
        <v>10823</v>
      </c>
      <c r="C63" s="85">
        <v>5.16187481E8</v>
      </c>
      <c r="D63" s="86" t="s">
        <v>10748</v>
      </c>
      <c r="E63" s="88"/>
      <c r="F63" s="86" t="s">
        <v>32</v>
      </c>
      <c r="G63" s="87" t="s">
        <v>10824</v>
      </c>
      <c r="H63" s="87" t="s">
        <v>3275</v>
      </c>
    </row>
    <row r="64" ht="22.5" customHeight="1">
      <c r="A64" s="83">
        <v>45421.0</v>
      </c>
      <c r="B64" s="84" t="s">
        <v>5860</v>
      </c>
      <c r="C64" s="85">
        <v>5.1347601E8</v>
      </c>
      <c r="D64" s="86" t="s">
        <v>10825</v>
      </c>
      <c r="E64" s="85">
        <v>3.0</v>
      </c>
      <c r="F64" s="86" t="s">
        <v>32</v>
      </c>
      <c r="G64" s="87" t="s">
        <v>10750</v>
      </c>
      <c r="H64" s="87" t="s">
        <v>10751</v>
      </c>
    </row>
    <row r="65" ht="22.5" customHeight="1">
      <c r="A65" s="83">
        <v>45392.0</v>
      </c>
      <c r="B65" s="84" t="s">
        <v>3706</v>
      </c>
      <c r="C65" s="85">
        <v>5.15630713E8</v>
      </c>
      <c r="D65" s="86" t="s">
        <v>10724</v>
      </c>
      <c r="E65" s="85">
        <v>1.5</v>
      </c>
      <c r="F65" s="86" t="s">
        <v>47</v>
      </c>
      <c r="G65" s="87" t="s">
        <v>10826</v>
      </c>
      <c r="H65" s="87" t="s">
        <v>813</v>
      </c>
    </row>
    <row r="66" ht="22.5" customHeight="1">
      <c r="A66" s="83">
        <v>45391.0</v>
      </c>
      <c r="B66" s="84" t="s">
        <v>10827</v>
      </c>
      <c r="C66" s="85">
        <v>5.16024825E8</v>
      </c>
      <c r="D66" s="86" t="s">
        <v>10748</v>
      </c>
      <c r="E66" s="85">
        <v>5.3</v>
      </c>
      <c r="F66" s="86" t="s">
        <v>32</v>
      </c>
      <c r="G66" s="87" t="s">
        <v>10828</v>
      </c>
      <c r="H66" s="87" t="s">
        <v>1335</v>
      </c>
    </row>
    <row r="67" ht="22.5" customHeight="1">
      <c r="A67" s="83">
        <v>45387.0</v>
      </c>
      <c r="B67" s="84" t="s">
        <v>9566</v>
      </c>
      <c r="C67" s="85">
        <v>5.14881564E8</v>
      </c>
      <c r="D67" s="86" t="s">
        <v>5257</v>
      </c>
      <c r="E67" s="85">
        <v>13.0</v>
      </c>
      <c r="F67" s="86" t="s">
        <v>32</v>
      </c>
      <c r="G67" s="87" t="s">
        <v>10752</v>
      </c>
      <c r="H67" s="87" t="s">
        <v>1708</v>
      </c>
    </row>
    <row r="68" ht="22.5" customHeight="1">
      <c r="A68" s="83">
        <v>45386.0</v>
      </c>
      <c r="B68" s="84" t="s">
        <v>8685</v>
      </c>
      <c r="C68" s="85">
        <v>5.10773609E8</v>
      </c>
      <c r="D68" s="86" t="s">
        <v>10734</v>
      </c>
      <c r="E68" s="85">
        <v>5.7</v>
      </c>
      <c r="F68" s="86" t="s">
        <v>32</v>
      </c>
      <c r="G68" s="87" t="s">
        <v>10829</v>
      </c>
      <c r="H68" s="87" t="s">
        <v>10830</v>
      </c>
    </row>
    <row r="69" ht="22.5" customHeight="1">
      <c r="A69" s="83">
        <v>45386.0</v>
      </c>
      <c r="B69" s="84" t="s">
        <v>9439</v>
      </c>
      <c r="C69" s="85">
        <v>5.16516481E8</v>
      </c>
      <c r="D69" s="86" t="s">
        <v>10734</v>
      </c>
      <c r="E69" s="88"/>
      <c r="F69" s="86" t="s">
        <v>32</v>
      </c>
      <c r="G69" s="87" t="s">
        <v>10831</v>
      </c>
      <c r="H69" s="87" t="s">
        <v>10832</v>
      </c>
    </row>
    <row r="70" ht="22.5" customHeight="1">
      <c r="A70" s="83">
        <v>45385.0</v>
      </c>
      <c r="B70" s="84" t="s">
        <v>3922</v>
      </c>
      <c r="C70" s="85">
        <v>5.14620186E8</v>
      </c>
      <c r="D70" s="86" t="s">
        <v>10776</v>
      </c>
      <c r="E70" s="88"/>
      <c r="F70" s="86" t="s">
        <v>47</v>
      </c>
      <c r="G70" s="87" t="s">
        <v>10833</v>
      </c>
      <c r="H70" s="87" t="s">
        <v>1882</v>
      </c>
    </row>
    <row r="71" ht="22.5" customHeight="1">
      <c r="A71" s="83">
        <v>45383.0</v>
      </c>
      <c r="B71" s="84" t="s">
        <v>10834</v>
      </c>
      <c r="C71" s="85">
        <v>5.14799881E8</v>
      </c>
      <c r="D71" s="86" t="s">
        <v>10727</v>
      </c>
      <c r="E71" s="85">
        <v>0.6</v>
      </c>
      <c r="F71" s="86" t="s">
        <v>47</v>
      </c>
      <c r="G71" s="87" t="s">
        <v>10835</v>
      </c>
      <c r="H71" s="87" t="s">
        <v>625</v>
      </c>
    </row>
    <row r="72" ht="22.5" customHeight="1">
      <c r="A72" s="83">
        <v>45383.0</v>
      </c>
      <c r="B72" s="84" t="s">
        <v>10771</v>
      </c>
      <c r="C72" s="85">
        <v>5.14782135E8</v>
      </c>
      <c r="D72" s="86" t="s">
        <v>10748</v>
      </c>
      <c r="E72" s="88"/>
      <c r="F72" s="86" t="s">
        <v>47</v>
      </c>
      <c r="G72" s="87" t="s">
        <v>10772</v>
      </c>
      <c r="H72" s="87" t="s">
        <v>2174</v>
      </c>
    </row>
    <row r="73" ht="22.5" customHeight="1">
      <c r="A73" s="83">
        <v>45365.0</v>
      </c>
      <c r="B73" s="84" t="s">
        <v>10836</v>
      </c>
      <c r="C73" s="88"/>
      <c r="D73" s="86" t="s">
        <v>10734</v>
      </c>
      <c r="E73" s="88"/>
      <c r="F73" s="86" t="s">
        <v>32</v>
      </c>
      <c r="G73" s="87" t="s">
        <v>10837</v>
      </c>
      <c r="H73" s="87" t="s">
        <v>10838</v>
      </c>
    </row>
    <row r="74" ht="22.5" customHeight="1">
      <c r="A74" s="83">
        <v>45351.0</v>
      </c>
      <c r="B74" s="84" t="s">
        <v>10839</v>
      </c>
      <c r="C74" s="85">
        <v>5.15604445E8</v>
      </c>
      <c r="D74" s="86" t="s">
        <v>10724</v>
      </c>
      <c r="E74" s="85">
        <v>120.0</v>
      </c>
      <c r="F74" s="86" t="s">
        <v>47</v>
      </c>
      <c r="G74" s="87" t="s">
        <v>10840</v>
      </c>
      <c r="H74" s="87" t="s">
        <v>1448</v>
      </c>
    </row>
    <row r="75" ht="22.5" customHeight="1">
      <c r="A75" s="83">
        <v>45337.0</v>
      </c>
      <c r="B75" s="84" t="s">
        <v>10841</v>
      </c>
      <c r="C75" s="85">
        <v>5.15649275E8</v>
      </c>
      <c r="D75" s="86" t="s">
        <v>10734</v>
      </c>
      <c r="E75" s="88"/>
      <c r="F75" s="86" t="s">
        <v>32</v>
      </c>
      <c r="G75" s="87" t="s">
        <v>10842</v>
      </c>
      <c r="H75" s="87" t="s">
        <v>10843</v>
      </c>
    </row>
    <row r="76" ht="22.5" customHeight="1">
      <c r="A76" s="83">
        <v>45323.0</v>
      </c>
      <c r="B76" s="84" t="s">
        <v>10844</v>
      </c>
      <c r="C76" s="85">
        <v>5.16295052E8</v>
      </c>
      <c r="D76" s="86" t="s">
        <v>10748</v>
      </c>
      <c r="E76" s="88"/>
      <c r="F76" s="86" t="s">
        <v>47</v>
      </c>
      <c r="G76" s="87" t="s">
        <v>10845</v>
      </c>
      <c r="H76" s="87" t="s">
        <v>2852</v>
      </c>
    </row>
    <row r="77" ht="22.5" customHeight="1">
      <c r="A77" s="83">
        <v>45290.0</v>
      </c>
      <c r="B77" s="84" t="s">
        <v>10846</v>
      </c>
      <c r="C77" s="88"/>
      <c r="D77" s="86" t="s">
        <v>1518</v>
      </c>
      <c r="E77" s="85">
        <v>2.3</v>
      </c>
      <c r="F77" s="86" t="s">
        <v>47</v>
      </c>
      <c r="G77" s="87" t="s">
        <v>10847</v>
      </c>
      <c r="H77" s="87" t="s">
        <v>1104</v>
      </c>
    </row>
    <row r="78" ht="22.5" customHeight="1">
      <c r="A78" s="83">
        <v>45281.0</v>
      </c>
      <c r="B78" s="84" t="s">
        <v>10848</v>
      </c>
      <c r="C78" s="85">
        <v>5.16762176E8</v>
      </c>
      <c r="D78" s="86" t="s">
        <v>10748</v>
      </c>
      <c r="E78" s="88"/>
      <c r="F78" s="86" t="s">
        <v>47</v>
      </c>
      <c r="G78" s="87" t="s">
        <v>10849</v>
      </c>
      <c r="H78" s="87" t="s">
        <v>1023</v>
      </c>
    </row>
    <row r="79" ht="22.5" customHeight="1">
      <c r="A79" s="83">
        <v>45280.0</v>
      </c>
      <c r="B79" s="84" t="s">
        <v>10827</v>
      </c>
      <c r="C79" s="85">
        <v>5.16024825E8</v>
      </c>
      <c r="D79" s="86" t="s">
        <v>1518</v>
      </c>
      <c r="E79" s="85">
        <v>0.4</v>
      </c>
      <c r="F79" s="86" t="s">
        <v>47</v>
      </c>
      <c r="G79" s="87" t="s">
        <v>10828</v>
      </c>
      <c r="H79" s="87" t="s">
        <v>1335</v>
      </c>
    </row>
    <row r="80" ht="22.5" customHeight="1">
      <c r="A80" s="83">
        <v>45266.0</v>
      </c>
      <c r="B80" s="84" t="s">
        <v>10850</v>
      </c>
      <c r="C80" s="85">
        <v>5.13853606E8</v>
      </c>
      <c r="D80" s="86" t="s">
        <v>10825</v>
      </c>
      <c r="E80" s="85">
        <v>1.3</v>
      </c>
      <c r="F80" s="86" t="s">
        <v>32</v>
      </c>
      <c r="G80" s="87" t="s">
        <v>10851</v>
      </c>
      <c r="H80" s="87" t="s">
        <v>667</v>
      </c>
    </row>
    <row r="81" ht="22.5" customHeight="1">
      <c r="A81" s="83">
        <v>45265.0</v>
      </c>
      <c r="B81" s="84" t="s">
        <v>4534</v>
      </c>
      <c r="C81" s="85">
        <v>5.14453794E8</v>
      </c>
      <c r="D81" s="86" t="s">
        <v>10724</v>
      </c>
      <c r="E81" s="85">
        <v>42.0</v>
      </c>
      <c r="F81" s="86" t="s">
        <v>47</v>
      </c>
      <c r="G81" s="87" t="s">
        <v>10852</v>
      </c>
      <c r="H81" s="87" t="s">
        <v>958</v>
      </c>
    </row>
    <row r="82" ht="22.5" customHeight="1">
      <c r="A82" s="83">
        <v>45261.0</v>
      </c>
      <c r="B82" s="84" t="s">
        <v>10789</v>
      </c>
      <c r="C82" s="85">
        <v>5.15326452E8</v>
      </c>
      <c r="D82" s="86" t="s">
        <v>10748</v>
      </c>
      <c r="E82" s="88"/>
      <c r="F82" s="86" t="s">
        <v>47</v>
      </c>
      <c r="G82" s="87" t="s">
        <v>10790</v>
      </c>
      <c r="H82" s="87" t="s">
        <v>1699</v>
      </c>
    </row>
    <row r="83" ht="22.5" customHeight="1">
      <c r="A83" s="83">
        <v>45259.0</v>
      </c>
      <c r="B83" s="84" t="s">
        <v>10853</v>
      </c>
      <c r="C83" s="85">
        <v>5.16826856E8</v>
      </c>
      <c r="D83" s="86" t="s">
        <v>1518</v>
      </c>
      <c r="E83" s="85">
        <v>3.7</v>
      </c>
      <c r="F83" s="86" t="s">
        <v>47</v>
      </c>
      <c r="G83" s="87" t="s">
        <v>10854</v>
      </c>
      <c r="H83" s="87" t="s">
        <v>276</v>
      </c>
    </row>
    <row r="84" ht="22.5" customHeight="1">
      <c r="A84" s="83">
        <v>45253.0</v>
      </c>
      <c r="B84" s="84" t="s">
        <v>5860</v>
      </c>
      <c r="C84" s="85">
        <v>5.1347601E8</v>
      </c>
      <c r="D84" s="86" t="s">
        <v>5257</v>
      </c>
      <c r="E84" s="85">
        <v>2.3</v>
      </c>
      <c r="F84" s="86" t="s">
        <v>32</v>
      </c>
      <c r="G84" s="87" t="s">
        <v>10750</v>
      </c>
      <c r="H84" s="87" t="s">
        <v>10751</v>
      </c>
    </row>
    <row r="85" ht="22.5" customHeight="1">
      <c r="A85" s="83">
        <v>45243.0</v>
      </c>
      <c r="B85" s="84" t="s">
        <v>10855</v>
      </c>
      <c r="C85" s="88"/>
      <c r="D85" s="86" t="s">
        <v>10734</v>
      </c>
      <c r="E85" s="88"/>
      <c r="F85" s="86" t="s">
        <v>32</v>
      </c>
      <c r="G85" s="87" t="s">
        <v>10856</v>
      </c>
      <c r="H85" s="87" t="s">
        <v>10857</v>
      </c>
    </row>
    <row r="86" ht="22.5" customHeight="1">
      <c r="A86" s="83">
        <v>45229.0</v>
      </c>
      <c r="B86" s="84" t="s">
        <v>10858</v>
      </c>
      <c r="C86" s="85">
        <v>5.15859809E8</v>
      </c>
      <c r="D86" s="86" t="s">
        <v>10748</v>
      </c>
      <c r="E86" s="88"/>
      <c r="F86" s="86" t="s">
        <v>47</v>
      </c>
      <c r="G86" s="87" t="s">
        <v>10859</v>
      </c>
      <c r="H86" s="87" t="s">
        <v>385</v>
      </c>
    </row>
    <row r="87" ht="22.5" customHeight="1">
      <c r="A87" s="83">
        <v>45187.0</v>
      </c>
      <c r="B87" s="84" t="s">
        <v>10780</v>
      </c>
      <c r="C87" s="85">
        <v>5.16090842E8</v>
      </c>
      <c r="D87" s="86" t="s">
        <v>10748</v>
      </c>
      <c r="E87" s="88"/>
      <c r="F87" s="86" t="s">
        <v>47</v>
      </c>
      <c r="G87" s="87" t="s">
        <v>10781</v>
      </c>
      <c r="H87" s="87" t="s">
        <v>1417</v>
      </c>
    </row>
    <row r="88" ht="22.5" customHeight="1">
      <c r="A88" s="83">
        <v>45175.0</v>
      </c>
      <c r="B88" s="84" t="s">
        <v>10860</v>
      </c>
      <c r="C88" s="85">
        <v>5.15903235E8</v>
      </c>
      <c r="D88" s="86" t="s">
        <v>10861</v>
      </c>
      <c r="E88" s="85">
        <v>22.0</v>
      </c>
      <c r="F88" s="86" t="s">
        <v>47</v>
      </c>
      <c r="G88" s="87" t="s">
        <v>10862</v>
      </c>
      <c r="H88" s="87" t="s">
        <v>762</v>
      </c>
    </row>
    <row r="89" ht="22.5" customHeight="1">
      <c r="A89" s="83">
        <v>45167.0</v>
      </c>
      <c r="B89" s="84" t="s">
        <v>10863</v>
      </c>
      <c r="C89" s="85">
        <v>5.15378289E8</v>
      </c>
      <c r="D89" s="86" t="s">
        <v>10724</v>
      </c>
      <c r="E89" s="85">
        <v>20.0</v>
      </c>
      <c r="F89" s="86" t="s">
        <v>32</v>
      </c>
      <c r="G89" s="87" t="s">
        <v>10864</v>
      </c>
      <c r="H89" s="87" t="s">
        <v>3377</v>
      </c>
    </row>
    <row r="90" ht="22.5" customHeight="1">
      <c r="A90" s="83">
        <v>45167.0</v>
      </c>
      <c r="B90" s="84" t="s">
        <v>10863</v>
      </c>
      <c r="C90" s="85">
        <v>5.15378289E8</v>
      </c>
      <c r="D90" s="86" t="s">
        <v>10825</v>
      </c>
      <c r="E90" s="85">
        <v>5.0</v>
      </c>
      <c r="F90" s="86" t="s">
        <v>32</v>
      </c>
      <c r="G90" s="87" t="s">
        <v>10864</v>
      </c>
      <c r="H90" s="87" t="s">
        <v>3377</v>
      </c>
    </row>
    <row r="91" ht="22.5" customHeight="1">
      <c r="A91" s="83">
        <v>45161.0</v>
      </c>
      <c r="B91" s="84" t="s">
        <v>10865</v>
      </c>
      <c r="C91" s="85">
        <v>5.14983121E8</v>
      </c>
      <c r="D91" s="86" t="s">
        <v>10748</v>
      </c>
      <c r="E91" s="85">
        <v>2.5</v>
      </c>
      <c r="F91" s="86" t="s">
        <v>47</v>
      </c>
      <c r="G91" s="87" t="s">
        <v>10866</v>
      </c>
      <c r="H91" s="87" t="s">
        <v>2374</v>
      </c>
    </row>
    <row r="92" ht="22.5" customHeight="1">
      <c r="A92" s="83">
        <v>45154.0</v>
      </c>
      <c r="B92" s="84" t="s">
        <v>10867</v>
      </c>
      <c r="C92" s="85">
        <v>5.15446474E8</v>
      </c>
      <c r="D92" s="86" t="s">
        <v>5257</v>
      </c>
      <c r="E92" s="85">
        <v>0.4</v>
      </c>
      <c r="F92" s="86" t="s">
        <v>32</v>
      </c>
      <c r="G92" s="87" t="s">
        <v>10868</v>
      </c>
      <c r="H92" s="87" t="s">
        <v>2089</v>
      </c>
    </row>
    <row r="93" ht="22.5" customHeight="1">
      <c r="A93" s="83">
        <v>45153.0</v>
      </c>
      <c r="B93" s="84" t="s">
        <v>10869</v>
      </c>
      <c r="C93" s="85">
        <v>5.14158179E8</v>
      </c>
      <c r="D93" s="86" t="s">
        <v>1518</v>
      </c>
      <c r="E93" s="88"/>
      <c r="F93" s="86" t="s">
        <v>32</v>
      </c>
      <c r="G93" s="87" t="s">
        <v>10870</v>
      </c>
      <c r="H93" s="87" t="s">
        <v>3036</v>
      </c>
    </row>
    <row r="94" ht="22.5" customHeight="1">
      <c r="A94" s="83">
        <v>45148.0</v>
      </c>
      <c r="B94" s="84" t="s">
        <v>10871</v>
      </c>
      <c r="C94" s="85">
        <v>5.16256542E8</v>
      </c>
      <c r="D94" s="86" t="s">
        <v>10748</v>
      </c>
      <c r="E94" s="88"/>
      <c r="F94" s="86" t="s">
        <v>47</v>
      </c>
      <c r="G94" s="87" t="s">
        <v>10872</v>
      </c>
      <c r="H94" s="87" t="s">
        <v>847</v>
      </c>
    </row>
    <row r="95" ht="22.5" customHeight="1">
      <c r="A95" s="83">
        <v>45148.0</v>
      </c>
      <c r="B95" s="84" t="s">
        <v>10853</v>
      </c>
      <c r="C95" s="85">
        <v>5.16826856E8</v>
      </c>
      <c r="D95" s="86" t="s">
        <v>1518</v>
      </c>
      <c r="E95" s="85">
        <v>5.0</v>
      </c>
      <c r="F95" s="86" t="s">
        <v>32</v>
      </c>
      <c r="G95" s="87" t="s">
        <v>10854</v>
      </c>
      <c r="H95" s="87" t="s">
        <v>276</v>
      </c>
    </row>
    <row r="96" ht="22.5" customHeight="1">
      <c r="A96" s="83">
        <v>45144.0</v>
      </c>
      <c r="B96" s="84" t="s">
        <v>10873</v>
      </c>
      <c r="C96" s="85">
        <v>5.15460111E8</v>
      </c>
      <c r="D96" s="86" t="s">
        <v>10727</v>
      </c>
      <c r="E96" s="88"/>
      <c r="F96" s="86" t="s">
        <v>32</v>
      </c>
      <c r="G96" s="87" t="s">
        <v>10874</v>
      </c>
      <c r="H96" s="87" t="s">
        <v>2016</v>
      </c>
    </row>
    <row r="97" ht="22.5" customHeight="1">
      <c r="A97" s="83">
        <v>45119.0</v>
      </c>
      <c r="B97" s="84" t="s">
        <v>10747</v>
      </c>
      <c r="C97" s="85">
        <v>5.16018785E8</v>
      </c>
      <c r="D97" s="86" t="s">
        <v>10748</v>
      </c>
      <c r="E97" s="85">
        <v>15.0</v>
      </c>
      <c r="F97" s="86" t="s">
        <v>32</v>
      </c>
      <c r="G97" s="87" t="s">
        <v>10749</v>
      </c>
      <c r="H97" s="87" t="s">
        <v>2900</v>
      </c>
    </row>
    <row r="98" ht="22.5" customHeight="1">
      <c r="A98" s="83">
        <v>45118.0</v>
      </c>
      <c r="B98" s="84" t="s">
        <v>10875</v>
      </c>
      <c r="C98" s="85">
        <v>5.14354786E8</v>
      </c>
      <c r="D98" s="86" t="s">
        <v>5257</v>
      </c>
      <c r="E98" s="85">
        <v>10.0</v>
      </c>
      <c r="F98" s="86" t="s">
        <v>32</v>
      </c>
      <c r="G98" s="87" t="s">
        <v>10876</v>
      </c>
      <c r="H98" s="87" t="s">
        <v>2975</v>
      </c>
    </row>
    <row r="99" ht="22.5" customHeight="1">
      <c r="A99" s="83">
        <v>45114.0</v>
      </c>
      <c r="B99" s="84" t="s">
        <v>10877</v>
      </c>
      <c r="C99" s="85">
        <v>5.15181907E8</v>
      </c>
      <c r="D99" s="86" t="s">
        <v>10861</v>
      </c>
      <c r="E99" s="85">
        <v>22.0</v>
      </c>
      <c r="F99" s="86" t="s">
        <v>32</v>
      </c>
      <c r="G99" s="87" t="s">
        <v>10878</v>
      </c>
      <c r="H99" s="87" t="s">
        <v>591</v>
      </c>
    </row>
    <row r="100" ht="22.5" customHeight="1">
      <c r="A100" s="83">
        <v>45108.0</v>
      </c>
      <c r="B100" s="84" t="s">
        <v>10791</v>
      </c>
      <c r="C100" s="85">
        <v>5.16487154E8</v>
      </c>
      <c r="D100" s="86" t="s">
        <v>1518</v>
      </c>
      <c r="E100" s="85">
        <v>0.75</v>
      </c>
      <c r="F100" s="86" t="s">
        <v>32</v>
      </c>
      <c r="G100" s="87" t="s">
        <v>10792</v>
      </c>
      <c r="H100" s="87" t="s">
        <v>3218</v>
      </c>
    </row>
    <row r="101" ht="22.5" customHeight="1">
      <c r="A101" s="83">
        <v>45107.0</v>
      </c>
      <c r="B101" s="84" t="s">
        <v>10879</v>
      </c>
      <c r="C101" s="85">
        <v>5.15115459E8</v>
      </c>
      <c r="D101" s="86" t="s">
        <v>10734</v>
      </c>
      <c r="E101" s="88"/>
      <c r="F101" s="86" t="s">
        <v>32</v>
      </c>
      <c r="G101" s="87" t="s">
        <v>10880</v>
      </c>
      <c r="H101" s="87" t="s">
        <v>10881</v>
      </c>
    </row>
    <row r="102" ht="22.5" customHeight="1">
      <c r="A102" s="83">
        <v>45104.0</v>
      </c>
      <c r="B102" s="84" t="s">
        <v>3756</v>
      </c>
      <c r="C102" s="85">
        <v>5.1571789E8</v>
      </c>
      <c r="D102" s="86" t="s">
        <v>10727</v>
      </c>
      <c r="E102" s="85">
        <v>45.0</v>
      </c>
      <c r="F102" s="86" t="s">
        <v>32</v>
      </c>
      <c r="G102" s="87" t="s">
        <v>10802</v>
      </c>
      <c r="H102" s="87" t="s">
        <v>791</v>
      </c>
    </row>
    <row r="103" ht="22.5" customHeight="1">
      <c r="A103" s="83">
        <v>45093.0</v>
      </c>
      <c r="B103" s="84" t="s">
        <v>3731</v>
      </c>
      <c r="C103" s="85">
        <v>5.15486579E8</v>
      </c>
      <c r="D103" s="86" t="s">
        <v>10727</v>
      </c>
      <c r="E103" s="85">
        <v>4.3</v>
      </c>
      <c r="F103" s="86" t="s">
        <v>47</v>
      </c>
      <c r="G103" s="87" t="s">
        <v>10882</v>
      </c>
      <c r="H103" s="87" t="s">
        <v>1938</v>
      </c>
    </row>
    <row r="104" ht="22.5" customHeight="1">
      <c r="A104" s="83">
        <v>45092.0</v>
      </c>
      <c r="B104" s="84" t="s">
        <v>10860</v>
      </c>
      <c r="C104" s="85">
        <v>5.15903235E8</v>
      </c>
      <c r="D104" s="86" t="s">
        <v>10861</v>
      </c>
      <c r="E104" s="85">
        <v>87.0</v>
      </c>
      <c r="F104" s="86" t="s">
        <v>32</v>
      </c>
      <c r="G104" s="87" t="s">
        <v>10862</v>
      </c>
      <c r="H104" s="87" t="s">
        <v>762</v>
      </c>
    </row>
    <row r="105" ht="22.5" customHeight="1">
      <c r="A105" s="83">
        <v>45077.0</v>
      </c>
      <c r="B105" s="84" t="s">
        <v>4109</v>
      </c>
      <c r="C105" s="85">
        <v>5.15721744E8</v>
      </c>
      <c r="D105" s="86" t="s">
        <v>10727</v>
      </c>
      <c r="E105" s="85">
        <v>5.0</v>
      </c>
      <c r="F105" s="86" t="s">
        <v>47</v>
      </c>
      <c r="G105" s="87" t="s">
        <v>10883</v>
      </c>
      <c r="H105" s="87" t="s">
        <v>375</v>
      </c>
    </row>
    <row r="106" ht="22.5" customHeight="1">
      <c r="A106" s="83">
        <v>45063.0</v>
      </c>
      <c r="B106" s="84" t="s">
        <v>10884</v>
      </c>
      <c r="C106" s="85">
        <v>5.15615136E8</v>
      </c>
      <c r="D106" s="86" t="s">
        <v>1518</v>
      </c>
      <c r="E106" s="85">
        <v>8.0</v>
      </c>
      <c r="F106" s="86" t="s">
        <v>47</v>
      </c>
      <c r="G106" s="87" t="s">
        <v>10885</v>
      </c>
      <c r="H106" s="87" t="s">
        <v>1324</v>
      </c>
    </row>
    <row r="107" ht="22.5" customHeight="1">
      <c r="A107" s="83">
        <v>45057.0</v>
      </c>
      <c r="B107" s="84" t="s">
        <v>10886</v>
      </c>
      <c r="C107" s="85">
        <v>5.15942068E8</v>
      </c>
      <c r="D107" s="86" t="s">
        <v>10748</v>
      </c>
      <c r="E107" s="88"/>
      <c r="F107" s="86" t="s">
        <v>47</v>
      </c>
      <c r="G107" s="87" t="s">
        <v>10887</v>
      </c>
      <c r="H107" s="87" t="s">
        <v>2811</v>
      </c>
    </row>
    <row r="108" ht="22.5" customHeight="1">
      <c r="A108" s="83">
        <v>45056.0</v>
      </c>
      <c r="B108" s="84" t="s">
        <v>8510</v>
      </c>
      <c r="C108" s="85">
        <v>5.15441541E8</v>
      </c>
      <c r="D108" s="86" t="s">
        <v>5257</v>
      </c>
      <c r="E108" s="85">
        <v>3.0</v>
      </c>
      <c r="F108" s="86" t="s">
        <v>32</v>
      </c>
      <c r="G108" s="87" t="s">
        <v>10888</v>
      </c>
      <c r="H108" s="87" t="s">
        <v>2963</v>
      </c>
    </row>
    <row r="109" ht="22.5" customHeight="1">
      <c r="A109" s="83">
        <v>45055.0</v>
      </c>
      <c r="B109" s="84" t="s">
        <v>10775</v>
      </c>
      <c r="C109" s="85">
        <v>5.14234202E8</v>
      </c>
      <c r="D109" s="86" t="s">
        <v>10776</v>
      </c>
      <c r="E109" s="85">
        <v>77.0</v>
      </c>
      <c r="F109" s="86" t="s">
        <v>32</v>
      </c>
      <c r="G109" s="87" t="s">
        <v>10777</v>
      </c>
      <c r="H109" s="87" t="s">
        <v>1787</v>
      </c>
    </row>
    <row r="110" ht="22.5" customHeight="1">
      <c r="A110" s="83">
        <v>45048.0</v>
      </c>
      <c r="B110" s="84" t="s">
        <v>4534</v>
      </c>
      <c r="C110" s="85">
        <v>5.14453794E8</v>
      </c>
      <c r="D110" s="86" t="s">
        <v>10724</v>
      </c>
      <c r="E110" s="85">
        <v>43.0</v>
      </c>
      <c r="F110" s="86" t="s">
        <v>32</v>
      </c>
      <c r="G110" s="87" t="s">
        <v>10852</v>
      </c>
      <c r="H110" s="87" t="s">
        <v>958</v>
      </c>
    </row>
    <row r="111" ht="22.5" customHeight="1">
      <c r="A111" s="83">
        <v>45047.0</v>
      </c>
      <c r="B111" s="84" t="s">
        <v>10889</v>
      </c>
      <c r="C111" s="85">
        <v>5.15312304E8</v>
      </c>
      <c r="D111" s="86" t="s">
        <v>10727</v>
      </c>
      <c r="E111" s="85">
        <v>30.0</v>
      </c>
      <c r="F111" s="86" t="s">
        <v>47</v>
      </c>
      <c r="G111" s="87" t="s">
        <v>10890</v>
      </c>
      <c r="H111" s="87" t="s">
        <v>3140</v>
      </c>
    </row>
    <row r="112" ht="22.5" customHeight="1">
      <c r="A112" s="83">
        <v>45047.0</v>
      </c>
      <c r="B112" s="84" t="s">
        <v>10891</v>
      </c>
      <c r="C112" s="85">
        <v>5.1581439E8</v>
      </c>
      <c r="D112" s="86" t="s">
        <v>10724</v>
      </c>
      <c r="E112" s="88"/>
      <c r="F112" s="86" t="s">
        <v>32</v>
      </c>
      <c r="G112" s="87" t="s">
        <v>10892</v>
      </c>
      <c r="H112" s="87" t="s">
        <v>10893</v>
      </c>
    </row>
    <row r="113" ht="22.5" customHeight="1">
      <c r="A113" s="83">
        <v>45043.0</v>
      </c>
      <c r="B113" s="84" t="s">
        <v>10894</v>
      </c>
      <c r="C113" s="88"/>
      <c r="D113" s="86" t="s">
        <v>10727</v>
      </c>
      <c r="E113" s="85">
        <v>25.0</v>
      </c>
      <c r="F113" s="86" t="s">
        <v>47</v>
      </c>
      <c r="G113" s="87" t="s">
        <v>10895</v>
      </c>
      <c r="H113" s="87" t="s">
        <v>10896</v>
      </c>
    </row>
    <row r="114" ht="22.5" customHeight="1">
      <c r="A114" s="83">
        <v>45040.0</v>
      </c>
      <c r="B114" s="84" t="s">
        <v>10897</v>
      </c>
      <c r="C114" s="85">
        <v>5.15999761E8</v>
      </c>
      <c r="D114" s="86" t="s">
        <v>10748</v>
      </c>
      <c r="E114" s="85">
        <v>7.25</v>
      </c>
      <c r="F114" s="86" t="s">
        <v>32</v>
      </c>
      <c r="G114" s="87" t="s">
        <v>10898</v>
      </c>
      <c r="H114" s="87" t="s">
        <v>1365</v>
      </c>
    </row>
    <row r="115" ht="22.5" customHeight="1">
      <c r="A115" s="83">
        <v>45001.0</v>
      </c>
      <c r="B115" s="84" t="s">
        <v>10899</v>
      </c>
      <c r="C115" s="85">
        <v>5.16667144E8</v>
      </c>
      <c r="D115" s="86" t="s">
        <v>10727</v>
      </c>
      <c r="E115" s="85">
        <v>46.0</v>
      </c>
      <c r="F115" s="86" t="s">
        <v>32</v>
      </c>
      <c r="G115" s="87" t="s">
        <v>10900</v>
      </c>
      <c r="H115" s="87" t="s">
        <v>505</v>
      </c>
    </row>
    <row r="116" ht="22.5" customHeight="1">
      <c r="A116" s="83">
        <v>44994.0</v>
      </c>
      <c r="B116" s="84" t="s">
        <v>10901</v>
      </c>
      <c r="C116" s="85">
        <v>5.16388881E8</v>
      </c>
      <c r="D116" s="86" t="s">
        <v>1518</v>
      </c>
      <c r="E116" s="85">
        <v>0.75</v>
      </c>
      <c r="F116" s="86" t="s">
        <v>32</v>
      </c>
      <c r="G116" s="87" t="s">
        <v>10902</v>
      </c>
      <c r="H116" s="87" t="s">
        <v>1973</v>
      </c>
    </row>
    <row r="117" ht="22.5" customHeight="1">
      <c r="A117" s="83">
        <v>44993.0</v>
      </c>
      <c r="B117" s="84" t="s">
        <v>10796</v>
      </c>
      <c r="C117" s="85">
        <v>5.15703536E8</v>
      </c>
      <c r="D117" s="86" t="s">
        <v>1518</v>
      </c>
      <c r="E117" s="85">
        <v>1.0</v>
      </c>
      <c r="F117" s="86" t="s">
        <v>47</v>
      </c>
      <c r="G117" s="87" t="s">
        <v>10797</v>
      </c>
      <c r="H117" s="87" t="s">
        <v>1268</v>
      </c>
    </row>
    <row r="118" ht="22.5" customHeight="1">
      <c r="A118" s="83">
        <v>44993.0</v>
      </c>
      <c r="B118" s="84" t="s">
        <v>10744</v>
      </c>
      <c r="C118" s="85">
        <v>5.15108058E8</v>
      </c>
      <c r="D118" s="86" t="s">
        <v>10727</v>
      </c>
      <c r="E118" s="88"/>
      <c r="F118" s="86" t="s">
        <v>32</v>
      </c>
      <c r="G118" s="87" t="s">
        <v>10746</v>
      </c>
      <c r="H118" s="87" t="s">
        <v>720</v>
      </c>
    </row>
    <row r="119" ht="22.5" customHeight="1">
      <c r="A119" s="83">
        <v>44987.0</v>
      </c>
      <c r="B119" s="84" t="s">
        <v>10811</v>
      </c>
      <c r="C119" s="85">
        <v>5.15918175E8</v>
      </c>
      <c r="D119" s="86" t="s">
        <v>10727</v>
      </c>
      <c r="E119" s="88"/>
      <c r="F119" s="86" t="s">
        <v>32</v>
      </c>
      <c r="G119" s="87" t="s">
        <v>10812</v>
      </c>
      <c r="H119" s="87" t="s">
        <v>647</v>
      </c>
    </row>
    <row r="120" ht="22.5" customHeight="1">
      <c r="A120" s="83">
        <v>44986.0</v>
      </c>
      <c r="B120" s="84" t="s">
        <v>283</v>
      </c>
      <c r="C120" s="88"/>
      <c r="D120" s="86" t="s">
        <v>1518</v>
      </c>
      <c r="E120" s="88"/>
      <c r="F120" s="86" t="s">
        <v>32</v>
      </c>
      <c r="G120" s="87" t="s">
        <v>10903</v>
      </c>
      <c r="H120" s="87" t="s">
        <v>286</v>
      </c>
    </row>
    <row r="121" ht="22.5" customHeight="1">
      <c r="A121" s="83">
        <v>44977.0</v>
      </c>
      <c r="B121" s="84" t="s">
        <v>10904</v>
      </c>
      <c r="C121" s="85">
        <v>5.14949973E8</v>
      </c>
      <c r="D121" s="86" t="s">
        <v>10734</v>
      </c>
      <c r="E121" s="85">
        <v>2.5</v>
      </c>
      <c r="F121" s="86" t="s">
        <v>32</v>
      </c>
      <c r="G121" s="87" t="s">
        <v>10905</v>
      </c>
      <c r="H121" s="87" t="s">
        <v>10906</v>
      </c>
    </row>
    <row r="122" ht="22.5" customHeight="1">
      <c r="A122" s="83">
        <v>44967.0</v>
      </c>
      <c r="B122" s="84" t="s">
        <v>8216</v>
      </c>
      <c r="C122" s="85">
        <v>5.15352813E8</v>
      </c>
      <c r="D122" s="86" t="s">
        <v>10734</v>
      </c>
      <c r="E122" s="88"/>
      <c r="F122" s="86" t="s">
        <v>32</v>
      </c>
      <c r="G122" s="87" t="s">
        <v>10907</v>
      </c>
      <c r="H122" s="87" t="s">
        <v>10908</v>
      </c>
    </row>
    <row r="123" ht="22.5" customHeight="1">
      <c r="A123" s="83">
        <v>44966.0</v>
      </c>
      <c r="B123" s="84" t="s">
        <v>10909</v>
      </c>
      <c r="C123" s="85">
        <v>5.15413482E8</v>
      </c>
      <c r="D123" s="86" t="s">
        <v>10724</v>
      </c>
      <c r="E123" s="85">
        <v>0.63</v>
      </c>
      <c r="F123" s="86" t="s">
        <v>47</v>
      </c>
      <c r="G123" s="87" t="s">
        <v>10910</v>
      </c>
      <c r="H123" s="87" t="s">
        <v>2776</v>
      </c>
    </row>
    <row r="124" ht="22.5" customHeight="1">
      <c r="A124" s="83">
        <v>44958.0</v>
      </c>
      <c r="B124" s="84" t="s">
        <v>10793</v>
      </c>
      <c r="C124" s="85">
        <v>5.15196046E8</v>
      </c>
      <c r="D124" s="86" t="s">
        <v>10748</v>
      </c>
      <c r="E124" s="85">
        <v>1.3</v>
      </c>
      <c r="F124" s="86" t="s">
        <v>47</v>
      </c>
      <c r="G124" s="87" t="s">
        <v>10794</v>
      </c>
      <c r="H124" s="87" t="s">
        <v>1234</v>
      </c>
    </row>
    <row r="125" ht="22.5" customHeight="1">
      <c r="A125" s="83">
        <v>44945.0</v>
      </c>
      <c r="B125" s="84" t="s">
        <v>6363</v>
      </c>
      <c r="C125" s="85">
        <v>5.20038126E8</v>
      </c>
      <c r="D125" s="86" t="s">
        <v>5257</v>
      </c>
      <c r="E125" s="85">
        <v>12.5</v>
      </c>
      <c r="F125" s="86" t="s">
        <v>32</v>
      </c>
      <c r="G125" s="87" t="s">
        <v>10722</v>
      </c>
      <c r="H125" s="87" t="s">
        <v>601</v>
      </c>
    </row>
    <row r="126" ht="22.5" customHeight="1">
      <c r="A126" s="83">
        <v>44936.0</v>
      </c>
      <c r="B126" s="84" t="s">
        <v>10911</v>
      </c>
      <c r="C126" s="85">
        <v>5.15900702E8</v>
      </c>
      <c r="D126" s="86" t="s">
        <v>10748</v>
      </c>
      <c r="E126" s="85">
        <v>14.5</v>
      </c>
      <c r="F126" s="86" t="s">
        <v>47</v>
      </c>
      <c r="G126" s="87" t="s">
        <v>10912</v>
      </c>
      <c r="H126" s="87" t="s">
        <v>2215</v>
      </c>
    </row>
    <row r="127" ht="22.5" customHeight="1">
      <c r="A127" s="83">
        <v>44927.0</v>
      </c>
      <c r="B127" s="84" t="s">
        <v>10787</v>
      </c>
      <c r="C127" s="85">
        <v>5.15886992E8</v>
      </c>
      <c r="D127" s="86" t="s">
        <v>1518</v>
      </c>
      <c r="E127" s="88"/>
      <c r="F127" s="86" t="s">
        <v>47</v>
      </c>
      <c r="G127" s="87" t="s">
        <v>10788</v>
      </c>
      <c r="H127" s="87" t="s">
        <v>2037</v>
      </c>
    </row>
    <row r="128" ht="22.5" customHeight="1">
      <c r="A128" s="83">
        <v>44924.0</v>
      </c>
      <c r="B128" s="84" t="s">
        <v>10848</v>
      </c>
      <c r="C128" s="85">
        <v>5.16762176E8</v>
      </c>
      <c r="D128" s="86" t="s">
        <v>10748</v>
      </c>
      <c r="E128" s="85">
        <v>3.0</v>
      </c>
      <c r="F128" s="86" t="s">
        <v>32</v>
      </c>
      <c r="G128" s="87" t="s">
        <v>10849</v>
      </c>
      <c r="H128" s="87" t="s">
        <v>1023</v>
      </c>
    </row>
    <row r="129" ht="22.5" customHeight="1">
      <c r="A129" s="83">
        <v>44922.0</v>
      </c>
      <c r="B129" s="84" t="s">
        <v>10913</v>
      </c>
      <c r="C129" s="85">
        <v>5.15386001E8</v>
      </c>
      <c r="D129" s="86" t="s">
        <v>10724</v>
      </c>
      <c r="E129" s="85">
        <v>51.5</v>
      </c>
      <c r="F129" s="86" t="s">
        <v>32</v>
      </c>
      <c r="G129" s="87" t="s">
        <v>10914</v>
      </c>
      <c r="H129" s="87" t="s">
        <v>321</v>
      </c>
    </row>
    <row r="130" ht="22.5" customHeight="1">
      <c r="A130" s="83">
        <v>44917.0</v>
      </c>
      <c r="B130" s="84" t="s">
        <v>10915</v>
      </c>
      <c r="C130" s="85">
        <v>5.15743201E8</v>
      </c>
      <c r="D130" s="86" t="s">
        <v>10748</v>
      </c>
      <c r="E130" s="88"/>
      <c r="F130" s="86" t="s">
        <v>47</v>
      </c>
      <c r="G130" s="87" t="s">
        <v>10916</v>
      </c>
      <c r="H130" s="87" t="s">
        <v>10917</v>
      </c>
    </row>
    <row r="131" ht="22.5" customHeight="1">
      <c r="A131" s="83">
        <v>44916.0</v>
      </c>
      <c r="B131" s="84" t="s">
        <v>4436</v>
      </c>
      <c r="C131" s="85">
        <v>5.14681972E8</v>
      </c>
      <c r="D131" s="86" t="s">
        <v>10724</v>
      </c>
      <c r="E131" s="88"/>
      <c r="F131" s="86" t="s">
        <v>47</v>
      </c>
      <c r="G131" s="87" t="s">
        <v>10918</v>
      </c>
      <c r="H131" s="87" t="s">
        <v>2026</v>
      </c>
    </row>
    <row r="132" ht="22.5" customHeight="1">
      <c r="A132" s="83">
        <v>44907.0</v>
      </c>
      <c r="B132" s="84" t="s">
        <v>10919</v>
      </c>
      <c r="C132" s="85">
        <v>5.15154607E8</v>
      </c>
      <c r="D132" s="86" t="s">
        <v>5257</v>
      </c>
      <c r="E132" s="85">
        <v>1.5</v>
      </c>
      <c r="F132" s="86" t="s">
        <v>32</v>
      </c>
      <c r="G132" s="87" t="s">
        <v>10920</v>
      </c>
      <c r="H132" s="87" t="s">
        <v>2006</v>
      </c>
    </row>
    <row r="133" ht="22.5" customHeight="1">
      <c r="A133" s="83">
        <v>44896.0</v>
      </c>
      <c r="B133" s="84" t="s">
        <v>3731</v>
      </c>
      <c r="C133" s="85">
        <v>5.15486579E8</v>
      </c>
      <c r="D133" s="86" t="s">
        <v>10825</v>
      </c>
      <c r="E133" s="88"/>
      <c r="F133" s="86" t="s">
        <v>32</v>
      </c>
      <c r="G133" s="87" t="s">
        <v>10882</v>
      </c>
      <c r="H133" s="87" t="s">
        <v>1938</v>
      </c>
    </row>
    <row r="134" ht="22.5" customHeight="1">
      <c r="A134" s="83">
        <v>44896.0</v>
      </c>
      <c r="B134" s="84" t="s">
        <v>10921</v>
      </c>
      <c r="C134" s="85">
        <v>5.13814442E8</v>
      </c>
      <c r="D134" s="86" t="s">
        <v>10745</v>
      </c>
      <c r="E134" s="85">
        <v>1.0</v>
      </c>
      <c r="F134" s="86" t="s">
        <v>32</v>
      </c>
      <c r="G134" s="87" t="s">
        <v>10922</v>
      </c>
      <c r="H134" s="87" t="s">
        <v>2194</v>
      </c>
    </row>
    <row r="135" ht="22.5" customHeight="1">
      <c r="A135" s="83">
        <v>44895.0</v>
      </c>
      <c r="B135" s="84" t="s">
        <v>10804</v>
      </c>
      <c r="C135" s="85">
        <v>5.15918035E8</v>
      </c>
      <c r="D135" s="86" t="s">
        <v>1518</v>
      </c>
      <c r="E135" s="85">
        <v>7.5</v>
      </c>
      <c r="F135" s="86" t="s">
        <v>32</v>
      </c>
      <c r="G135" s="87" t="s">
        <v>10805</v>
      </c>
      <c r="H135" s="87" t="s">
        <v>1850</v>
      </c>
    </row>
    <row r="136" ht="22.5" customHeight="1">
      <c r="A136" s="83">
        <v>44873.0</v>
      </c>
      <c r="B136" s="84" t="s">
        <v>10923</v>
      </c>
      <c r="C136" s="85">
        <v>5.1621874E8</v>
      </c>
      <c r="D136" s="86" t="s">
        <v>10727</v>
      </c>
      <c r="E136" s="85">
        <v>8.2</v>
      </c>
      <c r="F136" s="86" t="s">
        <v>32</v>
      </c>
      <c r="G136" s="87" t="s">
        <v>10924</v>
      </c>
      <c r="H136" s="87" t="s">
        <v>2160</v>
      </c>
    </row>
    <row r="137" ht="22.5" customHeight="1">
      <c r="A137" s="83">
        <v>44872.0</v>
      </c>
      <c r="B137" s="84" t="s">
        <v>10925</v>
      </c>
      <c r="C137" s="85">
        <v>5.14762673E8</v>
      </c>
      <c r="D137" s="86" t="s">
        <v>10724</v>
      </c>
      <c r="E137" s="85">
        <v>40.0</v>
      </c>
      <c r="F137" s="86" t="s">
        <v>32</v>
      </c>
      <c r="G137" s="87" t="s">
        <v>10926</v>
      </c>
      <c r="H137" s="87" t="s">
        <v>1280</v>
      </c>
    </row>
    <row r="138" ht="22.5" customHeight="1">
      <c r="A138" s="83">
        <v>44866.0</v>
      </c>
      <c r="B138" s="84" t="s">
        <v>3786</v>
      </c>
      <c r="C138" s="85">
        <v>5.16010386E8</v>
      </c>
      <c r="D138" s="86" t="s">
        <v>10748</v>
      </c>
      <c r="E138" s="88"/>
      <c r="F138" s="86" t="s">
        <v>32</v>
      </c>
      <c r="G138" s="87" t="s">
        <v>10785</v>
      </c>
      <c r="H138" s="87" t="s">
        <v>1688</v>
      </c>
    </row>
    <row r="139" ht="22.5" customHeight="1">
      <c r="A139" s="83">
        <v>44866.0</v>
      </c>
      <c r="B139" s="84" t="s">
        <v>10927</v>
      </c>
      <c r="C139" s="85">
        <v>5.15130359E8</v>
      </c>
      <c r="D139" s="86" t="s">
        <v>10748</v>
      </c>
      <c r="E139" s="85">
        <v>7.5</v>
      </c>
      <c r="F139" s="86" t="s">
        <v>47</v>
      </c>
      <c r="G139" s="87" t="s">
        <v>10928</v>
      </c>
      <c r="H139" s="87" t="s">
        <v>1058</v>
      </c>
    </row>
    <row r="140" ht="22.5" customHeight="1">
      <c r="A140" s="83">
        <v>44866.0</v>
      </c>
      <c r="B140" s="84" t="s">
        <v>10929</v>
      </c>
      <c r="C140" s="85">
        <v>5.12700436E8</v>
      </c>
      <c r="D140" s="86" t="s">
        <v>5257</v>
      </c>
      <c r="E140" s="85">
        <v>100.0</v>
      </c>
      <c r="F140" s="86" t="s">
        <v>32</v>
      </c>
      <c r="G140" s="87" t="s">
        <v>10930</v>
      </c>
      <c r="H140" s="87" t="s">
        <v>2113</v>
      </c>
    </row>
    <row r="141" ht="22.5" customHeight="1">
      <c r="A141" s="83">
        <v>44835.0</v>
      </c>
      <c r="B141" s="84" t="s">
        <v>10921</v>
      </c>
      <c r="C141" s="85">
        <v>5.13814442E8</v>
      </c>
      <c r="D141" s="86" t="s">
        <v>10745</v>
      </c>
      <c r="E141" s="85">
        <v>0.5</v>
      </c>
      <c r="F141" s="86" t="s">
        <v>32</v>
      </c>
      <c r="G141" s="87" t="s">
        <v>10922</v>
      </c>
      <c r="H141" s="87" t="s">
        <v>2194</v>
      </c>
    </row>
    <row r="142" ht="22.5" customHeight="1">
      <c r="A142" s="83">
        <v>44835.0</v>
      </c>
      <c r="B142" s="84" t="s">
        <v>10931</v>
      </c>
      <c r="C142" s="85">
        <v>5.1642635E8</v>
      </c>
      <c r="D142" s="86" t="s">
        <v>1518</v>
      </c>
      <c r="E142" s="88"/>
      <c r="F142" s="86" t="s">
        <v>32</v>
      </c>
      <c r="G142" s="87" t="s">
        <v>10932</v>
      </c>
      <c r="H142" s="87" t="s">
        <v>3227</v>
      </c>
    </row>
    <row r="143" ht="22.5" customHeight="1">
      <c r="A143" s="83">
        <v>44833.0</v>
      </c>
      <c r="B143" s="84" t="s">
        <v>5860</v>
      </c>
      <c r="C143" s="85">
        <v>5.1347601E8</v>
      </c>
      <c r="D143" s="86" t="s">
        <v>5257</v>
      </c>
      <c r="E143" s="85">
        <v>11.6</v>
      </c>
      <c r="F143" s="86" t="s">
        <v>32</v>
      </c>
      <c r="G143" s="87" t="s">
        <v>10750</v>
      </c>
      <c r="H143" s="87" t="s">
        <v>10751</v>
      </c>
    </row>
    <row r="144" ht="22.5" customHeight="1">
      <c r="A144" s="83">
        <v>44824.0</v>
      </c>
      <c r="B144" s="84" t="s">
        <v>10933</v>
      </c>
      <c r="C144" s="85">
        <v>5.1635687E8</v>
      </c>
      <c r="D144" s="86" t="s">
        <v>1518</v>
      </c>
      <c r="E144" s="88"/>
      <c r="F144" s="86" t="s">
        <v>47</v>
      </c>
      <c r="G144" s="87" t="s">
        <v>10934</v>
      </c>
      <c r="H144" s="87" t="s">
        <v>3072</v>
      </c>
    </row>
    <row r="145" ht="22.5" customHeight="1">
      <c r="A145" s="83">
        <v>44824.0</v>
      </c>
      <c r="B145" s="84" t="s">
        <v>10935</v>
      </c>
      <c r="C145" s="85">
        <v>5.15984631E8</v>
      </c>
      <c r="D145" s="86" t="s">
        <v>1518</v>
      </c>
      <c r="E145" s="88"/>
      <c r="F145" s="86" t="s">
        <v>47</v>
      </c>
      <c r="G145" s="87" t="s">
        <v>10936</v>
      </c>
      <c r="H145" s="87" t="s">
        <v>3235</v>
      </c>
    </row>
    <row r="146" ht="22.5" customHeight="1">
      <c r="A146" s="83">
        <v>44817.0</v>
      </c>
      <c r="B146" s="84" t="s">
        <v>10865</v>
      </c>
      <c r="C146" s="85">
        <v>5.14983121E8</v>
      </c>
      <c r="D146" s="86" t="s">
        <v>10748</v>
      </c>
      <c r="E146" s="88"/>
      <c r="F146" s="86" t="s">
        <v>47</v>
      </c>
      <c r="G146" s="87" t="s">
        <v>10866</v>
      </c>
      <c r="H146" s="87" t="s">
        <v>2374</v>
      </c>
    </row>
    <row r="147" ht="22.5" customHeight="1">
      <c r="A147" s="83">
        <v>44812.0</v>
      </c>
      <c r="B147" s="84" t="s">
        <v>10937</v>
      </c>
      <c r="C147" s="85">
        <v>5.16288461E8</v>
      </c>
      <c r="D147" s="86" t="s">
        <v>1518</v>
      </c>
      <c r="E147" s="85">
        <v>3.0</v>
      </c>
      <c r="F147" s="86" t="s">
        <v>47</v>
      </c>
      <c r="G147" s="87" t="s">
        <v>10938</v>
      </c>
      <c r="H147" s="87" t="s">
        <v>1375</v>
      </c>
    </row>
    <row r="148" ht="22.5" customHeight="1">
      <c r="A148" s="83">
        <v>44810.0</v>
      </c>
      <c r="B148" s="84" t="s">
        <v>10939</v>
      </c>
      <c r="C148" s="85">
        <v>5.20043928E8</v>
      </c>
      <c r="D148" s="86" t="s">
        <v>5257</v>
      </c>
      <c r="E148" s="85">
        <v>17.0</v>
      </c>
      <c r="F148" s="86" t="s">
        <v>32</v>
      </c>
      <c r="G148" s="87" t="s">
        <v>10940</v>
      </c>
      <c r="H148" s="87" t="s">
        <v>309</v>
      </c>
    </row>
    <row r="149" ht="22.5" customHeight="1">
      <c r="A149" s="83">
        <v>44810.0</v>
      </c>
      <c r="B149" s="84" t="s">
        <v>10941</v>
      </c>
      <c r="C149" s="85">
        <v>5.15656551E8</v>
      </c>
      <c r="D149" s="86" t="s">
        <v>10734</v>
      </c>
      <c r="E149" s="88"/>
      <c r="F149" s="86" t="s">
        <v>32</v>
      </c>
      <c r="G149" s="87" t="s">
        <v>10942</v>
      </c>
      <c r="H149" s="87" t="s">
        <v>10943</v>
      </c>
    </row>
    <row r="150" ht="22.5" customHeight="1">
      <c r="A150" s="83">
        <v>44805.0</v>
      </c>
      <c r="B150" s="84" t="s">
        <v>10944</v>
      </c>
      <c r="C150" s="85">
        <v>5.1531736E8</v>
      </c>
      <c r="D150" s="86" t="s">
        <v>10748</v>
      </c>
      <c r="E150" s="88"/>
      <c r="F150" s="86" t="s">
        <v>32</v>
      </c>
      <c r="G150" s="87" t="s">
        <v>10945</v>
      </c>
      <c r="H150" s="87" t="s">
        <v>1905</v>
      </c>
    </row>
    <row r="151" ht="22.5" customHeight="1">
      <c r="A151" s="83">
        <v>44805.0</v>
      </c>
      <c r="B151" s="84" t="s">
        <v>10946</v>
      </c>
      <c r="C151" s="85">
        <v>5.15994838E8</v>
      </c>
      <c r="D151" s="86" t="s">
        <v>1518</v>
      </c>
      <c r="E151" s="85">
        <v>3.5</v>
      </c>
      <c r="F151" s="86" t="s">
        <v>32</v>
      </c>
      <c r="G151" s="87" t="s">
        <v>10947</v>
      </c>
      <c r="H151" s="87" t="s">
        <v>2842</v>
      </c>
    </row>
    <row r="152" ht="22.5" customHeight="1">
      <c r="A152" s="83">
        <v>44804.0</v>
      </c>
      <c r="B152" s="84" t="s">
        <v>10899</v>
      </c>
      <c r="C152" s="85">
        <v>5.16667144E8</v>
      </c>
      <c r="D152" s="86" t="s">
        <v>10748</v>
      </c>
      <c r="E152" s="85">
        <v>42.0</v>
      </c>
      <c r="F152" s="86" t="s">
        <v>32</v>
      </c>
      <c r="G152" s="87" t="s">
        <v>10900</v>
      </c>
      <c r="H152" s="87" t="s">
        <v>505</v>
      </c>
    </row>
    <row r="153" ht="22.5" customHeight="1">
      <c r="A153" s="83">
        <v>44803.0</v>
      </c>
      <c r="B153" s="84" t="s">
        <v>10948</v>
      </c>
      <c r="C153" s="85">
        <v>5.16631074E8</v>
      </c>
      <c r="D153" s="86" t="s">
        <v>1518</v>
      </c>
      <c r="E153" s="85">
        <v>0.9</v>
      </c>
      <c r="F153" s="86" t="s">
        <v>32</v>
      </c>
      <c r="G153" s="87" t="s">
        <v>10949</v>
      </c>
      <c r="H153" s="87" t="s">
        <v>1602</v>
      </c>
    </row>
    <row r="154" ht="22.5" customHeight="1">
      <c r="A154" s="83">
        <v>44795.0</v>
      </c>
      <c r="B154" s="84" t="s">
        <v>10884</v>
      </c>
      <c r="C154" s="85">
        <v>5.15615136E8</v>
      </c>
      <c r="D154" s="86" t="s">
        <v>1518</v>
      </c>
      <c r="E154" s="88"/>
      <c r="F154" s="86" t="s">
        <v>47</v>
      </c>
      <c r="G154" s="87" t="s">
        <v>10885</v>
      </c>
      <c r="H154" s="87" t="s">
        <v>1324</v>
      </c>
    </row>
    <row r="155" ht="22.5" customHeight="1">
      <c r="A155" s="83">
        <v>44785.0</v>
      </c>
      <c r="B155" s="84" t="s">
        <v>10789</v>
      </c>
      <c r="C155" s="85">
        <v>5.15326452E8</v>
      </c>
      <c r="D155" s="86" t="s">
        <v>10748</v>
      </c>
      <c r="E155" s="85">
        <v>10.0</v>
      </c>
      <c r="F155" s="86" t="s">
        <v>32</v>
      </c>
      <c r="G155" s="87" t="s">
        <v>10790</v>
      </c>
      <c r="H155" s="87" t="s">
        <v>1699</v>
      </c>
    </row>
    <row r="156" ht="22.5" customHeight="1">
      <c r="A156" s="83">
        <v>44781.0</v>
      </c>
      <c r="B156" s="84" t="s">
        <v>10950</v>
      </c>
      <c r="C156" s="85">
        <v>5.16333051E8</v>
      </c>
      <c r="D156" s="86" t="s">
        <v>10776</v>
      </c>
      <c r="E156" s="85">
        <v>48.1</v>
      </c>
      <c r="F156" s="86" t="s">
        <v>32</v>
      </c>
      <c r="G156" s="87" t="s">
        <v>10951</v>
      </c>
      <c r="H156" s="87" t="s">
        <v>2205</v>
      </c>
    </row>
    <row r="157" ht="22.5" customHeight="1">
      <c r="A157" s="83">
        <v>44774.0</v>
      </c>
      <c r="B157" s="84" t="s">
        <v>10952</v>
      </c>
      <c r="C157" s="85">
        <v>5.16441052E8</v>
      </c>
      <c r="D157" s="86" t="s">
        <v>1518</v>
      </c>
      <c r="E157" s="85">
        <v>2.8</v>
      </c>
      <c r="F157" s="86" t="s">
        <v>32</v>
      </c>
      <c r="G157" s="87" t="s">
        <v>10953</v>
      </c>
      <c r="H157" s="87" t="s">
        <v>3294</v>
      </c>
    </row>
    <row r="158" ht="22.5" customHeight="1">
      <c r="A158" s="83">
        <v>44773.0</v>
      </c>
      <c r="B158" s="84" t="s">
        <v>10771</v>
      </c>
      <c r="C158" s="85">
        <v>5.14782135E8</v>
      </c>
      <c r="D158" s="86" t="s">
        <v>10748</v>
      </c>
      <c r="E158" s="88"/>
      <c r="F158" s="86" t="s">
        <v>32</v>
      </c>
      <c r="G158" s="87" t="s">
        <v>10772</v>
      </c>
      <c r="H158" s="87" t="s">
        <v>2174</v>
      </c>
    </row>
    <row r="159" ht="22.5" customHeight="1">
      <c r="A159" s="83">
        <v>44749.0</v>
      </c>
      <c r="B159" s="84" t="s">
        <v>10799</v>
      </c>
      <c r="C159" s="85">
        <v>5.15877918E8</v>
      </c>
      <c r="D159" s="86" t="s">
        <v>10748</v>
      </c>
      <c r="E159" s="88"/>
      <c r="F159" s="86" t="s">
        <v>32</v>
      </c>
      <c r="G159" s="87" t="s">
        <v>10800</v>
      </c>
      <c r="H159" s="87" t="s">
        <v>10801</v>
      </c>
    </row>
    <row r="160" ht="22.5" customHeight="1">
      <c r="A160" s="83">
        <v>44747.0</v>
      </c>
      <c r="B160" s="84" t="s">
        <v>3922</v>
      </c>
      <c r="C160" s="85">
        <v>5.14620186E8</v>
      </c>
      <c r="D160" s="86" t="s">
        <v>10776</v>
      </c>
      <c r="E160" s="88"/>
      <c r="F160" s="86" t="s">
        <v>47</v>
      </c>
      <c r="G160" s="87" t="s">
        <v>10833</v>
      </c>
      <c r="H160" s="87" t="s">
        <v>1882</v>
      </c>
    </row>
    <row r="161" ht="22.5" customHeight="1">
      <c r="A161" s="83">
        <v>44744.0</v>
      </c>
      <c r="B161" s="84" t="s">
        <v>10855</v>
      </c>
      <c r="C161" s="88"/>
      <c r="D161" s="86" t="s">
        <v>10776</v>
      </c>
      <c r="E161" s="88"/>
      <c r="F161" s="86" t="s">
        <v>32</v>
      </c>
      <c r="G161" s="87" t="s">
        <v>10856</v>
      </c>
      <c r="H161" s="87" t="s">
        <v>10857</v>
      </c>
    </row>
    <row r="162" ht="22.5" customHeight="1">
      <c r="A162" s="83">
        <v>44743.0</v>
      </c>
      <c r="B162" s="84" t="s">
        <v>10873</v>
      </c>
      <c r="C162" s="85">
        <v>5.15460111E8</v>
      </c>
      <c r="D162" s="86" t="s">
        <v>10748</v>
      </c>
      <c r="E162" s="85">
        <v>0.12</v>
      </c>
      <c r="F162" s="86" t="s">
        <v>47</v>
      </c>
      <c r="G162" s="87" t="s">
        <v>10874</v>
      </c>
      <c r="H162" s="87" t="s">
        <v>2016</v>
      </c>
    </row>
    <row r="163" ht="22.5" customHeight="1">
      <c r="A163" s="83">
        <v>44734.0</v>
      </c>
      <c r="B163" s="84" t="s">
        <v>10775</v>
      </c>
      <c r="C163" s="85">
        <v>5.14234202E8</v>
      </c>
      <c r="D163" s="86" t="s">
        <v>10724</v>
      </c>
      <c r="E163" s="85">
        <v>2.0</v>
      </c>
      <c r="F163" s="86" t="s">
        <v>47</v>
      </c>
      <c r="G163" s="87" t="s">
        <v>10777</v>
      </c>
      <c r="H163" s="87" t="s">
        <v>1787</v>
      </c>
    </row>
    <row r="164" ht="22.5" customHeight="1">
      <c r="A164" s="83">
        <v>44720.0</v>
      </c>
      <c r="B164" s="84" t="s">
        <v>10954</v>
      </c>
      <c r="C164" s="85">
        <v>5.14658277E8</v>
      </c>
      <c r="D164" s="86" t="s">
        <v>10727</v>
      </c>
      <c r="E164" s="85">
        <v>1.6</v>
      </c>
      <c r="F164" s="86" t="s">
        <v>32</v>
      </c>
      <c r="G164" s="87" t="s">
        <v>10955</v>
      </c>
      <c r="H164" s="87" t="s">
        <v>145</v>
      </c>
    </row>
    <row r="165" ht="22.5" customHeight="1">
      <c r="A165" s="83">
        <v>44718.0</v>
      </c>
      <c r="B165" s="84" t="s">
        <v>4507</v>
      </c>
      <c r="C165" s="85">
        <v>5.14695915E8</v>
      </c>
      <c r="D165" s="86" t="s">
        <v>10861</v>
      </c>
      <c r="E165" s="85">
        <v>108.0</v>
      </c>
      <c r="F165" s="86" t="s">
        <v>32</v>
      </c>
      <c r="G165" s="87" t="s">
        <v>10956</v>
      </c>
      <c r="H165" s="87" t="s">
        <v>636</v>
      </c>
    </row>
    <row r="166" ht="22.5" customHeight="1">
      <c r="A166" s="83">
        <v>44707.0</v>
      </c>
      <c r="B166" s="84" t="s">
        <v>10957</v>
      </c>
      <c r="C166" s="85">
        <v>5.15662732E8</v>
      </c>
      <c r="D166" s="86" t="s">
        <v>10748</v>
      </c>
      <c r="E166" s="85">
        <v>1.46</v>
      </c>
      <c r="F166" s="86" t="s">
        <v>47</v>
      </c>
      <c r="G166" s="87" t="s">
        <v>10958</v>
      </c>
      <c r="H166" s="87" t="s">
        <v>2048</v>
      </c>
    </row>
    <row r="167" ht="22.5" customHeight="1">
      <c r="A167" s="83">
        <v>44705.0</v>
      </c>
      <c r="B167" s="84" t="s">
        <v>4751</v>
      </c>
      <c r="C167" s="85">
        <v>5.14820117E8</v>
      </c>
      <c r="D167" s="86" t="s">
        <v>10776</v>
      </c>
      <c r="E167" s="88"/>
      <c r="F167" s="86" t="s">
        <v>47</v>
      </c>
      <c r="G167" s="87" t="s">
        <v>10959</v>
      </c>
      <c r="H167" s="87" t="s">
        <v>3339</v>
      </c>
    </row>
    <row r="168" ht="22.5" customHeight="1">
      <c r="A168" s="83">
        <v>44703.0</v>
      </c>
      <c r="B168" s="84" t="s">
        <v>10960</v>
      </c>
      <c r="C168" s="85">
        <v>5.15047363E8</v>
      </c>
      <c r="D168" s="86" t="s">
        <v>10748</v>
      </c>
      <c r="E168" s="85">
        <v>10.0</v>
      </c>
      <c r="F168" s="86" t="s">
        <v>47</v>
      </c>
      <c r="G168" s="87" t="s">
        <v>10961</v>
      </c>
      <c r="H168" s="87" t="s">
        <v>901</v>
      </c>
    </row>
    <row r="169" ht="22.5" customHeight="1">
      <c r="A169" s="83">
        <v>44697.0</v>
      </c>
      <c r="B169" s="84" t="s">
        <v>3922</v>
      </c>
      <c r="C169" s="85">
        <v>5.14620186E8</v>
      </c>
      <c r="D169" s="86" t="s">
        <v>10776</v>
      </c>
      <c r="E169" s="85">
        <v>100.0</v>
      </c>
      <c r="F169" s="86" t="s">
        <v>32</v>
      </c>
      <c r="G169" s="87" t="s">
        <v>10833</v>
      </c>
      <c r="H169" s="87" t="s">
        <v>1882</v>
      </c>
    </row>
    <row r="170" ht="22.5" customHeight="1">
      <c r="A170" s="83">
        <v>44666.0</v>
      </c>
      <c r="B170" s="84" t="s">
        <v>10811</v>
      </c>
      <c r="C170" s="85">
        <v>5.15918175E8</v>
      </c>
      <c r="D170" s="86" t="s">
        <v>10748</v>
      </c>
      <c r="E170" s="88"/>
      <c r="F170" s="86" t="s">
        <v>47</v>
      </c>
      <c r="G170" s="87" t="s">
        <v>10812</v>
      </c>
      <c r="H170" s="87" t="s">
        <v>647</v>
      </c>
    </row>
    <row r="171" ht="22.5" customHeight="1">
      <c r="A171" s="83">
        <v>44651.0</v>
      </c>
      <c r="B171" s="84" t="s">
        <v>8510</v>
      </c>
      <c r="C171" s="85">
        <v>5.15441541E8</v>
      </c>
      <c r="D171" s="86" t="s">
        <v>4532</v>
      </c>
      <c r="E171" s="85">
        <v>15.6</v>
      </c>
      <c r="F171" s="86" t="s">
        <v>32</v>
      </c>
      <c r="G171" s="87" t="s">
        <v>10888</v>
      </c>
      <c r="H171" s="87" t="s">
        <v>2963</v>
      </c>
    </row>
    <row r="172" ht="22.5" customHeight="1">
      <c r="A172" s="83">
        <v>44648.0</v>
      </c>
      <c r="B172" s="84" t="s">
        <v>10787</v>
      </c>
      <c r="C172" s="85">
        <v>5.15886992E8</v>
      </c>
      <c r="D172" s="86" t="s">
        <v>1518</v>
      </c>
      <c r="E172" s="85">
        <v>3.5</v>
      </c>
      <c r="F172" s="86" t="s">
        <v>47</v>
      </c>
      <c r="G172" s="87" t="s">
        <v>10788</v>
      </c>
      <c r="H172" s="87" t="s">
        <v>2037</v>
      </c>
    </row>
    <row r="173" ht="22.5" customHeight="1">
      <c r="A173" s="83">
        <v>44647.0</v>
      </c>
      <c r="B173" s="84" t="s">
        <v>10962</v>
      </c>
      <c r="C173" s="85">
        <v>5.15143394E8</v>
      </c>
      <c r="D173" s="86" t="s">
        <v>10748</v>
      </c>
      <c r="E173" s="85">
        <v>8.0</v>
      </c>
      <c r="F173" s="86" t="s">
        <v>32</v>
      </c>
      <c r="G173" s="87" t="s">
        <v>10963</v>
      </c>
      <c r="H173" s="87" t="s">
        <v>3246</v>
      </c>
    </row>
    <row r="174" ht="22.5" customHeight="1">
      <c r="A174" s="83">
        <v>44641.0</v>
      </c>
      <c r="B174" s="84" t="s">
        <v>4751</v>
      </c>
      <c r="C174" s="85">
        <v>5.14820117E8</v>
      </c>
      <c r="D174" s="86" t="s">
        <v>10776</v>
      </c>
      <c r="E174" s="88"/>
      <c r="F174" s="86" t="s">
        <v>47</v>
      </c>
      <c r="G174" s="87" t="s">
        <v>10959</v>
      </c>
      <c r="H174" s="87" t="s">
        <v>3339</v>
      </c>
    </row>
    <row r="175" ht="22.5" customHeight="1">
      <c r="A175" s="83">
        <v>44637.0</v>
      </c>
      <c r="B175" s="84" t="s">
        <v>10964</v>
      </c>
      <c r="C175" s="85">
        <v>5.15575066E8</v>
      </c>
      <c r="D175" s="86" t="s">
        <v>1518</v>
      </c>
      <c r="E175" s="88"/>
      <c r="F175" s="86" t="s">
        <v>47</v>
      </c>
      <c r="G175" s="87" t="s">
        <v>10965</v>
      </c>
      <c r="H175" s="87" t="s">
        <v>690</v>
      </c>
    </row>
    <row r="176" ht="22.5" customHeight="1">
      <c r="A176" s="83">
        <v>44635.0</v>
      </c>
      <c r="B176" s="84" t="s">
        <v>9566</v>
      </c>
      <c r="C176" s="85">
        <v>5.14881564E8</v>
      </c>
      <c r="D176" s="86" t="s">
        <v>5257</v>
      </c>
      <c r="E176" s="85">
        <v>29.7</v>
      </c>
      <c r="F176" s="86" t="s">
        <v>32</v>
      </c>
      <c r="G176" s="87" t="s">
        <v>10752</v>
      </c>
      <c r="H176" s="87" t="s">
        <v>1708</v>
      </c>
    </row>
    <row r="177" ht="22.5" customHeight="1">
      <c r="A177" s="83">
        <v>44630.0</v>
      </c>
      <c r="B177" s="84" t="s">
        <v>4384</v>
      </c>
      <c r="C177" s="85">
        <v>5.15928109E8</v>
      </c>
      <c r="D177" s="86" t="s">
        <v>10724</v>
      </c>
      <c r="E177" s="85">
        <v>19.0</v>
      </c>
      <c r="F177" s="86" t="s">
        <v>47</v>
      </c>
      <c r="G177" s="87" t="s">
        <v>10966</v>
      </c>
      <c r="H177" s="87" t="s">
        <v>366</v>
      </c>
    </row>
    <row r="178" ht="22.5" customHeight="1">
      <c r="A178" s="83">
        <v>44621.0</v>
      </c>
      <c r="B178" s="84" t="s">
        <v>10844</v>
      </c>
      <c r="C178" s="85">
        <v>5.16295052E8</v>
      </c>
      <c r="D178" s="86" t="s">
        <v>10748</v>
      </c>
      <c r="E178" s="88"/>
      <c r="F178" s="86" t="s">
        <v>32</v>
      </c>
      <c r="G178" s="87" t="s">
        <v>10845</v>
      </c>
      <c r="H178" s="87" t="s">
        <v>2852</v>
      </c>
    </row>
    <row r="179" ht="22.5" customHeight="1">
      <c r="A179" s="83">
        <v>44620.0</v>
      </c>
      <c r="B179" s="84" t="s">
        <v>10937</v>
      </c>
      <c r="C179" s="85">
        <v>5.16288461E8</v>
      </c>
      <c r="D179" s="86" t="s">
        <v>1518</v>
      </c>
      <c r="E179" s="85">
        <v>2.5</v>
      </c>
      <c r="F179" s="86" t="s">
        <v>47</v>
      </c>
      <c r="G179" s="87" t="s">
        <v>10938</v>
      </c>
      <c r="H179" s="87" t="s">
        <v>1375</v>
      </c>
    </row>
    <row r="180" ht="22.5" customHeight="1">
      <c r="A180" s="83">
        <v>44616.0</v>
      </c>
      <c r="B180" s="84" t="s">
        <v>10967</v>
      </c>
      <c r="C180" s="88"/>
      <c r="D180" s="86" t="s">
        <v>10734</v>
      </c>
      <c r="E180" s="88"/>
      <c r="F180" s="86" t="s">
        <v>32</v>
      </c>
      <c r="G180" s="87" t="s">
        <v>10968</v>
      </c>
      <c r="H180" s="87" t="s">
        <v>10969</v>
      </c>
    </row>
    <row r="181" ht="22.5" customHeight="1">
      <c r="A181" s="83">
        <v>44614.0</v>
      </c>
      <c r="B181" s="84" t="s">
        <v>3864</v>
      </c>
      <c r="C181" s="85">
        <v>5.15027282E8</v>
      </c>
      <c r="D181" s="86" t="s">
        <v>10748</v>
      </c>
      <c r="E181" s="85">
        <v>17.0</v>
      </c>
      <c r="F181" s="86" t="s">
        <v>32</v>
      </c>
      <c r="G181" s="87" t="s">
        <v>10970</v>
      </c>
      <c r="H181" s="87" t="s">
        <v>1820</v>
      </c>
    </row>
    <row r="182" ht="22.5" customHeight="1">
      <c r="A182" s="83">
        <v>44600.0</v>
      </c>
      <c r="B182" s="84" t="s">
        <v>10818</v>
      </c>
      <c r="C182" s="85">
        <v>5.14335967E8</v>
      </c>
      <c r="D182" s="86" t="s">
        <v>10776</v>
      </c>
      <c r="E182" s="85">
        <v>60.0</v>
      </c>
      <c r="F182" s="86" t="s">
        <v>32</v>
      </c>
      <c r="G182" s="87" t="s">
        <v>10819</v>
      </c>
      <c r="H182" s="87" t="s">
        <v>2987</v>
      </c>
    </row>
    <row r="183" ht="22.5" customHeight="1">
      <c r="A183" s="83">
        <v>44593.0</v>
      </c>
      <c r="B183" s="84" t="s">
        <v>10737</v>
      </c>
      <c r="C183" s="85">
        <v>5.15114429E8</v>
      </c>
      <c r="D183" s="86" t="s">
        <v>5257</v>
      </c>
      <c r="E183" s="85">
        <v>5.0</v>
      </c>
      <c r="F183" s="86" t="s">
        <v>32</v>
      </c>
      <c r="G183" s="87" t="s">
        <v>10738</v>
      </c>
      <c r="H183" s="87" t="s">
        <v>2920</v>
      </c>
    </row>
    <row r="184" ht="22.5" customHeight="1">
      <c r="A184" s="83">
        <v>44593.0</v>
      </c>
      <c r="B184" s="84" t="s">
        <v>10858</v>
      </c>
      <c r="C184" s="85">
        <v>5.15859809E8</v>
      </c>
      <c r="D184" s="86" t="s">
        <v>10748</v>
      </c>
      <c r="E184" s="85">
        <v>3.4</v>
      </c>
      <c r="F184" s="86" t="s">
        <v>32</v>
      </c>
      <c r="G184" s="87" t="s">
        <v>10859</v>
      </c>
      <c r="H184" s="87" t="s">
        <v>385</v>
      </c>
    </row>
    <row r="185" ht="22.5" customHeight="1">
      <c r="A185" s="83">
        <v>44592.0</v>
      </c>
      <c r="B185" s="84" t="s">
        <v>10871</v>
      </c>
      <c r="C185" s="85">
        <v>5.16256542E8</v>
      </c>
      <c r="D185" s="86" t="s">
        <v>10748</v>
      </c>
      <c r="E185" s="85">
        <v>4.0</v>
      </c>
      <c r="F185" s="86" t="s">
        <v>32</v>
      </c>
      <c r="G185" s="87" t="s">
        <v>10872</v>
      </c>
      <c r="H185" s="87" t="s">
        <v>847</v>
      </c>
    </row>
    <row r="186" ht="22.5" customHeight="1">
      <c r="A186" s="83">
        <v>44580.0</v>
      </c>
      <c r="B186" s="84" t="s">
        <v>10894</v>
      </c>
      <c r="C186" s="88"/>
      <c r="D186" s="86" t="s">
        <v>10727</v>
      </c>
      <c r="E186" s="85">
        <v>42.0</v>
      </c>
      <c r="F186" s="86" t="s">
        <v>32</v>
      </c>
      <c r="G186" s="87" t="s">
        <v>10895</v>
      </c>
      <c r="H186" s="87" t="s">
        <v>10896</v>
      </c>
    </row>
    <row r="187" ht="22.5" customHeight="1">
      <c r="A187" s="83">
        <v>44565.0</v>
      </c>
      <c r="B187" s="84" t="s">
        <v>10909</v>
      </c>
      <c r="C187" s="85">
        <v>5.15413482E8</v>
      </c>
      <c r="D187" s="86" t="s">
        <v>10724</v>
      </c>
      <c r="E187" s="88"/>
      <c r="F187" s="86" t="s">
        <v>32</v>
      </c>
      <c r="G187" s="87" t="s">
        <v>10910</v>
      </c>
      <c r="H187" s="87" t="s">
        <v>2776</v>
      </c>
    </row>
    <row r="188" ht="22.5" customHeight="1">
      <c r="A188" s="83">
        <v>44565.0</v>
      </c>
      <c r="B188" s="84" t="s">
        <v>4751</v>
      </c>
      <c r="C188" s="85">
        <v>5.14820117E8</v>
      </c>
      <c r="D188" s="86" t="s">
        <v>10776</v>
      </c>
      <c r="E188" s="85">
        <v>70.0</v>
      </c>
      <c r="F188" s="86" t="s">
        <v>32</v>
      </c>
      <c r="G188" s="87" t="s">
        <v>10959</v>
      </c>
      <c r="H188" s="87" t="s">
        <v>3339</v>
      </c>
    </row>
    <row r="189" ht="22.5" customHeight="1">
      <c r="A189" s="83">
        <v>44562.0</v>
      </c>
      <c r="B189" s="84" t="s">
        <v>10941</v>
      </c>
      <c r="C189" s="85">
        <v>5.15656551E8</v>
      </c>
      <c r="D189" s="86" t="s">
        <v>10748</v>
      </c>
      <c r="E189" s="88"/>
      <c r="F189" s="86" t="s">
        <v>32</v>
      </c>
      <c r="G189" s="87" t="s">
        <v>10942</v>
      </c>
      <c r="H189" s="87" t="s">
        <v>10943</v>
      </c>
    </row>
    <row r="190" ht="22.5" customHeight="1">
      <c r="A190" s="83">
        <v>44562.0</v>
      </c>
      <c r="B190" s="84" t="s">
        <v>10827</v>
      </c>
      <c r="C190" s="85">
        <v>5.16024825E8</v>
      </c>
      <c r="D190" s="86" t="s">
        <v>1518</v>
      </c>
      <c r="E190" s="85">
        <v>0.7</v>
      </c>
      <c r="F190" s="86" t="s">
        <v>47</v>
      </c>
      <c r="G190" s="87" t="s">
        <v>10828</v>
      </c>
      <c r="H190" s="87" t="s">
        <v>1335</v>
      </c>
    </row>
    <row r="191" ht="22.5" customHeight="1">
      <c r="A191" s="83">
        <v>44554.0</v>
      </c>
      <c r="B191" s="84" t="s">
        <v>6207</v>
      </c>
      <c r="C191" s="88"/>
      <c r="D191" s="86" t="s">
        <v>10734</v>
      </c>
      <c r="E191" s="85">
        <v>220.0</v>
      </c>
      <c r="F191" s="86" t="s">
        <v>32</v>
      </c>
      <c r="G191" s="87" t="s">
        <v>10971</v>
      </c>
      <c r="H191" s="87" t="s">
        <v>10972</v>
      </c>
    </row>
    <row r="192" ht="22.5" customHeight="1">
      <c r="A192" s="83">
        <v>44551.0</v>
      </c>
      <c r="B192" s="84" t="s">
        <v>10973</v>
      </c>
      <c r="C192" s="85">
        <v>5.14929454E8</v>
      </c>
      <c r="D192" s="86" t="s">
        <v>10734</v>
      </c>
      <c r="E192" s="85">
        <v>50.0</v>
      </c>
      <c r="F192" s="86" t="s">
        <v>32</v>
      </c>
      <c r="G192" s="87" t="s">
        <v>10974</v>
      </c>
      <c r="H192" s="87" t="s">
        <v>10975</v>
      </c>
    </row>
    <row r="193" ht="22.5" customHeight="1">
      <c r="A193" s="83">
        <v>44546.0</v>
      </c>
      <c r="B193" s="84" t="s">
        <v>5563</v>
      </c>
      <c r="C193" s="85">
        <v>5.14788702E8</v>
      </c>
      <c r="D193" s="86" t="s">
        <v>5257</v>
      </c>
      <c r="E193" s="85">
        <v>6.3</v>
      </c>
      <c r="F193" s="86" t="s">
        <v>32</v>
      </c>
      <c r="G193" s="87" t="s">
        <v>10786</v>
      </c>
      <c r="H193" s="87" t="s">
        <v>1344</v>
      </c>
    </row>
    <row r="194" ht="22.5" customHeight="1">
      <c r="A194" s="83">
        <v>44545.0</v>
      </c>
      <c r="B194" s="84" t="s">
        <v>10723</v>
      </c>
      <c r="C194" s="85">
        <v>5.15771194E8</v>
      </c>
      <c r="D194" s="86" t="s">
        <v>10748</v>
      </c>
      <c r="E194" s="85">
        <v>27.0</v>
      </c>
      <c r="F194" s="86" t="s">
        <v>32</v>
      </c>
      <c r="G194" s="87" t="s">
        <v>10725</v>
      </c>
      <c r="H194" s="87" t="s">
        <v>3409</v>
      </c>
    </row>
    <row r="195" ht="22.5" customHeight="1">
      <c r="A195" s="83">
        <v>44545.0</v>
      </c>
      <c r="B195" s="84" t="s">
        <v>10921</v>
      </c>
      <c r="C195" s="85">
        <v>5.13814442E8</v>
      </c>
      <c r="D195" s="86" t="s">
        <v>10976</v>
      </c>
      <c r="E195" s="85">
        <v>25.0</v>
      </c>
      <c r="F195" s="86" t="s">
        <v>32</v>
      </c>
      <c r="G195" s="87" t="s">
        <v>10922</v>
      </c>
      <c r="H195" s="87" t="s">
        <v>2194</v>
      </c>
    </row>
    <row r="196" ht="22.5" customHeight="1">
      <c r="A196" s="83">
        <v>44545.0</v>
      </c>
      <c r="B196" s="84" t="s">
        <v>10977</v>
      </c>
      <c r="C196" s="85">
        <v>5.14505379E8</v>
      </c>
      <c r="D196" s="86" t="s">
        <v>10748</v>
      </c>
      <c r="E196" s="88"/>
      <c r="F196" s="86" t="s">
        <v>32</v>
      </c>
      <c r="G196" s="87" t="s">
        <v>10978</v>
      </c>
      <c r="H196" s="87" t="s">
        <v>1676</v>
      </c>
    </row>
    <row r="197" ht="22.5" customHeight="1">
      <c r="A197" s="83">
        <v>44542.0</v>
      </c>
      <c r="B197" s="84" t="s">
        <v>8784</v>
      </c>
      <c r="C197" s="85">
        <v>5.15495943E8</v>
      </c>
      <c r="D197" s="86" t="s">
        <v>10734</v>
      </c>
      <c r="E197" s="88"/>
      <c r="F197" s="86" t="s">
        <v>32</v>
      </c>
      <c r="G197" s="87" t="s">
        <v>10979</v>
      </c>
      <c r="H197" s="87" t="s">
        <v>10980</v>
      </c>
    </row>
    <row r="198" ht="22.5" customHeight="1">
      <c r="A198" s="83">
        <v>44538.0</v>
      </c>
      <c r="B198" s="84" t="s">
        <v>10904</v>
      </c>
      <c r="C198" s="85">
        <v>5.14949973E8</v>
      </c>
      <c r="D198" s="86" t="s">
        <v>4532</v>
      </c>
      <c r="E198" s="85">
        <v>6.5</v>
      </c>
      <c r="F198" s="86" t="s">
        <v>32</v>
      </c>
      <c r="G198" s="87" t="s">
        <v>10905</v>
      </c>
      <c r="H198" s="87" t="s">
        <v>10906</v>
      </c>
    </row>
    <row r="199" ht="22.5" customHeight="1">
      <c r="A199" s="83">
        <v>44538.0</v>
      </c>
      <c r="B199" s="84" t="s">
        <v>10981</v>
      </c>
      <c r="C199" s="85">
        <v>5.16376266E8</v>
      </c>
      <c r="D199" s="86" t="s">
        <v>1518</v>
      </c>
      <c r="E199" s="88"/>
      <c r="F199" s="86" t="s">
        <v>32</v>
      </c>
      <c r="G199" s="87" t="s">
        <v>10982</v>
      </c>
      <c r="H199" s="87" t="s">
        <v>2491</v>
      </c>
    </row>
    <row r="200" ht="22.5" customHeight="1">
      <c r="A200" s="83">
        <v>44536.0</v>
      </c>
      <c r="B200" s="84" t="s">
        <v>10983</v>
      </c>
      <c r="C200" s="85">
        <v>5.1442679E8</v>
      </c>
      <c r="D200" s="86" t="s">
        <v>10734</v>
      </c>
      <c r="E200" s="85">
        <v>150.0</v>
      </c>
      <c r="F200" s="86" t="s">
        <v>32</v>
      </c>
      <c r="G200" s="87" t="s">
        <v>10984</v>
      </c>
      <c r="H200" s="87" t="s">
        <v>10985</v>
      </c>
    </row>
    <row r="201" ht="22.5" customHeight="1">
      <c r="A201" s="83">
        <v>44532.0</v>
      </c>
      <c r="B201" s="84" t="s">
        <v>4132</v>
      </c>
      <c r="C201" s="85">
        <v>5.15390979E8</v>
      </c>
      <c r="D201" s="86" t="s">
        <v>10727</v>
      </c>
      <c r="E201" s="85">
        <v>10.0</v>
      </c>
      <c r="F201" s="86" t="s">
        <v>47</v>
      </c>
      <c r="G201" s="87" t="s">
        <v>10986</v>
      </c>
      <c r="H201" s="87" t="s">
        <v>2138</v>
      </c>
    </row>
    <row r="202" ht="22.5" customHeight="1">
      <c r="A202" s="83">
        <v>44523.0</v>
      </c>
      <c r="B202" s="84" t="s">
        <v>5374</v>
      </c>
      <c r="C202" s="85">
        <v>5.14185297E8</v>
      </c>
      <c r="D202" s="86" t="s">
        <v>10776</v>
      </c>
      <c r="E202" s="85">
        <v>10.0</v>
      </c>
      <c r="F202" s="86" t="s">
        <v>47</v>
      </c>
      <c r="G202" s="87" t="s">
        <v>10753</v>
      </c>
      <c r="H202" s="87" t="s">
        <v>10754</v>
      </c>
    </row>
    <row r="203" ht="22.5" customHeight="1">
      <c r="A203" s="83">
        <v>44523.0</v>
      </c>
      <c r="B203" s="84" t="s">
        <v>5860</v>
      </c>
      <c r="C203" s="85">
        <v>5.1347601E8</v>
      </c>
      <c r="D203" s="86" t="s">
        <v>4532</v>
      </c>
      <c r="E203" s="85">
        <v>22.0</v>
      </c>
      <c r="F203" s="86" t="s">
        <v>32</v>
      </c>
      <c r="G203" s="87" t="s">
        <v>10750</v>
      </c>
      <c r="H203" s="87" t="s">
        <v>10751</v>
      </c>
    </row>
    <row r="204" ht="22.5" customHeight="1">
      <c r="A204" s="83">
        <v>44523.0</v>
      </c>
      <c r="B204" s="84" t="s">
        <v>10987</v>
      </c>
      <c r="C204" s="85">
        <v>5.1570389E8</v>
      </c>
      <c r="D204" s="86" t="s">
        <v>10748</v>
      </c>
      <c r="E204" s="85">
        <v>2.0</v>
      </c>
      <c r="F204" s="86" t="s">
        <v>47</v>
      </c>
      <c r="G204" s="87" t="s">
        <v>10988</v>
      </c>
      <c r="H204" s="87" t="s">
        <v>10989</v>
      </c>
    </row>
    <row r="205" ht="22.5" customHeight="1">
      <c r="A205" s="83">
        <v>44517.0</v>
      </c>
      <c r="B205" s="84" t="s">
        <v>10877</v>
      </c>
      <c r="C205" s="85">
        <v>5.15181907E8</v>
      </c>
      <c r="D205" s="86" t="s">
        <v>10776</v>
      </c>
      <c r="E205" s="85">
        <v>53.0</v>
      </c>
      <c r="F205" s="86" t="s">
        <v>32</v>
      </c>
      <c r="G205" s="87" t="s">
        <v>10878</v>
      </c>
      <c r="H205" s="87" t="s">
        <v>591</v>
      </c>
    </row>
    <row r="206" ht="22.5" customHeight="1">
      <c r="A206" s="83">
        <v>44516.0</v>
      </c>
      <c r="B206" s="84" t="s">
        <v>10848</v>
      </c>
      <c r="C206" s="85">
        <v>5.16762176E8</v>
      </c>
      <c r="D206" s="86" t="s">
        <v>1518</v>
      </c>
      <c r="E206" s="88"/>
      <c r="F206" s="86" t="s">
        <v>47</v>
      </c>
      <c r="G206" s="87" t="s">
        <v>10849</v>
      </c>
      <c r="H206" s="87" t="s">
        <v>1023</v>
      </c>
    </row>
    <row r="207" ht="22.5" customHeight="1">
      <c r="A207" s="83">
        <v>44516.0</v>
      </c>
      <c r="B207" s="84" t="s">
        <v>10990</v>
      </c>
      <c r="C207" s="85">
        <v>5.15844132E8</v>
      </c>
      <c r="D207" s="86" t="s">
        <v>1518</v>
      </c>
      <c r="E207" s="88"/>
      <c r="F207" s="86" t="s">
        <v>47</v>
      </c>
      <c r="G207" s="87" t="s">
        <v>10991</v>
      </c>
      <c r="H207" s="87" t="s">
        <v>2599</v>
      </c>
    </row>
    <row r="208" ht="22.5" customHeight="1">
      <c r="A208" s="83">
        <v>44516.0</v>
      </c>
      <c r="B208" s="84" t="s">
        <v>10992</v>
      </c>
      <c r="C208" s="85">
        <v>5.15651545E8</v>
      </c>
      <c r="D208" s="86" t="s">
        <v>10748</v>
      </c>
      <c r="E208" s="85">
        <v>4.3</v>
      </c>
      <c r="F208" s="86" t="s">
        <v>32</v>
      </c>
      <c r="G208" s="87" t="s">
        <v>10993</v>
      </c>
      <c r="H208" s="87" t="s">
        <v>417</v>
      </c>
    </row>
    <row r="209" ht="22.5" customHeight="1">
      <c r="A209" s="83">
        <v>44510.0</v>
      </c>
      <c r="B209" s="84" t="s">
        <v>10994</v>
      </c>
      <c r="C209" s="85">
        <v>5.16317831E8</v>
      </c>
      <c r="D209" s="86" t="s">
        <v>1518</v>
      </c>
      <c r="E209" s="85">
        <v>1.7</v>
      </c>
      <c r="F209" s="86" t="s">
        <v>32</v>
      </c>
      <c r="G209" s="87" t="s">
        <v>10995</v>
      </c>
      <c r="H209" s="87" t="s">
        <v>3312</v>
      </c>
    </row>
    <row r="210" ht="22.5" customHeight="1">
      <c r="A210" s="83">
        <v>44510.0</v>
      </c>
      <c r="B210" s="84" t="s">
        <v>4109</v>
      </c>
      <c r="C210" s="85">
        <v>5.15721744E8</v>
      </c>
      <c r="D210" s="86" t="s">
        <v>10727</v>
      </c>
      <c r="E210" s="85">
        <v>74.0</v>
      </c>
      <c r="F210" s="86" t="s">
        <v>32</v>
      </c>
      <c r="G210" s="87" t="s">
        <v>10883</v>
      </c>
      <c r="H210" s="87" t="s">
        <v>375</v>
      </c>
    </row>
    <row r="211" ht="22.5" customHeight="1">
      <c r="A211" s="83">
        <v>44501.0</v>
      </c>
      <c r="B211" s="84" t="s">
        <v>5230</v>
      </c>
      <c r="C211" s="85">
        <v>5.15333128E8</v>
      </c>
      <c r="D211" s="86" t="s">
        <v>5257</v>
      </c>
      <c r="E211" s="85">
        <v>13.0</v>
      </c>
      <c r="F211" s="86" t="s">
        <v>32</v>
      </c>
      <c r="G211" s="87" t="s">
        <v>10996</v>
      </c>
      <c r="H211" s="87" t="s">
        <v>752</v>
      </c>
    </row>
    <row r="212" ht="22.5" customHeight="1">
      <c r="A212" s="83">
        <v>44501.0</v>
      </c>
      <c r="B212" s="84" t="s">
        <v>4384</v>
      </c>
      <c r="C212" s="85">
        <v>5.15928109E8</v>
      </c>
      <c r="D212" s="86" t="s">
        <v>10724</v>
      </c>
      <c r="E212" s="85">
        <v>101.0</v>
      </c>
      <c r="F212" s="86" t="s">
        <v>32</v>
      </c>
      <c r="G212" s="87" t="s">
        <v>10966</v>
      </c>
      <c r="H212" s="87" t="s">
        <v>366</v>
      </c>
    </row>
    <row r="213" ht="22.5" customHeight="1">
      <c r="A213" s="83">
        <v>44501.0</v>
      </c>
      <c r="B213" s="84" t="s">
        <v>10997</v>
      </c>
      <c r="C213" s="85">
        <v>5.15391571E8</v>
      </c>
      <c r="D213" s="86" t="s">
        <v>10748</v>
      </c>
      <c r="E213" s="85">
        <v>0.75</v>
      </c>
      <c r="F213" s="86" t="s">
        <v>47</v>
      </c>
      <c r="G213" s="87" t="s">
        <v>10998</v>
      </c>
      <c r="H213" s="87" t="s">
        <v>1531</v>
      </c>
    </row>
    <row r="214" ht="22.5" customHeight="1">
      <c r="A214" s="83">
        <v>44500.0</v>
      </c>
      <c r="B214" s="84" t="s">
        <v>10780</v>
      </c>
      <c r="C214" s="85">
        <v>5.16090842E8</v>
      </c>
      <c r="D214" s="86" t="s">
        <v>10748</v>
      </c>
      <c r="E214" s="88"/>
      <c r="F214" s="86" t="s">
        <v>32</v>
      </c>
      <c r="G214" s="87" t="s">
        <v>10781</v>
      </c>
      <c r="H214" s="87" t="s">
        <v>1417</v>
      </c>
    </row>
    <row r="215" ht="22.5" customHeight="1">
      <c r="A215" s="83">
        <v>44497.0</v>
      </c>
      <c r="B215" s="84" t="s">
        <v>10808</v>
      </c>
      <c r="C215" s="88"/>
      <c r="D215" s="86" t="s">
        <v>10727</v>
      </c>
      <c r="E215" s="85">
        <v>20.0</v>
      </c>
      <c r="F215" s="86" t="s">
        <v>32</v>
      </c>
      <c r="G215" s="87" t="s">
        <v>10809</v>
      </c>
      <c r="H215" s="87" t="s">
        <v>10810</v>
      </c>
    </row>
    <row r="216" ht="22.5" customHeight="1">
      <c r="A216" s="83">
        <v>44495.0</v>
      </c>
      <c r="B216" s="84" t="s">
        <v>10755</v>
      </c>
      <c r="C216" s="85">
        <v>5.16385531E8</v>
      </c>
      <c r="D216" s="86" t="s">
        <v>1518</v>
      </c>
      <c r="E216" s="88"/>
      <c r="F216" s="86" t="s">
        <v>32</v>
      </c>
      <c r="G216" s="87" t="s">
        <v>10756</v>
      </c>
      <c r="H216" s="87" t="s">
        <v>680</v>
      </c>
    </row>
    <row r="217" ht="22.5" customHeight="1">
      <c r="A217" s="83">
        <v>44495.0</v>
      </c>
      <c r="B217" s="84" t="s">
        <v>4436</v>
      </c>
      <c r="C217" s="85">
        <v>5.14681972E8</v>
      </c>
      <c r="D217" s="86" t="s">
        <v>10724</v>
      </c>
      <c r="E217" s="85">
        <v>27.0</v>
      </c>
      <c r="F217" s="86" t="s">
        <v>32</v>
      </c>
      <c r="G217" s="87" t="s">
        <v>10918</v>
      </c>
      <c r="H217" s="87" t="s">
        <v>2026</v>
      </c>
    </row>
    <row r="218" ht="22.5" customHeight="1">
      <c r="A218" s="83">
        <v>44488.0</v>
      </c>
      <c r="B218" s="84" t="s">
        <v>10813</v>
      </c>
      <c r="C218" s="85">
        <v>5.14616069E8</v>
      </c>
      <c r="D218" s="86" t="s">
        <v>10748</v>
      </c>
      <c r="E218" s="85">
        <v>6.0</v>
      </c>
      <c r="F218" s="86" t="s">
        <v>32</v>
      </c>
      <c r="G218" s="87" t="s">
        <v>10814</v>
      </c>
      <c r="H218" s="87" t="s">
        <v>1728</v>
      </c>
    </row>
    <row r="219" ht="22.5" customHeight="1">
      <c r="A219" s="83">
        <v>44480.0</v>
      </c>
      <c r="B219" s="84" t="s">
        <v>10884</v>
      </c>
      <c r="C219" s="85">
        <v>5.15615136E8</v>
      </c>
      <c r="D219" s="86" t="s">
        <v>1518</v>
      </c>
      <c r="E219" s="88"/>
      <c r="F219" s="86" t="s">
        <v>47</v>
      </c>
      <c r="G219" s="87" t="s">
        <v>10885</v>
      </c>
      <c r="H219" s="87" t="s">
        <v>1324</v>
      </c>
    </row>
    <row r="220" ht="22.5" customHeight="1">
      <c r="A220" s="83">
        <v>44476.0</v>
      </c>
      <c r="B220" s="84" t="s">
        <v>5230</v>
      </c>
      <c r="C220" s="85">
        <v>5.15333128E8</v>
      </c>
      <c r="D220" s="86" t="s">
        <v>4532</v>
      </c>
      <c r="E220" s="85">
        <v>18.0</v>
      </c>
      <c r="F220" s="86" t="s">
        <v>32</v>
      </c>
      <c r="G220" s="87" t="s">
        <v>10996</v>
      </c>
      <c r="H220" s="87" t="s">
        <v>752</v>
      </c>
    </row>
    <row r="221" ht="22.5" customHeight="1">
      <c r="A221" s="83">
        <v>44476.0</v>
      </c>
      <c r="B221" s="84" t="s">
        <v>5230</v>
      </c>
      <c r="C221" s="85">
        <v>5.15333128E8</v>
      </c>
      <c r="D221" s="86" t="s">
        <v>5257</v>
      </c>
      <c r="E221" s="85">
        <v>100.0</v>
      </c>
      <c r="F221" s="86" t="s">
        <v>32</v>
      </c>
      <c r="G221" s="87" t="s">
        <v>10996</v>
      </c>
      <c r="H221" s="87" t="s">
        <v>752</v>
      </c>
    </row>
    <row r="222" ht="22.5" customHeight="1">
      <c r="A222" s="83">
        <v>44470.0</v>
      </c>
      <c r="B222" s="84" t="s">
        <v>10973</v>
      </c>
      <c r="C222" s="85">
        <v>5.14929454E8</v>
      </c>
      <c r="D222" s="86" t="s">
        <v>10727</v>
      </c>
      <c r="E222" s="85">
        <v>0.25</v>
      </c>
      <c r="F222" s="86" t="s">
        <v>47</v>
      </c>
      <c r="G222" s="87" t="s">
        <v>10974</v>
      </c>
      <c r="H222" s="87" t="s">
        <v>10975</v>
      </c>
    </row>
    <row r="223" ht="22.5" customHeight="1">
      <c r="A223" s="83">
        <v>44470.0</v>
      </c>
      <c r="B223" s="84" t="s">
        <v>4751</v>
      </c>
      <c r="C223" s="85">
        <v>5.14820117E8</v>
      </c>
      <c r="D223" s="86" t="s">
        <v>10724</v>
      </c>
      <c r="E223" s="88"/>
      <c r="F223" s="86" t="s">
        <v>47</v>
      </c>
      <c r="G223" s="87" t="s">
        <v>10959</v>
      </c>
      <c r="H223" s="87" t="s">
        <v>3339</v>
      </c>
    </row>
    <row r="224" ht="22.5" customHeight="1">
      <c r="A224" s="83">
        <v>44468.0</v>
      </c>
      <c r="B224" s="84" t="s">
        <v>10960</v>
      </c>
      <c r="C224" s="85">
        <v>5.15047363E8</v>
      </c>
      <c r="D224" s="86" t="s">
        <v>10748</v>
      </c>
      <c r="E224" s="88"/>
      <c r="F224" s="86" t="s">
        <v>47</v>
      </c>
      <c r="G224" s="87" t="s">
        <v>10961</v>
      </c>
      <c r="H224" s="87" t="s">
        <v>901</v>
      </c>
    </row>
    <row r="225" ht="22.5" customHeight="1">
      <c r="A225" s="83">
        <v>44468.0</v>
      </c>
      <c r="B225" s="84" t="s">
        <v>9270</v>
      </c>
      <c r="C225" s="85">
        <v>5.13887042E8</v>
      </c>
      <c r="D225" s="86" t="s">
        <v>4532</v>
      </c>
      <c r="E225" s="85">
        <v>30.0</v>
      </c>
      <c r="F225" s="86" t="s">
        <v>32</v>
      </c>
      <c r="G225" s="87" t="s">
        <v>10999</v>
      </c>
      <c r="H225" s="87" t="s">
        <v>1245</v>
      </c>
    </row>
    <row r="226" ht="22.5" customHeight="1">
      <c r="A226" s="83">
        <v>44468.0</v>
      </c>
      <c r="B226" s="84" t="s">
        <v>9270</v>
      </c>
      <c r="C226" s="85">
        <v>5.13887042E8</v>
      </c>
      <c r="D226" s="86" t="s">
        <v>5257</v>
      </c>
      <c r="E226" s="85">
        <v>125.0</v>
      </c>
      <c r="F226" s="86" t="s">
        <v>32</v>
      </c>
      <c r="G226" s="87" t="s">
        <v>10999</v>
      </c>
      <c r="H226" s="87" t="s">
        <v>1245</v>
      </c>
    </row>
    <row r="227" ht="22.5" customHeight="1">
      <c r="A227" s="83">
        <v>44462.0</v>
      </c>
      <c r="B227" s="84" t="s">
        <v>11000</v>
      </c>
      <c r="C227" s="88"/>
      <c r="D227" s="86" t="s">
        <v>10734</v>
      </c>
      <c r="E227" s="85">
        <v>140.0</v>
      </c>
      <c r="F227" s="86" t="s">
        <v>32</v>
      </c>
      <c r="G227" s="87" t="s">
        <v>11001</v>
      </c>
      <c r="H227" s="87" t="s">
        <v>11002</v>
      </c>
    </row>
    <row r="228" ht="22.5" customHeight="1">
      <c r="A228" s="83">
        <v>44453.0</v>
      </c>
      <c r="B228" s="84" t="s">
        <v>10846</v>
      </c>
      <c r="C228" s="88"/>
      <c r="D228" s="86" t="s">
        <v>1518</v>
      </c>
      <c r="E228" s="85">
        <v>1.0</v>
      </c>
      <c r="F228" s="86" t="s">
        <v>32</v>
      </c>
      <c r="G228" s="87" t="s">
        <v>10847</v>
      </c>
      <c r="H228" s="87" t="s">
        <v>1104</v>
      </c>
    </row>
    <row r="229" ht="22.5" customHeight="1">
      <c r="A229" s="83">
        <v>44441.0</v>
      </c>
      <c r="B229" s="84" t="s">
        <v>11003</v>
      </c>
      <c r="C229" s="88"/>
      <c r="D229" s="86" t="s">
        <v>10734</v>
      </c>
      <c r="E229" s="85">
        <v>67.5</v>
      </c>
      <c r="F229" s="86" t="s">
        <v>32</v>
      </c>
      <c r="G229" s="87" t="s">
        <v>11004</v>
      </c>
      <c r="H229" s="87" t="s">
        <v>11005</v>
      </c>
    </row>
    <row r="230" ht="22.5" customHeight="1">
      <c r="A230" s="83">
        <v>44440.0</v>
      </c>
      <c r="B230" s="84" t="s">
        <v>10957</v>
      </c>
      <c r="C230" s="85">
        <v>5.15662732E8</v>
      </c>
      <c r="D230" s="86" t="s">
        <v>10748</v>
      </c>
      <c r="E230" s="85">
        <v>8.0</v>
      </c>
      <c r="F230" s="86" t="s">
        <v>32</v>
      </c>
      <c r="G230" s="87" t="s">
        <v>10958</v>
      </c>
      <c r="H230" s="87" t="s">
        <v>2048</v>
      </c>
    </row>
    <row r="231" ht="22.5" customHeight="1">
      <c r="A231" s="83">
        <v>44440.0</v>
      </c>
      <c r="B231" s="84" t="s">
        <v>10806</v>
      </c>
      <c r="C231" s="85">
        <v>5.12489667E8</v>
      </c>
      <c r="D231" s="86" t="s">
        <v>10825</v>
      </c>
      <c r="E231" s="88"/>
      <c r="F231" s="86" t="s">
        <v>32</v>
      </c>
      <c r="G231" s="87" t="s">
        <v>10807</v>
      </c>
      <c r="H231" s="87" t="s">
        <v>3174</v>
      </c>
    </row>
    <row r="232" ht="22.5" customHeight="1">
      <c r="A232" s="83">
        <v>44439.0</v>
      </c>
      <c r="B232" s="84" t="s">
        <v>5230</v>
      </c>
      <c r="C232" s="85">
        <v>5.15333128E8</v>
      </c>
      <c r="D232" s="86" t="s">
        <v>10727</v>
      </c>
      <c r="E232" s="88"/>
      <c r="F232" s="86" t="s">
        <v>47</v>
      </c>
      <c r="G232" s="87" t="s">
        <v>10996</v>
      </c>
      <c r="H232" s="87" t="s">
        <v>752</v>
      </c>
    </row>
    <row r="233" ht="22.5" customHeight="1">
      <c r="A233" s="83">
        <v>44439.0</v>
      </c>
      <c r="B233" s="84" t="s">
        <v>4534</v>
      </c>
      <c r="C233" s="85">
        <v>5.14453794E8</v>
      </c>
      <c r="D233" s="86" t="s">
        <v>10727</v>
      </c>
      <c r="E233" s="85">
        <v>32.0</v>
      </c>
      <c r="F233" s="86" t="s">
        <v>32</v>
      </c>
      <c r="G233" s="87" t="s">
        <v>10852</v>
      </c>
      <c r="H233" s="87" t="s">
        <v>958</v>
      </c>
    </row>
    <row r="234" ht="22.5" customHeight="1">
      <c r="A234" s="83">
        <v>44433.0</v>
      </c>
      <c r="B234" s="84" t="s">
        <v>10726</v>
      </c>
      <c r="C234" s="85">
        <v>5.14467513E8</v>
      </c>
      <c r="D234" s="86" t="s">
        <v>10748</v>
      </c>
      <c r="E234" s="85">
        <v>35.0</v>
      </c>
      <c r="F234" s="86" t="s">
        <v>47</v>
      </c>
      <c r="G234" s="87" t="s">
        <v>10728</v>
      </c>
      <c r="H234" s="87" t="s">
        <v>2184</v>
      </c>
    </row>
    <row r="235" ht="22.5" customHeight="1">
      <c r="A235" s="83">
        <v>44432.0</v>
      </c>
      <c r="B235" s="84" t="s">
        <v>3706</v>
      </c>
      <c r="C235" s="85">
        <v>5.15630713E8</v>
      </c>
      <c r="D235" s="86" t="s">
        <v>10724</v>
      </c>
      <c r="E235" s="85">
        <v>24.0</v>
      </c>
      <c r="F235" s="86" t="s">
        <v>47</v>
      </c>
      <c r="G235" s="87" t="s">
        <v>10826</v>
      </c>
      <c r="H235" s="87" t="s">
        <v>813</v>
      </c>
    </row>
    <row r="236" ht="22.5" customHeight="1">
      <c r="A236" s="83">
        <v>44424.0</v>
      </c>
      <c r="B236" s="84" t="s">
        <v>8216</v>
      </c>
      <c r="C236" s="85">
        <v>5.15352813E8</v>
      </c>
      <c r="D236" s="86" t="s">
        <v>4532</v>
      </c>
      <c r="E236" s="85">
        <v>113.0</v>
      </c>
      <c r="F236" s="86" t="s">
        <v>32</v>
      </c>
      <c r="G236" s="87" t="s">
        <v>10907</v>
      </c>
      <c r="H236" s="87" t="s">
        <v>10908</v>
      </c>
    </row>
    <row r="237" ht="22.5" customHeight="1">
      <c r="A237" s="83">
        <v>44424.0</v>
      </c>
      <c r="B237" s="84" t="s">
        <v>8216</v>
      </c>
      <c r="C237" s="85">
        <v>5.15352813E8</v>
      </c>
      <c r="D237" s="86" t="s">
        <v>5257</v>
      </c>
      <c r="E237" s="85">
        <v>142.0</v>
      </c>
      <c r="F237" s="86" t="s">
        <v>32</v>
      </c>
      <c r="G237" s="87" t="s">
        <v>10907</v>
      </c>
      <c r="H237" s="87" t="s">
        <v>10908</v>
      </c>
    </row>
    <row r="238" ht="22.5" customHeight="1">
      <c r="A238" s="83">
        <v>44420.0</v>
      </c>
      <c r="B238" s="84" t="s">
        <v>11006</v>
      </c>
      <c r="C238" s="85">
        <v>5.16214673E8</v>
      </c>
      <c r="D238" s="86" t="s">
        <v>1518</v>
      </c>
      <c r="E238" s="85">
        <v>5.0</v>
      </c>
      <c r="F238" s="86" t="s">
        <v>32</v>
      </c>
      <c r="G238" s="87" t="s">
        <v>11007</v>
      </c>
      <c r="H238" s="87" t="s">
        <v>2528</v>
      </c>
    </row>
    <row r="239" ht="22.5" customHeight="1">
      <c r="A239" s="83">
        <v>44420.0</v>
      </c>
      <c r="B239" s="84" t="s">
        <v>10739</v>
      </c>
      <c r="C239" s="85">
        <v>5.16273554E8</v>
      </c>
      <c r="D239" s="86" t="s">
        <v>10748</v>
      </c>
      <c r="E239" s="85">
        <v>10.0</v>
      </c>
      <c r="F239" s="86" t="s">
        <v>32</v>
      </c>
      <c r="G239" s="87" t="s">
        <v>10740</v>
      </c>
      <c r="H239" s="87" t="s">
        <v>10741</v>
      </c>
    </row>
    <row r="240" ht="22.5" customHeight="1">
      <c r="A240" s="83">
        <v>44420.0</v>
      </c>
      <c r="B240" s="84" t="s">
        <v>11008</v>
      </c>
      <c r="C240" s="85">
        <v>5.15828838E8</v>
      </c>
      <c r="D240" s="86" t="s">
        <v>10734</v>
      </c>
      <c r="E240" s="85">
        <v>40.0</v>
      </c>
      <c r="F240" s="86" t="s">
        <v>32</v>
      </c>
      <c r="G240" s="87" t="s">
        <v>11009</v>
      </c>
      <c r="H240" s="87" t="s">
        <v>11010</v>
      </c>
    </row>
    <row r="241" ht="22.5" customHeight="1">
      <c r="A241" s="83">
        <v>44417.0</v>
      </c>
      <c r="B241" s="84" t="s">
        <v>10787</v>
      </c>
      <c r="C241" s="85">
        <v>5.15886992E8</v>
      </c>
      <c r="D241" s="86" t="s">
        <v>1518</v>
      </c>
      <c r="E241" s="85">
        <v>5.0</v>
      </c>
      <c r="F241" s="86" t="s">
        <v>32</v>
      </c>
      <c r="G241" s="87" t="s">
        <v>10788</v>
      </c>
      <c r="H241" s="87" t="s">
        <v>2037</v>
      </c>
    </row>
    <row r="242" ht="22.5" customHeight="1">
      <c r="A242" s="83">
        <v>44417.0</v>
      </c>
      <c r="B242" s="84" t="s">
        <v>11011</v>
      </c>
      <c r="C242" s="88"/>
      <c r="D242" s="86" t="s">
        <v>10734</v>
      </c>
      <c r="E242" s="85">
        <v>61.0</v>
      </c>
      <c r="F242" s="86" t="s">
        <v>32</v>
      </c>
      <c r="G242" s="87" t="s">
        <v>11012</v>
      </c>
      <c r="H242" s="87" t="s">
        <v>11013</v>
      </c>
    </row>
    <row r="243" ht="22.5" customHeight="1">
      <c r="A243" s="83">
        <v>44410.0</v>
      </c>
      <c r="B243" s="84" t="s">
        <v>10867</v>
      </c>
      <c r="C243" s="85">
        <v>5.15446474E8</v>
      </c>
      <c r="D243" s="86" t="s">
        <v>5257</v>
      </c>
      <c r="E243" s="85">
        <v>2.0</v>
      </c>
      <c r="F243" s="86" t="s">
        <v>32</v>
      </c>
      <c r="G243" s="87" t="s">
        <v>10868</v>
      </c>
      <c r="H243" s="87" t="s">
        <v>2089</v>
      </c>
    </row>
    <row r="244" ht="22.5" customHeight="1">
      <c r="A244" s="83">
        <v>44409.0</v>
      </c>
      <c r="B244" s="84" t="s">
        <v>11014</v>
      </c>
      <c r="C244" s="85">
        <v>5.1581477E8</v>
      </c>
      <c r="D244" s="86" t="s">
        <v>10748</v>
      </c>
      <c r="E244" s="85">
        <v>15.0</v>
      </c>
      <c r="F244" s="86" t="s">
        <v>32</v>
      </c>
      <c r="G244" s="87" t="s">
        <v>11015</v>
      </c>
      <c r="H244" s="87" t="s">
        <v>1214</v>
      </c>
    </row>
    <row r="245" ht="22.5" customHeight="1">
      <c r="A245" s="83">
        <v>44409.0</v>
      </c>
      <c r="B245" s="84" t="s">
        <v>11016</v>
      </c>
      <c r="C245" s="85">
        <v>5.15368629E8</v>
      </c>
      <c r="D245" s="86" t="s">
        <v>10748</v>
      </c>
      <c r="E245" s="85">
        <v>3.5</v>
      </c>
      <c r="F245" s="86" t="s">
        <v>32</v>
      </c>
      <c r="G245" s="87" t="s">
        <v>11017</v>
      </c>
      <c r="H245" s="87" t="s">
        <v>1840</v>
      </c>
    </row>
    <row r="246" ht="22.5" customHeight="1">
      <c r="A246" s="83">
        <v>44406.0</v>
      </c>
      <c r="B246" s="84" t="s">
        <v>10891</v>
      </c>
      <c r="C246" s="85">
        <v>5.1581439E8</v>
      </c>
      <c r="D246" s="86" t="s">
        <v>10727</v>
      </c>
      <c r="E246" s="85">
        <v>37.0</v>
      </c>
      <c r="F246" s="86" t="s">
        <v>32</v>
      </c>
      <c r="G246" s="87" t="s">
        <v>10892</v>
      </c>
      <c r="H246" s="87" t="s">
        <v>10893</v>
      </c>
    </row>
    <row r="247" ht="22.5" customHeight="1">
      <c r="A247" s="83">
        <v>44405.0</v>
      </c>
      <c r="B247" s="84" t="s">
        <v>11018</v>
      </c>
      <c r="C247" s="85">
        <v>5.13524587E8</v>
      </c>
      <c r="D247" s="86" t="s">
        <v>11019</v>
      </c>
      <c r="E247" s="88"/>
      <c r="F247" s="86" t="s">
        <v>32</v>
      </c>
      <c r="G247" s="87" t="s">
        <v>11020</v>
      </c>
      <c r="H247" s="87" t="s">
        <v>878</v>
      </c>
    </row>
    <row r="248" ht="22.5" customHeight="1">
      <c r="A248" s="83">
        <v>44405.0</v>
      </c>
      <c r="B248" s="84" t="s">
        <v>11021</v>
      </c>
      <c r="C248" s="85">
        <v>5.14663335E8</v>
      </c>
      <c r="D248" s="86" t="s">
        <v>4532</v>
      </c>
      <c r="E248" s="85">
        <v>8.3</v>
      </c>
      <c r="F248" s="86" t="s">
        <v>32</v>
      </c>
      <c r="G248" s="87" t="s">
        <v>11022</v>
      </c>
      <c r="H248" s="87" t="s">
        <v>2952</v>
      </c>
    </row>
    <row r="249" ht="22.5" customHeight="1">
      <c r="A249" s="83">
        <v>44404.0</v>
      </c>
      <c r="B249" s="84" t="s">
        <v>11023</v>
      </c>
      <c r="C249" s="85">
        <v>5.1573383E8</v>
      </c>
      <c r="D249" s="86" t="s">
        <v>10727</v>
      </c>
      <c r="E249" s="85">
        <v>18.0</v>
      </c>
      <c r="F249" s="86" t="s">
        <v>32</v>
      </c>
      <c r="G249" s="87" t="s">
        <v>11024</v>
      </c>
      <c r="H249" s="87" t="s">
        <v>2767</v>
      </c>
    </row>
    <row r="250" ht="22.5" customHeight="1">
      <c r="A250" s="83">
        <v>44399.0</v>
      </c>
      <c r="B250" s="84" t="s">
        <v>8590</v>
      </c>
      <c r="C250" s="85">
        <v>5.14557339E8</v>
      </c>
      <c r="D250" s="86" t="s">
        <v>4532</v>
      </c>
      <c r="E250" s="85">
        <v>288.0</v>
      </c>
      <c r="F250" s="86" t="s">
        <v>32</v>
      </c>
      <c r="G250" s="87" t="s">
        <v>10803</v>
      </c>
      <c r="H250" s="87" t="s">
        <v>1161</v>
      </c>
    </row>
    <row r="251" ht="22.5" customHeight="1">
      <c r="A251" s="83">
        <v>44399.0</v>
      </c>
      <c r="B251" s="84" t="s">
        <v>8590</v>
      </c>
      <c r="C251" s="85">
        <v>5.14557339E8</v>
      </c>
      <c r="D251" s="86" t="s">
        <v>5257</v>
      </c>
      <c r="E251" s="85">
        <v>300.0</v>
      </c>
      <c r="F251" s="86" t="s">
        <v>32</v>
      </c>
      <c r="G251" s="87" t="s">
        <v>10803</v>
      </c>
      <c r="H251" s="87" t="s">
        <v>1161</v>
      </c>
    </row>
    <row r="252" ht="22.5" customHeight="1">
      <c r="A252" s="83">
        <v>44392.0</v>
      </c>
      <c r="B252" s="84" t="s">
        <v>11025</v>
      </c>
      <c r="C252" s="85">
        <v>5.15108264E8</v>
      </c>
      <c r="D252" s="86" t="s">
        <v>10748</v>
      </c>
      <c r="E252" s="85">
        <v>1.05</v>
      </c>
      <c r="F252" s="86" t="s">
        <v>32</v>
      </c>
      <c r="G252" s="87" t="s">
        <v>11026</v>
      </c>
      <c r="H252" s="87" t="s">
        <v>2820</v>
      </c>
    </row>
    <row r="253" ht="22.5" customHeight="1">
      <c r="A253" s="83">
        <v>44384.0</v>
      </c>
      <c r="B253" s="84" t="s">
        <v>11027</v>
      </c>
      <c r="C253" s="85">
        <v>5.15321966E8</v>
      </c>
      <c r="D253" s="86" t="s">
        <v>10727</v>
      </c>
      <c r="E253" s="88"/>
      <c r="F253" s="86" t="s">
        <v>32</v>
      </c>
      <c r="G253" s="87" t="s">
        <v>11028</v>
      </c>
      <c r="H253" s="87" t="s">
        <v>1314</v>
      </c>
    </row>
    <row r="254" ht="22.5" customHeight="1">
      <c r="A254" s="83">
        <v>44382.0</v>
      </c>
      <c r="B254" s="84" t="s">
        <v>10764</v>
      </c>
      <c r="C254" s="85">
        <v>5.15461481E8</v>
      </c>
      <c r="D254" s="86" t="s">
        <v>10748</v>
      </c>
      <c r="E254" s="85">
        <v>4.0</v>
      </c>
      <c r="F254" s="86" t="s">
        <v>32</v>
      </c>
      <c r="G254" s="87" t="s">
        <v>10765</v>
      </c>
      <c r="H254" s="87" t="s">
        <v>1294</v>
      </c>
    </row>
    <row r="255" ht="22.5" customHeight="1">
      <c r="A255" s="83">
        <v>44376.0</v>
      </c>
      <c r="B255" s="84" t="s">
        <v>11029</v>
      </c>
      <c r="C255" s="85">
        <v>5.15252112E8</v>
      </c>
      <c r="D255" s="86" t="s">
        <v>10748</v>
      </c>
      <c r="E255" s="85">
        <v>15.0</v>
      </c>
      <c r="F255" s="86" t="s">
        <v>47</v>
      </c>
      <c r="G255" s="87" t="s">
        <v>11030</v>
      </c>
      <c r="H255" s="87" t="s">
        <v>11031</v>
      </c>
    </row>
    <row r="256" ht="22.5" customHeight="1">
      <c r="A256" s="83">
        <v>44370.0</v>
      </c>
      <c r="B256" s="84" t="s">
        <v>10839</v>
      </c>
      <c r="C256" s="85">
        <v>5.15604445E8</v>
      </c>
      <c r="D256" s="86" t="s">
        <v>10724</v>
      </c>
      <c r="E256" s="85">
        <v>136.0</v>
      </c>
      <c r="F256" s="86" t="s">
        <v>32</v>
      </c>
      <c r="G256" s="87" t="s">
        <v>10840</v>
      </c>
      <c r="H256" s="87" t="s">
        <v>1448</v>
      </c>
    </row>
    <row r="257" ht="22.5" customHeight="1">
      <c r="A257" s="83">
        <v>44370.0</v>
      </c>
      <c r="B257" s="84" t="s">
        <v>10950</v>
      </c>
      <c r="C257" s="85">
        <v>5.16333051E8</v>
      </c>
      <c r="D257" s="86" t="s">
        <v>10724</v>
      </c>
      <c r="E257" s="85">
        <v>60.0</v>
      </c>
      <c r="F257" s="86" t="s">
        <v>32</v>
      </c>
      <c r="G257" s="87" t="s">
        <v>10951</v>
      </c>
      <c r="H257" s="87" t="s">
        <v>2205</v>
      </c>
    </row>
    <row r="258" ht="22.5" customHeight="1">
      <c r="A258" s="83">
        <v>44370.0</v>
      </c>
      <c r="B258" s="84" t="s">
        <v>10950</v>
      </c>
      <c r="C258" s="85">
        <v>5.16333051E8</v>
      </c>
      <c r="D258" s="86" t="s">
        <v>10825</v>
      </c>
      <c r="E258" s="85">
        <v>300.0</v>
      </c>
      <c r="F258" s="86" t="s">
        <v>32</v>
      </c>
      <c r="G258" s="87" t="s">
        <v>10951</v>
      </c>
      <c r="H258" s="87" t="s">
        <v>2205</v>
      </c>
    </row>
    <row r="259" ht="22.5" customHeight="1">
      <c r="A259" s="83">
        <v>44367.0</v>
      </c>
      <c r="B259" s="84" t="s">
        <v>10944</v>
      </c>
      <c r="C259" s="85">
        <v>5.1531736E8</v>
      </c>
      <c r="D259" s="86" t="s">
        <v>1518</v>
      </c>
      <c r="E259" s="88"/>
      <c r="F259" s="86" t="s">
        <v>47</v>
      </c>
      <c r="G259" s="87" t="s">
        <v>10945</v>
      </c>
      <c r="H259" s="87" t="s">
        <v>1905</v>
      </c>
    </row>
    <row r="260" ht="22.5" customHeight="1">
      <c r="A260" s="83">
        <v>44362.0</v>
      </c>
      <c r="B260" s="84" t="s">
        <v>11032</v>
      </c>
      <c r="C260" s="85">
        <v>5.12491143E8</v>
      </c>
      <c r="D260" s="86" t="s">
        <v>10776</v>
      </c>
      <c r="E260" s="85">
        <v>20.0</v>
      </c>
      <c r="F260" s="86" t="s">
        <v>47</v>
      </c>
      <c r="G260" s="87" t="s">
        <v>11033</v>
      </c>
      <c r="H260" s="87" t="s">
        <v>2998</v>
      </c>
    </row>
    <row r="261" ht="22.5" customHeight="1">
      <c r="A261" s="83">
        <v>44360.0</v>
      </c>
      <c r="B261" s="84" t="s">
        <v>11034</v>
      </c>
      <c r="C261" s="85">
        <v>5.14600725E8</v>
      </c>
      <c r="D261" s="86" t="s">
        <v>10724</v>
      </c>
      <c r="E261" s="85">
        <v>10.0</v>
      </c>
      <c r="F261" s="86" t="s">
        <v>32</v>
      </c>
      <c r="G261" s="87" t="s">
        <v>11035</v>
      </c>
      <c r="H261" s="87" t="s">
        <v>11036</v>
      </c>
    </row>
    <row r="262" ht="22.5" customHeight="1">
      <c r="A262" s="83">
        <v>44353.0</v>
      </c>
      <c r="B262" s="84" t="s">
        <v>11037</v>
      </c>
      <c r="C262" s="85">
        <v>5.15696193E8</v>
      </c>
      <c r="D262" s="86" t="s">
        <v>1518</v>
      </c>
      <c r="E262" s="85">
        <v>4.0</v>
      </c>
      <c r="F262" s="86" t="s">
        <v>47</v>
      </c>
      <c r="G262" s="87" t="s">
        <v>11038</v>
      </c>
      <c r="H262" s="87" t="s">
        <v>11039</v>
      </c>
    </row>
    <row r="263" ht="22.5" customHeight="1">
      <c r="A263" s="83">
        <v>44348.0</v>
      </c>
      <c r="B263" s="84" t="s">
        <v>11040</v>
      </c>
      <c r="C263" s="85">
        <v>5.15312825E8</v>
      </c>
      <c r="D263" s="86" t="s">
        <v>10748</v>
      </c>
      <c r="E263" s="85">
        <v>1.5</v>
      </c>
      <c r="F263" s="86" t="s">
        <v>32</v>
      </c>
      <c r="G263" s="87" t="s">
        <v>11041</v>
      </c>
      <c r="H263" s="87" t="s">
        <v>571</v>
      </c>
    </row>
    <row r="264" ht="22.5" customHeight="1">
      <c r="A264" s="83">
        <v>44347.0</v>
      </c>
      <c r="B264" s="84" t="s">
        <v>11042</v>
      </c>
      <c r="C264" s="85">
        <v>5.15648715E8</v>
      </c>
      <c r="D264" s="86" t="s">
        <v>10748</v>
      </c>
      <c r="E264" s="85">
        <v>6.85</v>
      </c>
      <c r="F264" s="86" t="s">
        <v>32</v>
      </c>
      <c r="G264" s="87" t="s">
        <v>11043</v>
      </c>
      <c r="H264" s="87" t="s">
        <v>1125</v>
      </c>
    </row>
    <row r="265" ht="22.5" customHeight="1">
      <c r="A265" s="83">
        <v>44343.0</v>
      </c>
      <c r="B265" s="84" t="s">
        <v>11044</v>
      </c>
      <c r="C265" s="85">
        <v>5.14759505E8</v>
      </c>
      <c r="D265" s="86" t="s">
        <v>10748</v>
      </c>
      <c r="E265" s="88"/>
      <c r="F265" s="86" t="s">
        <v>32</v>
      </c>
      <c r="G265" s="87" t="s">
        <v>11045</v>
      </c>
      <c r="H265" s="87" t="s">
        <v>1777</v>
      </c>
    </row>
    <row r="266" ht="22.5" customHeight="1">
      <c r="A266" s="83">
        <v>44342.0</v>
      </c>
      <c r="B266" s="84" t="s">
        <v>5563</v>
      </c>
      <c r="C266" s="85">
        <v>5.14788702E8</v>
      </c>
      <c r="D266" s="86" t="s">
        <v>5257</v>
      </c>
      <c r="E266" s="85">
        <v>4.1</v>
      </c>
      <c r="F266" s="86" t="s">
        <v>32</v>
      </c>
      <c r="G266" s="87" t="s">
        <v>10786</v>
      </c>
      <c r="H266" s="87" t="s">
        <v>1344</v>
      </c>
    </row>
    <row r="267" ht="22.5" customHeight="1">
      <c r="A267" s="83">
        <v>44342.0</v>
      </c>
      <c r="B267" s="84" t="s">
        <v>11046</v>
      </c>
      <c r="C267" s="85">
        <v>5.14911205E8</v>
      </c>
      <c r="D267" s="86" t="s">
        <v>10724</v>
      </c>
      <c r="E267" s="85">
        <v>10.0</v>
      </c>
      <c r="F267" s="86" t="s">
        <v>32</v>
      </c>
      <c r="G267" s="87" t="s">
        <v>11047</v>
      </c>
      <c r="H267" s="87" t="s">
        <v>3388</v>
      </c>
    </row>
    <row r="268" ht="22.5" customHeight="1">
      <c r="A268" s="83">
        <v>44341.0</v>
      </c>
      <c r="B268" s="84" t="s">
        <v>11048</v>
      </c>
      <c r="C268" s="85">
        <v>5.13989608E8</v>
      </c>
      <c r="D268" s="86" t="s">
        <v>10734</v>
      </c>
      <c r="E268" s="85">
        <v>434.0</v>
      </c>
      <c r="F268" s="86" t="s">
        <v>32</v>
      </c>
      <c r="G268" s="87" t="s">
        <v>11049</v>
      </c>
      <c r="H268" s="87" t="s">
        <v>3399</v>
      </c>
    </row>
    <row r="269" ht="22.5" customHeight="1">
      <c r="A269" s="83">
        <v>44336.0</v>
      </c>
      <c r="B269" s="84" t="s">
        <v>11050</v>
      </c>
      <c r="C269" s="85">
        <v>5.15446821E8</v>
      </c>
      <c r="D269" s="86" t="s">
        <v>10724</v>
      </c>
      <c r="E269" s="85">
        <v>130.0</v>
      </c>
      <c r="F269" s="86" t="s">
        <v>32</v>
      </c>
      <c r="G269" s="87" t="s">
        <v>11051</v>
      </c>
      <c r="H269" s="87" t="s">
        <v>2787</v>
      </c>
    </row>
    <row r="270" ht="22.5" customHeight="1">
      <c r="A270" s="83">
        <v>44336.0</v>
      </c>
      <c r="B270" s="84" t="s">
        <v>3706</v>
      </c>
      <c r="C270" s="85">
        <v>5.15630713E8</v>
      </c>
      <c r="D270" s="86" t="s">
        <v>10724</v>
      </c>
      <c r="E270" s="85">
        <v>38.5</v>
      </c>
      <c r="F270" s="86" t="s">
        <v>32</v>
      </c>
      <c r="G270" s="87" t="s">
        <v>10826</v>
      </c>
      <c r="H270" s="87" t="s">
        <v>813</v>
      </c>
    </row>
    <row r="271" ht="22.5" customHeight="1">
      <c r="A271" s="83">
        <v>44322.0</v>
      </c>
      <c r="B271" s="84" t="s">
        <v>10775</v>
      </c>
      <c r="C271" s="85">
        <v>5.14234202E8</v>
      </c>
      <c r="D271" s="86" t="s">
        <v>10724</v>
      </c>
      <c r="E271" s="85">
        <v>60.0</v>
      </c>
      <c r="F271" s="86" t="s">
        <v>32</v>
      </c>
      <c r="G271" s="87" t="s">
        <v>10777</v>
      </c>
      <c r="H271" s="87" t="s">
        <v>1787</v>
      </c>
    </row>
    <row r="272" ht="22.5" customHeight="1">
      <c r="A272" s="83">
        <v>44320.0</v>
      </c>
      <c r="B272" s="84" t="s">
        <v>10987</v>
      </c>
      <c r="C272" s="85">
        <v>5.1570389E8</v>
      </c>
      <c r="D272" s="86" t="s">
        <v>10748</v>
      </c>
      <c r="E272" s="85">
        <v>2.0</v>
      </c>
      <c r="F272" s="86" t="s">
        <v>32</v>
      </c>
      <c r="G272" s="87" t="s">
        <v>10988</v>
      </c>
      <c r="H272" s="87" t="s">
        <v>10989</v>
      </c>
    </row>
    <row r="273" ht="22.5" customHeight="1">
      <c r="A273" s="83">
        <v>44317.0</v>
      </c>
      <c r="B273" s="84" t="s">
        <v>11052</v>
      </c>
      <c r="C273" s="85">
        <v>5.13661637E8</v>
      </c>
      <c r="D273" s="86" t="s">
        <v>10748</v>
      </c>
      <c r="E273" s="85">
        <v>12.0</v>
      </c>
      <c r="F273" s="86" t="s">
        <v>32</v>
      </c>
      <c r="G273" s="87" t="s">
        <v>11053</v>
      </c>
      <c r="H273" s="87" t="s">
        <v>1257</v>
      </c>
    </row>
    <row r="274" ht="22.5" customHeight="1">
      <c r="A274" s="83">
        <v>44315.0</v>
      </c>
      <c r="B274" s="84" t="s">
        <v>10927</v>
      </c>
      <c r="C274" s="85">
        <v>5.15130359E8</v>
      </c>
      <c r="D274" s="86" t="s">
        <v>10748</v>
      </c>
      <c r="E274" s="85">
        <v>2.0</v>
      </c>
      <c r="F274" s="86" t="s">
        <v>47</v>
      </c>
      <c r="G274" s="87" t="s">
        <v>10928</v>
      </c>
      <c r="H274" s="87" t="s">
        <v>1058</v>
      </c>
    </row>
    <row r="275" ht="22.5" customHeight="1">
      <c r="A275" s="83">
        <v>44315.0</v>
      </c>
      <c r="B275" s="84" t="s">
        <v>10911</v>
      </c>
      <c r="C275" s="85">
        <v>5.15900702E8</v>
      </c>
      <c r="D275" s="86" t="s">
        <v>10748</v>
      </c>
      <c r="E275" s="88"/>
      <c r="F275" s="86" t="s">
        <v>47</v>
      </c>
      <c r="G275" s="87" t="s">
        <v>10912</v>
      </c>
      <c r="H275" s="87" t="s">
        <v>2215</v>
      </c>
    </row>
    <row r="276" ht="22.5" customHeight="1">
      <c r="A276" s="83">
        <v>44315.0</v>
      </c>
      <c r="B276" s="84" t="s">
        <v>10884</v>
      </c>
      <c r="C276" s="85">
        <v>5.15615136E8</v>
      </c>
      <c r="D276" s="86" t="s">
        <v>1518</v>
      </c>
      <c r="E276" s="88"/>
      <c r="F276" s="86" t="s">
        <v>47</v>
      </c>
      <c r="G276" s="87" t="s">
        <v>10885</v>
      </c>
      <c r="H276" s="87" t="s">
        <v>1324</v>
      </c>
    </row>
    <row r="277" ht="22.5" customHeight="1">
      <c r="A277" s="83">
        <v>44315.0</v>
      </c>
      <c r="B277" s="84" t="s">
        <v>10897</v>
      </c>
      <c r="C277" s="85">
        <v>5.15999761E8</v>
      </c>
      <c r="D277" s="86" t="s">
        <v>1518</v>
      </c>
      <c r="E277" s="85">
        <v>2.7</v>
      </c>
      <c r="F277" s="86" t="s">
        <v>47</v>
      </c>
      <c r="G277" s="87" t="s">
        <v>10898</v>
      </c>
      <c r="H277" s="87" t="s">
        <v>1365</v>
      </c>
    </row>
    <row r="278" ht="22.5" customHeight="1">
      <c r="A278" s="83">
        <v>44314.0</v>
      </c>
      <c r="B278" s="84" t="s">
        <v>10782</v>
      </c>
      <c r="C278" s="85">
        <v>5.14092758E8</v>
      </c>
      <c r="D278" s="86" t="s">
        <v>10724</v>
      </c>
      <c r="E278" s="85">
        <v>31.0</v>
      </c>
      <c r="F278" s="86" t="s">
        <v>32</v>
      </c>
      <c r="G278" s="87" t="s">
        <v>10783</v>
      </c>
      <c r="H278" s="87" t="s">
        <v>3329</v>
      </c>
    </row>
    <row r="279" ht="22.5" customHeight="1">
      <c r="A279" s="83">
        <v>44304.0</v>
      </c>
      <c r="B279" s="84" t="s">
        <v>3756</v>
      </c>
      <c r="C279" s="85">
        <v>5.1571789E8</v>
      </c>
      <c r="D279" s="86" t="s">
        <v>10748</v>
      </c>
      <c r="E279" s="85">
        <v>17.5</v>
      </c>
      <c r="F279" s="86" t="s">
        <v>32</v>
      </c>
      <c r="G279" s="87" t="s">
        <v>10802</v>
      </c>
      <c r="H279" s="87" t="s">
        <v>791</v>
      </c>
    </row>
    <row r="280" ht="22.5" customHeight="1">
      <c r="A280" s="83">
        <v>44299.0</v>
      </c>
      <c r="B280" s="84" t="s">
        <v>10939</v>
      </c>
      <c r="C280" s="85">
        <v>5.20043928E8</v>
      </c>
      <c r="D280" s="86" t="s">
        <v>5257</v>
      </c>
      <c r="E280" s="85">
        <v>22.8</v>
      </c>
      <c r="F280" s="86" t="s">
        <v>32</v>
      </c>
      <c r="G280" s="87" t="s">
        <v>10940</v>
      </c>
      <c r="H280" s="87" t="s">
        <v>309</v>
      </c>
    </row>
    <row r="281" ht="22.5" customHeight="1">
      <c r="A281" s="83">
        <v>44298.0</v>
      </c>
      <c r="B281" s="84" t="s">
        <v>6903</v>
      </c>
      <c r="C281" s="85">
        <v>5.14140995E8</v>
      </c>
      <c r="D281" s="86" t="s">
        <v>10734</v>
      </c>
      <c r="E281" s="85">
        <v>20.0</v>
      </c>
      <c r="F281" s="86" t="s">
        <v>32</v>
      </c>
      <c r="G281" s="87" t="s">
        <v>11054</v>
      </c>
      <c r="H281" s="87" t="s">
        <v>1768</v>
      </c>
    </row>
    <row r="282" ht="22.5" customHeight="1">
      <c r="A282" s="83">
        <v>44292.0</v>
      </c>
      <c r="B282" s="84" t="s">
        <v>11055</v>
      </c>
      <c r="C282" s="85">
        <v>5.13363101E8</v>
      </c>
      <c r="D282" s="86" t="s">
        <v>10734</v>
      </c>
      <c r="E282" s="85">
        <v>150.0</v>
      </c>
      <c r="F282" s="86" t="s">
        <v>32</v>
      </c>
      <c r="G282" s="87" t="s">
        <v>11056</v>
      </c>
      <c r="H282" s="87" t="s">
        <v>947</v>
      </c>
    </row>
    <row r="283" ht="22.5" customHeight="1">
      <c r="A283" s="83">
        <v>44292.0</v>
      </c>
      <c r="B283" s="84" t="s">
        <v>7138</v>
      </c>
      <c r="C283" s="85">
        <v>5.15382422E8</v>
      </c>
      <c r="D283" s="86" t="s">
        <v>4532</v>
      </c>
      <c r="E283" s="85">
        <v>141.0</v>
      </c>
      <c r="F283" s="86" t="s">
        <v>32</v>
      </c>
      <c r="G283" s="87" t="s">
        <v>11057</v>
      </c>
      <c r="H283" s="87" t="s">
        <v>1926</v>
      </c>
    </row>
    <row r="284" ht="22.5" customHeight="1">
      <c r="A284" s="83">
        <v>44292.0</v>
      </c>
      <c r="B284" s="84" t="s">
        <v>7138</v>
      </c>
      <c r="C284" s="85">
        <v>5.15382422E8</v>
      </c>
      <c r="D284" s="86" t="s">
        <v>5257</v>
      </c>
      <c r="E284" s="85">
        <v>230.0</v>
      </c>
      <c r="F284" s="86" t="s">
        <v>32</v>
      </c>
      <c r="G284" s="87" t="s">
        <v>11057</v>
      </c>
      <c r="H284" s="87" t="s">
        <v>1926</v>
      </c>
    </row>
    <row r="285" ht="22.5" customHeight="1">
      <c r="A285" s="83">
        <v>44290.0</v>
      </c>
      <c r="B285" s="84" t="s">
        <v>11058</v>
      </c>
      <c r="C285" s="85">
        <v>5.16051398E8</v>
      </c>
      <c r="D285" s="86" t="s">
        <v>1518</v>
      </c>
      <c r="E285" s="85">
        <v>0.12</v>
      </c>
      <c r="F285" s="86" t="s">
        <v>32</v>
      </c>
      <c r="G285" s="87" t="s">
        <v>11059</v>
      </c>
      <c r="H285" s="87" t="s">
        <v>2383</v>
      </c>
    </row>
    <row r="286" ht="22.5" customHeight="1">
      <c r="A286" s="83">
        <v>44288.0</v>
      </c>
      <c r="B286" s="84" t="s">
        <v>10834</v>
      </c>
      <c r="C286" s="85">
        <v>5.14799881E8</v>
      </c>
      <c r="D286" s="86" t="s">
        <v>10727</v>
      </c>
      <c r="E286" s="85">
        <v>10.0</v>
      </c>
      <c r="F286" s="86" t="s">
        <v>32</v>
      </c>
      <c r="G286" s="87" t="s">
        <v>10835</v>
      </c>
      <c r="H286" s="87" t="s">
        <v>625</v>
      </c>
    </row>
    <row r="287" ht="22.5" customHeight="1">
      <c r="A287" s="83">
        <v>44287.0</v>
      </c>
      <c r="B287" s="84" t="s">
        <v>11060</v>
      </c>
      <c r="C287" s="85">
        <v>5.15898567E8</v>
      </c>
      <c r="D287" s="86" t="s">
        <v>1518</v>
      </c>
      <c r="E287" s="88"/>
      <c r="F287" s="86" t="s">
        <v>47</v>
      </c>
      <c r="G287" s="87" t="s">
        <v>11061</v>
      </c>
      <c r="H287" s="87" t="s">
        <v>3257</v>
      </c>
    </row>
    <row r="288" ht="22.5" customHeight="1">
      <c r="A288" s="83">
        <v>44287.0</v>
      </c>
      <c r="B288" s="84" t="s">
        <v>11062</v>
      </c>
      <c r="C288" s="85">
        <v>5.14907617E8</v>
      </c>
      <c r="D288" s="86" t="s">
        <v>10745</v>
      </c>
      <c r="E288" s="85">
        <v>0.95</v>
      </c>
      <c r="F288" s="86" t="s">
        <v>32</v>
      </c>
      <c r="G288" s="87" t="s">
        <v>11063</v>
      </c>
      <c r="H288" s="87" t="s">
        <v>700</v>
      </c>
    </row>
    <row r="289" ht="22.5" customHeight="1">
      <c r="A289" s="83">
        <v>44287.0</v>
      </c>
      <c r="B289" s="84" t="s">
        <v>11064</v>
      </c>
      <c r="C289" s="85">
        <v>5.10888647E8</v>
      </c>
      <c r="D289" s="86" t="s">
        <v>10734</v>
      </c>
      <c r="E289" s="85">
        <v>31.0</v>
      </c>
      <c r="F289" s="86" t="s">
        <v>32</v>
      </c>
      <c r="G289" s="87" t="s">
        <v>11065</v>
      </c>
      <c r="H289" s="87" t="s">
        <v>2692</v>
      </c>
    </row>
    <row r="290" ht="22.5" customHeight="1">
      <c r="A290" s="83">
        <v>44287.0</v>
      </c>
      <c r="B290" s="84" t="s">
        <v>10933</v>
      </c>
      <c r="C290" s="85">
        <v>5.1635687E8</v>
      </c>
      <c r="D290" s="86" t="s">
        <v>1518</v>
      </c>
      <c r="E290" s="85">
        <v>0.65</v>
      </c>
      <c r="F290" s="86" t="s">
        <v>32</v>
      </c>
      <c r="G290" s="87" t="s">
        <v>10934</v>
      </c>
      <c r="H290" s="87" t="s">
        <v>3072</v>
      </c>
    </row>
    <row r="291" ht="22.5" customHeight="1">
      <c r="A291" s="83">
        <v>44285.0</v>
      </c>
      <c r="B291" s="84" t="s">
        <v>10860</v>
      </c>
      <c r="C291" s="85">
        <v>5.15903235E8</v>
      </c>
      <c r="D291" s="86" t="s">
        <v>10776</v>
      </c>
      <c r="E291" s="85">
        <v>77.0</v>
      </c>
      <c r="F291" s="86" t="s">
        <v>32</v>
      </c>
      <c r="G291" s="87" t="s">
        <v>10862</v>
      </c>
      <c r="H291" s="87" t="s">
        <v>762</v>
      </c>
    </row>
    <row r="292" ht="22.5" customHeight="1">
      <c r="A292" s="83">
        <v>44284.0</v>
      </c>
      <c r="B292" s="84" t="s">
        <v>9566</v>
      </c>
      <c r="C292" s="85">
        <v>5.14881564E8</v>
      </c>
      <c r="D292" s="86" t="s">
        <v>4532</v>
      </c>
      <c r="E292" s="85">
        <v>8.3</v>
      </c>
      <c r="F292" s="86" t="s">
        <v>32</v>
      </c>
      <c r="G292" s="87" t="s">
        <v>10752</v>
      </c>
      <c r="H292" s="87" t="s">
        <v>1708</v>
      </c>
    </row>
    <row r="293" ht="22.5" customHeight="1">
      <c r="A293" s="83">
        <v>44279.0</v>
      </c>
      <c r="B293" s="84" t="s">
        <v>10886</v>
      </c>
      <c r="C293" s="85">
        <v>5.15942068E8</v>
      </c>
      <c r="D293" s="86" t="s">
        <v>10748</v>
      </c>
      <c r="E293" s="88"/>
      <c r="F293" s="86" t="s">
        <v>47</v>
      </c>
      <c r="G293" s="87" t="s">
        <v>10887</v>
      </c>
      <c r="H293" s="87" t="s">
        <v>2811</v>
      </c>
    </row>
    <row r="294" ht="22.5" customHeight="1">
      <c r="A294" s="83">
        <v>44279.0</v>
      </c>
      <c r="B294" s="84" t="s">
        <v>10867</v>
      </c>
      <c r="C294" s="85">
        <v>5.15446474E8</v>
      </c>
      <c r="D294" s="86" t="s">
        <v>4532</v>
      </c>
      <c r="E294" s="85">
        <v>6.1</v>
      </c>
      <c r="F294" s="86" t="s">
        <v>32</v>
      </c>
      <c r="G294" s="87" t="s">
        <v>10868</v>
      </c>
      <c r="H294" s="87" t="s">
        <v>2089</v>
      </c>
    </row>
    <row r="295" ht="22.5" customHeight="1">
      <c r="A295" s="83">
        <v>44271.0</v>
      </c>
      <c r="B295" s="84" t="s">
        <v>6207</v>
      </c>
      <c r="C295" s="88"/>
      <c r="D295" s="86" t="s">
        <v>10724</v>
      </c>
      <c r="E295" s="85">
        <v>8.0</v>
      </c>
      <c r="F295" s="86" t="s">
        <v>32</v>
      </c>
      <c r="G295" s="87" t="s">
        <v>10971</v>
      </c>
      <c r="H295" s="87" t="s">
        <v>10972</v>
      </c>
    </row>
    <row r="296" ht="22.5" customHeight="1">
      <c r="A296" s="83">
        <v>44271.0</v>
      </c>
      <c r="B296" s="84" t="s">
        <v>10886</v>
      </c>
      <c r="C296" s="85">
        <v>5.15942068E8</v>
      </c>
      <c r="D296" s="86" t="s">
        <v>10748</v>
      </c>
      <c r="E296" s="85">
        <v>15.0</v>
      </c>
      <c r="F296" s="86" t="s">
        <v>32</v>
      </c>
      <c r="G296" s="87" t="s">
        <v>10887</v>
      </c>
      <c r="H296" s="87" t="s">
        <v>2811</v>
      </c>
    </row>
    <row r="297" ht="22.5" customHeight="1">
      <c r="A297" s="83">
        <v>44265.0</v>
      </c>
      <c r="B297" s="84" t="s">
        <v>3922</v>
      </c>
      <c r="C297" s="85">
        <v>5.14620186E8</v>
      </c>
      <c r="D297" s="86" t="s">
        <v>10724</v>
      </c>
      <c r="E297" s="85">
        <v>107.0</v>
      </c>
      <c r="F297" s="86" t="s">
        <v>32</v>
      </c>
      <c r="G297" s="87" t="s">
        <v>10833</v>
      </c>
      <c r="H297" s="87" t="s">
        <v>1882</v>
      </c>
    </row>
    <row r="298" ht="22.5" customHeight="1">
      <c r="A298" s="83">
        <v>44264.0</v>
      </c>
      <c r="B298" s="84" t="s">
        <v>10925</v>
      </c>
      <c r="C298" s="85">
        <v>5.14762673E8</v>
      </c>
      <c r="D298" s="86" t="s">
        <v>10727</v>
      </c>
      <c r="E298" s="85">
        <v>18.5</v>
      </c>
      <c r="F298" s="86" t="s">
        <v>32</v>
      </c>
      <c r="G298" s="87" t="s">
        <v>10926</v>
      </c>
      <c r="H298" s="87" t="s">
        <v>1280</v>
      </c>
    </row>
    <row r="299" ht="22.5" customHeight="1">
      <c r="A299" s="83">
        <v>44256.0</v>
      </c>
      <c r="B299" s="84" t="s">
        <v>7009</v>
      </c>
      <c r="C299" s="88"/>
      <c r="D299" s="86" t="s">
        <v>10734</v>
      </c>
      <c r="E299" s="85">
        <v>17.0</v>
      </c>
      <c r="F299" s="86" t="s">
        <v>32</v>
      </c>
      <c r="G299" s="87" t="s">
        <v>11066</v>
      </c>
      <c r="H299" s="87" t="s">
        <v>11067</v>
      </c>
    </row>
    <row r="300" ht="22.5" customHeight="1">
      <c r="A300" s="83">
        <v>44256.0</v>
      </c>
      <c r="B300" s="84" t="s">
        <v>10923</v>
      </c>
      <c r="C300" s="85">
        <v>5.1621874E8</v>
      </c>
      <c r="D300" s="86" t="s">
        <v>10748</v>
      </c>
      <c r="E300" s="85">
        <v>5.5</v>
      </c>
      <c r="F300" s="86" t="s">
        <v>47</v>
      </c>
      <c r="G300" s="87" t="s">
        <v>10924</v>
      </c>
      <c r="H300" s="87" t="s">
        <v>2160</v>
      </c>
    </row>
    <row r="301" ht="22.5" customHeight="1">
      <c r="A301" s="83">
        <v>44256.0</v>
      </c>
      <c r="B301" s="84" t="s">
        <v>10911</v>
      </c>
      <c r="C301" s="85">
        <v>5.15900702E8</v>
      </c>
      <c r="D301" s="86" t="s">
        <v>10748</v>
      </c>
      <c r="E301" s="85">
        <v>2.0</v>
      </c>
      <c r="F301" s="86" t="s">
        <v>47</v>
      </c>
      <c r="G301" s="87" t="s">
        <v>10912</v>
      </c>
      <c r="H301" s="87" t="s">
        <v>2215</v>
      </c>
    </row>
    <row r="302" ht="22.5" customHeight="1">
      <c r="A302" s="83">
        <v>44251.0</v>
      </c>
      <c r="B302" s="84" t="s">
        <v>11068</v>
      </c>
      <c r="C302" s="85">
        <v>5.11683351E8</v>
      </c>
      <c r="D302" s="86" t="s">
        <v>4532</v>
      </c>
      <c r="E302" s="85">
        <v>9.0</v>
      </c>
      <c r="F302" s="86" t="s">
        <v>32</v>
      </c>
      <c r="G302" s="87" t="s">
        <v>11069</v>
      </c>
      <c r="H302" s="87" t="s">
        <v>354</v>
      </c>
    </row>
    <row r="303" ht="22.5" customHeight="1">
      <c r="A303" s="83">
        <v>44242.0</v>
      </c>
      <c r="B303" s="84" t="s">
        <v>10960</v>
      </c>
      <c r="C303" s="85">
        <v>5.15047363E8</v>
      </c>
      <c r="D303" s="86" t="s">
        <v>10748</v>
      </c>
      <c r="E303" s="85">
        <v>4.75</v>
      </c>
      <c r="F303" s="86" t="s">
        <v>47</v>
      </c>
      <c r="G303" s="87" t="s">
        <v>10961</v>
      </c>
      <c r="H303" s="87" t="s">
        <v>901</v>
      </c>
    </row>
    <row r="304" ht="22.5" customHeight="1">
      <c r="A304" s="83">
        <v>44242.0</v>
      </c>
      <c r="B304" s="84" t="s">
        <v>10937</v>
      </c>
      <c r="C304" s="85">
        <v>5.16288461E8</v>
      </c>
      <c r="D304" s="86" t="s">
        <v>1518</v>
      </c>
      <c r="E304" s="85">
        <v>4.5</v>
      </c>
      <c r="F304" s="86" t="s">
        <v>32</v>
      </c>
      <c r="G304" s="87" t="s">
        <v>10938</v>
      </c>
      <c r="H304" s="87" t="s">
        <v>1375</v>
      </c>
    </row>
    <row r="305" ht="22.5" customHeight="1">
      <c r="A305" s="83">
        <v>44238.0</v>
      </c>
      <c r="B305" s="84" t="s">
        <v>11070</v>
      </c>
      <c r="C305" s="85">
        <v>5.15663409E8</v>
      </c>
      <c r="D305" s="86" t="s">
        <v>10748</v>
      </c>
      <c r="E305" s="85">
        <v>3.0</v>
      </c>
      <c r="F305" s="86" t="s">
        <v>32</v>
      </c>
      <c r="G305" s="87" t="s">
        <v>11071</v>
      </c>
      <c r="H305" s="87" t="s">
        <v>657</v>
      </c>
    </row>
    <row r="306" ht="22.5" customHeight="1">
      <c r="A306" s="83">
        <v>44231.0</v>
      </c>
      <c r="B306" s="84" t="s">
        <v>10875</v>
      </c>
      <c r="C306" s="85">
        <v>5.14354786E8</v>
      </c>
      <c r="D306" s="86" t="s">
        <v>4532</v>
      </c>
      <c r="E306" s="85">
        <v>60.0</v>
      </c>
      <c r="F306" s="86" t="s">
        <v>32</v>
      </c>
      <c r="G306" s="87" t="s">
        <v>10876</v>
      </c>
      <c r="H306" s="87" t="s">
        <v>2975</v>
      </c>
    </row>
    <row r="307" ht="22.5" customHeight="1">
      <c r="A307" s="83">
        <v>44229.0</v>
      </c>
      <c r="B307" s="84" t="s">
        <v>10811</v>
      </c>
      <c r="C307" s="85">
        <v>5.15918175E8</v>
      </c>
      <c r="D307" s="86" t="s">
        <v>10748</v>
      </c>
      <c r="E307" s="85">
        <v>12.0</v>
      </c>
      <c r="F307" s="86" t="s">
        <v>47</v>
      </c>
      <c r="G307" s="87" t="s">
        <v>10812</v>
      </c>
      <c r="H307" s="87" t="s">
        <v>647</v>
      </c>
    </row>
    <row r="308" ht="22.5" customHeight="1">
      <c r="A308" s="83">
        <v>44229.0</v>
      </c>
      <c r="B308" s="84" t="s">
        <v>10744</v>
      </c>
      <c r="C308" s="85">
        <v>5.15108058E8</v>
      </c>
      <c r="D308" s="86" t="s">
        <v>10748</v>
      </c>
      <c r="E308" s="85">
        <v>4.7</v>
      </c>
      <c r="F308" s="86" t="s">
        <v>47</v>
      </c>
      <c r="G308" s="87" t="s">
        <v>10746</v>
      </c>
      <c r="H308" s="87" t="s">
        <v>720</v>
      </c>
    </row>
    <row r="309" ht="22.5" customHeight="1">
      <c r="A309" s="83">
        <v>44228.0</v>
      </c>
      <c r="B309" s="84" t="s">
        <v>11072</v>
      </c>
      <c r="C309" s="85">
        <v>5.16333671E8</v>
      </c>
      <c r="D309" s="86" t="s">
        <v>1518</v>
      </c>
      <c r="E309" s="88"/>
      <c r="F309" s="86" t="s">
        <v>32</v>
      </c>
      <c r="G309" s="87" t="s">
        <v>11073</v>
      </c>
      <c r="H309" s="87" t="s">
        <v>992</v>
      </c>
    </row>
    <row r="310" ht="22.5" customHeight="1">
      <c r="A310" s="83">
        <v>44228.0</v>
      </c>
      <c r="B310" s="84" t="s">
        <v>11074</v>
      </c>
      <c r="C310" s="85">
        <v>5.12052077E8</v>
      </c>
      <c r="D310" s="86" t="s">
        <v>10748</v>
      </c>
      <c r="E310" s="88"/>
      <c r="F310" s="86" t="s">
        <v>32</v>
      </c>
      <c r="G310" s="87" t="s">
        <v>11075</v>
      </c>
      <c r="H310" s="87" t="s">
        <v>1759</v>
      </c>
    </row>
    <row r="311" ht="22.5" customHeight="1">
      <c r="A311" s="83">
        <v>44217.0</v>
      </c>
      <c r="B311" s="84" t="s">
        <v>5230</v>
      </c>
      <c r="C311" s="85">
        <v>5.15333128E8</v>
      </c>
      <c r="D311" s="86" t="s">
        <v>10727</v>
      </c>
      <c r="E311" s="85">
        <v>7.0</v>
      </c>
      <c r="F311" s="86" t="s">
        <v>47</v>
      </c>
      <c r="G311" s="87" t="s">
        <v>10996</v>
      </c>
      <c r="H311" s="87" t="s">
        <v>752</v>
      </c>
    </row>
    <row r="312" ht="22.5" customHeight="1">
      <c r="A312" s="83">
        <v>44215.0</v>
      </c>
      <c r="B312" s="84" t="s">
        <v>10775</v>
      </c>
      <c r="C312" s="85">
        <v>5.14234202E8</v>
      </c>
      <c r="D312" s="86" t="s">
        <v>10727</v>
      </c>
      <c r="E312" s="85">
        <v>15.0</v>
      </c>
      <c r="F312" s="86" t="s">
        <v>32</v>
      </c>
      <c r="G312" s="87" t="s">
        <v>10777</v>
      </c>
      <c r="H312" s="87" t="s">
        <v>1787</v>
      </c>
    </row>
    <row r="313" ht="22.5" customHeight="1">
      <c r="A313" s="83">
        <v>44215.0</v>
      </c>
      <c r="B313" s="84" t="s">
        <v>11076</v>
      </c>
      <c r="C313" s="85">
        <v>5.16258894E8</v>
      </c>
      <c r="D313" s="86" t="s">
        <v>1518</v>
      </c>
      <c r="E313" s="88"/>
      <c r="F313" s="86" t="s">
        <v>47</v>
      </c>
      <c r="G313" s="87" t="s">
        <v>11077</v>
      </c>
      <c r="H313" s="87" t="s">
        <v>3046</v>
      </c>
    </row>
    <row r="314" ht="22.5" customHeight="1">
      <c r="A314" s="83">
        <v>44209.0</v>
      </c>
      <c r="B314" s="84" t="s">
        <v>10742</v>
      </c>
      <c r="C314" s="85">
        <v>5.14593573E8</v>
      </c>
      <c r="D314" s="86" t="s">
        <v>11078</v>
      </c>
      <c r="E314" s="85">
        <v>15.0</v>
      </c>
      <c r="F314" s="86" t="s">
        <v>47</v>
      </c>
      <c r="G314" s="87" t="s">
        <v>10743</v>
      </c>
      <c r="H314" s="87" t="s">
        <v>3357</v>
      </c>
    </row>
    <row r="315" ht="22.5" customHeight="1">
      <c r="A315" s="83">
        <v>44209.0</v>
      </c>
      <c r="B315" s="84" t="s">
        <v>10844</v>
      </c>
      <c r="C315" s="85">
        <v>5.16295052E8</v>
      </c>
      <c r="D315" s="86" t="s">
        <v>1518</v>
      </c>
      <c r="E315" s="85">
        <v>0.9</v>
      </c>
      <c r="F315" s="86" t="s">
        <v>32</v>
      </c>
      <c r="G315" s="87" t="s">
        <v>10845</v>
      </c>
      <c r="H315" s="87" t="s">
        <v>2852</v>
      </c>
    </row>
    <row r="316" ht="22.5" customHeight="1">
      <c r="A316" s="83">
        <v>44204.0</v>
      </c>
      <c r="B316" s="84" t="s">
        <v>4436</v>
      </c>
      <c r="C316" s="85">
        <v>5.14681972E8</v>
      </c>
      <c r="D316" s="86" t="s">
        <v>10727</v>
      </c>
      <c r="E316" s="85">
        <v>2.0</v>
      </c>
      <c r="F316" s="86" t="s">
        <v>47</v>
      </c>
      <c r="G316" s="87" t="s">
        <v>10918</v>
      </c>
      <c r="H316" s="87" t="s">
        <v>2026</v>
      </c>
    </row>
    <row r="317" ht="22.5" customHeight="1">
      <c r="A317" s="83">
        <v>44200.0</v>
      </c>
      <c r="B317" s="84" t="s">
        <v>7416</v>
      </c>
      <c r="C317" s="85">
        <v>5.16180213E8</v>
      </c>
      <c r="D317" s="86" t="s">
        <v>1518</v>
      </c>
      <c r="E317" s="88"/>
      <c r="F317" s="86" t="s">
        <v>32</v>
      </c>
      <c r="G317" s="87" t="s">
        <v>10798</v>
      </c>
      <c r="H317" s="87" t="s">
        <v>938</v>
      </c>
    </row>
    <row r="318" ht="22.5" customHeight="1">
      <c r="A318" s="83">
        <v>44200.0</v>
      </c>
      <c r="B318" s="84" t="s">
        <v>11079</v>
      </c>
      <c r="C318" s="85">
        <v>5.15275246E8</v>
      </c>
      <c r="D318" s="86" t="s">
        <v>5257</v>
      </c>
      <c r="E318" s="85">
        <v>13.0</v>
      </c>
      <c r="F318" s="86" t="s">
        <v>32</v>
      </c>
      <c r="G318" s="87" t="s">
        <v>11080</v>
      </c>
      <c r="H318" s="87" t="s">
        <v>923</v>
      </c>
    </row>
    <row r="319" ht="22.5" customHeight="1">
      <c r="A319" s="83">
        <v>44197.0</v>
      </c>
      <c r="B319" s="84" t="s">
        <v>3786</v>
      </c>
      <c r="C319" s="85">
        <v>5.16010386E8</v>
      </c>
      <c r="D319" s="86" t="s">
        <v>1518</v>
      </c>
      <c r="E319" s="85">
        <v>5.0</v>
      </c>
      <c r="F319" s="86" t="s">
        <v>32</v>
      </c>
      <c r="G319" s="87" t="s">
        <v>10785</v>
      </c>
      <c r="H319" s="87" t="s">
        <v>1688</v>
      </c>
    </row>
    <row r="320" ht="22.5" customHeight="1">
      <c r="A320" s="83">
        <v>44197.0</v>
      </c>
      <c r="B320" s="84" t="s">
        <v>10879</v>
      </c>
      <c r="C320" s="85">
        <v>5.15115459E8</v>
      </c>
      <c r="D320" s="86" t="s">
        <v>10748</v>
      </c>
      <c r="E320" s="85">
        <v>2.0</v>
      </c>
      <c r="F320" s="86" t="s">
        <v>32</v>
      </c>
      <c r="G320" s="87" t="s">
        <v>10880</v>
      </c>
      <c r="H320" s="87" t="s">
        <v>10881</v>
      </c>
    </row>
    <row r="321" ht="22.5" customHeight="1">
      <c r="A321" s="83">
        <v>44197.0</v>
      </c>
      <c r="B321" s="84" t="s">
        <v>11008</v>
      </c>
      <c r="C321" s="85">
        <v>5.15828838E8</v>
      </c>
      <c r="D321" s="86" t="s">
        <v>10748</v>
      </c>
      <c r="E321" s="85">
        <v>6.5</v>
      </c>
      <c r="F321" s="86" t="s">
        <v>32</v>
      </c>
      <c r="G321" s="87" t="s">
        <v>11009</v>
      </c>
      <c r="H321" s="87" t="s">
        <v>11010</v>
      </c>
    </row>
    <row r="322" ht="22.5" customHeight="1">
      <c r="A322" s="83">
        <v>44197.0</v>
      </c>
      <c r="B322" s="84" t="s">
        <v>11081</v>
      </c>
      <c r="C322" s="85">
        <v>5.15739688E8</v>
      </c>
      <c r="D322" s="86" t="s">
        <v>10748</v>
      </c>
      <c r="E322" s="85">
        <v>0.42</v>
      </c>
      <c r="F322" s="86" t="s">
        <v>47</v>
      </c>
      <c r="G322" s="87" t="s">
        <v>11082</v>
      </c>
      <c r="H322" s="87" t="s">
        <v>474</v>
      </c>
    </row>
    <row r="323" ht="22.5" customHeight="1">
      <c r="A323" s="83">
        <v>44194.0</v>
      </c>
      <c r="B323" s="84" t="s">
        <v>11083</v>
      </c>
      <c r="C323" s="85">
        <v>5.20038548E8</v>
      </c>
      <c r="D323" s="86" t="s">
        <v>5257</v>
      </c>
      <c r="E323" s="85">
        <v>19.0</v>
      </c>
      <c r="F323" s="86" t="s">
        <v>32</v>
      </c>
      <c r="G323" s="87" t="s">
        <v>11084</v>
      </c>
      <c r="H323" s="87" t="s">
        <v>124</v>
      </c>
    </row>
    <row r="324" ht="22.5" customHeight="1">
      <c r="A324" s="83">
        <v>44190.0</v>
      </c>
      <c r="B324" s="84" t="s">
        <v>11085</v>
      </c>
      <c r="C324" s="85">
        <v>5.13901231E8</v>
      </c>
      <c r="D324" s="86" t="s">
        <v>10734</v>
      </c>
      <c r="E324" s="88"/>
      <c r="F324" s="86" t="s">
        <v>32</v>
      </c>
      <c r="G324" s="87" t="s">
        <v>11086</v>
      </c>
      <c r="H324" s="87" t="s">
        <v>11087</v>
      </c>
    </row>
    <row r="325" ht="22.5" customHeight="1">
      <c r="A325" s="83">
        <v>44186.0</v>
      </c>
      <c r="B325" s="84" t="s">
        <v>11088</v>
      </c>
      <c r="C325" s="88"/>
      <c r="D325" s="86" t="s">
        <v>10734</v>
      </c>
      <c r="E325" s="85">
        <v>135.0</v>
      </c>
      <c r="F325" s="86" t="s">
        <v>32</v>
      </c>
      <c r="G325" s="87" t="s">
        <v>11089</v>
      </c>
      <c r="H325" s="87" t="s">
        <v>11090</v>
      </c>
    </row>
    <row r="326" ht="22.5" customHeight="1">
      <c r="A326" s="83">
        <v>44182.0</v>
      </c>
      <c r="B326" s="84" t="s">
        <v>11091</v>
      </c>
      <c r="C326" s="85">
        <v>5.12808338E8</v>
      </c>
      <c r="D326" s="86" t="s">
        <v>10734</v>
      </c>
      <c r="E326" s="88"/>
      <c r="F326" s="86" t="s">
        <v>32</v>
      </c>
      <c r="G326" s="87" t="s">
        <v>11092</v>
      </c>
      <c r="H326" s="87" t="s">
        <v>11093</v>
      </c>
    </row>
    <row r="327" ht="22.5" customHeight="1">
      <c r="A327" s="83">
        <v>44180.0</v>
      </c>
      <c r="B327" s="84" t="s">
        <v>10875</v>
      </c>
      <c r="C327" s="85">
        <v>5.14354786E8</v>
      </c>
      <c r="D327" s="86" t="s">
        <v>10776</v>
      </c>
      <c r="E327" s="85">
        <v>9.2</v>
      </c>
      <c r="F327" s="86" t="s">
        <v>47</v>
      </c>
      <c r="G327" s="87" t="s">
        <v>10876</v>
      </c>
      <c r="H327" s="87" t="s">
        <v>2975</v>
      </c>
    </row>
    <row r="328" ht="22.5" customHeight="1">
      <c r="A328" s="83">
        <v>44175.0</v>
      </c>
      <c r="B328" s="84" t="s">
        <v>10871</v>
      </c>
      <c r="C328" s="85">
        <v>5.16256542E8</v>
      </c>
      <c r="D328" s="86" t="s">
        <v>1518</v>
      </c>
      <c r="E328" s="85">
        <v>2.6</v>
      </c>
      <c r="F328" s="86" t="s">
        <v>32</v>
      </c>
      <c r="G328" s="87" t="s">
        <v>10872</v>
      </c>
      <c r="H328" s="87" t="s">
        <v>847</v>
      </c>
    </row>
    <row r="329" ht="22.5" customHeight="1">
      <c r="A329" s="83">
        <v>44174.0</v>
      </c>
      <c r="B329" s="84" t="s">
        <v>11094</v>
      </c>
      <c r="C329" s="85">
        <v>5.1397139E8</v>
      </c>
      <c r="D329" s="86" t="s">
        <v>10734</v>
      </c>
      <c r="E329" s="88"/>
      <c r="F329" s="86" t="s">
        <v>32</v>
      </c>
      <c r="G329" s="87" t="s">
        <v>11095</v>
      </c>
      <c r="H329" s="87" t="s">
        <v>11096</v>
      </c>
    </row>
    <row r="330" ht="22.5" customHeight="1">
      <c r="A330" s="83">
        <v>44167.0</v>
      </c>
      <c r="B330" s="84" t="s">
        <v>10848</v>
      </c>
      <c r="C330" s="85">
        <v>5.16762176E8</v>
      </c>
      <c r="D330" s="86" t="s">
        <v>1518</v>
      </c>
      <c r="E330" s="85">
        <v>5.0</v>
      </c>
      <c r="F330" s="86" t="s">
        <v>32</v>
      </c>
      <c r="G330" s="87" t="s">
        <v>10849</v>
      </c>
      <c r="H330" s="87" t="s">
        <v>1023</v>
      </c>
    </row>
    <row r="331" ht="22.5" customHeight="1">
      <c r="A331" s="83">
        <v>44167.0</v>
      </c>
      <c r="B331" s="84" t="s">
        <v>11097</v>
      </c>
      <c r="C331" s="85">
        <v>5.15014512E8</v>
      </c>
      <c r="D331" s="86" t="s">
        <v>10748</v>
      </c>
      <c r="E331" s="88"/>
      <c r="F331" s="86" t="s">
        <v>32</v>
      </c>
      <c r="G331" s="87" t="s">
        <v>11098</v>
      </c>
      <c r="H331" s="87" t="s">
        <v>3026</v>
      </c>
    </row>
    <row r="332" ht="22.5" customHeight="1">
      <c r="A332" s="83">
        <v>44165.0</v>
      </c>
      <c r="B332" s="84" t="s">
        <v>10737</v>
      </c>
      <c r="C332" s="85">
        <v>5.15114429E8</v>
      </c>
      <c r="D332" s="86" t="s">
        <v>4532</v>
      </c>
      <c r="E332" s="85">
        <v>67.4</v>
      </c>
      <c r="F332" s="86" t="s">
        <v>32</v>
      </c>
      <c r="G332" s="87" t="s">
        <v>10738</v>
      </c>
      <c r="H332" s="87" t="s">
        <v>2920</v>
      </c>
    </row>
    <row r="333" ht="22.5" customHeight="1">
      <c r="A333" s="83">
        <v>44160.0</v>
      </c>
      <c r="B333" s="84" t="s">
        <v>10737</v>
      </c>
      <c r="C333" s="85">
        <v>5.15114429E8</v>
      </c>
      <c r="D333" s="86" t="s">
        <v>10776</v>
      </c>
      <c r="E333" s="85">
        <v>10.0</v>
      </c>
      <c r="F333" s="86" t="s">
        <v>32</v>
      </c>
      <c r="G333" s="87" t="s">
        <v>10738</v>
      </c>
      <c r="H333" s="87" t="s">
        <v>2920</v>
      </c>
    </row>
    <row r="334" ht="22.5" customHeight="1">
      <c r="A334" s="83">
        <v>44159.0</v>
      </c>
      <c r="B334" s="84" t="s">
        <v>11099</v>
      </c>
      <c r="C334" s="85">
        <v>5.14969104E8</v>
      </c>
      <c r="D334" s="86" t="s">
        <v>10748</v>
      </c>
      <c r="E334" s="85">
        <v>2.0</v>
      </c>
      <c r="F334" s="86" t="s">
        <v>32</v>
      </c>
      <c r="G334" s="87" t="s">
        <v>11100</v>
      </c>
      <c r="H334" s="87" t="s">
        <v>96</v>
      </c>
    </row>
    <row r="335" ht="22.5" customHeight="1">
      <c r="A335" s="83">
        <v>44151.0</v>
      </c>
      <c r="B335" s="84" t="s">
        <v>4666</v>
      </c>
      <c r="C335" s="85">
        <v>5.15817344E8</v>
      </c>
      <c r="D335" s="86" t="s">
        <v>10748</v>
      </c>
      <c r="E335" s="85">
        <v>7.0</v>
      </c>
      <c r="F335" s="86" t="s">
        <v>32</v>
      </c>
      <c r="G335" s="87" t="s">
        <v>11101</v>
      </c>
      <c r="H335" s="87" t="s">
        <v>550</v>
      </c>
    </row>
    <row r="336" ht="22.5" customHeight="1">
      <c r="A336" s="83">
        <v>44144.0</v>
      </c>
      <c r="B336" s="84" t="s">
        <v>10919</v>
      </c>
      <c r="C336" s="85">
        <v>5.15154607E8</v>
      </c>
      <c r="D336" s="86" t="s">
        <v>5257</v>
      </c>
      <c r="E336" s="85">
        <v>6.4</v>
      </c>
      <c r="F336" s="86" t="s">
        <v>32</v>
      </c>
      <c r="G336" s="87" t="s">
        <v>10920</v>
      </c>
      <c r="H336" s="87" t="s">
        <v>2006</v>
      </c>
    </row>
    <row r="337" ht="22.5" customHeight="1">
      <c r="A337" s="83">
        <v>44136.0</v>
      </c>
      <c r="B337" s="84" t="s">
        <v>10927</v>
      </c>
      <c r="C337" s="85">
        <v>5.15130359E8</v>
      </c>
      <c r="D337" s="86" t="s">
        <v>10748</v>
      </c>
      <c r="E337" s="85">
        <v>3.0</v>
      </c>
      <c r="F337" s="86" t="s">
        <v>47</v>
      </c>
      <c r="G337" s="87" t="s">
        <v>10928</v>
      </c>
      <c r="H337" s="87" t="s">
        <v>1058</v>
      </c>
    </row>
    <row r="338" ht="22.5" customHeight="1">
      <c r="A338" s="83">
        <v>44136.0</v>
      </c>
      <c r="B338" s="84" t="s">
        <v>11102</v>
      </c>
      <c r="C338" s="85">
        <v>5.16233673E8</v>
      </c>
      <c r="D338" s="86" t="s">
        <v>1518</v>
      </c>
      <c r="E338" s="85">
        <v>2.8</v>
      </c>
      <c r="F338" s="86" t="s">
        <v>47</v>
      </c>
      <c r="G338" s="87" t="s">
        <v>11103</v>
      </c>
      <c r="H338" s="87" t="s">
        <v>3079</v>
      </c>
    </row>
    <row r="339" ht="22.5" customHeight="1">
      <c r="A339" s="83">
        <v>44130.0</v>
      </c>
      <c r="B339" s="84" t="s">
        <v>10997</v>
      </c>
      <c r="C339" s="85">
        <v>5.15391571E8</v>
      </c>
      <c r="D339" s="86" t="s">
        <v>10748</v>
      </c>
      <c r="E339" s="88"/>
      <c r="F339" s="86" t="s">
        <v>32</v>
      </c>
      <c r="G339" s="87" t="s">
        <v>10998</v>
      </c>
      <c r="H339" s="87" t="s">
        <v>1531</v>
      </c>
    </row>
    <row r="340" ht="22.5" customHeight="1">
      <c r="A340" s="83">
        <v>44130.0</v>
      </c>
      <c r="B340" s="84" t="s">
        <v>10935</v>
      </c>
      <c r="C340" s="85">
        <v>5.15984631E8</v>
      </c>
      <c r="D340" s="86" t="s">
        <v>1518</v>
      </c>
      <c r="E340" s="85">
        <v>1.0</v>
      </c>
      <c r="F340" s="86" t="s">
        <v>32</v>
      </c>
      <c r="G340" s="87" t="s">
        <v>10936</v>
      </c>
      <c r="H340" s="87" t="s">
        <v>3235</v>
      </c>
    </row>
    <row r="341" ht="22.5" customHeight="1">
      <c r="A341" s="83">
        <v>44130.0</v>
      </c>
      <c r="B341" s="84" t="s">
        <v>11104</v>
      </c>
      <c r="C341" s="88"/>
      <c r="D341" s="86" t="s">
        <v>1518</v>
      </c>
      <c r="E341" s="88"/>
      <c r="F341" s="86" t="s">
        <v>32</v>
      </c>
      <c r="G341" s="87" t="s">
        <v>11105</v>
      </c>
      <c r="H341" s="87" t="s">
        <v>11106</v>
      </c>
    </row>
    <row r="342" ht="22.5" customHeight="1">
      <c r="A342" s="83">
        <v>44126.0</v>
      </c>
      <c r="B342" s="84" t="s">
        <v>10889</v>
      </c>
      <c r="C342" s="85">
        <v>5.15312304E8</v>
      </c>
      <c r="D342" s="86" t="s">
        <v>10727</v>
      </c>
      <c r="E342" s="85">
        <v>15.0</v>
      </c>
      <c r="F342" s="86" t="s">
        <v>32</v>
      </c>
      <c r="G342" s="87" t="s">
        <v>10890</v>
      </c>
      <c r="H342" s="87" t="s">
        <v>3140</v>
      </c>
    </row>
    <row r="343" ht="22.5" customHeight="1">
      <c r="A343" s="83">
        <v>44125.0</v>
      </c>
      <c r="B343" s="84" t="s">
        <v>11107</v>
      </c>
      <c r="C343" s="85">
        <v>5.11926255E8</v>
      </c>
      <c r="D343" s="86" t="s">
        <v>10724</v>
      </c>
      <c r="E343" s="88"/>
      <c r="F343" s="86" t="s">
        <v>32</v>
      </c>
      <c r="G343" s="87" t="s">
        <v>11108</v>
      </c>
      <c r="H343" s="87" t="s">
        <v>1915</v>
      </c>
    </row>
    <row r="344" ht="22.5" customHeight="1">
      <c r="A344" s="83">
        <v>44123.0</v>
      </c>
      <c r="B344" s="84" t="s">
        <v>10726</v>
      </c>
      <c r="C344" s="85">
        <v>5.14467513E8</v>
      </c>
      <c r="D344" s="86" t="s">
        <v>10748</v>
      </c>
      <c r="E344" s="88"/>
      <c r="F344" s="86" t="s">
        <v>47</v>
      </c>
      <c r="G344" s="87" t="s">
        <v>10728</v>
      </c>
      <c r="H344" s="87" t="s">
        <v>2184</v>
      </c>
    </row>
    <row r="345" ht="22.5" customHeight="1">
      <c r="A345" s="83">
        <v>44118.0</v>
      </c>
      <c r="B345" s="84" t="s">
        <v>8510</v>
      </c>
      <c r="C345" s="85">
        <v>5.15441541E8</v>
      </c>
      <c r="D345" s="86" t="s">
        <v>10776</v>
      </c>
      <c r="E345" s="85">
        <v>10.0</v>
      </c>
      <c r="F345" s="86" t="s">
        <v>47</v>
      </c>
      <c r="G345" s="87" t="s">
        <v>10888</v>
      </c>
      <c r="H345" s="87" t="s">
        <v>2963</v>
      </c>
    </row>
    <row r="346" ht="22.5" customHeight="1">
      <c r="A346" s="83">
        <v>44117.0</v>
      </c>
      <c r="B346" s="84" t="s">
        <v>10923</v>
      </c>
      <c r="C346" s="85">
        <v>5.1621874E8</v>
      </c>
      <c r="D346" s="86" t="s">
        <v>10748</v>
      </c>
      <c r="E346" s="85">
        <v>4.0</v>
      </c>
      <c r="F346" s="86" t="s">
        <v>47</v>
      </c>
      <c r="G346" s="87" t="s">
        <v>10924</v>
      </c>
      <c r="H346" s="87" t="s">
        <v>2160</v>
      </c>
    </row>
    <row r="347" ht="22.5" customHeight="1">
      <c r="A347" s="83">
        <v>44105.0</v>
      </c>
      <c r="B347" s="84" t="s">
        <v>10973</v>
      </c>
      <c r="C347" s="85">
        <v>5.14929454E8</v>
      </c>
      <c r="D347" s="86" t="s">
        <v>10727</v>
      </c>
      <c r="E347" s="85">
        <v>3.2</v>
      </c>
      <c r="F347" s="86" t="s">
        <v>32</v>
      </c>
      <c r="G347" s="87" t="s">
        <v>10974</v>
      </c>
      <c r="H347" s="87" t="s">
        <v>10975</v>
      </c>
    </row>
    <row r="348" ht="22.5" customHeight="1">
      <c r="A348" s="83">
        <v>44105.0</v>
      </c>
      <c r="B348" s="84" t="s">
        <v>10911</v>
      </c>
      <c r="C348" s="85">
        <v>5.15900702E8</v>
      </c>
      <c r="D348" s="86" t="s">
        <v>10748</v>
      </c>
      <c r="E348" s="85">
        <v>7.0</v>
      </c>
      <c r="F348" s="86" t="s">
        <v>32</v>
      </c>
      <c r="G348" s="87" t="s">
        <v>10912</v>
      </c>
      <c r="H348" s="87" t="s">
        <v>2215</v>
      </c>
    </row>
    <row r="349" ht="22.5" customHeight="1">
      <c r="A349" s="83">
        <v>44105.0</v>
      </c>
      <c r="B349" s="84" t="s">
        <v>11032</v>
      </c>
      <c r="C349" s="85">
        <v>5.12491143E8</v>
      </c>
      <c r="D349" s="86" t="s">
        <v>10776</v>
      </c>
      <c r="E349" s="85">
        <v>10.0</v>
      </c>
      <c r="F349" s="86" t="s">
        <v>32</v>
      </c>
      <c r="G349" s="87" t="s">
        <v>11033</v>
      </c>
      <c r="H349" s="87" t="s">
        <v>2998</v>
      </c>
    </row>
    <row r="350" ht="22.5" customHeight="1">
      <c r="A350" s="83">
        <v>44104.0</v>
      </c>
      <c r="B350" s="84" t="s">
        <v>11109</v>
      </c>
      <c r="C350" s="85">
        <v>5.15584035E8</v>
      </c>
      <c r="D350" s="86" t="s">
        <v>10734</v>
      </c>
      <c r="E350" s="88"/>
      <c r="F350" s="86" t="s">
        <v>32</v>
      </c>
      <c r="G350" s="87" t="s">
        <v>11110</v>
      </c>
      <c r="H350" s="87" t="s">
        <v>11111</v>
      </c>
    </row>
    <row r="351" ht="22.5" customHeight="1">
      <c r="A351" s="83">
        <v>44096.0</v>
      </c>
      <c r="B351" s="84" t="s">
        <v>11112</v>
      </c>
      <c r="C351" s="85">
        <v>5.13865329E8</v>
      </c>
      <c r="D351" s="86" t="s">
        <v>5257</v>
      </c>
      <c r="E351" s="85">
        <v>632.5</v>
      </c>
      <c r="F351" s="86" t="s">
        <v>32</v>
      </c>
      <c r="G351" s="87" t="s">
        <v>11113</v>
      </c>
      <c r="H351" s="87" t="s">
        <v>1894</v>
      </c>
    </row>
    <row r="352" ht="22.5" customHeight="1">
      <c r="A352" s="83">
        <v>44089.0</v>
      </c>
      <c r="B352" s="84" t="s">
        <v>10954</v>
      </c>
      <c r="C352" s="85">
        <v>5.14658277E8</v>
      </c>
      <c r="D352" s="86" t="s">
        <v>10748</v>
      </c>
      <c r="E352" s="88"/>
      <c r="F352" s="86" t="s">
        <v>32</v>
      </c>
      <c r="G352" s="87" t="s">
        <v>10955</v>
      </c>
      <c r="H352" s="87" t="s">
        <v>145</v>
      </c>
    </row>
    <row r="353" ht="22.5" customHeight="1">
      <c r="A353" s="83">
        <v>44089.0</v>
      </c>
      <c r="B353" s="84" t="s">
        <v>11114</v>
      </c>
      <c r="C353" s="85">
        <v>5.14473024E8</v>
      </c>
      <c r="D353" s="86" t="s">
        <v>10748</v>
      </c>
      <c r="E353" s="88"/>
      <c r="F353" s="86" t="s">
        <v>47</v>
      </c>
      <c r="G353" s="87" t="s">
        <v>11115</v>
      </c>
      <c r="H353" s="87" t="s">
        <v>2518</v>
      </c>
    </row>
    <row r="354" ht="22.5" customHeight="1">
      <c r="A354" s="83">
        <v>44089.0</v>
      </c>
      <c r="B354" s="84" t="s">
        <v>10884</v>
      </c>
      <c r="C354" s="85">
        <v>5.15615136E8</v>
      </c>
      <c r="D354" s="86" t="s">
        <v>1518</v>
      </c>
      <c r="E354" s="88"/>
      <c r="F354" s="86" t="s">
        <v>47</v>
      </c>
      <c r="G354" s="87" t="s">
        <v>10885</v>
      </c>
      <c r="H354" s="87" t="s">
        <v>1324</v>
      </c>
    </row>
    <row r="355" ht="22.5" customHeight="1">
      <c r="A355" s="83">
        <v>44076.0</v>
      </c>
      <c r="B355" s="84" t="s">
        <v>11116</v>
      </c>
      <c r="C355" s="85">
        <v>5.16061397E8</v>
      </c>
      <c r="D355" s="86" t="s">
        <v>1518</v>
      </c>
      <c r="E355" s="88"/>
      <c r="F355" s="86" t="s">
        <v>32</v>
      </c>
      <c r="G355" s="87" t="s">
        <v>11117</v>
      </c>
      <c r="H355" s="87" t="s">
        <v>11118</v>
      </c>
    </row>
    <row r="356" ht="22.5" customHeight="1">
      <c r="A356" s="83">
        <v>44076.0</v>
      </c>
      <c r="B356" s="84" t="s">
        <v>10964</v>
      </c>
      <c r="C356" s="85">
        <v>5.15575066E8</v>
      </c>
      <c r="D356" s="86" t="s">
        <v>1518</v>
      </c>
      <c r="E356" s="88"/>
      <c r="F356" s="86" t="s">
        <v>47</v>
      </c>
      <c r="G356" s="87" t="s">
        <v>10965</v>
      </c>
      <c r="H356" s="87" t="s">
        <v>690</v>
      </c>
    </row>
    <row r="357" ht="22.5" customHeight="1">
      <c r="A357" s="83">
        <v>44075.0</v>
      </c>
      <c r="B357" s="84" t="s">
        <v>11119</v>
      </c>
      <c r="C357" s="85">
        <v>5.15929651E8</v>
      </c>
      <c r="D357" s="86" t="s">
        <v>10748</v>
      </c>
      <c r="E357" s="85">
        <v>0.7</v>
      </c>
      <c r="F357" s="86" t="s">
        <v>32</v>
      </c>
      <c r="G357" s="87" t="s">
        <v>11120</v>
      </c>
      <c r="H357" s="87" t="s">
        <v>11121</v>
      </c>
    </row>
    <row r="358" ht="22.5" customHeight="1">
      <c r="A358" s="83">
        <v>44056.0</v>
      </c>
      <c r="B358" s="84" t="s">
        <v>5489</v>
      </c>
      <c r="C358" s="85">
        <v>5.15668739E8</v>
      </c>
      <c r="D358" s="86" t="s">
        <v>10748</v>
      </c>
      <c r="E358" s="85">
        <v>6.0</v>
      </c>
      <c r="F358" s="86" t="s">
        <v>32</v>
      </c>
      <c r="G358" s="87" t="s">
        <v>11122</v>
      </c>
      <c r="H358" s="87" t="s">
        <v>11123</v>
      </c>
    </row>
    <row r="359" ht="22.5" customHeight="1">
      <c r="A359" s="83">
        <v>44056.0</v>
      </c>
      <c r="B359" s="84" t="s">
        <v>10886</v>
      </c>
      <c r="C359" s="85">
        <v>5.15942068E8</v>
      </c>
      <c r="D359" s="86" t="s">
        <v>1518</v>
      </c>
      <c r="E359" s="85">
        <v>4.0</v>
      </c>
      <c r="F359" s="86" t="s">
        <v>47</v>
      </c>
      <c r="G359" s="87" t="s">
        <v>10887</v>
      </c>
      <c r="H359" s="87" t="s">
        <v>2811</v>
      </c>
    </row>
    <row r="360" ht="22.5" customHeight="1">
      <c r="A360" s="83">
        <v>44049.0</v>
      </c>
      <c r="B360" s="84" t="s">
        <v>11124</v>
      </c>
      <c r="C360" s="85">
        <v>5.16211133E8</v>
      </c>
      <c r="D360" s="86" t="s">
        <v>1518</v>
      </c>
      <c r="E360" s="85">
        <v>0.04</v>
      </c>
      <c r="F360" s="86" t="s">
        <v>32</v>
      </c>
      <c r="G360" s="87" t="s">
        <v>11125</v>
      </c>
      <c r="H360" s="87" t="s">
        <v>11126</v>
      </c>
    </row>
    <row r="361" ht="22.5" customHeight="1">
      <c r="A361" s="83">
        <v>44047.0</v>
      </c>
      <c r="B361" s="84" t="s">
        <v>11127</v>
      </c>
      <c r="C361" s="85">
        <v>5.15439354E8</v>
      </c>
      <c r="D361" s="86" t="s">
        <v>1518</v>
      </c>
      <c r="E361" s="85">
        <v>3.5</v>
      </c>
      <c r="F361" s="86" t="s">
        <v>47</v>
      </c>
      <c r="G361" s="87" t="s">
        <v>11128</v>
      </c>
      <c r="H361" s="87" t="s">
        <v>891</v>
      </c>
    </row>
    <row r="362" ht="22.5" customHeight="1">
      <c r="A362" s="83">
        <v>44044.0</v>
      </c>
      <c r="B362" s="84" t="s">
        <v>10739</v>
      </c>
      <c r="C362" s="85">
        <v>5.16273554E8</v>
      </c>
      <c r="D362" s="86" t="s">
        <v>1518</v>
      </c>
      <c r="E362" s="85">
        <v>5.0</v>
      </c>
      <c r="F362" s="86" t="s">
        <v>32</v>
      </c>
      <c r="G362" s="87" t="s">
        <v>10740</v>
      </c>
      <c r="H362" s="87" t="s">
        <v>10741</v>
      </c>
    </row>
    <row r="363" ht="22.5" customHeight="1">
      <c r="A363" s="83">
        <v>44044.0</v>
      </c>
      <c r="B363" s="84" t="s">
        <v>10731</v>
      </c>
      <c r="C363" s="85">
        <v>5.16243284E8</v>
      </c>
      <c r="D363" s="86" t="s">
        <v>1518</v>
      </c>
      <c r="E363" s="88"/>
      <c r="F363" s="86" t="s">
        <v>32</v>
      </c>
      <c r="G363" s="87" t="s">
        <v>10732</v>
      </c>
      <c r="H363" s="87" t="s">
        <v>407</v>
      </c>
    </row>
    <row r="364" ht="22.5" customHeight="1">
      <c r="A364" s="83">
        <v>44040.0</v>
      </c>
      <c r="B364" s="84" t="s">
        <v>11000</v>
      </c>
      <c r="C364" s="88"/>
      <c r="D364" s="86" t="s">
        <v>10748</v>
      </c>
      <c r="E364" s="85">
        <v>12.0</v>
      </c>
      <c r="F364" s="86" t="s">
        <v>32</v>
      </c>
      <c r="G364" s="87" t="s">
        <v>11001</v>
      </c>
      <c r="H364" s="87" t="s">
        <v>11002</v>
      </c>
    </row>
    <row r="365" ht="22.5" customHeight="1">
      <c r="A365" s="83">
        <v>44040.0</v>
      </c>
      <c r="B365" s="84" t="s">
        <v>10860</v>
      </c>
      <c r="C365" s="85">
        <v>5.15903235E8</v>
      </c>
      <c r="D365" s="86" t="s">
        <v>10724</v>
      </c>
      <c r="E365" s="85">
        <v>23.0</v>
      </c>
      <c r="F365" s="86" t="s">
        <v>32</v>
      </c>
      <c r="G365" s="87" t="s">
        <v>10862</v>
      </c>
      <c r="H365" s="87" t="s">
        <v>762</v>
      </c>
    </row>
    <row r="366" ht="22.5" customHeight="1">
      <c r="A366" s="83">
        <v>44033.0</v>
      </c>
      <c r="B366" s="84" t="s">
        <v>10742</v>
      </c>
      <c r="C366" s="85">
        <v>5.14593573E8</v>
      </c>
      <c r="D366" s="86" t="s">
        <v>11078</v>
      </c>
      <c r="E366" s="85">
        <v>76.0</v>
      </c>
      <c r="F366" s="86" t="s">
        <v>47</v>
      </c>
      <c r="G366" s="87" t="s">
        <v>10743</v>
      </c>
      <c r="H366" s="87" t="s">
        <v>3357</v>
      </c>
    </row>
    <row r="367" ht="22.5" customHeight="1">
      <c r="A367" s="83">
        <v>44019.0</v>
      </c>
      <c r="B367" s="84" t="s">
        <v>9302</v>
      </c>
      <c r="C367" s="88"/>
      <c r="D367" s="86" t="s">
        <v>10734</v>
      </c>
      <c r="E367" s="88"/>
      <c r="F367" s="86" t="s">
        <v>32</v>
      </c>
      <c r="G367" s="87" t="s">
        <v>11129</v>
      </c>
      <c r="H367" s="87" t="s">
        <v>11130</v>
      </c>
    </row>
    <row r="368" ht="22.5" customHeight="1">
      <c r="A368" s="83">
        <v>44007.0</v>
      </c>
      <c r="B368" s="84" t="s">
        <v>6363</v>
      </c>
      <c r="C368" s="85">
        <v>5.20038126E8</v>
      </c>
      <c r="D368" s="86" t="s">
        <v>5257</v>
      </c>
      <c r="E368" s="85">
        <v>50.0</v>
      </c>
      <c r="F368" s="86" t="s">
        <v>32</v>
      </c>
      <c r="G368" s="87" t="s">
        <v>10722</v>
      </c>
      <c r="H368" s="87" t="s">
        <v>601</v>
      </c>
    </row>
    <row r="369" ht="22.5" customHeight="1">
      <c r="A369" s="83">
        <v>44003.0</v>
      </c>
      <c r="B369" s="84" t="s">
        <v>10865</v>
      </c>
      <c r="C369" s="85">
        <v>5.14983121E8</v>
      </c>
      <c r="D369" s="86" t="s">
        <v>10748</v>
      </c>
      <c r="E369" s="85">
        <v>1.5</v>
      </c>
      <c r="F369" s="86" t="s">
        <v>32</v>
      </c>
      <c r="G369" s="87" t="s">
        <v>10866</v>
      </c>
      <c r="H369" s="87" t="s">
        <v>2374</v>
      </c>
    </row>
    <row r="370" ht="22.5" customHeight="1">
      <c r="A370" s="83">
        <v>43999.0</v>
      </c>
      <c r="B370" s="84" t="s">
        <v>10796</v>
      </c>
      <c r="C370" s="85">
        <v>5.15703536E8</v>
      </c>
      <c r="D370" s="86" t="s">
        <v>1518</v>
      </c>
      <c r="E370" s="85">
        <v>0.12</v>
      </c>
      <c r="F370" s="86" t="s">
        <v>47</v>
      </c>
      <c r="G370" s="87" t="s">
        <v>10797</v>
      </c>
      <c r="H370" s="87" t="s">
        <v>1268</v>
      </c>
    </row>
    <row r="371" ht="22.5" customHeight="1">
      <c r="A371" s="83">
        <v>43997.0</v>
      </c>
      <c r="B371" s="84" t="s">
        <v>11131</v>
      </c>
      <c r="C371" s="85">
        <v>5.1580331E8</v>
      </c>
      <c r="D371" s="86" t="s">
        <v>10748</v>
      </c>
      <c r="E371" s="85">
        <v>2.0</v>
      </c>
      <c r="F371" s="86" t="s">
        <v>32</v>
      </c>
      <c r="G371" s="87" t="s">
        <v>11132</v>
      </c>
      <c r="H371" s="87" t="s">
        <v>266</v>
      </c>
    </row>
    <row r="372" ht="22.5" customHeight="1">
      <c r="A372" s="83">
        <v>43991.0</v>
      </c>
      <c r="B372" s="84" t="s">
        <v>3706</v>
      </c>
      <c r="C372" s="85">
        <v>5.15630713E8</v>
      </c>
      <c r="D372" s="86" t="s">
        <v>10727</v>
      </c>
      <c r="E372" s="85">
        <v>2.0</v>
      </c>
      <c r="F372" s="86" t="s">
        <v>47</v>
      </c>
      <c r="G372" s="87" t="s">
        <v>10826</v>
      </c>
      <c r="H372" s="87" t="s">
        <v>813</v>
      </c>
    </row>
    <row r="373" ht="22.5" customHeight="1">
      <c r="A373" s="83">
        <v>43987.0</v>
      </c>
      <c r="B373" s="84" t="s">
        <v>10811</v>
      </c>
      <c r="C373" s="85">
        <v>5.15918175E8</v>
      </c>
      <c r="D373" s="86" t="s">
        <v>10748</v>
      </c>
      <c r="E373" s="85">
        <v>3.0</v>
      </c>
      <c r="F373" s="86" t="s">
        <v>47</v>
      </c>
      <c r="G373" s="87" t="s">
        <v>10812</v>
      </c>
      <c r="H373" s="87" t="s">
        <v>647</v>
      </c>
    </row>
    <row r="374" ht="22.5" customHeight="1">
      <c r="A374" s="83">
        <v>43986.0</v>
      </c>
      <c r="B374" s="84" t="s">
        <v>10919</v>
      </c>
      <c r="C374" s="85">
        <v>5.15154607E8</v>
      </c>
      <c r="D374" s="86" t="s">
        <v>4532</v>
      </c>
      <c r="E374" s="85">
        <v>7.5</v>
      </c>
      <c r="F374" s="86" t="s">
        <v>32</v>
      </c>
      <c r="G374" s="87" t="s">
        <v>10920</v>
      </c>
      <c r="H374" s="87" t="s">
        <v>2006</v>
      </c>
    </row>
    <row r="375" ht="22.5" customHeight="1">
      <c r="A375" s="83">
        <v>43986.0</v>
      </c>
      <c r="B375" s="84" t="s">
        <v>10919</v>
      </c>
      <c r="C375" s="85">
        <v>5.15154607E8</v>
      </c>
      <c r="D375" s="86" t="s">
        <v>5257</v>
      </c>
      <c r="E375" s="85">
        <v>0.48</v>
      </c>
      <c r="F375" s="86" t="s">
        <v>32</v>
      </c>
      <c r="G375" s="87" t="s">
        <v>10920</v>
      </c>
      <c r="H375" s="87" t="s">
        <v>2006</v>
      </c>
    </row>
    <row r="376" ht="22.5" customHeight="1">
      <c r="A376" s="83">
        <v>43984.0</v>
      </c>
      <c r="B376" s="84" t="s">
        <v>11133</v>
      </c>
      <c r="C376" s="85">
        <v>5.13678664E8</v>
      </c>
      <c r="D376" s="86" t="s">
        <v>10734</v>
      </c>
      <c r="E376" s="85">
        <v>365.0</v>
      </c>
      <c r="F376" s="86" t="s">
        <v>32</v>
      </c>
      <c r="G376" s="87" t="s">
        <v>11134</v>
      </c>
      <c r="H376" s="87" t="s">
        <v>11135</v>
      </c>
    </row>
    <row r="377" ht="22.5" customHeight="1">
      <c r="A377" s="83">
        <v>43984.0</v>
      </c>
      <c r="B377" s="84" t="s">
        <v>10823</v>
      </c>
      <c r="C377" s="85">
        <v>5.16187481E8</v>
      </c>
      <c r="D377" s="86" t="s">
        <v>1518</v>
      </c>
      <c r="E377" s="88"/>
      <c r="F377" s="86" t="s">
        <v>32</v>
      </c>
      <c r="G377" s="87" t="s">
        <v>10824</v>
      </c>
      <c r="H377" s="87" t="s">
        <v>3275</v>
      </c>
    </row>
    <row r="378" ht="22.5" customHeight="1">
      <c r="A378" s="83">
        <v>43983.0</v>
      </c>
      <c r="B378" s="84" t="s">
        <v>10793</v>
      </c>
      <c r="C378" s="85">
        <v>5.15196046E8</v>
      </c>
      <c r="D378" s="86" t="s">
        <v>10748</v>
      </c>
      <c r="E378" s="85">
        <v>1.2</v>
      </c>
      <c r="F378" s="86" t="s">
        <v>47</v>
      </c>
      <c r="G378" s="87" t="s">
        <v>10794</v>
      </c>
      <c r="H378" s="87" t="s">
        <v>1234</v>
      </c>
    </row>
    <row r="379" ht="22.5" customHeight="1">
      <c r="A379" s="83">
        <v>43983.0</v>
      </c>
      <c r="B379" s="84" t="s">
        <v>11042</v>
      </c>
      <c r="C379" s="85">
        <v>5.15648715E8</v>
      </c>
      <c r="D379" s="86" t="s">
        <v>10748</v>
      </c>
      <c r="E379" s="85">
        <v>3.0</v>
      </c>
      <c r="F379" s="86" t="s">
        <v>32</v>
      </c>
      <c r="G379" s="87" t="s">
        <v>11043</v>
      </c>
      <c r="H379" s="87" t="s">
        <v>1125</v>
      </c>
    </row>
    <row r="380" ht="22.5" customHeight="1">
      <c r="A380" s="83">
        <v>43971.0</v>
      </c>
      <c r="B380" s="84" t="s">
        <v>11136</v>
      </c>
      <c r="C380" s="85">
        <v>5.15459014E8</v>
      </c>
      <c r="D380" s="86" t="s">
        <v>10748</v>
      </c>
      <c r="E380" s="85">
        <v>7.0</v>
      </c>
      <c r="F380" s="86" t="s">
        <v>32</v>
      </c>
      <c r="G380" s="87" t="s">
        <v>11137</v>
      </c>
      <c r="H380" s="87" t="s">
        <v>1035</v>
      </c>
    </row>
    <row r="381" ht="22.5" customHeight="1">
      <c r="A381" s="83">
        <v>43969.0</v>
      </c>
      <c r="B381" s="84" t="s">
        <v>11138</v>
      </c>
      <c r="C381" s="85">
        <v>5.15565729E8</v>
      </c>
      <c r="D381" s="86" t="s">
        <v>10727</v>
      </c>
      <c r="E381" s="85">
        <v>4.0</v>
      </c>
      <c r="F381" s="86" t="s">
        <v>32</v>
      </c>
      <c r="G381" s="87" t="s">
        <v>11139</v>
      </c>
      <c r="H381" s="87" t="s">
        <v>483</v>
      </c>
    </row>
    <row r="382" ht="22.5" customHeight="1">
      <c r="A382" s="83">
        <v>43965.0</v>
      </c>
      <c r="B382" s="84" t="s">
        <v>11050</v>
      </c>
      <c r="C382" s="85">
        <v>5.15446821E8</v>
      </c>
      <c r="D382" s="86" t="s">
        <v>10727</v>
      </c>
      <c r="E382" s="88"/>
      <c r="F382" s="86" t="s">
        <v>47</v>
      </c>
      <c r="G382" s="87" t="s">
        <v>11051</v>
      </c>
      <c r="H382" s="87" t="s">
        <v>2787</v>
      </c>
    </row>
    <row r="383" ht="22.5" customHeight="1">
      <c r="A383" s="83">
        <v>43963.0</v>
      </c>
      <c r="B383" s="84" t="s">
        <v>10782</v>
      </c>
      <c r="C383" s="85">
        <v>5.14092758E8</v>
      </c>
      <c r="D383" s="86" t="s">
        <v>10727</v>
      </c>
      <c r="E383" s="85">
        <v>17.0</v>
      </c>
      <c r="F383" s="86" t="s">
        <v>32</v>
      </c>
      <c r="G383" s="87" t="s">
        <v>10783</v>
      </c>
      <c r="H383" s="87" t="s">
        <v>3329</v>
      </c>
    </row>
    <row r="384" ht="22.5" customHeight="1">
      <c r="A384" s="83">
        <v>43955.0</v>
      </c>
      <c r="B384" s="84" t="s">
        <v>7803</v>
      </c>
      <c r="C384" s="85">
        <v>5.14677319E8</v>
      </c>
      <c r="D384" s="86" t="s">
        <v>10734</v>
      </c>
      <c r="E384" s="85">
        <v>915.0</v>
      </c>
      <c r="F384" s="86" t="s">
        <v>32</v>
      </c>
      <c r="G384" s="87" t="s">
        <v>11140</v>
      </c>
      <c r="H384" s="87" t="s">
        <v>1477</v>
      </c>
    </row>
    <row r="385" ht="22.5" customHeight="1">
      <c r="A385" s="83">
        <v>43952.0</v>
      </c>
      <c r="B385" s="84" t="s">
        <v>10919</v>
      </c>
      <c r="C385" s="85">
        <v>5.15154607E8</v>
      </c>
      <c r="D385" s="86" t="s">
        <v>10748</v>
      </c>
      <c r="E385" s="85">
        <v>4.0</v>
      </c>
      <c r="F385" s="86" t="s">
        <v>32</v>
      </c>
      <c r="G385" s="87" t="s">
        <v>10920</v>
      </c>
      <c r="H385" s="87" t="s">
        <v>2006</v>
      </c>
    </row>
    <row r="386" ht="22.5" customHeight="1">
      <c r="A386" s="83">
        <v>43951.0</v>
      </c>
      <c r="B386" s="84" t="s">
        <v>10877</v>
      </c>
      <c r="C386" s="85">
        <v>5.15181907E8</v>
      </c>
      <c r="D386" s="86" t="s">
        <v>10724</v>
      </c>
      <c r="E386" s="85">
        <v>52.0</v>
      </c>
      <c r="F386" s="86" t="s">
        <v>32</v>
      </c>
      <c r="G386" s="87" t="s">
        <v>10878</v>
      </c>
      <c r="H386" s="87" t="s">
        <v>591</v>
      </c>
    </row>
    <row r="387" ht="22.5" customHeight="1">
      <c r="A387" s="83">
        <v>43951.0</v>
      </c>
      <c r="B387" s="84" t="s">
        <v>8216</v>
      </c>
      <c r="C387" s="85">
        <v>5.15352813E8</v>
      </c>
      <c r="D387" s="86" t="s">
        <v>10724</v>
      </c>
      <c r="E387" s="85">
        <v>46.0</v>
      </c>
      <c r="F387" s="86" t="s">
        <v>32</v>
      </c>
      <c r="G387" s="87" t="s">
        <v>10907</v>
      </c>
      <c r="H387" s="87" t="s">
        <v>10908</v>
      </c>
    </row>
    <row r="388" ht="22.5" customHeight="1">
      <c r="A388" s="83">
        <v>43944.0</v>
      </c>
      <c r="B388" s="84" t="s">
        <v>10818</v>
      </c>
      <c r="C388" s="85">
        <v>5.14335967E8</v>
      </c>
      <c r="D388" s="86" t="s">
        <v>10724</v>
      </c>
      <c r="E388" s="85">
        <v>10.0</v>
      </c>
      <c r="F388" s="86" t="s">
        <v>32</v>
      </c>
      <c r="G388" s="87" t="s">
        <v>10819</v>
      </c>
      <c r="H388" s="87" t="s">
        <v>2987</v>
      </c>
    </row>
    <row r="389" ht="22.5" customHeight="1">
      <c r="A389" s="83">
        <v>43926.0</v>
      </c>
      <c r="B389" s="84" t="s">
        <v>11141</v>
      </c>
      <c r="C389" s="85">
        <v>5.15640894E8</v>
      </c>
      <c r="D389" s="86" t="s">
        <v>1518</v>
      </c>
      <c r="E389" s="85">
        <v>3.0</v>
      </c>
      <c r="F389" s="86" t="s">
        <v>47</v>
      </c>
      <c r="G389" s="87" t="s">
        <v>11142</v>
      </c>
      <c r="H389" s="87" t="s">
        <v>135</v>
      </c>
    </row>
    <row r="390" ht="22.5" customHeight="1">
      <c r="A390" s="83">
        <v>43922.0</v>
      </c>
      <c r="B390" s="84" t="s">
        <v>10723</v>
      </c>
      <c r="C390" s="85">
        <v>5.15771194E8</v>
      </c>
      <c r="D390" s="86" t="s">
        <v>1518</v>
      </c>
      <c r="E390" s="85">
        <v>3.5</v>
      </c>
      <c r="F390" s="86" t="s">
        <v>47</v>
      </c>
      <c r="G390" s="87" t="s">
        <v>10725</v>
      </c>
      <c r="H390" s="87" t="s">
        <v>3409</v>
      </c>
    </row>
    <row r="391" ht="22.5" customHeight="1">
      <c r="A391" s="83">
        <v>43922.0</v>
      </c>
      <c r="B391" s="84" t="s">
        <v>4384</v>
      </c>
      <c r="C391" s="85">
        <v>5.15928109E8</v>
      </c>
      <c r="D391" s="86" t="s">
        <v>10727</v>
      </c>
      <c r="E391" s="85">
        <v>12.0</v>
      </c>
      <c r="F391" s="86" t="s">
        <v>32</v>
      </c>
      <c r="G391" s="87" t="s">
        <v>10966</v>
      </c>
      <c r="H391" s="87" t="s">
        <v>366</v>
      </c>
    </row>
    <row r="392" ht="22.5" customHeight="1">
      <c r="A392" s="83">
        <v>43922.0</v>
      </c>
      <c r="B392" s="84" t="s">
        <v>10780</v>
      </c>
      <c r="C392" s="85">
        <v>5.16090842E8</v>
      </c>
      <c r="D392" s="86" t="s">
        <v>1518</v>
      </c>
      <c r="E392" s="85">
        <v>4.0</v>
      </c>
      <c r="F392" s="86" t="s">
        <v>32</v>
      </c>
      <c r="G392" s="87" t="s">
        <v>10781</v>
      </c>
      <c r="H392" s="87" t="s">
        <v>1417</v>
      </c>
    </row>
    <row r="393" ht="22.5" customHeight="1">
      <c r="A393" s="83">
        <v>43921.0</v>
      </c>
      <c r="B393" s="84" t="s">
        <v>10855</v>
      </c>
      <c r="C393" s="88"/>
      <c r="D393" s="86" t="s">
        <v>10724</v>
      </c>
      <c r="E393" s="85">
        <v>10.0</v>
      </c>
      <c r="F393" s="86" t="s">
        <v>32</v>
      </c>
      <c r="G393" s="87" t="s">
        <v>10856</v>
      </c>
      <c r="H393" s="87" t="s">
        <v>10857</v>
      </c>
    </row>
    <row r="394" ht="22.5" customHeight="1">
      <c r="A394" s="83">
        <v>43915.0</v>
      </c>
      <c r="B394" s="84" t="s">
        <v>11081</v>
      </c>
      <c r="C394" s="85">
        <v>5.15739688E8</v>
      </c>
      <c r="D394" s="86" t="s">
        <v>10748</v>
      </c>
      <c r="E394" s="85">
        <v>0.45</v>
      </c>
      <c r="F394" s="86" t="s">
        <v>32</v>
      </c>
      <c r="G394" s="87" t="s">
        <v>11082</v>
      </c>
      <c r="H394" s="87" t="s">
        <v>474</v>
      </c>
    </row>
    <row r="395" ht="22.5" customHeight="1">
      <c r="A395" s="83">
        <v>43900.0</v>
      </c>
      <c r="B395" s="84" t="s">
        <v>11143</v>
      </c>
      <c r="C395" s="85">
        <v>5.14801232E8</v>
      </c>
      <c r="D395" s="86" t="s">
        <v>10734</v>
      </c>
      <c r="E395" s="88"/>
      <c r="F395" s="86" t="s">
        <v>32</v>
      </c>
      <c r="G395" s="87" t="s">
        <v>11144</v>
      </c>
      <c r="H395" s="87" t="s">
        <v>11145</v>
      </c>
    </row>
    <row r="396" ht="22.5" customHeight="1">
      <c r="A396" s="83">
        <v>43895.0</v>
      </c>
      <c r="B396" s="84" t="s">
        <v>10839</v>
      </c>
      <c r="C396" s="85">
        <v>5.15604445E8</v>
      </c>
      <c r="D396" s="86" t="s">
        <v>10727</v>
      </c>
      <c r="E396" s="85">
        <v>60.0</v>
      </c>
      <c r="F396" s="86" t="s">
        <v>32</v>
      </c>
      <c r="G396" s="87" t="s">
        <v>10840</v>
      </c>
      <c r="H396" s="87" t="s">
        <v>1448</v>
      </c>
    </row>
    <row r="397" ht="22.5" customHeight="1">
      <c r="A397" s="83">
        <v>43891.0</v>
      </c>
      <c r="B397" s="84" t="s">
        <v>10773</v>
      </c>
      <c r="C397" s="85">
        <v>5.16082096E8</v>
      </c>
      <c r="D397" s="86" t="s">
        <v>1518</v>
      </c>
      <c r="E397" s="88"/>
      <c r="F397" s="86" t="s">
        <v>32</v>
      </c>
      <c r="G397" s="87" t="s">
        <v>10774</v>
      </c>
      <c r="H397" s="87" t="s">
        <v>181</v>
      </c>
    </row>
    <row r="398" ht="22.5" customHeight="1">
      <c r="A398" s="83">
        <v>43891.0</v>
      </c>
      <c r="B398" s="84" t="s">
        <v>11146</v>
      </c>
      <c r="C398" s="85">
        <v>5.16150893E8</v>
      </c>
      <c r="D398" s="86" t="s">
        <v>10734</v>
      </c>
      <c r="E398" s="88"/>
      <c r="F398" s="86" t="s">
        <v>32</v>
      </c>
      <c r="G398" s="87" t="s">
        <v>11147</v>
      </c>
      <c r="H398" s="87" t="s">
        <v>11148</v>
      </c>
    </row>
    <row r="399" ht="22.5" customHeight="1">
      <c r="A399" s="83">
        <v>43885.0</v>
      </c>
      <c r="B399" s="84" t="s">
        <v>11149</v>
      </c>
      <c r="C399" s="85">
        <v>5.15986677E8</v>
      </c>
      <c r="D399" s="86" t="s">
        <v>10727</v>
      </c>
      <c r="E399" s="85">
        <v>25.0</v>
      </c>
      <c r="F399" s="86" t="s">
        <v>32</v>
      </c>
      <c r="G399" s="87" t="s">
        <v>11150</v>
      </c>
      <c r="H399" s="87" t="s">
        <v>11151</v>
      </c>
    </row>
    <row r="400" ht="22.5" customHeight="1">
      <c r="A400" s="83">
        <v>43884.0</v>
      </c>
      <c r="B400" s="84" t="s">
        <v>10919</v>
      </c>
      <c r="C400" s="85">
        <v>5.15154607E8</v>
      </c>
      <c r="D400" s="86" t="s">
        <v>1518</v>
      </c>
      <c r="E400" s="85">
        <v>1.0</v>
      </c>
      <c r="F400" s="86" t="s">
        <v>47</v>
      </c>
      <c r="G400" s="87" t="s">
        <v>10920</v>
      </c>
      <c r="H400" s="87" t="s">
        <v>2006</v>
      </c>
    </row>
    <row r="401" ht="22.5" customHeight="1">
      <c r="A401" s="83">
        <v>43880.0</v>
      </c>
      <c r="B401" s="84" t="s">
        <v>6207</v>
      </c>
      <c r="C401" s="88"/>
      <c r="D401" s="86" t="s">
        <v>10727</v>
      </c>
      <c r="E401" s="85">
        <v>11.0</v>
      </c>
      <c r="F401" s="86" t="s">
        <v>32</v>
      </c>
      <c r="G401" s="87" t="s">
        <v>10971</v>
      </c>
      <c r="H401" s="87" t="s">
        <v>10972</v>
      </c>
    </row>
    <row r="402" ht="22.5" customHeight="1">
      <c r="A402" s="83">
        <v>43874.0</v>
      </c>
      <c r="B402" s="84" t="s">
        <v>10863</v>
      </c>
      <c r="C402" s="85">
        <v>5.15378289E8</v>
      </c>
      <c r="D402" s="86" t="s">
        <v>10727</v>
      </c>
      <c r="E402" s="85">
        <v>36.0</v>
      </c>
      <c r="F402" s="86" t="s">
        <v>32</v>
      </c>
      <c r="G402" s="87" t="s">
        <v>10864</v>
      </c>
      <c r="H402" s="87" t="s">
        <v>3377</v>
      </c>
    </row>
    <row r="403" ht="22.5" customHeight="1">
      <c r="A403" s="83">
        <v>43873.0</v>
      </c>
      <c r="B403" s="84" t="s">
        <v>10939</v>
      </c>
      <c r="C403" s="85">
        <v>5.20043928E8</v>
      </c>
      <c r="D403" s="86" t="s">
        <v>5257</v>
      </c>
      <c r="E403" s="85">
        <v>0.7</v>
      </c>
      <c r="F403" s="86" t="s">
        <v>32</v>
      </c>
      <c r="G403" s="87" t="s">
        <v>10940</v>
      </c>
      <c r="H403" s="87" t="s">
        <v>309</v>
      </c>
    </row>
    <row r="404" ht="22.5" customHeight="1">
      <c r="A404" s="83">
        <v>43872.0</v>
      </c>
      <c r="B404" s="84" t="s">
        <v>10733</v>
      </c>
      <c r="C404" s="85">
        <v>5.15509651E8</v>
      </c>
      <c r="D404" s="86" t="s">
        <v>10727</v>
      </c>
      <c r="E404" s="85">
        <v>5.0</v>
      </c>
      <c r="F404" s="86" t="s">
        <v>32</v>
      </c>
      <c r="G404" s="87" t="s">
        <v>10735</v>
      </c>
      <c r="H404" s="87" t="s">
        <v>10736</v>
      </c>
    </row>
    <row r="405" ht="22.5" customHeight="1">
      <c r="A405" s="83">
        <v>43862.0</v>
      </c>
      <c r="B405" s="84" t="s">
        <v>10960</v>
      </c>
      <c r="C405" s="85">
        <v>5.15047363E8</v>
      </c>
      <c r="D405" s="86" t="s">
        <v>10748</v>
      </c>
      <c r="E405" s="85">
        <v>2.9</v>
      </c>
      <c r="F405" s="86" t="s">
        <v>32</v>
      </c>
      <c r="G405" s="87" t="s">
        <v>10961</v>
      </c>
      <c r="H405" s="87" t="s">
        <v>901</v>
      </c>
    </row>
    <row r="406" ht="22.5" customHeight="1">
      <c r="A406" s="83">
        <v>43862.0</v>
      </c>
      <c r="B406" s="84" t="s">
        <v>10950</v>
      </c>
      <c r="C406" s="85">
        <v>5.16333051E8</v>
      </c>
      <c r="D406" s="86" t="s">
        <v>10825</v>
      </c>
      <c r="E406" s="85">
        <v>125.0</v>
      </c>
      <c r="F406" s="86" t="s">
        <v>32</v>
      </c>
      <c r="G406" s="87" t="s">
        <v>10951</v>
      </c>
      <c r="H406" s="87" t="s">
        <v>2205</v>
      </c>
    </row>
    <row r="407" ht="22.5" customHeight="1">
      <c r="A407" s="83">
        <v>43856.0</v>
      </c>
      <c r="B407" s="84" t="s">
        <v>11152</v>
      </c>
      <c r="C407" s="88"/>
      <c r="D407" s="86" t="s">
        <v>1518</v>
      </c>
      <c r="E407" s="88"/>
      <c r="F407" s="86" t="s">
        <v>32</v>
      </c>
      <c r="G407" s="87" t="s">
        <v>11153</v>
      </c>
      <c r="H407" s="87" t="s">
        <v>11154</v>
      </c>
    </row>
    <row r="408" ht="22.5" customHeight="1">
      <c r="A408" s="83">
        <v>43856.0</v>
      </c>
      <c r="B408" s="84" t="s">
        <v>11088</v>
      </c>
      <c r="C408" s="88"/>
      <c r="D408" s="86" t="s">
        <v>10724</v>
      </c>
      <c r="E408" s="85">
        <v>0.04</v>
      </c>
      <c r="F408" s="86" t="s">
        <v>32</v>
      </c>
      <c r="G408" s="87" t="s">
        <v>11089</v>
      </c>
      <c r="H408" s="87" t="s">
        <v>11090</v>
      </c>
    </row>
    <row r="409" ht="22.5" customHeight="1">
      <c r="A409" s="83">
        <v>43838.0</v>
      </c>
      <c r="B409" s="84" t="s">
        <v>10927</v>
      </c>
      <c r="C409" s="85">
        <v>5.15130359E8</v>
      </c>
      <c r="D409" s="86" t="s">
        <v>10748</v>
      </c>
      <c r="E409" s="85">
        <v>1.0</v>
      </c>
      <c r="F409" s="86" t="s">
        <v>32</v>
      </c>
      <c r="G409" s="87" t="s">
        <v>10928</v>
      </c>
      <c r="H409" s="87" t="s">
        <v>1058</v>
      </c>
    </row>
    <row r="410" ht="22.5" customHeight="1">
      <c r="A410" s="83">
        <v>43838.0</v>
      </c>
      <c r="B410" s="84" t="s">
        <v>10875</v>
      </c>
      <c r="C410" s="85">
        <v>5.14354786E8</v>
      </c>
      <c r="D410" s="86" t="s">
        <v>10776</v>
      </c>
      <c r="E410" s="85">
        <v>10.2</v>
      </c>
      <c r="F410" s="86" t="s">
        <v>32</v>
      </c>
      <c r="G410" s="87" t="s">
        <v>10876</v>
      </c>
      <c r="H410" s="87" t="s">
        <v>2975</v>
      </c>
    </row>
    <row r="411" ht="22.5" customHeight="1">
      <c r="A411" s="83">
        <v>43838.0</v>
      </c>
      <c r="B411" s="84" t="s">
        <v>8784</v>
      </c>
      <c r="C411" s="85">
        <v>5.15495943E8</v>
      </c>
      <c r="D411" s="86" t="s">
        <v>10748</v>
      </c>
      <c r="E411" s="88"/>
      <c r="F411" s="86" t="s">
        <v>47</v>
      </c>
      <c r="G411" s="87" t="s">
        <v>10979</v>
      </c>
      <c r="H411" s="87" t="s">
        <v>10980</v>
      </c>
    </row>
    <row r="412" ht="22.5" customHeight="1">
      <c r="A412" s="83">
        <v>43837.0</v>
      </c>
      <c r="B412" s="84" t="s">
        <v>10913</v>
      </c>
      <c r="C412" s="85">
        <v>5.15386001E8</v>
      </c>
      <c r="D412" s="86" t="s">
        <v>10727</v>
      </c>
      <c r="E412" s="85">
        <v>23.5</v>
      </c>
      <c r="F412" s="86" t="s">
        <v>32</v>
      </c>
      <c r="G412" s="87" t="s">
        <v>10914</v>
      </c>
      <c r="H412" s="87" t="s">
        <v>321</v>
      </c>
    </row>
    <row r="413" ht="22.5" customHeight="1">
      <c r="A413" s="83">
        <v>43837.0</v>
      </c>
      <c r="B413" s="84" t="s">
        <v>10919</v>
      </c>
      <c r="C413" s="85">
        <v>5.15154607E8</v>
      </c>
      <c r="D413" s="86" t="s">
        <v>1518</v>
      </c>
      <c r="E413" s="85">
        <v>0.7</v>
      </c>
      <c r="F413" s="86" t="s">
        <v>47</v>
      </c>
      <c r="G413" s="87" t="s">
        <v>10920</v>
      </c>
      <c r="H413" s="87" t="s">
        <v>2006</v>
      </c>
    </row>
    <row r="414" ht="22.5" customHeight="1">
      <c r="A414" s="83">
        <v>43831.0</v>
      </c>
      <c r="B414" s="84" t="s">
        <v>10944</v>
      </c>
      <c r="C414" s="85">
        <v>5.1531736E8</v>
      </c>
      <c r="D414" s="86" t="s">
        <v>1518</v>
      </c>
      <c r="E414" s="88"/>
      <c r="F414" s="86" t="s">
        <v>47</v>
      </c>
      <c r="G414" s="87" t="s">
        <v>10945</v>
      </c>
      <c r="H414" s="87" t="s">
        <v>1905</v>
      </c>
    </row>
    <row r="415" ht="22.5" customHeight="1">
      <c r="A415" s="83">
        <v>43831.0</v>
      </c>
      <c r="B415" s="84" t="s">
        <v>11037</v>
      </c>
      <c r="C415" s="85">
        <v>5.15696193E8</v>
      </c>
      <c r="D415" s="86" t="s">
        <v>1518</v>
      </c>
      <c r="E415" s="85">
        <v>3.5</v>
      </c>
      <c r="F415" s="86" t="s">
        <v>47</v>
      </c>
      <c r="G415" s="87" t="s">
        <v>11038</v>
      </c>
      <c r="H415" s="87" t="s">
        <v>11039</v>
      </c>
    </row>
    <row r="416" ht="22.5" customHeight="1">
      <c r="A416" s="83">
        <v>43831.0</v>
      </c>
      <c r="B416" s="84" t="s">
        <v>10950</v>
      </c>
      <c r="C416" s="85">
        <v>5.16333051E8</v>
      </c>
      <c r="D416" s="86" t="s">
        <v>10727</v>
      </c>
      <c r="E416" s="85">
        <v>13.0</v>
      </c>
      <c r="F416" s="86" t="s">
        <v>47</v>
      </c>
      <c r="G416" s="87" t="s">
        <v>10951</v>
      </c>
      <c r="H416" s="87" t="s">
        <v>2205</v>
      </c>
    </row>
    <row r="417" ht="22.5" customHeight="1">
      <c r="A417" s="83">
        <v>43831.0</v>
      </c>
      <c r="B417" s="84" t="s">
        <v>10891</v>
      </c>
      <c r="C417" s="85">
        <v>5.1581439E8</v>
      </c>
      <c r="D417" s="86" t="s">
        <v>10748</v>
      </c>
      <c r="E417" s="88"/>
      <c r="F417" s="86" t="s">
        <v>32</v>
      </c>
      <c r="G417" s="87" t="s">
        <v>10892</v>
      </c>
      <c r="H417" s="87" t="s">
        <v>10893</v>
      </c>
    </row>
  </sheetData>
  <dataValidations>
    <dataValidation type="list" allowBlank="1" showDropDown="1" showErrorMessage="1" sqref="D4:D417">
      <formula1>"Seed,Third Round,First Round,Second Round,Acquired,Fourth Round,PIPE,IPO,Bridge,Venture Lending,Seventh Round,Eighth Round,Fifth Round,Sixth Round"</formula1>
    </dataValidation>
    <dataValidation type="list" allowBlank="1" showDropDown="1" showErrorMessage="1" sqref="F4:F417">
      <formula1>"Yes,No"</formula1>
    </dataValidation>
    <dataValidation type="custom" allowBlank="1" showDropDown="1" sqref="A4:A417">
      <formula1>OR(NOT(ISERROR(DATEVALUE(A4))), AND(ISNUMBER(A4), LEFT(CELL("format", A4))="D"))</formula1>
    </dataValidation>
    <dataValidation type="custom" allowBlank="1" showDropDown="1" sqref="C4:C417 E4:E417">
      <formula1>AND(ISNUMBER(C4),(NOT(OR(NOT(ISERROR(DATEVALUE(C4))), AND(ISNUMBER(C4), LEFT(CELL("format", C4))="D")))))</formula1>
    </dataValidation>
  </dataValidations>
  <hyperlinks>
    <hyperlink r:id="rId1" ref="G4"/>
    <hyperlink r:id="rId2" ref="H4"/>
    <hyperlink r:id="rId3" ref="G5"/>
    <hyperlink r:id="rId4" ref="H5"/>
    <hyperlink r:id="rId5" ref="G6"/>
    <hyperlink r:id="rId6" ref="H6"/>
    <hyperlink r:id="rId7" ref="G7"/>
    <hyperlink r:id="rId8" ref="H7"/>
    <hyperlink r:id="rId9" ref="G8"/>
    <hyperlink r:id="rId10" ref="H8"/>
    <hyperlink r:id="rId11" ref="G9"/>
    <hyperlink r:id="rId12" ref="H9"/>
    <hyperlink r:id="rId13" ref="G10"/>
    <hyperlink r:id="rId14" ref="H10"/>
    <hyperlink r:id="rId15" ref="G11"/>
    <hyperlink r:id="rId16" ref="H11"/>
    <hyperlink r:id="rId17" ref="G12"/>
    <hyperlink r:id="rId18" ref="H12"/>
    <hyperlink r:id="rId19" ref="G13"/>
    <hyperlink r:id="rId20" ref="H13"/>
    <hyperlink r:id="rId21" ref="G14"/>
    <hyperlink r:id="rId22" ref="H14"/>
    <hyperlink r:id="rId23" ref="G15"/>
    <hyperlink r:id="rId24" ref="H15"/>
    <hyperlink r:id="rId25" ref="G16"/>
    <hyperlink r:id="rId26" ref="H16"/>
    <hyperlink r:id="rId27" ref="G17"/>
    <hyperlink r:id="rId28" ref="H17"/>
    <hyperlink r:id="rId29" ref="G18"/>
    <hyperlink r:id="rId30" ref="H18"/>
    <hyperlink r:id="rId31" ref="G19"/>
    <hyperlink r:id="rId32" ref="H19"/>
    <hyperlink r:id="rId33" ref="G20"/>
    <hyperlink r:id="rId34" ref="H20"/>
    <hyperlink r:id="rId35" ref="G21"/>
    <hyperlink r:id="rId36" ref="H21"/>
    <hyperlink r:id="rId37" ref="G22"/>
    <hyperlink r:id="rId38" ref="H22"/>
    <hyperlink r:id="rId39" ref="G23"/>
    <hyperlink r:id="rId40" ref="H23"/>
    <hyperlink r:id="rId41" ref="G24"/>
    <hyperlink r:id="rId42" ref="H24"/>
    <hyperlink r:id="rId43" ref="G25"/>
    <hyperlink r:id="rId44" ref="H25"/>
    <hyperlink r:id="rId45" ref="G26"/>
    <hyperlink r:id="rId46" ref="H26"/>
    <hyperlink r:id="rId47" ref="G27"/>
    <hyperlink r:id="rId48" ref="H27"/>
    <hyperlink r:id="rId49" ref="G28"/>
    <hyperlink r:id="rId50" ref="H28"/>
    <hyperlink r:id="rId51" ref="G29"/>
    <hyperlink r:id="rId52" ref="H29"/>
    <hyperlink r:id="rId53" ref="G30"/>
    <hyperlink r:id="rId54" ref="H30"/>
    <hyperlink r:id="rId55" ref="G31"/>
    <hyperlink r:id="rId56" ref="H31"/>
    <hyperlink r:id="rId57" ref="G32"/>
    <hyperlink r:id="rId58" ref="H32"/>
    <hyperlink r:id="rId59" ref="G33"/>
    <hyperlink r:id="rId60" ref="H33"/>
    <hyperlink r:id="rId61" ref="G34"/>
    <hyperlink r:id="rId62" ref="H34"/>
    <hyperlink r:id="rId63" ref="G35"/>
    <hyperlink r:id="rId64" ref="H35"/>
    <hyperlink r:id="rId65" ref="G36"/>
    <hyperlink r:id="rId66" ref="H36"/>
    <hyperlink r:id="rId67" ref="G37"/>
    <hyperlink r:id="rId68" ref="H37"/>
    <hyperlink r:id="rId69" ref="G38"/>
    <hyperlink r:id="rId70" ref="H38"/>
    <hyperlink r:id="rId71" ref="G39"/>
    <hyperlink r:id="rId72" ref="H39"/>
    <hyperlink r:id="rId73" ref="G40"/>
    <hyperlink r:id="rId74" ref="H40"/>
    <hyperlink r:id="rId75" ref="G41"/>
    <hyperlink r:id="rId76" ref="H41"/>
    <hyperlink r:id="rId77" ref="G42"/>
    <hyperlink r:id="rId78" ref="H42"/>
    <hyperlink r:id="rId79" ref="G43"/>
    <hyperlink r:id="rId80" ref="H43"/>
    <hyperlink r:id="rId81" ref="G44"/>
    <hyperlink r:id="rId82" ref="H44"/>
    <hyperlink r:id="rId83" ref="G45"/>
    <hyperlink r:id="rId84" ref="H45"/>
    <hyperlink r:id="rId85" ref="G46"/>
    <hyperlink r:id="rId86" ref="H46"/>
    <hyperlink r:id="rId87" ref="G47"/>
    <hyperlink r:id="rId88" ref="H47"/>
    <hyperlink r:id="rId89" ref="G48"/>
    <hyperlink r:id="rId90" ref="H48"/>
    <hyperlink r:id="rId91" ref="G49"/>
    <hyperlink r:id="rId92" ref="H49"/>
    <hyperlink r:id="rId93" ref="G50"/>
    <hyperlink r:id="rId94" ref="H50"/>
    <hyperlink r:id="rId95" ref="G51"/>
    <hyperlink r:id="rId96" ref="H51"/>
    <hyperlink r:id="rId97" ref="G52"/>
    <hyperlink r:id="rId98" ref="H52"/>
    <hyperlink r:id="rId99" ref="G53"/>
    <hyperlink r:id="rId100" ref="H53"/>
    <hyperlink r:id="rId101" ref="G54"/>
    <hyperlink r:id="rId102" ref="H54"/>
    <hyperlink r:id="rId103" ref="G55"/>
    <hyperlink r:id="rId104" ref="H55"/>
    <hyperlink r:id="rId105" ref="G56"/>
    <hyperlink r:id="rId106" ref="H56"/>
    <hyperlink r:id="rId107" ref="G57"/>
    <hyperlink r:id="rId108" ref="H57"/>
    <hyperlink r:id="rId109" ref="G58"/>
    <hyperlink r:id="rId110" ref="H58"/>
    <hyperlink r:id="rId111" ref="G59"/>
    <hyperlink r:id="rId112" ref="H59"/>
    <hyperlink r:id="rId113" ref="G60"/>
    <hyperlink r:id="rId114" ref="H60"/>
    <hyperlink r:id="rId115" ref="G61"/>
    <hyperlink r:id="rId116" ref="H61"/>
    <hyperlink r:id="rId117" ref="G62"/>
    <hyperlink r:id="rId118" ref="H62"/>
    <hyperlink r:id="rId119" ref="G63"/>
    <hyperlink r:id="rId120" ref="H63"/>
    <hyperlink r:id="rId121" ref="G64"/>
    <hyperlink r:id="rId122" ref="H64"/>
    <hyperlink r:id="rId123" ref="G65"/>
    <hyperlink r:id="rId124" ref="H65"/>
    <hyperlink r:id="rId125" ref="G66"/>
    <hyperlink r:id="rId126" ref="H66"/>
    <hyperlink r:id="rId127" ref="G67"/>
    <hyperlink r:id="rId128" ref="H67"/>
    <hyperlink r:id="rId129" ref="G68"/>
    <hyperlink r:id="rId130" ref="H68"/>
    <hyperlink r:id="rId131" ref="G69"/>
    <hyperlink r:id="rId132" ref="H69"/>
    <hyperlink r:id="rId133" ref="G70"/>
    <hyperlink r:id="rId134" ref="H70"/>
    <hyperlink r:id="rId135" ref="G71"/>
    <hyperlink r:id="rId136" ref="H71"/>
    <hyperlink r:id="rId137" ref="G72"/>
    <hyperlink r:id="rId138" ref="H72"/>
    <hyperlink r:id="rId139" ref="G73"/>
    <hyperlink r:id="rId140" ref="H73"/>
    <hyperlink r:id="rId141" ref="G74"/>
    <hyperlink r:id="rId142" ref="H74"/>
    <hyperlink r:id="rId143" ref="G75"/>
    <hyperlink r:id="rId144" ref="H75"/>
    <hyperlink r:id="rId145" ref="G76"/>
    <hyperlink r:id="rId146" ref="H76"/>
    <hyperlink r:id="rId147" ref="G77"/>
    <hyperlink r:id="rId148" ref="H77"/>
    <hyperlink r:id="rId149" ref="G78"/>
    <hyperlink r:id="rId150" ref="H78"/>
    <hyperlink r:id="rId151" ref="G79"/>
    <hyperlink r:id="rId152" ref="H79"/>
    <hyperlink r:id="rId153" ref="G80"/>
    <hyperlink r:id="rId154" ref="H80"/>
    <hyperlink r:id="rId155" ref="G81"/>
    <hyperlink r:id="rId156" ref="H81"/>
    <hyperlink r:id="rId157" ref="G82"/>
    <hyperlink r:id="rId158" ref="H82"/>
    <hyperlink r:id="rId159" ref="G83"/>
    <hyperlink r:id="rId160" ref="H83"/>
    <hyperlink r:id="rId161" ref="G84"/>
    <hyperlink r:id="rId162" ref="H84"/>
    <hyperlink r:id="rId163" ref="G85"/>
    <hyperlink r:id="rId164" ref="H85"/>
    <hyperlink r:id="rId165" ref="G86"/>
    <hyperlink r:id="rId166" ref="H86"/>
    <hyperlink r:id="rId167" ref="G87"/>
    <hyperlink r:id="rId168" ref="H87"/>
    <hyperlink r:id="rId169" ref="G88"/>
    <hyperlink r:id="rId170" ref="H88"/>
    <hyperlink r:id="rId171" ref="G89"/>
    <hyperlink r:id="rId172" ref="H89"/>
    <hyperlink r:id="rId173" ref="G90"/>
    <hyperlink r:id="rId174" ref="H90"/>
    <hyperlink r:id="rId175" ref="G91"/>
    <hyperlink r:id="rId176" ref="H91"/>
    <hyperlink r:id="rId177" ref="G92"/>
    <hyperlink r:id="rId178" ref="H92"/>
    <hyperlink r:id="rId179" ref="G93"/>
    <hyperlink r:id="rId180" ref="H93"/>
    <hyperlink r:id="rId181" ref="G94"/>
    <hyperlink r:id="rId182" ref="H94"/>
    <hyperlink r:id="rId183" ref="G95"/>
    <hyperlink r:id="rId184" ref="H95"/>
    <hyperlink r:id="rId185" ref="G96"/>
    <hyperlink r:id="rId186" ref="H96"/>
    <hyperlink r:id="rId187" ref="G97"/>
    <hyperlink r:id="rId188" ref="H97"/>
    <hyperlink r:id="rId189" ref="G98"/>
    <hyperlink r:id="rId190" ref="H98"/>
    <hyperlink r:id="rId191" ref="G99"/>
    <hyperlink r:id="rId192" ref="H99"/>
    <hyperlink r:id="rId193" ref="G100"/>
    <hyperlink r:id="rId194" ref="H100"/>
    <hyperlink r:id="rId195" ref="G101"/>
    <hyperlink r:id="rId196" ref="H101"/>
    <hyperlink r:id="rId197" ref="G102"/>
    <hyperlink r:id="rId198" ref="H102"/>
    <hyperlink r:id="rId199" ref="G103"/>
    <hyperlink r:id="rId200" ref="H103"/>
    <hyperlink r:id="rId201" ref="G104"/>
    <hyperlink r:id="rId202" ref="H104"/>
    <hyperlink r:id="rId203" ref="G105"/>
    <hyperlink r:id="rId204" ref="H105"/>
    <hyperlink r:id="rId205" ref="G106"/>
    <hyperlink r:id="rId206" ref="H106"/>
    <hyperlink r:id="rId207" ref="G107"/>
    <hyperlink r:id="rId208" ref="H107"/>
    <hyperlink r:id="rId209" ref="G108"/>
    <hyperlink r:id="rId210" ref="H108"/>
    <hyperlink r:id="rId211" ref="G109"/>
    <hyperlink r:id="rId212" ref="H109"/>
    <hyperlink r:id="rId213" ref="G110"/>
    <hyperlink r:id="rId214" ref="H110"/>
    <hyperlink r:id="rId215" ref="G111"/>
    <hyperlink r:id="rId216" ref="H111"/>
    <hyperlink r:id="rId217" ref="G112"/>
    <hyperlink r:id="rId218" ref="H112"/>
    <hyperlink r:id="rId219" ref="G113"/>
    <hyperlink r:id="rId220" ref="H113"/>
    <hyperlink r:id="rId221" ref="G114"/>
    <hyperlink r:id="rId222" ref="H114"/>
    <hyperlink r:id="rId223" ref="G115"/>
    <hyperlink r:id="rId224" ref="H115"/>
    <hyperlink r:id="rId225" ref="G116"/>
    <hyperlink r:id="rId226" ref="H116"/>
    <hyperlink r:id="rId227" ref="G117"/>
    <hyperlink r:id="rId228" ref="H117"/>
    <hyperlink r:id="rId229" ref="G118"/>
    <hyperlink r:id="rId230" ref="H118"/>
    <hyperlink r:id="rId231" ref="G119"/>
    <hyperlink r:id="rId232" ref="H119"/>
    <hyperlink r:id="rId233" ref="G120"/>
    <hyperlink r:id="rId234" ref="H120"/>
    <hyperlink r:id="rId235" ref="G121"/>
    <hyperlink r:id="rId236" ref="H121"/>
    <hyperlink r:id="rId237" ref="G122"/>
    <hyperlink r:id="rId238" ref="H122"/>
    <hyperlink r:id="rId239" ref="G123"/>
    <hyperlink r:id="rId240" ref="H123"/>
    <hyperlink r:id="rId241" ref="G124"/>
    <hyperlink r:id="rId242" ref="H124"/>
    <hyperlink r:id="rId243" ref="G125"/>
    <hyperlink r:id="rId244" ref="H125"/>
    <hyperlink r:id="rId245" ref="G126"/>
    <hyperlink r:id="rId246" ref="H126"/>
    <hyperlink r:id="rId247" ref="G127"/>
    <hyperlink r:id="rId248" ref="H127"/>
    <hyperlink r:id="rId249" ref="G128"/>
    <hyperlink r:id="rId250" ref="H128"/>
    <hyperlink r:id="rId251" ref="G129"/>
    <hyperlink r:id="rId252" ref="H129"/>
    <hyperlink r:id="rId253" ref="G130"/>
    <hyperlink r:id="rId254" ref="H130"/>
    <hyperlink r:id="rId255" ref="G131"/>
    <hyperlink r:id="rId256" ref="H131"/>
    <hyperlink r:id="rId257" ref="G132"/>
    <hyperlink r:id="rId258" ref="H132"/>
    <hyperlink r:id="rId259" ref="G133"/>
    <hyperlink r:id="rId260" ref="H133"/>
    <hyperlink r:id="rId261" ref="G134"/>
    <hyperlink r:id="rId262" ref="H134"/>
    <hyperlink r:id="rId263" ref="G135"/>
    <hyperlink r:id="rId264" ref="H135"/>
    <hyperlink r:id="rId265" ref="G136"/>
    <hyperlink r:id="rId266" ref="H136"/>
    <hyperlink r:id="rId267" ref="G137"/>
    <hyperlink r:id="rId268" ref="H137"/>
    <hyperlink r:id="rId269" ref="G138"/>
    <hyperlink r:id="rId270" ref="H138"/>
    <hyperlink r:id="rId271" ref="G139"/>
    <hyperlink r:id="rId272" ref="H139"/>
    <hyperlink r:id="rId273" ref="G140"/>
    <hyperlink r:id="rId274" ref="H140"/>
    <hyperlink r:id="rId275" ref="G141"/>
    <hyperlink r:id="rId276" ref="H141"/>
    <hyperlink r:id="rId277" ref="G142"/>
    <hyperlink r:id="rId278" ref="H142"/>
    <hyperlink r:id="rId279" ref="G143"/>
    <hyperlink r:id="rId280" ref="H143"/>
    <hyperlink r:id="rId281" ref="G144"/>
    <hyperlink r:id="rId282" ref="H144"/>
    <hyperlink r:id="rId283" ref="G145"/>
    <hyperlink r:id="rId284" ref="H145"/>
    <hyperlink r:id="rId285" ref="G146"/>
    <hyperlink r:id="rId286" ref="H146"/>
    <hyperlink r:id="rId287" ref="G147"/>
    <hyperlink r:id="rId288" ref="H147"/>
    <hyperlink r:id="rId289" ref="G148"/>
    <hyperlink r:id="rId290" ref="H148"/>
    <hyperlink r:id="rId291" ref="G149"/>
    <hyperlink r:id="rId292" ref="H149"/>
    <hyperlink r:id="rId293" ref="G150"/>
    <hyperlink r:id="rId294" ref="H150"/>
    <hyperlink r:id="rId295" ref="G151"/>
    <hyperlink r:id="rId296" ref="H151"/>
    <hyperlink r:id="rId297" ref="G152"/>
    <hyperlink r:id="rId298" ref="H152"/>
    <hyperlink r:id="rId299" ref="G153"/>
    <hyperlink r:id="rId300" ref="H153"/>
    <hyperlink r:id="rId301" ref="G154"/>
    <hyperlink r:id="rId302" ref="H154"/>
    <hyperlink r:id="rId303" ref="G155"/>
    <hyperlink r:id="rId304" ref="H155"/>
    <hyperlink r:id="rId305" ref="G156"/>
    <hyperlink r:id="rId306" ref="H156"/>
    <hyperlink r:id="rId307" ref="G157"/>
    <hyperlink r:id="rId308" ref="H157"/>
    <hyperlink r:id="rId309" ref="G158"/>
    <hyperlink r:id="rId310" ref="H158"/>
    <hyperlink r:id="rId311" ref="G159"/>
    <hyperlink r:id="rId312" ref="H159"/>
    <hyperlink r:id="rId313" ref="G160"/>
    <hyperlink r:id="rId314" ref="H160"/>
    <hyperlink r:id="rId315" ref="G161"/>
    <hyperlink r:id="rId316" ref="H161"/>
    <hyperlink r:id="rId317" ref="G162"/>
    <hyperlink r:id="rId318" ref="H162"/>
    <hyperlink r:id="rId319" ref="G163"/>
    <hyperlink r:id="rId320" ref="H163"/>
    <hyperlink r:id="rId321" ref="G164"/>
    <hyperlink r:id="rId322" ref="H164"/>
    <hyperlink r:id="rId323" ref="G165"/>
    <hyperlink r:id="rId324" ref="H165"/>
    <hyperlink r:id="rId325" ref="G166"/>
    <hyperlink r:id="rId326" ref="H166"/>
    <hyperlink r:id="rId327" ref="G167"/>
    <hyperlink r:id="rId328" ref="H167"/>
    <hyperlink r:id="rId329" ref="G168"/>
    <hyperlink r:id="rId330" ref="H168"/>
    <hyperlink r:id="rId331" ref="G169"/>
    <hyperlink r:id="rId332" ref="H169"/>
    <hyperlink r:id="rId333" ref="G170"/>
    <hyperlink r:id="rId334" ref="H170"/>
    <hyperlink r:id="rId335" ref="G171"/>
    <hyperlink r:id="rId336" ref="H171"/>
    <hyperlink r:id="rId337" ref="G172"/>
    <hyperlink r:id="rId338" ref="H172"/>
    <hyperlink r:id="rId339" ref="G173"/>
    <hyperlink r:id="rId340" ref="H173"/>
    <hyperlink r:id="rId341" ref="G174"/>
    <hyperlink r:id="rId342" ref="H174"/>
    <hyperlink r:id="rId343" ref="G175"/>
    <hyperlink r:id="rId344" ref="H175"/>
    <hyperlink r:id="rId345" ref="G176"/>
    <hyperlink r:id="rId346" ref="H176"/>
    <hyperlink r:id="rId347" ref="G177"/>
    <hyperlink r:id="rId348" ref="H177"/>
    <hyperlink r:id="rId349" ref="G178"/>
    <hyperlink r:id="rId350" ref="H178"/>
    <hyperlink r:id="rId351" ref="G179"/>
    <hyperlink r:id="rId352" ref="H179"/>
    <hyperlink r:id="rId353" ref="G180"/>
    <hyperlink r:id="rId354" ref="H180"/>
    <hyperlink r:id="rId355" ref="G181"/>
    <hyperlink r:id="rId356" ref="H181"/>
    <hyperlink r:id="rId357" ref="G182"/>
    <hyperlink r:id="rId358" ref="H182"/>
    <hyperlink r:id="rId359" ref="G183"/>
    <hyperlink r:id="rId360" ref="H183"/>
    <hyperlink r:id="rId361" ref="G184"/>
    <hyperlink r:id="rId362" ref="H184"/>
    <hyperlink r:id="rId363" ref="G185"/>
    <hyperlink r:id="rId364" ref="H185"/>
    <hyperlink r:id="rId365" ref="G186"/>
    <hyperlink r:id="rId366" ref="H186"/>
    <hyperlink r:id="rId367" ref="G187"/>
    <hyperlink r:id="rId368" ref="H187"/>
    <hyperlink r:id="rId369" ref="G188"/>
    <hyperlink r:id="rId370" ref="H188"/>
    <hyperlink r:id="rId371" ref="G189"/>
    <hyperlink r:id="rId372" ref="H189"/>
    <hyperlink r:id="rId373" ref="G190"/>
    <hyperlink r:id="rId374" ref="H190"/>
    <hyperlink r:id="rId375" ref="G191"/>
    <hyperlink r:id="rId376" ref="H191"/>
    <hyperlink r:id="rId377" ref="G192"/>
    <hyperlink r:id="rId378" ref="H192"/>
    <hyperlink r:id="rId379" ref="G193"/>
    <hyperlink r:id="rId380" ref="H193"/>
    <hyperlink r:id="rId381" ref="G194"/>
    <hyperlink r:id="rId382" ref="H194"/>
    <hyperlink r:id="rId383" ref="G195"/>
    <hyperlink r:id="rId384" ref="H195"/>
    <hyperlink r:id="rId385" ref="G196"/>
    <hyperlink r:id="rId386" ref="H196"/>
    <hyperlink r:id="rId387" ref="G197"/>
    <hyperlink r:id="rId388" ref="H197"/>
    <hyperlink r:id="rId389" ref="G198"/>
    <hyperlink r:id="rId390" ref="H198"/>
    <hyperlink r:id="rId391" ref="G199"/>
    <hyperlink r:id="rId392" ref="H199"/>
    <hyperlink r:id="rId393" ref="G200"/>
    <hyperlink r:id="rId394" ref="H200"/>
    <hyperlink r:id="rId395" ref="G201"/>
    <hyperlink r:id="rId396" ref="H201"/>
    <hyperlink r:id="rId397" ref="G202"/>
    <hyperlink r:id="rId398" ref="H202"/>
    <hyperlink r:id="rId399" ref="G203"/>
    <hyperlink r:id="rId400" ref="H203"/>
    <hyperlink r:id="rId401" ref="G204"/>
    <hyperlink r:id="rId402" ref="H204"/>
    <hyperlink r:id="rId403" ref="G205"/>
    <hyperlink r:id="rId404" ref="H205"/>
    <hyperlink r:id="rId405" ref="G206"/>
    <hyperlink r:id="rId406" ref="H206"/>
    <hyperlink r:id="rId407" ref="G207"/>
    <hyperlink r:id="rId408" ref="H207"/>
    <hyperlink r:id="rId409" ref="G208"/>
    <hyperlink r:id="rId410" ref="H208"/>
    <hyperlink r:id="rId411" ref="G209"/>
    <hyperlink r:id="rId412" ref="H209"/>
    <hyperlink r:id="rId413" ref="G210"/>
    <hyperlink r:id="rId414" ref="H210"/>
    <hyperlink r:id="rId415" ref="G211"/>
    <hyperlink r:id="rId416" ref="H211"/>
    <hyperlink r:id="rId417" ref="G212"/>
    <hyperlink r:id="rId418" ref="H212"/>
    <hyperlink r:id="rId419" ref="G213"/>
    <hyperlink r:id="rId420" ref="H213"/>
    <hyperlink r:id="rId421" ref="G214"/>
    <hyperlink r:id="rId422" ref="H214"/>
    <hyperlink r:id="rId423" ref="G215"/>
    <hyperlink r:id="rId424" ref="H215"/>
    <hyperlink r:id="rId425" ref="G216"/>
    <hyperlink r:id="rId426" ref="H216"/>
    <hyperlink r:id="rId427" ref="G217"/>
    <hyperlink r:id="rId428" ref="H217"/>
    <hyperlink r:id="rId429" ref="G218"/>
    <hyperlink r:id="rId430" ref="H218"/>
    <hyperlink r:id="rId431" ref="G219"/>
    <hyperlink r:id="rId432" ref="H219"/>
    <hyperlink r:id="rId433" ref="G220"/>
    <hyperlink r:id="rId434" ref="H220"/>
    <hyperlink r:id="rId435" ref="G221"/>
    <hyperlink r:id="rId436" ref="H221"/>
    <hyperlink r:id="rId437" ref="G222"/>
    <hyperlink r:id="rId438" ref="H222"/>
    <hyperlink r:id="rId439" ref="G223"/>
    <hyperlink r:id="rId440" ref="H223"/>
    <hyperlink r:id="rId441" ref="G224"/>
    <hyperlink r:id="rId442" ref="H224"/>
    <hyperlink r:id="rId443" ref="G225"/>
    <hyperlink r:id="rId444" ref="H225"/>
    <hyperlink r:id="rId445" ref="G226"/>
    <hyperlink r:id="rId446" ref="H226"/>
    <hyperlink r:id="rId447" ref="G227"/>
    <hyperlink r:id="rId448" ref="H227"/>
    <hyperlink r:id="rId449" ref="G228"/>
    <hyperlink r:id="rId450" ref="H228"/>
    <hyperlink r:id="rId451" ref="G229"/>
    <hyperlink r:id="rId452" ref="H229"/>
    <hyperlink r:id="rId453" ref="G230"/>
    <hyperlink r:id="rId454" ref="H230"/>
    <hyperlink r:id="rId455" ref="G231"/>
    <hyperlink r:id="rId456" ref="H231"/>
    <hyperlink r:id="rId457" ref="G232"/>
    <hyperlink r:id="rId458" ref="H232"/>
    <hyperlink r:id="rId459" ref="G233"/>
    <hyperlink r:id="rId460" ref="H233"/>
    <hyperlink r:id="rId461" ref="G234"/>
    <hyperlink r:id="rId462" ref="H234"/>
    <hyperlink r:id="rId463" ref="G235"/>
    <hyperlink r:id="rId464" ref="H235"/>
    <hyperlink r:id="rId465" ref="G236"/>
    <hyperlink r:id="rId466" ref="H236"/>
    <hyperlink r:id="rId467" ref="G237"/>
    <hyperlink r:id="rId468" ref="H237"/>
    <hyperlink r:id="rId469" ref="G238"/>
    <hyperlink r:id="rId470" ref="H238"/>
    <hyperlink r:id="rId471" ref="G239"/>
    <hyperlink r:id="rId472" ref="H239"/>
    <hyperlink r:id="rId473" ref="G240"/>
    <hyperlink r:id="rId474" ref="H240"/>
    <hyperlink r:id="rId475" ref="G241"/>
    <hyperlink r:id="rId476" ref="H241"/>
    <hyperlink r:id="rId477" ref="G242"/>
    <hyperlink r:id="rId478" ref="H242"/>
    <hyperlink r:id="rId479" ref="G243"/>
    <hyperlink r:id="rId480" ref="H243"/>
    <hyperlink r:id="rId481" ref="G244"/>
    <hyperlink r:id="rId482" ref="H244"/>
    <hyperlink r:id="rId483" ref="G245"/>
    <hyperlink r:id="rId484" ref="H245"/>
    <hyperlink r:id="rId485" ref="G246"/>
    <hyperlink r:id="rId486" ref="H246"/>
    <hyperlink r:id="rId487" ref="G247"/>
    <hyperlink r:id="rId488" ref="H247"/>
    <hyperlink r:id="rId489" ref="G248"/>
    <hyperlink r:id="rId490" ref="H248"/>
    <hyperlink r:id="rId491" ref="G249"/>
    <hyperlink r:id="rId492" ref="H249"/>
    <hyperlink r:id="rId493" ref="G250"/>
    <hyperlink r:id="rId494" ref="H250"/>
    <hyperlink r:id="rId495" ref="G251"/>
    <hyperlink r:id="rId496" ref="H251"/>
    <hyperlink r:id="rId497" ref="G252"/>
    <hyperlink r:id="rId498" ref="H252"/>
    <hyperlink r:id="rId499" ref="G253"/>
    <hyperlink r:id="rId500" ref="H253"/>
    <hyperlink r:id="rId501" ref="G254"/>
    <hyperlink r:id="rId502" ref="H254"/>
    <hyperlink r:id="rId503" ref="G255"/>
    <hyperlink r:id="rId504" ref="H255"/>
    <hyperlink r:id="rId505" ref="G256"/>
    <hyperlink r:id="rId506" ref="H256"/>
    <hyperlink r:id="rId507" ref="G257"/>
    <hyperlink r:id="rId508" ref="H257"/>
    <hyperlink r:id="rId509" ref="G258"/>
    <hyperlink r:id="rId510" ref="H258"/>
    <hyperlink r:id="rId511" ref="G259"/>
    <hyperlink r:id="rId512" ref="H259"/>
    <hyperlink r:id="rId513" ref="G260"/>
    <hyperlink r:id="rId514" ref="H260"/>
    <hyperlink r:id="rId515" ref="G261"/>
    <hyperlink r:id="rId516" ref="H261"/>
    <hyperlink r:id="rId517" ref="G262"/>
    <hyperlink r:id="rId518" ref="H262"/>
    <hyperlink r:id="rId519" ref="G263"/>
    <hyperlink r:id="rId520" ref="H263"/>
    <hyperlink r:id="rId521" ref="G264"/>
    <hyperlink r:id="rId522" ref="H264"/>
    <hyperlink r:id="rId523" ref="G265"/>
    <hyperlink r:id="rId524" ref="H265"/>
    <hyperlink r:id="rId525" ref="G266"/>
    <hyperlink r:id="rId526" ref="H266"/>
    <hyperlink r:id="rId527" ref="G267"/>
    <hyperlink r:id="rId528" ref="H267"/>
    <hyperlink r:id="rId529" ref="G268"/>
    <hyperlink r:id="rId530" ref="H268"/>
    <hyperlink r:id="rId531" ref="G269"/>
    <hyperlink r:id="rId532" ref="H269"/>
    <hyperlink r:id="rId533" ref="G270"/>
    <hyperlink r:id="rId534" ref="H270"/>
    <hyperlink r:id="rId535" ref="G271"/>
    <hyperlink r:id="rId536" ref="H271"/>
    <hyperlink r:id="rId537" ref="G272"/>
    <hyperlink r:id="rId538" ref="H272"/>
    <hyperlink r:id="rId539" ref="G273"/>
    <hyperlink r:id="rId540" ref="H273"/>
    <hyperlink r:id="rId541" ref="G274"/>
    <hyperlink r:id="rId542" ref="H274"/>
    <hyperlink r:id="rId543" ref="G275"/>
    <hyperlink r:id="rId544" ref="H275"/>
    <hyperlink r:id="rId545" ref="G276"/>
    <hyperlink r:id="rId546" ref="H276"/>
    <hyperlink r:id="rId547" ref="G277"/>
    <hyperlink r:id="rId548" ref="H277"/>
    <hyperlink r:id="rId549" ref="G278"/>
    <hyperlink r:id="rId550" ref="H278"/>
    <hyperlink r:id="rId551" ref="G279"/>
    <hyperlink r:id="rId552" ref="H279"/>
    <hyperlink r:id="rId553" ref="G280"/>
    <hyperlink r:id="rId554" ref="H280"/>
    <hyperlink r:id="rId555" ref="G281"/>
    <hyperlink r:id="rId556" ref="H281"/>
    <hyperlink r:id="rId557" ref="G282"/>
    <hyperlink r:id="rId558" ref="H282"/>
    <hyperlink r:id="rId559" ref="G283"/>
    <hyperlink r:id="rId560" ref="H283"/>
    <hyperlink r:id="rId561" ref="G284"/>
    <hyperlink r:id="rId562" ref="H284"/>
    <hyperlink r:id="rId563" ref="G285"/>
    <hyperlink r:id="rId564" ref="H285"/>
    <hyperlink r:id="rId565" ref="G286"/>
    <hyperlink r:id="rId566" ref="H286"/>
    <hyperlink r:id="rId567" ref="G287"/>
    <hyperlink r:id="rId568" ref="H287"/>
    <hyperlink r:id="rId569" ref="G288"/>
    <hyperlink r:id="rId570" ref="H288"/>
    <hyperlink r:id="rId571" ref="G289"/>
    <hyperlink r:id="rId572" ref="H289"/>
    <hyperlink r:id="rId573" ref="G290"/>
    <hyperlink r:id="rId574" ref="H290"/>
    <hyperlink r:id="rId575" ref="G291"/>
    <hyperlink r:id="rId576" ref="H291"/>
    <hyperlink r:id="rId577" ref="G292"/>
    <hyperlink r:id="rId578" ref="H292"/>
    <hyperlink r:id="rId579" ref="G293"/>
    <hyperlink r:id="rId580" ref="H293"/>
    <hyperlink r:id="rId581" ref="G294"/>
    <hyperlink r:id="rId582" ref="H294"/>
    <hyperlink r:id="rId583" ref="G295"/>
    <hyperlink r:id="rId584" ref="H295"/>
    <hyperlink r:id="rId585" ref="G296"/>
    <hyperlink r:id="rId586" ref="H296"/>
    <hyperlink r:id="rId587" ref="G297"/>
    <hyperlink r:id="rId588" ref="H297"/>
    <hyperlink r:id="rId589" ref="G298"/>
    <hyperlink r:id="rId590" ref="H298"/>
    <hyperlink r:id="rId591" ref="G299"/>
    <hyperlink r:id="rId592" ref="H299"/>
    <hyperlink r:id="rId593" ref="G300"/>
    <hyperlink r:id="rId594" ref="H300"/>
    <hyperlink r:id="rId595" ref="G301"/>
    <hyperlink r:id="rId596" ref="H301"/>
    <hyperlink r:id="rId597" ref="G302"/>
    <hyperlink r:id="rId598" ref="H302"/>
    <hyperlink r:id="rId599" ref="G303"/>
    <hyperlink r:id="rId600" ref="H303"/>
    <hyperlink r:id="rId601" ref="G304"/>
    <hyperlink r:id="rId602" ref="H304"/>
    <hyperlink r:id="rId603" ref="G305"/>
    <hyperlink r:id="rId604" ref="H305"/>
    <hyperlink r:id="rId605" ref="G306"/>
    <hyperlink r:id="rId606" ref="H306"/>
    <hyperlink r:id="rId607" ref="G307"/>
    <hyperlink r:id="rId608" ref="H307"/>
    <hyperlink r:id="rId609" ref="G308"/>
    <hyperlink r:id="rId610" ref="H308"/>
    <hyperlink r:id="rId611" ref="G309"/>
    <hyperlink r:id="rId612" ref="H309"/>
    <hyperlink r:id="rId613" ref="G310"/>
    <hyperlink r:id="rId614" ref="H310"/>
    <hyperlink r:id="rId615" ref="G311"/>
    <hyperlink r:id="rId616" ref="H311"/>
    <hyperlink r:id="rId617" ref="G312"/>
    <hyperlink r:id="rId618" ref="H312"/>
    <hyperlink r:id="rId619" ref="G313"/>
    <hyperlink r:id="rId620" ref="H313"/>
    <hyperlink r:id="rId621" ref="G314"/>
    <hyperlink r:id="rId622" ref="H314"/>
    <hyperlink r:id="rId623" ref="G315"/>
    <hyperlink r:id="rId624" ref="H315"/>
    <hyperlink r:id="rId625" ref="G316"/>
    <hyperlink r:id="rId626" ref="H316"/>
    <hyperlink r:id="rId627" ref="G317"/>
    <hyperlink r:id="rId628" ref="H317"/>
    <hyperlink r:id="rId629" ref="G318"/>
    <hyperlink r:id="rId630" ref="H318"/>
    <hyperlink r:id="rId631" ref="G319"/>
    <hyperlink r:id="rId632" ref="H319"/>
    <hyperlink r:id="rId633" ref="G320"/>
    <hyperlink r:id="rId634" ref="H320"/>
    <hyperlink r:id="rId635" ref="G321"/>
    <hyperlink r:id="rId636" ref="H321"/>
    <hyperlink r:id="rId637" ref="G322"/>
    <hyperlink r:id="rId638" ref="H322"/>
    <hyperlink r:id="rId639" ref="G323"/>
    <hyperlink r:id="rId640" ref="H323"/>
    <hyperlink r:id="rId641" ref="G324"/>
    <hyperlink r:id="rId642" ref="H324"/>
    <hyperlink r:id="rId643" ref="G325"/>
    <hyperlink r:id="rId644" ref="H325"/>
    <hyperlink r:id="rId645" ref="G326"/>
    <hyperlink r:id="rId646" ref="H326"/>
    <hyperlink r:id="rId647" ref="G327"/>
    <hyperlink r:id="rId648" ref="H327"/>
    <hyperlink r:id="rId649" ref="G328"/>
    <hyperlink r:id="rId650" ref="H328"/>
    <hyperlink r:id="rId651" ref="G329"/>
    <hyperlink r:id="rId652" ref="H329"/>
    <hyperlink r:id="rId653" ref="G330"/>
    <hyperlink r:id="rId654" ref="H330"/>
    <hyperlink r:id="rId655" ref="G331"/>
    <hyperlink r:id="rId656" ref="H331"/>
    <hyperlink r:id="rId657" ref="G332"/>
    <hyperlink r:id="rId658" ref="H332"/>
    <hyperlink r:id="rId659" ref="G333"/>
    <hyperlink r:id="rId660" ref="H333"/>
    <hyperlink r:id="rId661" ref="G334"/>
    <hyperlink r:id="rId662" ref="H334"/>
    <hyperlink r:id="rId663" ref="G335"/>
    <hyperlink r:id="rId664" ref="H335"/>
    <hyperlink r:id="rId665" ref="G336"/>
    <hyperlink r:id="rId666" ref="H336"/>
    <hyperlink r:id="rId667" ref="G337"/>
    <hyperlink r:id="rId668" ref="H337"/>
    <hyperlink r:id="rId669" ref="G338"/>
    <hyperlink r:id="rId670" ref="H338"/>
    <hyperlink r:id="rId671" ref="G339"/>
    <hyperlink r:id="rId672" ref="H339"/>
    <hyperlink r:id="rId673" ref="G340"/>
    <hyperlink r:id="rId674" ref="H340"/>
    <hyperlink r:id="rId675" ref="G341"/>
    <hyperlink r:id="rId676" ref="H341"/>
    <hyperlink r:id="rId677" ref="G342"/>
    <hyperlink r:id="rId678" ref="H342"/>
    <hyperlink r:id="rId679" ref="G343"/>
    <hyperlink r:id="rId680" ref="H343"/>
    <hyperlink r:id="rId681" ref="G344"/>
    <hyperlink r:id="rId682" ref="H344"/>
    <hyperlink r:id="rId683" ref="G345"/>
    <hyperlink r:id="rId684" ref="H345"/>
    <hyperlink r:id="rId685" ref="G346"/>
    <hyperlink r:id="rId686" ref="H346"/>
    <hyperlink r:id="rId687" ref="G347"/>
    <hyperlink r:id="rId688" ref="H347"/>
    <hyperlink r:id="rId689" ref="G348"/>
    <hyperlink r:id="rId690" ref="H348"/>
    <hyperlink r:id="rId691" ref="G349"/>
    <hyperlink r:id="rId692" ref="H349"/>
    <hyperlink r:id="rId693" ref="G350"/>
    <hyperlink r:id="rId694" ref="H350"/>
    <hyperlink r:id="rId695" ref="G351"/>
    <hyperlink r:id="rId696" ref="H351"/>
    <hyperlink r:id="rId697" ref="G352"/>
    <hyperlink r:id="rId698" ref="H352"/>
    <hyperlink r:id="rId699" ref="G353"/>
    <hyperlink r:id="rId700" ref="H353"/>
    <hyperlink r:id="rId701" ref="G354"/>
    <hyperlink r:id="rId702" ref="H354"/>
    <hyperlink r:id="rId703" ref="G355"/>
    <hyperlink r:id="rId704" ref="H355"/>
    <hyperlink r:id="rId705" ref="G356"/>
    <hyperlink r:id="rId706" ref="H356"/>
    <hyperlink r:id="rId707" ref="G357"/>
    <hyperlink r:id="rId708" ref="H357"/>
    <hyperlink r:id="rId709" ref="G358"/>
    <hyperlink r:id="rId710" ref="H358"/>
    <hyperlink r:id="rId711" ref="G359"/>
    <hyperlink r:id="rId712" ref="H359"/>
    <hyperlink r:id="rId713" ref="G360"/>
    <hyperlink r:id="rId714" ref="H360"/>
    <hyperlink r:id="rId715" ref="G361"/>
    <hyperlink r:id="rId716" ref="H361"/>
    <hyperlink r:id="rId717" ref="G362"/>
    <hyperlink r:id="rId718" ref="H362"/>
    <hyperlink r:id="rId719" ref="G363"/>
    <hyperlink r:id="rId720" ref="H363"/>
    <hyperlink r:id="rId721" ref="G364"/>
    <hyperlink r:id="rId722" ref="H364"/>
    <hyperlink r:id="rId723" ref="G365"/>
    <hyperlink r:id="rId724" ref="H365"/>
    <hyperlink r:id="rId725" ref="G366"/>
    <hyperlink r:id="rId726" ref="H366"/>
    <hyperlink r:id="rId727" ref="G367"/>
    <hyperlink r:id="rId728" ref="H367"/>
    <hyperlink r:id="rId729" ref="G368"/>
    <hyperlink r:id="rId730" ref="H368"/>
    <hyperlink r:id="rId731" ref="G369"/>
    <hyperlink r:id="rId732" ref="H369"/>
    <hyperlink r:id="rId733" ref="G370"/>
    <hyperlink r:id="rId734" ref="H370"/>
    <hyperlink r:id="rId735" ref="G371"/>
    <hyperlink r:id="rId736" ref="H371"/>
    <hyperlink r:id="rId737" ref="G372"/>
    <hyperlink r:id="rId738" ref="H372"/>
    <hyperlink r:id="rId739" ref="G373"/>
    <hyperlink r:id="rId740" ref="H373"/>
    <hyperlink r:id="rId741" ref="G374"/>
    <hyperlink r:id="rId742" ref="H374"/>
    <hyperlink r:id="rId743" ref="G375"/>
    <hyperlink r:id="rId744" ref="H375"/>
    <hyperlink r:id="rId745" ref="G376"/>
    <hyperlink r:id="rId746" ref="H376"/>
    <hyperlink r:id="rId747" ref="G377"/>
    <hyperlink r:id="rId748" ref="H377"/>
    <hyperlink r:id="rId749" ref="G378"/>
    <hyperlink r:id="rId750" ref="H378"/>
    <hyperlink r:id="rId751" ref="G379"/>
    <hyperlink r:id="rId752" ref="H379"/>
    <hyperlink r:id="rId753" ref="G380"/>
    <hyperlink r:id="rId754" ref="H380"/>
    <hyperlink r:id="rId755" ref="G381"/>
    <hyperlink r:id="rId756" ref="H381"/>
    <hyperlink r:id="rId757" ref="G382"/>
    <hyperlink r:id="rId758" ref="H382"/>
    <hyperlink r:id="rId759" ref="G383"/>
    <hyperlink r:id="rId760" ref="H383"/>
    <hyperlink r:id="rId761" ref="G384"/>
    <hyperlink r:id="rId762" ref="H384"/>
    <hyperlink r:id="rId763" ref="G385"/>
    <hyperlink r:id="rId764" ref="H385"/>
    <hyperlink r:id="rId765" ref="G386"/>
    <hyperlink r:id="rId766" ref="H386"/>
    <hyperlink r:id="rId767" ref="G387"/>
    <hyperlink r:id="rId768" ref="H387"/>
    <hyperlink r:id="rId769" ref="G388"/>
    <hyperlink r:id="rId770" ref="H388"/>
    <hyperlink r:id="rId771" ref="G389"/>
    <hyperlink r:id="rId772" ref="H389"/>
    <hyperlink r:id="rId773" ref="G390"/>
    <hyperlink r:id="rId774" ref="H390"/>
    <hyperlink r:id="rId775" ref="G391"/>
    <hyperlink r:id="rId776" ref="H391"/>
    <hyperlink r:id="rId777" ref="G392"/>
    <hyperlink r:id="rId778" ref="H392"/>
    <hyperlink r:id="rId779" ref="G393"/>
    <hyperlink r:id="rId780" ref="H393"/>
    <hyperlink r:id="rId781" ref="G394"/>
    <hyperlink r:id="rId782" ref="H394"/>
    <hyperlink r:id="rId783" ref="G395"/>
    <hyperlink r:id="rId784" ref="H395"/>
    <hyperlink r:id="rId785" ref="G396"/>
    <hyperlink r:id="rId786" ref="H396"/>
    <hyperlink r:id="rId787" ref="G397"/>
    <hyperlink r:id="rId788" ref="H397"/>
    <hyperlink r:id="rId789" ref="G398"/>
    <hyperlink r:id="rId790" ref="H398"/>
    <hyperlink r:id="rId791" ref="G399"/>
    <hyperlink r:id="rId792" ref="H399"/>
    <hyperlink r:id="rId793" ref="G400"/>
    <hyperlink r:id="rId794" ref="H400"/>
    <hyperlink r:id="rId795" ref="G401"/>
    <hyperlink r:id="rId796" ref="H401"/>
    <hyperlink r:id="rId797" ref="G402"/>
    <hyperlink r:id="rId798" ref="H402"/>
    <hyperlink r:id="rId799" ref="G403"/>
    <hyperlink r:id="rId800" ref="H403"/>
    <hyperlink r:id="rId801" ref="G404"/>
    <hyperlink r:id="rId802" ref="H404"/>
    <hyperlink r:id="rId803" ref="G405"/>
    <hyperlink r:id="rId804" ref="H405"/>
    <hyperlink r:id="rId805" ref="G406"/>
    <hyperlink r:id="rId806" ref="H406"/>
    <hyperlink r:id="rId807" ref="G407"/>
    <hyperlink r:id="rId808" ref="H407"/>
    <hyperlink r:id="rId809" ref="G408"/>
    <hyperlink r:id="rId810" ref="H408"/>
    <hyperlink r:id="rId811" ref="G409"/>
    <hyperlink r:id="rId812" ref="H409"/>
    <hyperlink r:id="rId813" ref="G410"/>
    <hyperlink r:id="rId814" ref="H410"/>
    <hyperlink r:id="rId815" ref="G411"/>
    <hyperlink r:id="rId816" ref="H411"/>
    <hyperlink r:id="rId817" ref="G412"/>
    <hyperlink r:id="rId818" ref="H412"/>
    <hyperlink r:id="rId819" ref="G413"/>
    <hyperlink r:id="rId820" ref="H413"/>
    <hyperlink r:id="rId821" ref="G414"/>
    <hyperlink r:id="rId822" ref="H414"/>
    <hyperlink r:id="rId823" ref="G415"/>
    <hyperlink r:id="rId824" ref="H415"/>
    <hyperlink r:id="rId825" ref="G416"/>
    <hyperlink r:id="rId826" ref="H416"/>
    <hyperlink r:id="rId827" ref="G417"/>
    <hyperlink r:id="rId828" ref="H417"/>
  </hyperlinks>
  <drawing r:id="rId829"/>
  <tableParts count="1">
    <tablePart r:id="rId831"/>
  </tableParts>
</worksheet>
</file>